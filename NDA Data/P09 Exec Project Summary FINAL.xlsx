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ThisWorkbook" defaultThemeVersion="166925"/>
  <mc:AlternateContent xmlns:mc="http://schemas.openxmlformats.org/markup-compatibility/2006">
    <mc:Choice Requires="x15">
      <x15ac:absPath xmlns:x15ac="http://schemas.microsoft.com/office/spreadsheetml/2010/11/ac" url="Z:\REPORTING\NDA MPPR\25_26\Pd09\Exec Project Summary\"/>
    </mc:Choice>
  </mc:AlternateContent>
  <xr:revisionPtr revIDLastSave="0" documentId="13_ncr:1_{A37A8EDD-53D6-414A-A715-DB3AB2C9D155}" xr6:coauthVersionLast="47" xr6:coauthVersionMax="47" xr10:uidLastSave="{00000000-0000-0000-0000-000000000000}"/>
  <workbookProtection workbookAlgorithmName="SHA-512" workbookHashValue="bBw85QnrqEVgoLAoGBCVMZY6wjDNiLJYDjBheY3zSDuH3nKVdCXNVs45U4Qy6WSea3Q79Vlv3G5AcQzzhMH3XQ==" workbookSaltValue="dAA5HQLw1GzZQEvUaqjMyQ==" workbookSpinCount="100000" lockStructure="1"/>
  <bookViews>
    <workbookView xWindow="28680" yWindow="-120" windowWidth="29040" windowHeight="15720" tabRatio="806" xr2:uid="{C820F8FD-3578-4D1C-9590-105C125070C0}"/>
  </bookViews>
  <sheets>
    <sheet name="0) SL Project Structure" sheetId="1" r:id="rId1"/>
    <sheet name="0) SL Project Structure OLD" sheetId="2" state="hidden" r:id="rId2"/>
    <sheet name="1) Report" sheetId="3" r:id="rId3"/>
    <sheet name="3) BC and Sanction Changes PD6" sheetId="4" state="hidden" r:id="rId4"/>
    <sheet name="4) Baseline Changes" sheetId="5" state="hidden" r:id="rId5"/>
    <sheet name="2) Definitions" sheetId="6" r:id="rId6"/>
    <sheet name="3) BC and Sanction" sheetId="7" state="hidden" r:id="rId7"/>
    <sheet name="4b) SL EPO Extended Data Sheet" sheetId="8" r:id="rId8"/>
    <sheet name="Pd08 MPPR WD9" sheetId="9" state="hidden" r:id="rId9"/>
    <sheet name="Pd08 Extended MPPR WD9" sheetId="10" state="hidden" r:id="rId10"/>
    <sheet name="4a) SL EPO Data File" sheetId="11" state="hidden" r:id="rId11"/>
    <sheet name="P&amp;B Summary" sheetId="12" state="hidden" r:id="rId12"/>
    <sheet name="5a)NDA MPPR" sheetId="13" r:id="rId13"/>
    <sheet name="6) RAG Table" sheetId="14" r:id="rId14"/>
  </sheets>
  <definedNames>
    <definedName name="_xlnm._FilterDatabase" localSheetId="13" hidden="1">'6) RAG Table'!$AC$4:$AC$61</definedName>
    <definedName name="_xlnm.Print_Area" localSheetId="0">'0) SL Project Structure'!$A$1:$AL$82</definedName>
    <definedName name="_xlnm.Print_Area" localSheetId="1">'0) SL Project Structure OLD'!$A$1:$AL$68</definedName>
    <definedName name="_xlnm.Print_Area" localSheetId="2">'1) Report'!$B$2:$AM$137</definedName>
    <definedName name="_xlnm.Print_Area" localSheetId="5">'2) Definitions'!$A$2:$T$50</definedName>
    <definedName name="_xlnm.Print_Area" localSheetId="13">'6) RAG Table'!$B$1:$AE$127</definedName>
    <definedName name="_xlnm.Print_Area" localSheetId="11">'P&amp;B Summary'!$B$3:$J$18</definedName>
    <definedName name="_xlnm.Print_Titles" localSheetId="2">'1) Report'!$3:$6</definedName>
    <definedName name="Z_008CCD98_7480_4C51_806A_4B55C801DDC2_.wvu.Cols" localSheetId="13" hidden="1">'6) RAG Table'!#REF!</definedName>
    <definedName name="Z_008CCD98_7480_4C51_806A_4B55C801DDC2_.wvu.FilterData" localSheetId="13" hidden="1">'6) RAG Table'!$AC$4:$AC$61</definedName>
    <definedName name="Z_008CCD98_7480_4C51_806A_4B55C801DDC2_.wvu.PrintArea" localSheetId="0" hidden="1">'0) SL Project Structure'!$A$1:$AL$82</definedName>
    <definedName name="Z_008CCD98_7480_4C51_806A_4B55C801DDC2_.wvu.PrintArea" localSheetId="1" hidden="1">'0) SL Project Structure OLD'!$A$1:$AL$68</definedName>
    <definedName name="Z_008CCD98_7480_4C51_806A_4B55C801DDC2_.wvu.PrintArea" localSheetId="2" hidden="1">'1) Report'!$B$2:$AM$138</definedName>
    <definedName name="Z_008CCD98_7480_4C51_806A_4B55C801DDC2_.wvu.PrintArea" localSheetId="11" hidden="1">'P&amp;B Summary'!$B$3:$J$18</definedName>
    <definedName name="Z_008CCD98_7480_4C51_806A_4B55C801DDC2_.wvu.PrintTitles" localSheetId="2" hidden="1">'1) Report'!$3:$6</definedName>
    <definedName name="Z_008CCD98_7480_4C51_806A_4B55C801DDC2_.wvu.Rows" localSheetId="2" hidden="1">'1) Report'!$1:$1</definedName>
    <definedName name="Z_008CCD98_7480_4C51_806A_4B55C801DDC2_.wvu.Rows" localSheetId="6" hidden="1">'3) BC and Sanction'!$1:$1</definedName>
    <definedName name="Z_008CCD98_7480_4C51_806A_4B55C801DDC2_.wvu.Rows" localSheetId="4" hidden="1">'4) Baseline Changes'!$1:$1</definedName>
    <definedName name="Z_008CCD98_7480_4C51_806A_4B55C801DDC2_.wvu.Rows" localSheetId="12" hidden="1">'5a)NDA MPPR'!$63:$101</definedName>
    <definedName name="Z_008CCD98_7480_4C51_806A_4B55C801DDC2_.wvu.Rows" localSheetId="13" hidden="1">'6) RAG Table'!$72:$77</definedName>
    <definedName name="Z_008CCD98_7480_4C51_806A_4B55C801DDC2_.wvu.Rows" localSheetId="11" hidden="1">'P&amp;B Summary'!$1:$1</definedName>
    <definedName name="Z_008CCD98_7480_4C51_806A_4B55C801DDC2_.wvu.Rows" localSheetId="9" hidden="1">'Pd08 Extended MPPR WD9'!$7:$7,'Pd08 Extended MPPR WD9'!$11:$11,'Pd08 Extended MPPR WD9'!$15:$15,'Pd08 Extended MPPR WD9'!$19:$19,'Pd08 Extended MPPR WD9'!$23:$23,'Pd08 Extended MPPR WD9'!$27:$27,'Pd08 Extended MPPR WD9'!$31:$31,'Pd08 Extended MPPR WD9'!$35:$35</definedName>
    <definedName name="Z_008CCD98_7480_4C51_806A_4B55C801DDC2_.wvu.Rows" localSheetId="8" hidden="1">'Pd08 MPPR WD9'!$7:$7,'Pd08 MPPR WD9'!$11:$11,'Pd08 MPPR WD9'!$15:$15,'Pd08 MPPR WD9'!$19:$19,'Pd08 MPPR WD9'!$23:$23,'Pd08 MPPR WD9'!$27:$27,'Pd08 MPPR WD9'!$31:$31,'Pd08 MPPR WD9'!$35:$35,'Pd08 MPPR WD9'!$39:$39,'Pd08 MPPR WD9'!$43:$43,'Pd08 MPPR WD9'!$47:$47,'Pd08 MPPR WD9'!$50:$50,'Pd08 MPPR WD9'!$53:$53</definedName>
    <definedName name="Z_016CEBB2_C827_48F4_95E1_85D8C5129F41_.wvu.Cols" localSheetId="13" hidden="1">'6) RAG Table'!#REF!</definedName>
    <definedName name="Z_016CEBB2_C827_48F4_95E1_85D8C5129F41_.wvu.FilterData" localSheetId="13" hidden="1">'6) RAG Table'!$AC$4:$AC$61</definedName>
    <definedName name="Z_016CEBB2_C827_48F4_95E1_85D8C5129F41_.wvu.PrintArea" localSheetId="0" hidden="1">'0) SL Project Structure'!$A$1:$AL$82</definedName>
    <definedName name="Z_016CEBB2_C827_48F4_95E1_85D8C5129F41_.wvu.PrintArea" localSheetId="1" hidden="1">'0) SL Project Structure OLD'!$A$1:$AL$68</definedName>
    <definedName name="Z_016CEBB2_C827_48F4_95E1_85D8C5129F41_.wvu.PrintArea" localSheetId="2" hidden="1">'1) Report'!$B$2:$AM$138</definedName>
    <definedName name="Z_016CEBB2_C827_48F4_95E1_85D8C5129F41_.wvu.PrintArea" localSheetId="11" hidden="1">'P&amp;B Summary'!$B$3:$J$18</definedName>
    <definedName name="Z_016CEBB2_C827_48F4_95E1_85D8C5129F41_.wvu.PrintTitles" localSheetId="2" hidden="1">'1) Report'!$3:$6</definedName>
    <definedName name="Z_016CEBB2_C827_48F4_95E1_85D8C5129F41_.wvu.Rows" localSheetId="2" hidden="1">'1) Report'!$1:$1</definedName>
    <definedName name="Z_016CEBB2_C827_48F4_95E1_85D8C5129F41_.wvu.Rows" localSheetId="6" hidden="1">'3) BC and Sanction'!$1:$1</definedName>
    <definedName name="Z_016CEBB2_C827_48F4_95E1_85D8C5129F41_.wvu.Rows" localSheetId="4" hidden="1">'4) Baseline Changes'!$1:$1</definedName>
    <definedName name="Z_016CEBB2_C827_48F4_95E1_85D8C5129F41_.wvu.Rows" localSheetId="12" hidden="1">'5a)NDA MPPR'!$63:$101</definedName>
    <definedName name="Z_016CEBB2_C827_48F4_95E1_85D8C5129F41_.wvu.Rows" localSheetId="13" hidden="1">'6) RAG Table'!$72:$77</definedName>
    <definedName name="Z_016CEBB2_C827_48F4_95E1_85D8C5129F41_.wvu.Rows" localSheetId="11" hidden="1">'P&amp;B Summary'!$1:$1</definedName>
    <definedName name="Z_016CEBB2_C827_48F4_95E1_85D8C5129F41_.wvu.Rows" localSheetId="9" hidden="1">'Pd08 Extended MPPR WD9'!$7:$7,'Pd08 Extended MPPR WD9'!$11:$11,'Pd08 Extended MPPR WD9'!$15:$15,'Pd08 Extended MPPR WD9'!$19:$19,'Pd08 Extended MPPR WD9'!$23:$23,'Pd08 Extended MPPR WD9'!$27:$27,'Pd08 Extended MPPR WD9'!$31:$31,'Pd08 Extended MPPR WD9'!$35:$35</definedName>
    <definedName name="Z_016CEBB2_C827_48F4_95E1_85D8C5129F41_.wvu.Rows" localSheetId="8" hidden="1">'Pd08 MPPR WD9'!$7:$7,'Pd08 MPPR WD9'!$11:$11,'Pd08 MPPR WD9'!$15:$15,'Pd08 MPPR WD9'!$19:$19,'Pd08 MPPR WD9'!$23:$23,'Pd08 MPPR WD9'!$27:$27,'Pd08 MPPR WD9'!$31:$31,'Pd08 MPPR WD9'!$35:$35,'Pd08 MPPR WD9'!$39:$39,'Pd08 MPPR WD9'!$43:$43,'Pd08 MPPR WD9'!$47:$47,'Pd08 MPPR WD9'!$50:$50,'Pd08 MPPR WD9'!$53:$53</definedName>
    <definedName name="Z_0EDA65D2_43FB_421C_9D8C_D8082C64B09A_.wvu.Cols" localSheetId="2" hidden="1">'1) Report'!$AO:$AU</definedName>
    <definedName name="Z_0EDA65D2_43FB_421C_9D8C_D8082C64B09A_.wvu.Cols" localSheetId="13" hidden="1">'6) RAG Table'!$AC:$AC</definedName>
    <definedName name="Z_0EDA65D2_43FB_421C_9D8C_D8082C64B09A_.wvu.FilterData" localSheetId="13" hidden="1">'6) RAG Table'!$AC$4:$AC$61</definedName>
    <definedName name="Z_0EDA65D2_43FB_421C_9D8C_D8082C64B09A_.wvu.PrintArea" localSheetId="0" hidden="1">'0) SL Project Structure'!$A$1:$AL$82</definedName>
    <definedName name="Z_0EDA65D2_43FB_421C_9D8C_D8082C64B09A_.wvu.PrintArea" localSheetId="1" hidden="1">'0) SL Project Structure OLD'!$A$1:$AL$68</definedName>
    <definedName name="Z_0EDA65D2_43FB_421C_9D8C_D8082C64B09A_.wvu.PrintArea" localSheetId="2" hidden="1">'1) Report'!$B$2:$AM$137</definedName>
    <definedName name="Z_0EDA65D2_43FB_421C_9D8C_D8082C64B09A_.wvu.PrintArea" localSheetId="5" hidden="1">'2) Definitions'!$A$2:$T$50</definedName>
    <definedName name="Z_0EDA65D2_43FB_421C_9D8C_D8082C64B09A_.wvu.PrintArea" localSheetId="13" hidden="1">'6) RAG Table'!$B$1:$AA$111</definedName>
    <definedName name="Z_0EDA65D2_43FB_421C_9D8C_D8082C64B09A_.wvu.PrintArea" localSheetId="11" hidden="1">'P&amp;B Summary'!$B$3:$J$18</definedName>
    <definedName name="Z_0EDA65D2_43FB_421C_9D8C_D8082C64B09A_.wvu.PrintTitles" localSheetId="2" hidden="1">'1) Report'!$3:$6</definedName>
    <definedName name="Z_0EDA65D2_43FB_421C_9D8C_D8082C64B09A_.wvu.Rows" localSheetId="2" hidden="1">'1) Report'!$1:$1,'1) Report'!$10:$10,'1) Report'!$16:$16,'1) Report'!$45:$45,'1) Report'!$52:$52,'1) Report'!$91:$91,'1) Report'!$120:$120</definedName>
    <definedName name="Z_0EDA65D2_43FB_421C_9D8C_D8082C64B09A_.wvu.Rows" localSheetId="6" hidden="1">'3) BC and Sanction'!$1:$1</definedName>
    <definedName name="Z_0EDA65D2_43FB_421C_9D8C_D8082C64B09A_.wvu.Rows" localSheetId="4" hidden="1">'4) Baseline Changes'!$1:$1</definedName>
    <definedName name="Z_0EDA65D2_43FB_421C_9D8C_D8082C64B09A_.wvu.Rows" localSheetId="12" hidden="1">'5a)NDA MPPR'!$63:$101</definedName>
    <definedName name="Z_0EDA65D2_43FB_421C_9D8C_D8082C64B09A_.wvu.Rows" localSheetId="13" hidden="1">'6) RAG Table'!$72:$77</definedName>
    <definedName name="Z_0EDA65D2_43FB_421C_9D8C_D8082C64B09A_.wvu.Rows" localSheetId="11" hidden="1">'P&amp;B Summary'!$1:$1</definedName>
    <definedName name="Z_0EDA65D2_43FB_421C_9D8C_D8082C64B09A_.wvu.Rows" localSheetId="9" hidden="1">'Pd08 Extended MPPR WD9'!$7:$7,'Pd08 Extended MPPR WD9'!$11:$11,'Pd08 Extended MPPR WD9'!$15:$15,'Pd08 Extended MPPR WD9'!$19:$19,'Pd08 Extended MPPR WD9'!$23:$23,'Pd08 Extended MPPR WD9'!$27:$27,'Pd08 Extended MPPR WD9'!$31:$31,'Pd08 Extended MPPR WD9'!$35:$35</definedName>
    <definedName name="Z_0EDA65D2_43FB_421C_9D8C_D8082C64B09A_.wvu.Rows" localSheetId="8" hidden="1">'Pd08 MPPR WD9'!$7:$7,'Pd08 MPPR WD9'!$11:$11,'Pd08 MPPR WD9'!$15:$15,'Pd08 MPPR WD9'!$19:$19,'Pd08 MPPR WD9'!$23:$23,'Pd08 MPPR WD9'!$27:$27,'Pd08 MPPR WD9'!$31:$31,'Pd08 MPPR WD9'!$35:$35,'Pd08 MPPR WD9'!$39:$39,'Pd08 MPPR WD9'!$43:$43,'Pd08 MPPR WD9'!$47:$47,'Pd08 MPPR WD9'!$50:$50,'Pd08 MPPR WD9'!$53:$53</definedName>
    <definedName name="Z_151EB58C_4EFD_4330_8D1A_8AACF5F7C679_.wvu.Cols" localSheetId="2" hidden="1">'1) Report'!$AO:$AU</definedName>
    <definedName name="Z_151EB58C_4EFD_4330_8D1A_8AACF5F7C679_.wvu.Cols" localSheetId="13" hidden="1">'6) RAG Table'!$AB:$AE</definedName>
    <definedName name="Z_151EB58C_4EFD_4330_8D1A_8AACF5F7C679_.wvu.FilterData" localSheetId="13" hidden="1">'6) RAG Table'!$AC$4:$AC$61</definedName>
    <definedName name="Z_151EB58C_4EFD_4330_8D1A_8AACF5F7C679_.wvu.PrintArea" localSheetId="0" hidden="1">'0) SL Project Structure'!$A$1:$AL$82</definedName>
    <definedName name="Z_151EB58C_4EFD_4330_8D1A_8AACF5F7C679_.wvu.PrintArea" localSheetId="1" hidden="1">'0) SL Project Structure OLD'!$A$1:$AL$68</definedName>
    <definedName name="Z_151EB58C_4EFD_4330_8D1A_8AACF5F7C679_.wvu.PrintArea" localSheetId="2" hidden="1">'1) Report'!$B$2:$AM$138</definedName>
    <definedName name="Z_151EB58C_4EFD_4330_8D1A_8AACF5F7C679_.wvu.PrintArea" localSheetId="11" hidden="1">'P&amp;B Summary'!$B$3:$J$18</definedName>
    <definedName name="Z_151EB58C_4EFD_4330_8D1A_8AACF5F7C679_.wvu.PrintTitles" localSheetId="2" hidden="1">'1) Report'!$3:$6</definedName>
    <definedName name="Z_151EB58C_4EFD_4330_8D1A_8AACF5F7C679_.wvu.Rows" localSheetId="2" hidden="1">'1) Report'!$1:$1,'1) Report'!$16:$16,'1) Report'!#REF!,'1) Report'!$52:$52,'1) Report'!$120:$120,'1) Report'!#REF!</definedName>
    <definedName name="Z_151EB58C_4EFD_4330_8D1A_8AACF5F7C679_.wvu.Rows" localSheetId="6" hidden="1">'3) BC and Sanction'!$1:$1</definedName>
    <definedName name="Z_151EB58C_4EFD_4330_8D1A_8AACF5F7C679_.wvu.Rows" localSheetId="4" hidden="1">'4) Baseline Changes'!$1:$1</definedName>
    <definedName name="Z_151EB58C_4EFD_4330_8D1A_8AACF5F7C679_.wvu.Rows" localSheetId="12" hidden="1">'5a)NDA MPPR'!$63:$101</definedName>
    <definedName name="Z_151EB58C_4EFD_4330_8D1A_8AACF5F7C679_.wvu.Rows" localSheetId="13" hidden="1">'6) RAG Table'!$72:$77</definedName>
    <definedName name="Z_151EB58C_4EFD_4330_8D1A_8AACF5F7C679_.wvu.Rows" localSheetId="11" hidden="1">'P&amp;B Summary'!$1:$1</definedName>
    <definedName name="Z_151EB58C_4EFD_4330_8D1A_8AACF5F7C679_.wvu.Rows" localSheetId="9" hidden="1">'Pd08 Extended MPPR WD9'!$7:$7,'Pd08 Extended MPPR WD9'!$11:$11,'Pd08 Extended MPPR WD9'!$15:$15,'Pd08 Extended MPPR WD9'!$19:$19,'Pd08 Extended MPPR WD9'!$23:$23,'Pd08 Extended MPPR WD9'!$27:$27,'Pd08 Extended MPPR WD9'!$31:$31,'Pd08 Extended MPPR WD9'!$35:$35</definedName>
    <definedName name="Z_151EB58C_4EFD_4330_8D1A_8AACF5F7C679_.wvu.Rows" localSheetId="8" hidden="1">'Pd08 MPPR WD9'!$7:$7,'Pd08 MPPR WD9'!$11:$11,'Pd08 MPPR WD9'!$15:$15,'Pd08 MPPR WD9'!$19:$19,'Pd08 MPPR WD9'!$23:$23,'Pd08 MPPR WD9'!$27:$27,'Pd08 MPPR WD9'!$31:$31,'Pd08 MPPR WD9'!$35:$35,'Pd08 MPPR WD9'!$39:$39,'Pd08 MPPR WD9'!$43:$43,'Pd08 MPPR WD9'!$47:$47,'Pd08 MPPR WD9'!$50:$50,'Pd08 MPPR WD9'!$53:$53</definedName>
    <definedName name="Z_1ECD6E30_299B_4354_A416_2DAFF33C7022_.wvu.Cols" localSheetId="2" hidden="1">'1) Report'!$AO:$AU</definedName>
    <definedName name="Z_1ECD6E30_299B_4354_A416_2DAFF33C7022_.wvu.Cols" localSheetId="13" hidden="1">'6) RAG Table'!$AB:$AE</definedName>
    <definedName name="Z_1ECD6E30_299B_4354_A416_2DAFF33C7022_.wvu.FilterData" localSheetId="13" hidden="1">'6) RAG Table'!$AC$4:$AC$61</definedName>
    <definedName name="Z_1ECD6E30_299B_4354_A416_2DAFF33C7022_.wvu.PrintArea" localSheetId="2" hidden="1">'1) Report'!$B$2:$AM$137</definedName>
    <definedName name="Z_1ECD6E30_299B_4354_A416_2DAFF33C7022_.wvu.PrintArea" localSheetId="13" hidden="1">'6) RAG Table'!$B$1:$AA$104</definedName>
    <definedName name="Z_1ECD6E30_299B_4354_A416_2DAFF33C7022_.wvu.PrintArea" localSheetId="11" hidden="1">'P&amp;B Summary'!$B$3:$J$18</definedName>
    <definedName name="Z_1ECD6E30_299B_4354_A416_2DAFF33C7022_.wvu.PrintTitles" localSheetId="2" hidden="1">'1) Report'!$3:$6</definedName>
    <definedName name="Z_1ECD6E30_299B_4354_A416_2DAFF33C7022_.wvu.Rows" localSheetId="2" hidden="1">'1) Report'!$1:$1,'1) Report'!$91:$91,'1) Report'!$120:$120</definedName>
    <definedName name="Z_1ECD6E30_299B_4354_A416_2DAFF33C7022_.wvu.Rows" localSheetId="6" hidden="1">'3) BC and Sanction'!$1:$1</definedName>
    <definedName name="Z_1ECD6E30_299B_4354_A416_2DAFF33C7022_.wvu.Rows" localSheetId="4" hidden="1">'4) Baseline Changes'!$1:$1</definedName>
    <definedName name="Z_1ECD6E30_299B_4354_A416_2DAFF33C7022_.wvu.Rows" localSheetId="12" hidden="1">'5a)NDA MPPR'!$63:$101</definedName>
    <definedName name="Z_1ECD6E30_299B_4354_A416_2DAFF33C7022_.wvu.Rows" localSheetId="13" hidden="1">'6) RAG Table'!$72:$77</definedName>
    <definedName name="Z_1ECD6E30_299B_4354_A416_2DAFF33C7022_.wvu.Rows" localSheetId="11" hidden="1">'P&amp;B Summary'!$1:$1</definedName>
    <definedName name="Z_1ECD6E30_299B_4354_A416_2DAFF33C7022_.wvu.Rows" localSheetId="9" hidden="1">'Pd08 Extended MPPR WD9'!$7:$7,'Pd08 Extended MPPR WD9'!$11:$11,'Pd08 Extended MPPR WD9'!$15:$15,'Pd08 Extended MPPR WD9'!$19:$19,'Pd08 Extended MPPR WD9'!$23:$23,'Pd08 Extended MPPR WD9'!$27:$27,'Pd08 Extended MPPR WD9'!$31:$31,'Pd08 Extended MPPR WD9'!$35:$35</definedName>
    <definedName name="Z_1ECD6E30_299B_4354_A416_2DAFF33C7022_.wvu.Rows" localSheetId="8" hidden="1">'Pd08 MPPR WD9'!$7:$7,'Pd08 MPPR WD9'!$11:$11,'Pd08 MPPR WD9'!$15:$15,'Pd08 MPPR WD9'!$19:$19,'Pd08 MPPR WD9'!$23:$23,'Pd08 MPPR WD9'!$27:$27,'Pd08 MPPR WD9'!$31:$31,'Pd08 MPPR WD9'!$35:$35,'Pd08 MPPR WD9'!$39:$39,'Pd08 MPPR WD9'!$43:$43,'Pd08 MPPR WD9'!$47:$47,'Pd08 MPPR WD9'!$50:$50,'Pd08 MPPR WD9'!$53:$53</definedName>
    <definedName name="Z_2608BE9B_66AC_4D4C_8EE0_E88C94E88140_.wvu.Cols" localSheetId="2" hidden="1">'1) Report'!$AO:$AU</definedName>
    <definedName name="Z_2608BE9B_66AC_4D4C_8EE0_E88C94E88140_.wvu.Cols" localSheetId="13" hidden="1">'6) RAG Table'!$AB:$AE</definedName>
    <definedName name="Z_2608BE9B_66AC_4D4C_8EE0_E88C94E88140_.wvu.FilterData" localSheetId="13" hidden="1">'6) RAG Table'!$AC$4:$AC$61</definedName>
    <definedName name="Z_2608BE9B_66AC_4D4C_8EE0_E88C94E88140_.wvu.PrintArea" localSheetId="0" hidden="1">'0) SL Project Structure'!$A$1:$AL$82</definedName>
    <definedName name="Z_2608BE9B_66AC_4D4C_8EE0_E88C94E88140_.wvu.PrintArea" localSheetId="1" hidden="1">'0) SL Project Structure OLD'!$A$1:$AL$68</definedName>
    <definedName name="Z_2608BE9B_66AC_4D4C_8EE0_E88C94E88140_.wvu.PrintArea" localSheetId="2" hidden="1">'1) Report'!$B$2:$AM$137</definedName>
    <definedName name="Z_2608BE9B_66AC_4D4C_8EE0_E88C94E88140_.wvu.PrintArea" localSheetId="5" hidden="1">'2) Definitions'!$A$2:$T$50</definedName>
    <definedName name="Z_2608BE9B_66AC_4D4C_8EE0_E88C94E88140_.wvu.PrintArea" localSheetId="13" hidden="1">'6) RAG Table'!$A$1:$AA$100</definedName>
    <definedName name="Z_2608BE9B_66AC_4D4C_8EE0_E88C94E88140_.wvu.PrintArea" localSheetId="11" hidden="1">'P&amp;B Summary'!$B$3:$J$18</definedName>
    <definedName name="Z_2608BE9B_66AC_4D4C_8EE0_E88C94E88140_.wvu.PrintTitles" localSheetId="2" hidden="1">'1) Report'!$3:$6</definedName>
    <definedName name="Z_2608BE9B_66AC_4D4C_8EE0_E88C94E88140_.wvu.Rows" localSheetId="2" hidden="1">'1) Report'!$1:$1,'1) Report'!$10:$10,'1) Report'!$16:$16,'1) Report'!$45:$45,'1) Report'!$52:$52,'1) Report'!$91:$91,'1) Report'!$120:$120</definedName>
    <definedName name="Z_2608BE9B_66AC_4D4C_8EE0_E88C94E88140_.wvu.Rows" localSheetId="6" hidden="1">'3) BC and Sanction'!$1:$1</definedName>
    <definedName name="Z_2608BE9B_66AC_4D4C_8EE0_E88C94E88140_.wvu.Rows" localSheetId="4" hidden="1">'4) Baseline Changes'!$1:$1</definedName>
    <definedName name="Z_2608BE9B_66AC_4D4C_8EE0_E88C94E88140_.wvu.Rows" localSheetId="12" hidden="1">'5a)NDA MPPR'!$63:$101</definedName>
    <definedName name="Z_2608BE9B_66AC_4D4C_8EE0_E88C94E88140_.wvu.Rows" localSheetId="13" hidden="1">'6) RAG Table'!$72:$77</definedName>
    <definedName name="Z_2608BE9B_66AC_4D4C_8EE0_E88C94E88140_.wvu.Rows" localSheetId="11" hidden="1">'P&amp;B Summary'!$1:$1</definedName>
    <definedName name="Z_2608BE9B_66AC_4D4C_8EE0_E88C94E88140_.wvu.Rows" localSheetId="9" hidden="1">'Pd08 Extended MPPR WD9'!$7:$7,'Pd08 Extended MPPR WD9'!$11:$11,'Pd08 Extended MPPR WD9'!$15:$15,'Pd08 Extended MPPR WD9'!$19:$19,'Pd08 Extended MPPR WD9'!$23:$23,'Pd08 Extended MPPR WD9'!$27:$27,'Pd08 Extended MPPR WD9'!$31:$31,'Pd08 Extended MPPR WD9'!$35:$35</definedName>
    <definedName name="Z_2608BE9B_66AC_4D4C_8EE0_E88C94E88140_.wvu.Rows" localSheetId="8" hidden="1">'Pd08 MPPR WD9'!$7:$7,'Pd08 MPPR WD9'!$11:$11,'Pd08 MPPR WD9'!$15:$15,'Pd08 MPPR WD9'!$19:$19,'Pd08 MPPR WD9'!$23:$23,'Pd08 MPPR WD9'!$27:$27,'Pd08 MPPR WD9'!$31:$31,'Pd08 MPPR WD9'!$35:$35,'Pd08 MPPR WD9'!$39:$39,'Pd08 MPPR WD9'!$43:$43,'Pd08 MPPR WD9'!$47:$47,'Pd08 MPPR WD9'!$50:$50,'Pd08 MPPR WD9'!$53:$53</definedName>
    <definedName name="Z_29AC9BE3_332A_4738_949C_1F8C0D32BAEE_.wvu.Cols" localSheetId="2" hidden="1">'1) Report'!$AO:$AU</definedName>
    <definedName name="Z_29AC9BE3_332A_4738_949C_1F8C0D32BAEE_.wvu.Cols" localSheetId="13" hidden="1">'6) RAG Table'!$AB:$AE</definedName>
    <definedName name="Z_29AC9BE3_332A_4738_949C_1F8C0D32BAEE_.wvu.FilterData" localSheetId="13" hidden="1">'6) RAG Table'!$AC$4:$AC$61</definedName>
    <definedName name="Z_29AC9BE3_332A_4738_949C_1F8C0D32BAEE_.wvu.PrintArea" localSheetId="0" hidden="1">'0) SL Project Structure'!$A$1:$AL$82</definedName>
    <definedName name="Z_29AC9BE3_332A_4738_949C_1F8C0D32BAEE_.wvu.PrintArea" localSheetId="1" hidden="1">'0) SL Project Structure OLD'!$A$1:$AL$68</definedName>
    <definedName name="Z_29AC9BE3_332A_4738_949C_1F8C0D32BAEE_.wvu.PrintArea" localSheetId="2" hidden="1">'1) Report'!$B$2:$AM$137</definedName>
    <definedName name="Z_29AC9BE3_332A_4738_949C_1F8C0D32BAEE_.wvu.PrintArea" localSheetId="5" hidden="1">'2) Definitions'!$A$2:$T$50</definedName>
    <definedName name="Z_29AC9BE3_332A_4738_949C_1F8C0D32BAEE_.wvu.PrintArea" localSheetId="13" hidden="1">'6) RAG Table'!$B$1:$AA$97</definedName>
    <definedName name="Z_29AC9BE3_332A_4738_949C_1F8C0D32BAEE_.wvu.PrintArea" localSheetId="11" hidden="1">'P&amp;B Summary'!$B$3:$J$18</definedName>
    <definedName name="Z_29AC9BE3_332A_4738_949C_1F8C0D32BAEE_.wvu.PrintTitles" localSheetId="2" hidden="1">'1) Report'!$3:$6</definedName>
    <definedName name="Z_29AC9BE3_332A_4738_949C_1F8C0D32BAEE_.wvu.Rows" localSheetId="2" hidden="1">'1) Report'!$1:$1,'1) Report'!$10:$10,'1) Report'!$16:$16,'1) Report'!$45:$45,'1) Report'!$52:$52,'1) Report'!$91:$91,'1) Report'!$120:$120</definedName>
    <definedName name="Z_29AC9BE3_332A_4738_949C_1F8C0D32BAEE_.wvu.Rows" localSheetId="6" hidden="1">'3) BC and Sanction'!$1:$1</definedName>
    <definedName name="Z_29AC9BE3_332A_4738_949C_1F8C0D32BAEE_.wvu.Rows" localSheetId="4" hidden="1">'4) Baseline Changes'!$1:$1</definedName>
    <definedName name="Z_29AC9BE3_332A_4738_949C_1F8C0D32BAEE_.wvu.Rows" localSheetId="12" hidden="1">'5a)NDA MPPR'!$63:$101</definedName>
    <definedName name="Z_29AC9BE3_332A_4738_949C_1F8C0D32BAEE_.wvu.Rows" localSheetId="13" hidden="1">'6) RAG Table'!$72:$77</definedName>
    <definedName name="Z_29AC9BE3_332A_4738_949C_1F8C0D32BAEE_.wvu.Rows" localSheetId="11" hidden="1">'P&amp;B Summary'!$1:$1</definedName>
    <definedName name="Z_29AC9BE3_332A_4738_949C_1F8C0D32BAEE_.wvu.Rows" localSheetId="9" hidden="1">'Pd08 Extended MPPR WD9'!$7:$7,'Pd08 Extended MPPR WD9'!$11:$11,'Pd08 Extended MPPR WD9'!$15:$15,'Pd08 Extended MPPR WD9'!$19:$19,'Pd08 Extended MPPR WD9'!$23:$23,'Pd08 Extended MPPR WD9'!$27:$27,'Pd08 Extended MPPR WD9'!$31:$31,'Pd08 Extended MPPR WD9'!$35:$35</definedName>
    <definedName name="Z_29AC9BE3_332A_4738_949C_1F8C0D32BAEE_.wvu.Rows" localSheetId="8" hidden="1">'Pd08 MPPR WD9'!$7:$7,'Pd08 MPPR WD9'!$11:$11,'Pd08 MPPR WD9'!$15:$15,'Pd08 MPPR WD9'!$19:$19,'Pd08 MPPR WD9'!$23:$23,'Pd08 MPPR WD9'!$27:$27,'Pd08 MPPR WD9'!$31:$31,'Pd08 MPPR WD9'!$35:$35,'Pd08 MPPR WD9'!$39:$39,'Pd08 MPPR WD9'!$43:$43,'Pd08 MPPR WD9'!$47:$47,'Pd08 MPPR WD9'!$50:$50,'Pd08 MPPR WD9'!$53:$53</definedName>
    <definedName name="Z_2EA8DBF7_9763_457C_AA9F_1EEB2F136D1F_.wvu.Cols" localSheetId="2" hidden="1">'1) Report'!$AO:$AU</definedName>
    <definedName name="Z_2EA8DBF7_9763_457C_AA9F_1EEB2F136D1F_.wvu.Cols" localSheetId="13" hidden="1">'6) RAG Table'!$AC:$AC</definedName>
    <definedName name="Z_2EA8DBF7_9763_457C_AA9F_1EEB2F136D1F_.wvu.FilterData" localSheetId="13" hidden="1">'6) RAG Table'!$AC$4:$AC$61</definedName>
    <definedName name="Z_2EA8DBF7_9763_457C_AA9F_1EEB2F136D1F_.wvu.PrintArea" localSheetId="0" hidden="1">'0) SL Project Structure'!$A$1:$AL$82</definedName>
    <definedName name="Z_2EA8DBF7_9763_457C_AA9F_1EEB2F136D1F_.wvu.PrintArea" localSheetId="1" hidden="1">'0) SL Project Structure OLD'!$A$1:$AL$68</definedName>
    <definedName name="Z_2EA8DBF7_9763_457C_AA9F_1EEB2F136D1F_.wvu.PrintArea" localSheetId="2" hidden="1">'1) Report'!$B$2:$AM$137</definedName>
    <definedName name="Z_2EA8DBF7_9763_457C_AA9F_1EEB2F136D1F_.wvu.PrintArea" localSheetId="5" hidden="1">'2) Definitions'!$A$2:$T$50</definedName>
    <definedName name="Z_2EA8DBF7_9763_457C_AA9F_1EEB2F136D1F_.wvu.PrintArea" localSheetId="13" hidden="1">'6) RAG Table'!$B$1:$AA$111</definedName>
    <definedName name="Z_2EA8DBF7_9763_457C_AA9F_1EEB2F136D1F_.wvu.PrintArea" localSheetId="11" hidden="1">'P&amp;B Summary'!$B$3:$J$18</definedName>
    <definedName name="Z_2EA8DBF7_9763_457C_AA9F_1EEB2F136D1F_.wvu.PrintTitles" localSheetId="2" hidden="1">'1) Report'!$3:$6</definedName>
    <definedName name="Z_2EA8DBF7_9763_457C_AA9F_1EEB2F136D1F_.wvu.Rows" localSheetId="2" hidden="1">'1) Report'!$1:$1,'1) Report'!$10:$10,'1) Report'!$16:$16,'1) Report'!$45:$45,'1) Report'!$52:$52,'1) Report'!$91:$91,'1) Report'!$120:$120</definedName>
    <definedName name="Z_2EA8DBF7_9763_457C_AA9F_1EEB2F136D1F_.wvu.Rows" localSheetId="6" hidden="1">'3) BC and Sanction'!$1:$1</definedName>
    <definedName name="Z_2EA8DBF7_9763_457C_AA9F_1EEB2F136D1F_.wvu.Rows" localSheetId="4" hidden="1">'4) Baseline Changes'!$1:$1</definedName>
    <definedName name="Z_2EA8DBF7_9763_457C_AA9F_1EEB2F136D1F_.wvu.Rows" localSheetId="13" hidden="1">'6) RAG Table'!$72:$77</definedName>
    <definedName name="Z_2EA8DBF7_9763_457C_AA9F_1EEB2F136D1F_.wvu.Rows" localSheetId="11" hidden="1">'P&amp;B Summary'!$1:$1</definedName>
    <definedName name="Z_2EA8DBF7_9763_457C_AA9F_1EEB2F136D1F_.wvu.Rows" localSheetId="9" hidden="1">'Pd08 Extended MPPR WD9'!$7:$7,'Pd08 Extended MPPR WD9'!$11:$11,'Pd08 Extended MPPR WD9'!$15:$15,'Pd08 Extended MPPR WD9'!$19:$19,'Pd08 Extended MPPR WD9'!$23:$23,'Pd08 Extended MPPR WD9'!$27:$27,'Pd08 Extended MPPR WD9'!$31:$31,'Pd08 Extended MPPR WD9'!$35:$35</definedName>
    <definedName name="Z_2EA8DBF7_9763_457C_AA9F_1EEB2F136D1F_.wvu.Rows" localSheetId="8" hidden="1">'Pd08 MPPR WD9'!$7:$7,'Pd08 MPPR WD9'!$11:$11,'Pd08 MPPR WD9'!$15:$15,'Pd08 MPPR WD9'!$19:$19,'Pd08 MPPR WD9'!$23:$23,'Pd08 MPPR WD9'!$27:$27,'Pd08 MPPR WD9'!$31:$31,'Pd08 MPPR WD9'!$35:$35,'Pd08 MPPR WD9'!$39:$39,'Pd08 MPPR WD9'!$43:$43,'Pd08 MPPR WD9'!$47:$47,'Pd08 MPPR WD9'!$50:$50,'Pd08 MPPR WD9'!$53:$53</definedName>
    <definedName name="Z_351EFD38_BF62_4E34_A37F_0EEB3E165043_.wvu.Cols" localSheetId="13" hidden="1">'6) RAG Table'!$AB:$AE</definedName>
    <definedName name="Z_351EFD38_BF62_4E34_A37F_0EEB3E165043_.wvu.FilterData" localSheetId="13" hidden="1">'6) RAG Table'!$AC$4:$AC$61</definedName>
    <definedName name="Z_351EFD38_BF62_4E34_A37F_0EEB3E165043_.wvu.PrintArea" localSheetId="0" hidden="1">'0) SL Project Structure'!$A$1:$AL$82</definedName>
    <definedName name="Z_351EFD38_BF62_4E34_A37F_0EEB3E165043_.wvu.PrintArea" localSheetId="1" hidden="1">'0) SL Project Structure OLD'!$A$1:$AL$68</definedName>
    <definedName name="Z_351EFD38_BF62_4E34_A37F_0EEB3E165043_.wvu.PrintArea" localSheetId="2" hidden="1">'1) Report'!$B$2:$AM$138</definedName>
    <definedName name="Z_351EFD38_BF62_4E34_A37F_0EEB3E165043_.wvu.PrintArea" localSheetId="11" hidden="1">'P&amp;B Summary'!$B$3:$J$18</definedName>
    <definedName name="Z_351EFD38_BF62_4E34_A37F_0EEB3E165043_.wvu.PrintTitles" localSheetId="2" hidden="1">'1) Report'!$3:$6</definedName>
    <definedName name="Z_351EFD38_BF62_4E34_A37F_0EEB3E165043_.wvu.Rows" localSheetId="2" hidden="1">'1) Report'!$1:$1,'1) Report'!$16:$16,'1) Report'!#REF!,'1) Report'!$52:$52,'1) Report'!#REF!,'1) Report'!$120:$120,'1) Report'!#REF!,'1) Report'!#REF!</definedName>
    <definedName name="Z_351EFD38_BF62_4E34_A37F_0EEB3E165043_.wvu.Rows" localSheetId="6" hidden="1">'3) BC and Sanction'!$1:$1</definedName>
    <definedName name="Z_351EFD38_BF62_4E34_A37F_0EEB3E165043_.wvu.Rows" localSheetId="4" hidden="1">'4) Baseline Changes'!$1:$1</definedName>
    <definedName name="Z_351EFD38_BF62_4E34_A37F_0EEB3E165043_.wvu.Rows" localSheetId="12" hidden="1">'5a)NDA MPPR'!$63:$101</definedName>
    <definedName name="Z_351EFD38_BF62_4E34_A37F_0EEB3E165043_.wvu.Rows" localSheetId="13" hidden="1">'6) RAG Table'!$72:$77</definedName>
    <definedName name="Z_351EFD38_BF62_4E34_A37F_0EEB3E165043_.wvu.Rows" localSheetId="11" hidden="1">'P&amp;B Summary'!$1:$1</definedName>
    <definedName name="Z_351EFD38_BF62_4E34_A37F_0EEB3E165043_.wvu.Rows" localSheetId="9" hidden="1">'Pd08 Extended MPPR WD9'!$7:$7,'Pd08 Extended MPPR WD9'!$11:$11,'Pd08 Extended MPPR WD9'!$15:$15,'Pd08 Extended MPPR WD9'!$19:$19,'Pd08 Extended MPPR WD9'!$23:$23,'Pd08 Extended MPPR WD9'!$27:$27,'Pd08 Extended MPPR WD9'!$31:$31,'Pd08 Extended MPPR WD9'!$35:$35</definedName>
    <definedName name="Z_351EFD38_BF62_4E34_A37F_0EEB3E165043_.wvu.Rows" localSheetId="8" hidden="1">'Pd08 MPPR WD9'!$7:$7,'Pd08 MPPR WD9'!$11:$11,'Pd08 MPPR WD9'!$15:$15,'Pd08 MPPR WD9'!$19:$19,'Pd08 MPPR WD9'!$23:$23,'Pd08 MPPR WD9'!$27:$27,'Pd08 MPPR WD9'!$31:$31,'Pd08 MPPR WD9'!$35:$35,'Pd08 MPPR WD9'!$39:$39,'Pd08 MPPR WD9'!$43:$43,'Pd08 MPPR WD9'!$47:$47,'Pd08 MPPR WD9'!$50:$50,'Pd08 MPPR WD9'!$53:$53</definedName>
    <definedName name="Z_37F5A0AB_EB39_4832_9D67_F67D908BF486_.wvu.Cols" localSheetId="2" hidden="1">'1) Report'!$AO:$AU</definedName>
    <definedName name="Z_37F5A0AB_EB39_4832_9D67_F67D908BF486_.wvu.Cols" localSheetId="13" hidden="1">'6) RAG Table'!$AB:$AE</definedName>
    <definedName name="Z_37F5A0AB_EB39_4832_9D67_F67D908BF486_.wvu.FilterData" localSheetId="13" hidden="1">'6) RAG Table'!$AC$4:$AC$61</definedName>
    <definedName name="Z_37F5A0AB_EB39_4832_9D67_F67D908BF486_.wvu.PrintArea" localSheetId="0" hidden="1">'0) SL Project Structure'!$A$1:$AL$82</definedName>
    <definedName name="Z_37F5A0AB_EB39_4832_9D67_F67D908BF486_.wvu.PrintArea" localSheetId="1" hidden="1">'0) SL Project Structure OLD'!$A$1:$AL$68</definedName>
    <definedName name="Z_37F5A0AB_EB39_4832_9D67_F67D908BF486_.wvu.PrintArea" localSheetId="2" hidden="1">'1) Report'!$B$2:$AM$137</definedName>
    <definedName name="Z_37F5A0AB_EB39_4832_9D67_F67D908BF486_.wvu.PrintArea" localSheetId="5" hidden="1">'2) Definitions'!$A$2:$T$50</definedName>
    <definedName name="Z_37F5A0AB_EB39_4832_9D67_F67D908BF486_.wvu.PrintArea" localSheetId="13" hidden="1">'6) RAG Table'!$A$1:$AA$100</definedName>
    <definedName name="Z_37F5A0AB_EB39_4832_9D67_F67D908BF486_.wvu.PrintArea" localSheetId="11" hidden="1">'P&amp;B Summary'!$B$3:$J$18</definedName>
    <definedName name="Z_37F5A0AB_EB39_4832_9D67_F67D908BF486_.wvu.PrintTitles" localSheetId="2" hidden="1">'1) Report'!$3:$6</definedName>
    <definedName name="Z_37F5A0AB_EB39_4832_9D67_F67D908BF486_.wvu.Rows" localSheetId="2" hidden="1">'1) Report'!$1:$1,'1) Report'!$10:$10,'1) Report'!$16:$16,'1) Report'!$45:$45,'1) Report'!$52:$52,'1) Report'!$91:$91,'1) Report'!$120:$120</definedName>
    <definedName name="Z_37F5A0AB_EB39_4832_9D67_F67D908BF486_.wvu.Rows" localSheetId="6" hidden="1">'3) BC and Sanction'!$1:$1</definedName>
    <definedName name="Z_37F5A0AB_EB39_4832_9D67_F67D908BF486_.wvu.Rows" localSheetId="4" hidden="1">'4) Baseline Changes'!$1:$1</definedName>
    <definedName name="Z_37F5A0AB_EB39_4832_9D67_F67D908BF486_.wvu.Rows" localSheetId="12" hidden="1">'5a)NDA MPPR'!$63:$101</definedName>
    <definedName name="Z_37F5A0AB_EB39_4832_9D67_F67D908BF486_.wvu.Rows" localSheetId="13" hidden="1">'6) RAG Table'!$72:$77</definedName>
    <definedName name="Z_37F5A0AB_EB39_4832_9D67_F67D908BF486_.wvu.Rows" localSheetId="11" hidden="1">'P&amp;B Summary'!$1:$1</definedName>
    <definedName name="Z_37F5A0AB_EB39_4832_9D67_F67D908BF486_.wvu.Rows" localSheetId="9" hidden="1">'Pd08 Extended MPPR WD9'!$7:$7,'Pd08 Extended MPPR WD9'!$11:$11,'Pd08 Extended MPPR WD9'!$15:$15,'Pd08 Extended MPPR WD9'!$19:$19,'Pd08 Extended MPPR WD9'!$23:$23,'Pd08 Extended MPPR WD9'!$27:$27,'Pd08 Extended MPPR WD9'!$31:$31,'Pd08 Extended MPPR WD9'!$35:$35</definedName>
    <definedName name="Z_37F5A0AB_EB39_4832_9D67_F67D908BF486_.wvu.Rows" localSheetId="8" hidden="1">'Pd08 MPPR WD9'!$7:$7,'Pd08 MPPR WD9'!$11:$11,'Pd08 MPPR WD9'!$15:$15,'Pd08 MPPR WD9'!$19:$19,'Pd08 MPPR WD9'!$23:$23,'Pd08 MPPR WD9'!$27:$27,'Pd08 MPPR WD9'!$31:$31,'Pd08 MPPR WD9'!$35:$35,'Pd08 MPPR WD9'!$39:$39,'Pd08 MPPR WD9'!$43:$43,'Pd08 MPPR WD9'!$47:$47,'Pd08 MPPR WD9'!$50:$50,'Pd08 MPPR WD9'!$53:$53</definedName>
    <definedName name="Z_3827E543_57D2_48C8_B786_7077EA079DD2_.wvu.Cols" localSheetId="2" hidden="1">'1) Report'!$AO:$AU</definedName>
    <definedName name="Z_3827E543_57D2_48C8_B786_7077EA079DD2_.wvu.Cols" localSheetId="13" hidden="1">'6) RAG Table'!$AC:$AC</definedName>
    <definedName name="Z_3827E543_57D2_48C8_B786_7077EA079DD2_.wvu.FilterData" localSheetId="13" hidden="1">'6) RAG Table'!$AC$4:$AC$61</definedName>
    <definedName name="Z_3827E543_57D2_48C8_B786_7077EA079DD2_.wvu.PrintArea" localSheetId="0" hidden="1">'0) SL Project Structure'!$A$1:$AL$82</definedName>
    <definedName name="Z_3827E543_57D2_48C8_B786_7077EA079DD2_.wvu.PrintArea" localSheetId="1" hidden="1">'0) SL Project Structure OLD'!$A$1:$AL$68</definedName>
    <definedName name="Z_3827E543_57D2_48C8_B786_7077EA079DD2_.wvu.PrintArea" localSheetId="2" hidden="1">'1) Report'!$B$2:$AM$137</definedName>
    <definedName name="Z_3827E543_57D2_48C8_B786_7077EA079DD2_.wvu.PrintArea" localSheetId="5" hidden="1">'2) Definitions'!$A$2:$T$50</definedName>
    <definedName name="Z_3827E543_57D2_48C8_B786_7077EA079DD2_.wvu.PrintArea" localSheetId="13" hidden="1">'6) RAG Table'!$B$1:$AA$111</definedName>
    <definedName name="Z_3827E543_57D2_48C8_B786_7077EA079DD2_.wvu.PrintArea" localSheetId="11" hidden="1">'P&amp;B Summary'!$B$3:$J$18</definedName>
    <definedName name="Z_3827E543_57D2_48C8_B786_7077EA079DD2_.wvu.PrintTitles" localSheetId="2" hidden="1">'1) Report'!$3:$6</definedName>
    <definedName name="Z_3827E543_57D2_48C8_B786_7077EA079DD2_.wvu.Rows" localSheetId="2" hidden="1">'1) Report'!$1:$1,'1) Report'!$10:$10,'1) Report'!$16:$16,'1) Report'!$45:$45,'1) Report'!$52:$52,'1) Report'!$91:$91,'1) Report'!$120:$120</definedName>
    <definedName name="Z_3827E543_57D2_48C8_B786_7077EA079DD2_.wvu.Rows" localSheetId="6" hidden="1">'3) BC and Sanction'!$1:$1</definedName>
    <definedName name="Z_3827E543_57D2_48C8_B786_7077EA079DD2_.wvu.Rows" localSheetId="4" hidden="1">'4) Baseline Changes'!$1:$1</definedName>
    <definedName name="Z_3827E543_57D2_48C8_B786_7077EA079DD2_.wvu.Rows" localSheetId="13" hidden="1">'6) RAG Table'!$72:$77</definedName>
    <definedName name="Z_3827E543_57D2_48C8_B786_7077EA079DD2_.wvu.Rows" localSheetId="11" hidden="1">'P&amp;B Summary'!$1:$1</definedName>
    <definedName name="Z_3827E543_57D2_48C8_B786_7077EA079DD2_.wvu.Rows" localSheetId="9" hidden="1">'Pd08 Extended MPPR WD9'!$7:$7,'Pd08 Extended MPPR WD9'!$11:$11,'Pd08 Extended MPPR WD9'!$15:$15,'Pd08 Extended MPPR WD9'!$19:$19,'Pd08 Extended MPPR WD9'!$23:$23,'Pd08 Extended MPPR WD9'!$27:$27,'Pd08 Extended MPPR WD9'!$31:$31,'Pd08 Extended MPPR WD9'!$35:$35</definedName>
    <definedName name="Z_3827E543_57D2_48C8_B786_7077EA079DD2_.wvu.Rows" localSheetId="8" hidden="1">'Pd08 MPPR WD9'!$7:$7,'Pd08 MPPR WD9'!$11:$11,'Pd08 MPPR WD9'!$15:$15,'Pd08 MPPR WD9'!$19:$19,'Pd08 MPPR WD9'!$23:$23,'Pd08 MPPR WD9'!$27:$27,'Pd08 MPPR WD9'!$31:$31,'Pd08 MPPR WD9'!$35:$35,'Pd08 MPPR WD9'!$39:$39,'Pd08 MPPR WD9'!$43:$43,'Pd08 MPPR WD9'!$47:$47,'Pd08 MPPR WD9'!$50:$50,'Pd08 MPPR WD9'!$53:$53</definedName>
    <definedName name="Z_3BB18945_69B5_4B22_8D55_989F8F233459_.wvu.Cols" localSheetId="13" hidden="1">'6) RAG Table'!$AB:$AE</definedName>
    <definedName name="Z_3BB18945_69B5_4B22_8D55_989F8F233459_.wvu.FilterData" localSheetId="13" hidden="1">'6) RAG Table'!$AC$4:$AC$61</definedName>
    <definedName name="Z_3BB18945_69B5_4B22_8D55_989F8F233459_.wvu.PrintArea" localSheetId="0" hidden="1">'0) SL Project Structure'!$A$1:$AL$82</definedName>
    <definedName name="Z_3BB18945_69B5_4B22_8D55_989F8F233459_.wvu.PrintArea" localSheetId="1" hidden="1">'0) SL Project Structure OLD'!$A$1:$AL$68</definedName>
    <definedName name="Z_3BB18945_69B5_4B22_8D55_989F8F233459_.wvu.PrintArea" localSheetId="2" hidden="1">'1) Report'!$B$2:$AM$138</definedName>
    <definedName name="Z_3BB18945_69B5_4B22_8D55_989F8F233459_.wvu.PrintArea" localSheetId="11" hidden="1">'P&amp;B Summary'!$B$3:$J$18</definedName>
    <definedName name="Z_3BB18945_69B5_4B22_8D55_989F8F233459_.wvu.PrintTitles" localSheetId="2" hidden="1">'1) Report'!$3:$6</definedName>
    <definedName name="Z_3BB18945_69B5_4B22_8D55_989F8F233459_.wvu.Rows" localSheetId="2" hidden="1">'1) Report'!$1:$1,'1) Report'!$16:$16,'1) Report'!#REF!,'1) Report'!$52:$52,'1) Report'!#REF!,'1) Report'!$120:$120,'1) Report'!#REF!,'1) Report'!#REF!</definedName>
    <definedName name="Z_3BB18945_69B5_4B22_8D55_989F8F233459_.wvu.Rows" localSheetId="6" hidden="1">'3) BC and Sanction'!$1:$1</definedName>
    <definedName name="Z_3BB18945_69B5_4B22_8D55_989F8F233459_.wvu.Rows" localSheetId="4" hidden="1">'4) Baseline Changes'!$1:$1</definedName>
    <definedName name="Z_3BB18945_69B5_4B22_8D55_989F8F233459_.wvu.Rows" localSheetId="12" hidden="1">'5a)NDA MPPR'!$63:$101</definedName>
    <definedName name="Z_3BB18945_69B5_4B22_8D55_989F8F233459_.wvu.Rows" localSheetId="13" hidden="1">'6) RAG Table'!$72:$77</definedName>
    <definedName name="Z_3BB18945_69B5_4B22_8D55_989F8F233459_.wvu.Rows" localSheetId="11" hidden="1">'P&amp;B Summary'!$1:$1</definedName>
    <definedName name="Z_3BB18945_69B5_4B22_8D55_989F8F233459_.wvu.Rows" localSheetId="9" hidden="1">'Pd08 Extended MPPR WD9'!$7:$7,'Pd08 Extended MPPR WD9'!$11:$11,'Pd08 Extended MPPR WD9'!$15:$15,'Pd08 Extended MPPR WD9'!$19:$19,'Pd08 Extended MPPR WD9'!$23:$23,'Pd08 Extended MPPR WD9'!$27:$27,'Pd08 Extended MPPR WD9'!$31:$31,'Pd08 Extended MPPR WD9'!$35:$35</definedName>
    <definedName name="Z_3BB18945_69B5_4B22_8D55_989F8F233459_.wvu.Rows" localSheetId="8" hidden="1">'Pd08 MPPR WD9'!$7:$7,'Pd08 MPPR WD9'!$11:$11,'Pd08 MPPR WD9'!$15:$15,'Pd08 MPPR WD9'!$19:$19,'Pd08 MPPR WD9'!$23:$23,'Pd08 MPPR WD9'!$27:$27,'Pd08 MPPR WD9'!$31:$31,'Pd08 MPPR WD9'!$35:$35,'Pd08 MPPR WD9'!$39:$39,'Pd08 MPPR WD9'!$43:$43,'Pd08 MPPR WD9'!$47:$47,'Pd08 MPPR WD9'!$50:$50,'Pd08 MPPR WD9'!$53:$53</definedName>
    <definedName name="Z_3C97F0B0_2F3C_4E03_96E0_0C4FEC2F24AC_.wvu.Cols" localSheetId="13" hidden="1">'6) RAG Table'!$AB:$AE</definedName>
    <definedName name="Z_3C97F0B0_2F3C_4E03_96E0_0C4FEC2F24AC_.wvu.FilterData" localSheetId="13" hidden="1">'6) RAG Table'!$AC$4:$AC$61</definedName>
    <definedName name="Z_3C97F0B0_2F3C_4E03_96E0_0C4FEC2F24AC_.wvu.PrintArea" localSheetId="0" hidden="1">'0) SL Project Structure'!$A$1:$AL$82</definedName>
    <definedName name="Z_3C97F0B0_2F3C_4E03_96E0_0C4FEC2F24AC_.wvu.PrintArea" localSheetId="1" hidden="1">'0) SL Project Structure OLD'!$A$1:$AL$68</definedName>
    <definedName name="Z_3C97F0B0_2F3C_4E03_96E0_0C4FEC2F24AC_.wvu.PrintArea" localSheetId="2" hidden="1">'1) Report'!$B$2:$AM$138</definedName>
    <definedName name="Z_3C97F0B0_2F3C_4E03_96E0_0C4FEC2F24AC_.wvu.PrintArea" localSheetId="11" hidden="1">'P&amp;B Summary'!$B$3:$J$18</definedName>
    <definedName name="Z_3C97F0B0_2F3C_4E03_96E0_0C4FEC2F24AC_.wvu.PrintTitles" localSheetId="2" hidden="1">'1) Report'!$3:$6</definedName>
    <definedName name="Z_3C97F0B0_2F3C_4E03_96E0_0C4FEC2F24AC_.wvu.Rows" localSheetId="2" hidden="1">'1) Report'!$1:$1,'1) Report'!$16:$16,'1) Report'!#REF!,'1) Report'!$52:$52,'1) Report'!#REF!,'1) Report'!$120:$120,'1) Report'!#REF!,'1) Report'!#REF!</definedName>
    <definedName name="Z_3C97F0B0_2F3C_4E03_96E0_0C4FEC2F24AC_.wvu.Rows" localSheetId="6" hidden="1">'3) BC and Sanction'!$1:$1</definedName>
    <definedName name="Z_3C97F0B0_2F3C_4E03_96E0_0C4FEC2F24AC_.wvu.Rows" localSheetId="4" hidden="1">'4) Baseline Changes'!$1:$1</definedName>
    <definedName name="Z_3C97F0B0_2F3C_4E03_96E0_0C4FEC2F24AC_.wvu.Rows" localSheetId="12" hidden="1">'5a)NDA MPPR'!$63:$101</definedName>
    <definedName name="Z_3C97F0B0_2F3C_4E03_96E0_0C4FEC2F24AC_.wvu.Rows" localSheetId="13" hidden="1">'6) RAG Table'!$72:$77</definedName>
    <definedName name="Z_3C97F0B0_2F3C_4E03_96E0_0C4FEC2F24AC_.wvu.Rows" localSheetId="11" hidden="1">'P&amp;B Summary'!$1:$1</definedName>
    <definedName name="Z_3C97F0B0_2F3C_4E03_96E0_0C4FEC2F24AC_.wvu.Rows" localSheetId="9" hidden="1">'Pd08 Extended MPPR WD9'!$7:$7,'Pd08 Extended MPPR WD9'!$11:$11,'Pd08 Extended MPPR WD9'!$15:$15,'Pd08 Extended MPPR WD9'!$19:$19,'Pd08 Extended MPPR WD9'!$23:$23,'Pd08 Extended MPPR WD9'!$27:$27,'Pd08 Extended MPPR WD9'!$31:$31,'Pd08 Extended MPPR WD9'!$35:$35</definedName>
    <definedName name="Z_3C97F0B0_2F3C_4E03_96E0_0C4FEC2F24AC_.wvu.Rows" localSheetId="8" hidden="1">'Pd08 MPPR WD9'!$7:$7,'Pd08 MPPR WD9'!$11:$11,'Pd08 MPPR WD9'!$15:$15,'Pd08 MPPR WD9'!$19:$19,'Pd08 MPPR WD9'!$23:$23,'Pd08 MPPR WD9'!$27:$27,'Pd08 MPPR WD9'!$31:$31,'Pd08 MPPR WD9'!$35:$35,'Pd08 MPPR WD9'!$39:$39,'Pd08 MPPR WD9'!$43:$43,'Pd08 MPPR WD9'!$47:$47,'Pd08 MPPR WD9'!$50:$50,'Pd08 MPPR WD9'!$53:$53</definedName>
    <definedName name="Z_42B0E8B1_ADFA_49AE_A83B_82D384737703_.wvu.Cols" localSheetId="2" hidden="1">'1) Report'!$AO:$AU</definedName>
    <definedName name="Z_42B0E8B1_ADFA_49AE_A83B_82D384737703_.wvu.Cols" localSheetId="13" hidden="1">'6) RAG Table'!$AC:$AC</definedName>
    <definedName name="Z_42B0E8B1_ADFA_49AE_A83B_82D384737703_.wvu.FilterData" localSheetId="13" hidden="1">'6) RAG Table'!$AC$4:$AC$61</definedName>
    <definedName name="Z_42B0E8B1_ADFA_49AE_A83B_82D384737703_.wvu.PrintArea" localSheetId="0" hidden="1">'0) SL Project Structure'!$A$1:$AL$82</definedName>
    <definedName name="Z_42B0E8B1_ADFA_49AE_A83B_82D384737703_.wvu.PrintArea" localSheetId="1" hidden="1">'0) SL Project Structure OLD'!$A$1:$AL$68</definedName>
    <definedName name="Z_42B0E8B1_ADFA_49AE_A83B_82D384737703_.wvu.PrintArea" localSheetId="2" hidden="1">'1) Report'!$B$2:$AM$137</definedName>
    <definedName name="Z_42B0E8B1_ADFA_49AE_A83B_82D384737703_.wvu.PrintArea" localSheetId="5" hidden="1">'2) Definitions'!$A$2:$T$50</definedName>
    <definedName name="Z_42B0E8B1_ADFA_49AE_A83B_82D384737703_.wvu.PrintArea" localSheetId="13" hidden="1">'6) RAG Table'!$B$1:$AA$111</definedName>
    <definedName name="Z_42B0E8B1_ADFA_49AE_A83B_82D384737703_.wvu.PrintArea" localSheetId="11" hidden="1">'P&amp;B Summary'!$B$3:$J$18</definedName>
    <definedName name="Z_42B0E8B1_ADFA_49AE_A83B_82D384737703_.wvu.PrintTitles" localSheetId="2" hidden="1">'1) Report'!$3:$6</definedName>
    <definedName name="Z_42B0E8B1_ADFA_49AE_A83B_82D384737703_.wvu.Rows" localSheetId="2" hidden="1">'1) Report'!$1:$1,'1) Report'!$10:$10,'1) Report'!$16:$16,'1) Report'!$45:$45,'1) Report'!$52:$52,'1) Report'!$91:$91,'1) Report'!$120:$120</definedName>
    <definedName name="Z_42B0E8B1_ADFA_49AE_A83B_82D384737703_.wvu.Rows" localSheetId="6" hidden="1">'3) BC and Sanction'!$1:$1</definedName>
    <definedName name="Z_42B0E8B1_ADFA_49AE_A83B_82D384737703_.wvu.Rows" localSheetId="4" hidden="1">'4) Baseline Changes'!$1:$1</definedName>
    <definedName name="Z_42B0E8B1_ADFA_49AE_A83B_82D384737703_.wvu.Rows" localSheetId="13" hidden="1">'6) RAG Table'!$72:$77</definedName>
    <definedName name="Z_42B0E8B1_ADFA_49AE_A83B_82D384737703_.wvu.Rows" localSheetId="11" hidden="1">'P&amp;B Summary'!$1:$1</definedName>
    <definedName name="Z_42B0E8B1_ADFA_49AE_A83B_82D384737703_.wvu.Rows" localSheetId="9" hidden="1">'Pd08 Extended MPPR WD9'!$7:$7,'Pd08 Extended MPPR WD9'!$11:$11,'Pd08 Extended MPPR WD9'!$15:$15,'Pd08 Extended MPPR WD9'!$19:$19,'Pd08 Extended MPPR WD9'!$23:$23,'Pd08 Extended MPPR WD9'!$27:$27,'Pd08 Extended MPPR WD9'!$31:$31,'Pd08 Extended MPPR WD9'!$35:$35</definedName>
    <definedName name="Z_42B0E8B1_ADFA_49AE_A83B_82D384737703_.wvu.Rows" localSheetId="8" hidden="1">'Pd08 MPPR WD9'!$7:$7,'Pd08 MPPR WD9'!$11:$11,'Pd08 MPPR WD9'!$15:$15,'Pd08 MPPR WD9'!$19:$19,'Pd08 MPPR WD9'!$23:$23,'Pd08 MPPR WD9'!$27:$27,'Pd08 MPPR WD9'!$31:$31,'Pd08 MPPR WD9'!$35:$35,'Pd08 MPPR WD9'!$39:$39,'Pd08 MPPR WD9'!$43:$43,'Pd08 MPPR WD9'!$47:$47,'Pd08 MPPR WD9'!$50:$50,'Pd08 MPPR WD9'!$53:$53</definedName>
    <definedName name="Z_442F9A23_CA6E_4109_B10C_ACF5FD36B859_.wvu.Cols" localSheetId="2" hidden="1">'1) Report'!$AO:$AU</definedName>
    <definedName name="Z_442F9A23_CA6E_4109_B10C_ACF5FD36B859_.wvu.Cols" localSheetId="13" hidden="1">'6) RAG Table'!$AB:$AE</definedName>
    <definedName name="Z_442F9A23_CA6E_4109_B10C_ACF5FD36B859_.wvu.FilterData" localSheetId="13" hidden="1">'6) RAG Table'!$AC$4:$AC$61</definedName>
    <definedName name="Z_442F9A23_CA6E_4109_B10C_ACF5FD36B859_.wvu.PrintArea" localSheetId="0" hidden="1">'0) SL Project Structure'!$A$1:$AL$82</definedName>
    <definedName name="Z_442F9A23_CA6E_4109_B10C_ACF5FD36B859_.wvu.PrintArea" localSheetId="1" hidden="1">'0) SL Project Structure OLD'!$A$1:$AL$68</definedName>
    <definedName name="Z_442F9A23_CA6E_4109_B10C_ACF5FD36B859_.wvu.PrintArea" localSheetId="2" hidden="1">'1) Report'!$B$2:$AM$137</definedName>
    <definedName name="Z_442F9A23_CA6E_4109_B10C_ACF5FD36B859_.wvu.PrintArea" localSheetId="5" hidden="1">'2) Definitions'!$A$2:$T$50</definedName>
    <definedName name="Z_442F9A23_CA6E_4109_B10C_ACF5FD36B859_.wvu.PrintArea" localSheetId="13" hidden="1">'6) RAG Table'!$A$1:$AA$100</definedName>
    <definedName name="Z_442F9A23_CA6E_4109_B10C_ACF5FD36B859_.wvu.PrintArea" localSheetId="11" hidden="1">'P&amp;B Summary'!$B$3:$J$18</definedName>
    <definedName name="Z_442F9A23_CA6E_4109_B10C_ACF5FD36B859_.wvu.PrintTitles" localSheetId="2" hidden="1">'1) Report'!$3:$6</definedName>
    <definedName name="Z_442F9A23_CA6E_4109_B10C_ACF5FD36B859_.wvu.Rows" localSheetId="2" hidden="1">'1) Report'!$1:$1,'1) Report'!$10:$10,'1) Report'!$16:$16,'1) Report'!$45:$45,'1) Report'!$52:$52,'1) Report'!$91:$91,'1) Report'!$120:$120</definedName>
    <definedName name="Z_442F9A23_CA6E_4109_B10C_ACF5FD36B859_.wvu.Rows" localSheetId="6" hidden="1">'3) BC and Sanction'!$1:$1</definedName>
    <definedName name="Z_442F9A23_CA6E_4109_B10C_ACF5FD36B859_.wvu.Rows" localSheetId="4" hidden="1">'4) Baseline Changes'!$1:$1</definedName>
    <definedName name="Z_442F9A23_CA6E_4109_B10C_ACF5FD36B859_.wvu.Rows" localSheetId="12" hidden="1">'5a)NDA MPPR'!$63:$101</definedName>
    <definedName name="Z_442F9A23_CA6E_4109_B10C_ACF5FD36B859_.wvu.Rows" localSheetId="13" hidden="1">'6) RAG Table'!$72:$77</definedName>
    <definedName name="Z_442F9A23_CA6E_4109_B10C_ACF5FD36B859_.wvu.Rows" localSheetId="11" hidden="1">'P&amp;B Summary'!$1:$1</definedName>
    <definedName name="Z_442F9A23_CA6E_4109_B10C_ACF5FD36B859_.wvu.Rows" localSheetId="9" hidden="1">'Pd08 Extended MPPR WD9'!$7:$7,'Pd08 Extended MPPR WD9'!$11:$11,'Pd08 Extended MPPR WD9'!$15:$15,'Pd08 Extended MPPR WD9'!$19:$19,'Pd08 Extended MPPR WD9'!$23:$23,'Pd08 Extended MPPR WD9'!$27:$27,'Pd08 Extended MPPR WD9'!$31:$31,'Pd08 Extended MPPR WD9'!$35:$35</definedName>
    <definedName name="Z_442F9A23_CA6E_4109_B10C_ACF5FD36B859_.wvu.Rows" localSheetId="8" hidden="1">'Pd08 MPPR WD9'!$7:$7,'Pd08 MPPR WD9'!$11:$11,'Pd08 MPPR WD9'!$15:$15,'Pd08 MPPR WD9'!$19:$19,'Pd08 MPPR WD9'!$23:$23,'Pd08 MPPR WD9'!$27:$27,'Pd08 MPPR WD9'!$31:$31,'Pd08 MPPR WD9'!$35:$35,'Pd08 MPPR WD9'!$39:$39,'Pd08 MPPR WD9'!$43:$43,'Pd08 MPPR WD9'!$47:$47,'Pd08 MPPR WD9'!$50:$50,'Pd08 MPPR WD9'!$53:$53</definedName>
    <definedName name="Z_451730E2_FFE9_4FCE_B8B5_64952C26C672_.wvu.Cols" localSheetId="13" hidden="1">'6) RAG Table'!$AB:$AE</definedName>
    <definedName name="Z_451730E2_FFE9_4FCE_B8B5_64952C26C672_.wvu.FilterData" localSheetId="13" hidden="1">'6) RAG Table'!$AC$4:$AC$61</definedName>
    <definedName name="Z_451730E2_FFE9_4FCE_B8B5_64952C26C672_.wvu.PrintArea" localSheetId="0" hidden="1">'0) SL Project Structure'!$A$1:$AL$82</definedName>
    <definedName name="Z_451730E2_FFE9_4FCE_B8B5_64952C26C672_.wvu.PrintArea" localSheetId="1" hidden="1">'0) SL Project Structure OLD'!$A$1:$AL$68</definedName>
    <definedName name="Z_451730E2_FFE9_4FCE_B8B5_64952C26C672_.wvu.PrintArea" localSheetId="2" hidden="1">'1) Report'!$B$2:$AM$138</definedName>
    <definedName name="Z_451730E2_FFE9_4FCE_B8B5_64952C26C672_.wvu.PrintArea" localSheetId="11" hidden="1">'P&amp;B Summary'!$B$3:$J$18</definedName>
    <definedName name="Z_451730E2_FFE9_4FCE_B8B5_64952C26C672_.wvu.PrintTitles" localSheetId="2" hidden="1">'1) Report'!$3:$6</definedName>
    <definedName name="Z_451730E2_FFE9_4FCE_B8B5_64952C26C672_.wvu.Rows" localSheetId="2" hidden="1">'1) Report'!$1:$1,'1) Report'!$16:$16,'1) Report'!#REF!,'1) Report'!$52:$52,'1) Report'!#REF!,'1) Report'!$120:$120,'1) Report'!#REF!,'1) Report'!#REF!</definedName>
    <definedName name="Z_451730E2_FFE9_4FCE_B8B5_64952C26C672_.wvu.Rows" localSheetId="6" hidden="1">'3) BC and Sanction'!$1:$1</definedName>
    <definedName name="Z_451730E2_FFE9_4FCE_B8B5_64952C26C672_.wvu.Rows" localSheetId="4" hidden="1">'4) Baseline Changes'!$1:$1</definedName>
    <definedName name="Z_451730E2_FFE9_4FCE_B8B5_64952C26C672_.wvu.Rows" localSheetId="12" hidden="1">'5a)NDA MPPR'!$63:$101</definedName>
    <definedName name="Z_451730E2_FFE9_4FCE_B8B5_64952C26C672_.wvu.Rows" localSheetId="13" hidden="1">'6) RAG Table'!$72:$77</definedName>
    <definedName name="Z_451730E2_FFE9_4FCE_B8B5_64952C26C672_.wvu.Rows" localSheetId="11" hidden="1">'P&amp;B Summary'!$1:$1</definedName>
    <definedName name="Z_451730E2_FFE9_4FCE_B8B5_64952C26C672_.wvu.Rows" localSheetId="9" hidden="1">'Pd08 Extended MPPR WD9'!$7:$7,'Pd08 Extended MPPR WD9'!$11:$11,'Pd08 Extended MPPR WD9'!$15:$15,'Pd08 Extended MPPR WD9'!$19:$19,'Pd08 Extended MPPR WD9'!$23:$23,'Pd08 Extended MPPR WD9'!$27:$27,'Pd08 Extended MPPR WD9'!$31:$31,'Pd08 Extended MPPR WD9'!$35:$35</definedName>
    <definedName name="Z_451730E2_FFE9_4FCE_B8B5_64952C26C672_.wvu.Rows" localSheetId="8" hidden="1">'Pd08 MPPR WD9'!$7:$7,'Pd08 MPPR WD9'!$11:$11,'Pd08 MPPR WD9'!$15:$15,'Pd08 MPPR WD9'!$19:$19,'Pd08 MPPR WD9'!$23:$23,'Pd08 MPPR WD9'!$27:$27,'Pd08 MPPR WD9'!$31:$31,'Pd08 MPPR WD9'!$35:$35,'Pd08 MPPR WD9'!$39:$39,'Pd08 MPPR WD9'!$43:$43,'Pd08 MPPR WD9'!$47:$47,'Pd08 MPPR WD9'!$50:$50,'Pd08 MPPR WD9'!$53:$53</definedName>
    <definedName name="Z_466708C2_41CE_4656_AB81_E1E49DF5945D_.wvu.Cols" localSheetId="2" hidden="1">'1) Report'!$AO:$AU</definedName>
    <definedName name="Z_466708C2_41CE_4656_AB81_E1E49DF5945D_.wvu.Cols" localSheetId="13" hidden="1">'6) RAG Table'!$AC:$AC</definedName>
    <definedName name="Z_466708C2_41CE_4656_AB81_E1E49DF5945D_.wvu.FilterData" localSheetId="13" hidden="1">'6) RAG Table'!$AC$4:$AC$61</definedName>
    <definedName name="Z_466708C2_41CE_4656_AB81_E1E49DF5945D_.wvu.PrintArea" localSheetId="0" hidden="1">'0) SL Project Structure'!$A$1:$AL$82</definedName>
    <definedName name="Z_466708C2_41CE_4656_AB81_E1E49DF5945D_.wvu.PrintArea" localSheetId="1" hidden="1">'0) SL Project Structure OLD'!$A$1:$AL$68</definedName>
    <definedName name="Z_466708C2_41CE_4656_AB81_E1E49DF5945D_.wvu.PrintArea" localSheetId="2" hidden="1">'1) Report'!$B$2:$AM$137</definedName>
    <definedName name="Z_466708C2_41CE_4656_AB81_E1E49DF5945D_.wvu.PrintArea" localSheetId="5" hidden="1">'2) Definitions'!$A$2:$T$50</definedName>
    <definedName name="Z_466708C2_41CE_4656_AB81_E1E49DF5945D_.wvu.PrintArea" localSheetId="13" hidden="1">'6) RAG Table'!$B$1:$AA$111</definedName>
    <definedName name="Z_466708C2_41CE_4656_AB81_E1E49DF5945D_.wvu.PrintArea" localSheetId="11" hidden="1">'P&amp;B Summary'!$B$3:$J$18</definedName>
    <definedName name="Z_466708C2_41CE_4656_AB81_E1E49DF5945D_.wvu.PrintTitles" localSheetId="2" hidden="1">'1) Report'!$3:$6</definedName>
    <definedName name="Z_466708C2_41CE_4656_AB81_E1E49DF5945D_.wvu.Rows" localSheetId="2" hidden="1">'1) Report'!$1:$1,'1) Report'!$10:$10,'1) Report'!$16:$16,'1) Report'!$45:$45,'1) Report'!$52:$52,'1) Report'!$91:$91,'1) Report'!$120:$120</definedName>
    <definedName name="Z_466708C2_41CE_4656_AB81_E1E49DF5945D_.wvu.Rows" localSheetId="6" hidden="1">'3) BC and Sanction'!$1:$1</definedName>
    <definedName name="Z_466708C2_41CE_4656_AB81_E1E49DF5945D_.wvu.Rows" localSheetId="4" hidden="1">'4) Baseline Changes'!$1:$1</definedName>
    <definedName name="Z_466708C2_41CE_4656_AB81_E1E49DF5945D_.wvu.Rows" localSheetId="13" hidden="1">'6) RAG Table'!$72:$77</definedName>
    <definedName name="Z_466708C2_41CE_4656_AB81_E1E49DF5945D_.wvu.Rows" localSheetId="11" hidden="1">'P&amp;B Summary'!$1:$1</definedName>
    <definedName name="Z_466708C2_41CE_4656_AB81_E1E49DF5945D_.wvu.Rows" localSheetId="9" hidden="1">'Pd08 Extended MPPR WD9'!$7:$7,'Pd08 Extended MPPR WD9'!$11:$11,'Pd08 Extended MPPR WD9'!$15:$15,'Pd08 Extended MPPR WD9'!$19:$19,'Pd08 Extended MPPR WD9'!$23:$23,'Pd08 Extended MPPR WD9'!$27:$27,'Pd08 Extended MPPR WD9'!$31:$31,'Pd08 Extended MPPR WD9'!$35:$35</definedName>
    <definedName name="Z_466708C2_41CE_4656_AB81_E1E49DF5945D_.wvu.Rows" localSheetId="8" hidden="1">'Pd08 MPPR WD9'!$7:$7,'Pd08 MPPR WD9'!$11:$11,'Pd08 MPPR WD9'!$15:$15,'Pd08 MPPR WD9'!$19:$19,'Pd08 MPPR WD9'!$23:$23,'Pd08 MPPR WD9'!$27:$27,'Pd08 MPPR WD9'!$31:$31,'Pd08 MPPR WD9'!$35:$35,'Pd08 MPPR WD9'!$39:$39,'Pd08 MPPR WD9'!$43:$43,'Pd08 MPPR WD9'!$47:$47,'Pd08 MPPR WD9'!$50:$50,'Pd08 MPPR WD9'!$53:$53</definedName>
    <definedName name="Z_4E6F9C2D_76F2_4884_BBF6_E02A7BAE11EF_.wvu.Cols" localSheetId="13" hidden="1">'6) RAG Table'!#REF!</definedName>
    <definedName name="Z_4E6F9C2D_76F2_4884_BBF6_E02A7BAE11EF_.wvu.FilterData" localSheetId="13" hidden="1">'6) RAG Table'!$AC$4:$AC$61</definedName>
    <definedName name="Z_4E6F9C2D_76F2_4884_BBF6_E02A7BAE11EF_.wvu.PrintArea" localSheetId="0" hidden="1">'0) SL Project Structure'!$A$1:$AL$82</definedName>
    <definedName name="Z_4E6F9C2D_76F2_4884_BBF6_E02A7BAE11EF_.wvu.PrintArea" localSheetId="1" hidden="1">'0) SL Project Structure OLD'!$A$1:$AL$68</definedName>
    <definedName name="Z_4E6F9C2D_76F2_4884_BBF6_E02A7BAE11EF_.wvu.PrintArea" localSheetId="2" hidden="1">'1) Report'!$B$2:$AM$138</definedName>
    <definedName name="Z_4E6F9C2D_76F2_4884_BBF6_E02A7BAE11EF_.wvu.PrintArea" localSheetId="11" hidden="1">'P&amp;B Summary'!$B$3:$J$18</definedName>
    <definedName name="Z_4E6F9C2D_76F2_4884_BBF6_E02A7BAE11EF_.wvu.PrintTitles" localSheetId="2" hidden="1">'1) Report'!$3:$6</definedName>
    <definedName name="Z_4E6F9C2D_76F2_4884_BBF6_E02A7BAE11EF_.wvu.Rows" localSheetId="2" hidden="1">'1) Report'!$1:$1</definedName>
    <definedName name="Z_4E6F9C2D_76F2_4884_BBF6_E02A7BAE11EF_.wvu.Rows" localSheetId="6" hidden="1">'3) BC and Sanction'!$1:$1</definedName>
    <definedName name="Z_4E6F9C2D_76F2_4884_BBF6_E02A7BAE11EF_.wvu.Rows" localSheetId="4" hidden="1">'4) Baseline Changes'!$1:$1</definedName>
    <definedName name="Z_4E6F9C2D_76F2_4884_BBF6_E02A7BAE11EF_.wvu.Rows" localSheetId="12" hidden="1">'5a)NDA MPPR'!$63:$101</definedName>
    <definedName name="Z_4E6F9C2D_76F2_4884_BBF6_E02A7BAE11EF_.wvu.Rows" localSheetId="13" hidden="1">'6) RAG Table'!$72:$77</definedName>
    <definedName name="Z_4E6F9C2D_76F2_4884_BBF6_E02A7BAE11EF_.wvu.Rows" localSheetId="11" hidden="1">'P&amp;B Summary'!$1:$1</definedName>
    <definedName name="Z_4E6F9C2D_76F2_4884_BBF6_E02A7BAE11EF_.wvu.Rows" localSheetId="9" hidden="1">'Pd08 Extended MPPR WD9'!$7:$7,'Pd08 Extended MPPR WD9'!$11:$11,'Pd08 Extended MPPR WD9'!$15:$15,'Pd08 Extended MPPR WD9'!$19:$19,'Pd08 Extended MPPR WD9'!$23:$23,'Pd08 Extended MPPR WD9'!$27:$27,'Pd08 Extended MPPR WD9'!$31:$31,'Pd08 Extended MPPR WD9'!$35:$35</definedName>
    <definedName name="Z_4E6F9C2D_76F2_4884_BBF6_E02A7BAE11EF_.wvu.Rows" localSheetId="8" hidden="1">'Pd08 MPPR WD9'!$7:$7,'Pd08 MPPR WD9'!$11:$11,'Pd08 MPPR WD9'!$15:$15,'Pd08 MPPR WD9'!$19:$19,'Pd08 MPPR WD9'!$23:$23,'Pd08 MPPR WD9'!$27:$27,'Pd08 MPPR WD9'!$31:$31,'Pd08 MPPR WD9'!$35:$35,'Pd08 MPPR WD9'!$39:$39,'Pd08 MPPR WD9'!$43:$43,'Pd08 MPPR WD9'!$47:$47,'Pd08 MPPR WD9'!$50:$50,'Pd08 MPPR WD9'!$53:$53</definedName>
    <definedName name="Z_4EBEE699_7DEF_4A50_9CB7_490835CF0B98_.wvu.Cols" localSheetId="13" hidden="1">'6) RAG Table'!$AB:$AE</definedName>
    <definedName name="Z_4EBEE699_7DEF_4A50_9CB7_490835CF0B98_.wvu.FilterData" localSheetId="13" hidden="1">'6) RAG Table'!$AC$4:$AC$61</definedName>
    <definedName name="Z_4EBEE699_7DEF_4A50_9CB7_490835CF0B98_.wvu.PrintArea" localSheetId="0" hidden="1">'0) SL Project Structure'!$A$1:$AL$82</definedName>
    <definedName name="Z_4EBEE699_7DEF_4A50_9CB7_490835CF0B98_.wvu.PrintArea" localSheetId="1" hidden="1">'0) SL Project Structure OLD'!$A$1:$AL$68</definedName>
    <definedName name="Z_4EBEE699_7DEF_4A50_9CB7_490835CF0B98_.wvu.PrintArea" localSheetId="2" hidden="1">'1) Report'!$B$2:$AM$138</definedName>
    <definedName name="Z_4EBEE699_7DEF_4A50_9CB7_490835CF0B98_.wvu.PrintArea" localSheetId="11" hidden="1">'P&amp;B Summary'!$B$3:$J$18</definedName>
    <definedName name="Z_4EBEE699_7DEF_4A50_9CB7_490835CF0B98_.wvu.PrintTitles" localSheetId="2" hidden="1">'1) Report'!$3:$6</definedName>
    <definedName name="Z_4EBEE699_7DEF_4A50_9CB7_490835CF0B98_.wvu.Rows" localSheetId="2" hidden="1">'1) Report'!$1:$1,'1) Report'!$16:$16,'1) Report'!#REF!,'1) Report'!$52:$52,'1) Report'!#REF!,'1) Report'!$120:$120,'1) Report'!#REF!,'1) Report'!#REF!</definedName>
    <definedName name="Z_4EBEE699_7DEF_4A50_9CB7_490835CF0B98_.wvu.Rows" localSheetId="6" hidden="1">'3) BC and Sanction'!$1:$1</definedName>
    <definedName name="Z_4EBEE699_7DEF_4A50_9CB7_490835CF0B98_.wvu.Rows" localSheetId="4" hidden="1">'4) Baseline Changes'!$1:$1</definedName>
    <definedName name="Z_4EBEE699_7DEF_4A50_9CB7_490835CF0B98_.wvu.Rows" localSheetId="12" hidden="1">'5a)NDA MPPR'!$63:$101</definedName>
    <definedName name="Z_4EBEE699_7DEF_4A50_9CB7_490835CF0B98_.wvu.Rows" localSheetId="13" hidden="1">'6) RAG Table'!$72:$77</definedName>
    <definedName name="Z_4EBEE699_7DEF_4A50_9CB7_490835CF0B98_.wvu.Rows" localSheetId="11" hidden="1">'P&amp;B Summary'!$1:$1</definedName>
    <definedName name="Z_4EBEE699_7DEF_4A50_9CB7_490835CF0B98_.wvu.Rows" localSheetId="9" hidden="1">'Pd08 Extended MPPR WD9'!$7:$7,'Pd08 Extended MPPR WD9'!$11:$11,'Pd08 Extended MPPR WD9'!$15:$15,'Pd08 Extended MPPR WD9'!$19:$19,'Pd08 Extended MPPR WD9'!$23:$23,'Pd08 Extended MPPR WD9'!$27:$27,'Pd08 Extended MPPR WD9'!$31:$31,'Pd08 Extended MPPR WD9'!$35:$35</definedName>
    <definedName name="Z_4EBEE699_7DEF_4A50_9CB7_490835CF0B98_.wvu.Rows" localSheetId="8" hidden="1">'Pd08 MPPR WD9'!$7:$7,'Pd08 MPPR WD9'!$11:$11,'Pd08 MPPR WD9'!$15:$15,'Pd08 MPPR WD9'!$19:$19,'Pd08 MPPR WD9'!$23:$23,'Pd08 MPPR WD9'!$27:$27,'Pd08 MPPR WD9'!$31:$31,'Pd08 MPPR WD9'!$35:$35,'Pd08 MPPR WD9'!$39:$39,'Pd08 MPPR WD9'!$43:$43,'Pd08 MPPR WD9'!$47:$47,'Pd08 MPPR WD9'!$50:$50,'Pd08 MPPR WD9'!$53:$53</definedName>
    <definedName name="Z_51B3083F_A103_41AB_A137_63549C54B838_.wvu.Cols" localSheetId="13" hidden="1">'6) RAG Table'!$AB:$AE</definedName>
    <definedName name="Z_51B3083F_A103_41AB_A137_63549C54B838_.wvu.FilterData" localSheetId="13" hidden="1">'6) RAG Table'!$AC$4:$AC$61</definedName>
    <definedName name="Z_51B3083F_A103_41AB_A137_63549C54B838_.wvu.PrintArea" localSheetId="0" hidden="1">'0) SL Project Structure'!$A$1:$AL$82</definedName>
    <definedName name="Z_51B3083F_A103_41AB_A137_63549C54B838_.wvu.PrintArea" localSheetId="1" hidden="1">'0) SL Project Structure OLD'!$A$1:$AL$68</definedName>
    <definedName name="Z_51B3083F_A103_41AB_A137_63549C54B838_.wvu.PrintArea" localSheetId="2" hidden="1">'1) Report'!$B$2:$AM$138</definedName>
    <definedName name="Z_51B3083F_A103_41AB_A137_63549C54B838_.wvu.PrintArea" localSheetId="11" hidden="1">'P&amp;B Summary'!$B$3:$J$18</definedName>
    <definedName name="Z_51B3083F_A103_41AB_A137_63549C54B838_.wvu.PrintTitles" localSheetId="2" hidden="1">'1) Report'!$3:$6</definedName>
    <definedName name="Z_51B3083F_A103_41AB_A137_63549C54B838_.wvu.Rows" localSheetId="2" hidden="1">'1) Report'!$1:$1,'1) Report'!$16:$16,'1) Report'!#REF!,'1) Report'!$52:$52,'1) Report'!#REF!,'1) Report'!$120:$120,'1) Report'!#REF!,'1) Report'!#REF!</definedName>
    <definedName name="Z_51B3083F_A103_41AB_A137_63549C54B838_.wvu.Rows" localSheetId="6" hidden="1">'3) BC and Sanction'!$1:$1</definedName>
    <definedName name="Z_51B3083F_A103_41AB_A137_63549C54B838_.wvu.Rows" localSheetId="4" hidden="1">'4) Baseline Changes'!$1:$1</definedName>
    <definedName name="Z_51B3083F_A103_41AB_A137_63549C54B838_.wvu.Rows" localSheetId="12" hidden="1">'5a)NDA MPPR'!$63:$101</definedName>
    <definedName name="Z_51B3083F_A103_41AB_A137_63549C54B838_.wvu.Rows" localSheetId="13" hidden="1">'6) RAG Table'!$72:$77</definedName>
    <definedName name="Z_51B3083F_A103_41AB_A137_63549C54B838_.wvu.Rows" localSheetId="11" hidden="1">'P&amp;B Summary'!$1:$1</definedName>
    <definedName name="Z_51B3083F_A103_41AB_A137_63549C54B838_.wvu.Rows" localSheetId="9" hidden="1">'Pd08 Extended MPPR WD9'!$7:$7,'Pd08 Extended MPPR WD9'!$11:$11,'Pd08 Extended MPPR WD9'!$15:$15,'Pd08 Extended MPPR WD9'!$19:$19,'Pd08 Extended MPPR WD9'!$23:$23,'Pd08 Extended MPPR WD9'!$27:$27,'Pd08 Extended MPPR WD9'!$31:$31,'Pd08 Extended MPPR WD9'!$35:$35</definedName>
    <definedName name="Z_51B3083F_A103_41AB_A137_63549C54B838_.wvu.Rows" localSheetId="8" hidden="1">'Pd08 MPPR WD9'!$7:$7,'Pd08 MPPR WD9'!$11:$11,'Pd08 MPPR WD9'!$15:$15,'Pd08 MPPR WD9'!$19:$19,'Pd08 MPPR WD9'!$23:$23,'Pd08 MPPR WD9'!$27:$27,'Pd08 MPPR WD9'!$31:$31,'Pd08 MPPR WD9'!$35:$35,'Pd08 MPPR WD9'!$39:$39,'Pd08 MPPR WD9'!$43:$43,'Pd08 MPPR WD9'!$47:$47,'Pd08 MPPR WD9'!$50:$50,'Pd08 MPPR WD9'!$53:$53</definedName>
    <definedName name="Z_51DFD3D6_BC25_47B4_B28F_D640534DB3A9_.wvu.Cols" localSheetId="2" hidden="1">'1) Report'!$AO:$AU</definedName>
    <definedName name="Z_51DFD3D6_BC25_47B4_B28F_D640534DB3A9_.wvu.Cols" localSheetId="13" hidden="1">'6) RAG Table'!$AB:$AE</definedName>
    <definedName name="Z_51DFD3D6_BC25_47B4_B28F_D640534DB3A9_.wvu.FilterData" localSheetId="13" hidden="1">'6) RAG Table'!$AC$4:$AC$61</definedName>
    <definedName name="Z_51DFD3D6_BC25_47B4_B28F_D640534DB3A9_.wvu.PrintArea" localSheetId="0" hidden="1">'0) SL Project Structure'!$A$1:$AL$82</definedName>
    <definedName name="Z_51DFD3D6_BC25_47B4_B28F_D640534DB3A9_.wvu.PrintArea" localSheetId="1" hidden="1">'0) SL Project Structure OLD'!$A$1:$AL$68</definedName>
    <definedName name="Z_51DFD3D6_BC25_47B4_B28F_D640534DB3A9_.wvu.PrintArea" localSheetId="2" hidden="1">'1) Report'!$B$2:$AM$137</definedName>
    <definedName name="Z_51DFD3D6_BC25_47B4_B28F_D640534DB3A9_.wvu.PrintArea" localSheetId="5" hidden="1">'2) Definitions'!$A$2:$T$50</definedName>
    <definedName name="Z_51DFD3D6_BC25_47B4_B28F_D640534DB3A9_.wvu.PrintArea" localSheetId="13" hidden="1">'6) RAG Table'!$A$1:$AA$100</definedName>
    <definedName name="Z_51DFD3D6_BC25_47B4_B28F_D640534DB3A9_.wvu.PrintArea" localSheetId="11" hidden="1">'P&amp;B Summary'!$B$3:$J$18</definedName>
    <definedName name="Z_51DFD3D6_BC25_47B4_B28F_D640534DB3A9_.wvu.PrintTitles" localSheetId="2" hidden="1">'1) Report'!$3:$6</definedName>
    <definedName name="Z_51DFD3D6_BC25_47B4_B28F_D640534DB3A9_.wvu.Rows" localSheetId="2" hidden="1">'1) Report'!$1:$1,'1) Report'!$120:$120</definedName>
    <definedName name="Z_51DFD3D6_BC25_47B4_B28F_D640534DB3A9_.wvu.Rows" localSheetId="6" hidden="1">'3) BC and Sanction'!$1:$1</definedName>
    <definedName name="Z_51DFD3D6_BC25_47B4_B28F_D640534DB3A9_.wvu.Rows" localSheetId="4" hidden="1">'4) Baseline Changes'!$1:$1</definedName>
    <definedName name="Z_51DFD3D6_BC25_47B4_B28F_D640534DB3A9_.wvu.Rows" localSheetId="12" hidden="1">'5a)NDA MPPR'!$63:$101</definedName>
    <definedName name="Z_51DFD3D6_BC25_47B4_B28F_D640534DB3A9_.wvu.Rows" localSheetId="13" hidden="1">'6) RAG Table'!$72:$77</definedName>
    <definedName name="Z_51DFD3D6_BC25_47B4_B28F_D640534DB3A9_.wvu.Rows" localSheetId="11" hidden="1">'P&amp;B Summary'!$1:$1</definedName>
    <definedName name="Z_51DFD3D6_BC25_47B4_B28F_D640534DB3A9_.wvu.Rows" localSheetId="9" hidden="1">'Pd08 Extended MPPR WD9'!$7:$7,'Pd08 Extended MPPR WD9'!$11:$11,'Pd08 Extended MPPR WD9'!$15:$15,'Pd08 Extended MPPR WD9'!$19:$19,'Pd08 Extended MPPR WD9'!$23:$23,'Pd08 Extended MPPR WD9'!$27:$27,'Pd08 Extended MPPR WD9'!$31:$31,'Pd08 Extended MPPR WD9'!$35:$35</definedName>
    <definedName name="Z_51DFD3D6_BC25_47B4_B28F_D640534DB3A9_.wvu.Rows" localSheetId="8" hidden="1">'Pd08 MPPR WD9'!$7:$7,'Pd08 MPPR WD9'!$11:$11,'Pd08 MPPR WD9'!$15:$15,'Pd08 MPPR WD9'!$19:$19,'Pd08 MPPR WD9'!$23:$23,'Pd08 MPPR WD9'!$27:$27,'Pd08 MPPR WD9'!$31:$31,'Pd08 MPPR WD9'!$35:$35,'Pd08 MPPR WD9'!$39:$39,'Pd08 MPPR WD9'!$43:$43,'Pd08 MPPR WD9'!$47:$47,'Pd08 MPPR WD9'!$50:$50,'Pd08 MPPR WD9'!$53:$53</definedName>
    <definedName name="Z_527A2BDE_37CE_4B02_9F2C_CD7E7AC81C63_.wvu.Cols" localSheetId="2" hidden="1">'1) Report'!$AO:$AU</definedName>
    <definedName name="Z_527A2BDE_37CE_4B02_9F2C_CD7E7AC81C63_.wvu.Cols" localSheetId="13" hidden="1">'6) RAG Table'!$AC:$AC</definedName>
    <definedName name="Z_527A2BDE_37CE_4B02_9F2C_CD7E7AC81C63_.wvu.FilterData" localSheetId="13" hidden="1">'6) RAG Table'!$AC$4:$AC$61</definedName>
    <definedName name="Z_527A2BDE_37CE_4B02_9F2C_CD7E7AC81C63_.wvu.PrintArea" localSheetId="0" hidden="1">'0) SL Project Structure'!$A$1:$AL$82</definedName>
    <definedName name="Z_527A2BDE_37CE_4B02_9F2C_CD7E7AC81C63_.wvu.PrintArea" localSheetId="1" hidden="1">'0) SL Project Structure OLD'!$A$1:$AL$68</definedName>
    <definedName name="Z_527A2BDE_37CE_4B02_9F2C_CD7E7AC81C63_.wvu.PrintArea" localSheetId="2" hidden="1">'1) Report'!$B$2:$AM$137</definedName>
    <definedName name="Z_527A2BDE_37CE_4B02_9F2C_CD7E7AC81C63_.wvu.PrintArea" localSheetId="5" hidden="1">'2) Definitions'!$A$2:$T$50</definedName>
    <definedName name="Z_527A2BDE_37CE_4B02_9F2C_CD7E7AC81C63_.wvu.PrintArea" localSheetId="13" hidden="1">'6) RAG Table'!$B$1:$AA$111</definedName>
    <definedName name="Z_527A2BDE_37CE_4B02_9F2C_CD7E7AC81C63_.wvu.PrintArea" localSheetId="11" hidden="1">'P&amp;B Summary'!$B$3:$J$18</definedName>
    <definedName name="Z_527A2BDE_37CE_4B02_9F2C_CD7E7AC81C63_.wvu.PrintTitles" localSheetId="2" hidden="1">'1) Report'!$3:$6</definedName>
    <definedName name="Z_527A2BDE_37CE_4B02_9F2C_CD7E7AC81C63_.wvu.Rows" localSheetId="2" hidden="1">'1) Report'!$1:$1,'1) Report'!$10:$10,'1) Report'!$16:$16,'1) Report'!$45:$45,'1) Report'!$52:$52,'1) Report'!$91:$91,'1) Report'!$120:$120</definedName>
    <definedName name="Z_527A2BDE_37CE_4B02_9F2C_CD7E7AC81C63_.wvu.Rows" localSheetId="6" hidden="1">'3) BC and Sanction'!$1:$1</definedName>
    <definedName name="Z_527A2BDE_37CE_4B02_9F2C_CD7E7AC81C63_.wvu.Rows" localSheetId="4" hidden="1">'4) Baseline Changes'!$1:$1</definedName>
    <definedName name="Z_527A2BDE_37CE_4B02_9F2C_CD7E7AC81C63_.wvu.Rows" localSheetId="13" hidden="1">'6) RAG Table'!$72:$77</definedName>
    <definedName name="Z_527A2BDE_37CE_4B02_9F2C_CD7E7AC81C63_.wvu.Rows" localSheetId="11" hidden="1">'P&amp;B Summary'!$1:$1</definedName>
    <definedName name="Z_527A2BDE_37CE_4B02_9F2C_CD7E7AC81C63_.wvu.Rows" localSheetId="9" hidden="1">'Pd08 Extended MPPR WD9'!$7:$7,'Pd08 Extended MPPR WD9'!$11:$11,'Pd08 Extended MPPR WD9'!$15:$15,'Pd08 Extended MPPR WD9'!$19:$19,'Pd08 Extended MPPR WD9'!$23:$23,'Pd08 Extended MPPR WD9'!$27:$27,'Pd08 Extended MPPR WD9'!$31:$31,'Pd08 Extended MPPR WD9'!$35:$35</definedName>
    <definedName name="Z_527A2BDE_37CE_4B02_9F2C_CD7E7AC81C63_.wvu.Rows" localSheetId="8" hidden="1">'Pd08 MPPR WD9'!$7:$7,'Pd08 MPPR WD9'!$11:$11,'Pd08 MPPR WD9'!$15:$15,'Pd08 MPPR WD9'!$19:$19,'Pd08 MPPR WD9'!$23:$23,'Pd08 MPPR WD9'!$27:$27,'Pd08 MPPR WD9'!$31:$31,'Pd08 MPPR WD9'!$35:$35,'Pd08 MPPR WD9'!$39:$39,'Pd08 MPPR WD9'!$43:$43,'Pd08 MPPR WD9'!$47:$47,'Pd08 MPPR WD9'!$50:$50,'Pd08 MPPR WD9'!$53:$53</definedName>
    <definedName name="Z_593284E7_E32C_4D6C_8C2F_3DEEF9DEE1DF_.wvu.Cols" localSheetId="13" hidden="1">'6) RAG Table'!$AB:$AE</definedName>
    <definedName name="Z_593284E7_E32C_4D6C_8C2F_3DEEF9DEE1DF_.wvu.FilterData" localSheetId="13" hidden="1">'6) RAG Table'!$AC$4:$AC$61</definedName>
    <definedName name="Z_593284E7_E32C_4D6C_8C2F_3DEEF9DEE1DF_.wvu.PrintArea" localSheetId="0" hidden="1">'0) SL Project Structure'!$A$1:$AL$82</definedName>
    <definedName name="Z_593284E7_E32C_4D6C_8C2F_3DEEF9DEE1DF_.wvu.PrintArea" localSheetId="1" hidden="1">'0) SL Project Structure OLD'!$A$1:$AL$68</definedName>
    <definedName name="Z_593284E7_E32C_4D6C_8C2F_3DEEF9DEE1DF_.wvu.PrintArea" localSheetId="2" hidden="1">'1) Report'!$B$2:$AM$138</definedName>
    <definedName name="Z_593284E7_E32C_4D6C_8C2F_3DEEF9DEE1DF_.wvu.PrintArea" localSheetId="11" hidden="1">'P&amp;B Summary'!$B$3:$J$18</definedName>
    <definedName name="Z_593284E7_E32C_4D6C_8C2F_3DEEF9DEE1DF_.wvu.PrintTitles" localSheetId="2" hidden="1">'1) Report'!$3:$6</definedName>
    <definedName name="Z_593284E7_E32C_4D6C_8C2F_3DEEF9DEE1DF_.wvu.Rows" localSheetId="2" hidden="1">'1) Report'!$1:$1,'1) Report'!$16:$16,'1) Report'!#REF!,'1) Report'!$52:$52,'1) Report'!#REF!,'1) Report'!$120:$120,'1) Report'!#REF!,'1) Report'!#REF!</definedName>
    <definedName name="Z_593284E7_E32C_4D6C_8C2F_3DEEF9DEE1DF_.wvu.Rows" localSheetId="6" hidden="1">'3) BC and Sanction'!$1:$1</definedName>
    <definedName name="Z_593284E7_E32C_4D6C_8C2F_3DEEF9DEE1DF_.wvu.Rows" localSheetId="4" hidden="1">'4) Baseline Changes'!$1:$1</definedName>
    <definedName name="Z_593284E7_E32C_4D6C_8C2F_3DEEF9DEE1DF_.wvu.Rows" localSheetId="12" hidden="1">'5a)NDA MPPR'!$63:$101</definedName>
    <definedName name="Z_593284E7_E32C_4D6C_8C2F_3DEEF9DEE1DF_.wvu.Rows" localSheetId="13" hidden="1">'6) RAG Table'!$72:$77</definedName>
    <definedName name="Z_593284E7_E32C_4D6C_8C2F_3DEEF9DEE1DF_.wvu.Rows" localSheetId="11" hidden="1">'P&amp;B Summary'!$1:$1</definedName>
    <definedName name="Z_593284E7_E32C_4D6C_8C2F_3DEEF9DEE1DF_.wvu.Rows" localSheetId="9" hidden="1">'Pd08 Extended MPPR WD9'!$7:$7,'Pd08 Extended MPPR WD9'!$11:$11,'Pd08 Extended MPPR WD9'!$15:$15,'Pd08 Extended MPPR WD9'!$19:$19,'Pd08 Extended MPPR WD9'!$23:$23,'Pd08 Extended MPPR WD9'!$27:$27,'Pd08 Extended MPPR WD9'!$31:$31,'Pd08 Extended MPPR WD9'!$35:$35</definedName>
    <definedName name="Z_593284E7_E32C_4D6C_8C2F_3DEEF9DEE1DF_.wvu.Rows" localSheetId="8" hidden="1">'Pd08 MPPR WD9'!$7:$7,'Pd08 MPPR WD9'!$11:$11,'Pd08 MPPR WD9'!$15:$15,'Pd08 MPPR WD9'!$19:$19,'Pd08 MPPR WD9'!$23:$23,'Pd08 MPPR WD9'!$27:$27,'Pd08 MPPR WD9'!$31:$31,'Pd08 MPPR WD9'!$35:$35,'Pd08 MPPR WD9'!$39:$39,'Pd08 MPPR WD9'!$43:$43,'Pd08 MPPR WD9'!$47:$47,'Pd08 MPPR WD9'!$50:$50,'Pd08 MPPR WD9'!$53:$53</definedName>
    <definedName name="Z_602520CD_F98C_43A6_AA0D_88893E9CB6E8_.wvu.Cols" localSheetId="2" hidden="1">'1) Report'!$AO:$AU</definedName>
    <definedName name="Z_602520CD_F98C_43A6_AA0D_88893E9CB6E8_.wvu.Cols" localSheetId="13" hidden="1">'6) RAG Table'!$AC:$AC</definedName>
    <definedName name="Z_602520CD_F98C_43A6_AA0D_88893E9CB6E8_.wvu.FilterData" localSheetId="13" hidden="1">'6) RAG Table'!$AC$4:$AC$61</definedName>
    <definedName name="Z_602520CD_F98C_43A6_AA0D_88893E9CB6E8_.wvu.PrintArea" localSheetId="0" hidden="1">'0) SL Project Structure'!$A$1:$AL$82</definedName>
    <definedName name="Z_602520CD_F98C_43A6_AA0D_88893E9CB6E8_.wvu.PrintArea" localSheetId="1" hidden="1">'0) SL Project Structure OLD'!$A$1:$AL$68</definedName>
    <definedName name="Z_602520CD_F98C_43A6_AA0D_88893E9CB6E8_.wvu.PrintArea" localSheetId="2" hidden="1">'1) Report'!$B$2:$AM$137</definedName>
    <definedName name="Z_602520CD_F98C_43A6_AA0D_88893E9CB6E8_.wvu.PrintArea" localSheetId="5" hidden="1">'2) Definitions'!$A$2:$T$50</definedName>
    <definedName name="Z_602520CD_F98C_43A6_AA0D_88893E9CB6E8_.wvu.PrintArea" localSheetId="13" hidden="1">'6) RAG Table'!$B$1:$AA$111</definedName>
    <definedName name="Z_602520CD_F98C_43A6_AA0D_88893E9CB6E8_.wvu.PrintArea" localSheetId="11" hidden="1">'P&amp;B Summary'!$B$3:$J$18</definedName>
    <definedName name="Z_602520CD_F98C_43A6_AA0D_88893E9CB6E8_.wvu.PrintTitles" localSheetId="2" hidden="1">'1) Report'!$3:$6</definedName>
    <definedName name="Z_602520CD_F98C_43A6_AA0D_88893E9CB6E8_.wvu.Rows" localSheetId="2" hidden="1">'1) Report'!$1:$1,'1) Report'!$10:$10,'1) Report'!$16:$16,'1) Report'!$45:$45,'1) Report'!$52:$52,'1) Report'!$91:$91,'1) Report'!$120:$120</definedName>
    <definedName name="Z_602520CD_F98C_43A6_AA0D_88893E9CB6E8_.wvu.Rows" localSheetId="6" hidden="1">'3) BC and Sanction'!$1:$1</definedName>
    <definedName name="Z_602520CD_F98C_43A6_AA0D_88893E9CB6E8_.wvu.Rows" localSheetId="4" hidden="1">'4) Baseline Changes'!$1:$1</definedName>
    <definedName name="Z_602520CD_F98C_43A6_AA0D_88893E9CB6E8_.wvu.Rows" localSheetId="12" hidden="1">'5a)NDA MPPR'!$63:$101</definedName>
    <definedName name="Z_602520CD_F98C_43A6_AA0D_88893E9CB6E8_.wvu.Rows" localSheetId="13" hidden="1">'6) RAG Table'!$72:$77</definedName>
    <definedName name="Z_602520CD_F98C_43A6_AA0D_88893E9CB6E8_.wvu.Rows" localSheetId="11" hidden="1">'P&amp;B Summary'!$1:$1</definedName>
    <definedName name="Z_602520CD_F98C_43A6_AA0D_88893E9CB6E8_.wvu.Rows" localSheetId="9" hidden="1">'Pd08 Extended MPPR WD9'!$7:$7,'Pd08 Extended MPPR WD9'!$11:$11,'Pd08 Extended MPPR WD9'!$15:$15,'Pd08 Extended MPPR WD9'!$19:$19,'Pd08 Extended MPPR WD9'!$23:$23,'Pd08 Extended MPPR WD9'!$27:$27,'Pd08 Extended MPPR WD9'!$31:$31,'Pd08 Extended MPPR WD9'!$35:$35</definedName>
    <definedName name="Z_602520CD_F98C_43A6_AA0D_88893E9CB6E8_.wvu.Rows" localSheetId="8" hidden="1">'Pd08 MPPR WD9'!$7:$7,'Pd08 MPPR WD9'!$11:$11,'Pd08 MPPR WD9'!$15:$15,'Pd08 MPPR WD9'!$19:$19,'Pd08 MPPR WD9'!$23:$23,'Pd08 MPPR WD9'!$27:$27,'Pd08 MPPR WD9'!$31:$31,'Pd08 MPPR WD9'!$35:$35,'Pd08 MPPR WD9'!$39:$39,'Pd08 MPPR WD9'!$43:$43,'Pd08 MPPR WD9'!$47:$47,'Pd08 MPPR WD9'!$50:$50,'Pd08 MPPR WD9'!$53:$53</definedName>
    <definedName name="Z_6702457D_A9A8_4F46_8E1C_BC7255F4BA77_.wvu.Cols" localSheetId="13" hidden="1">'6) RAG Table'!#REF!</definedName>
    <definedName name="Z_6702457D_A9A8_4F46_8E1C_BC7255F4BA77_.wvu.FilterData" localSheetId="13" hidden="1">'6) RAG Table'!$AC$4:$AC$61</definedName>
    <definedName name="Z_6702457D_A9A8_4F46_8E1C_BC7255F4BA77_.wvu.PrintArea" localSheetId="2" hidden="1">'1) Report'!$B$2:$AM$138</definedName>
    <definedName name="Z_6702457D_A9A8_4F46_8E1C_BC7255F4BA77_.wvu.PrintArea" localSheetId="11" hidden="1">'P&amp;B Summary'!$B$3:$J$18</definedName>
    <definedName name="Z_6702457D_A9A8_4F46_8E1C_BC7255F4BA77_.wvu.PrintTitles" localSheetId="2" hidden="1">'1) Report'!$3:$6</definedName>
    <definedName name="Z_6702457D_A9A8_4F46_8E1C_BC7255F4BA77_.wvu.Rows" localSheetId="2" hidden="1">'1) Report'!$1:$1</definedName>
    <definedName name="Z_6702457D_A9A8_4F46_8E1C_BC7255F4BA77_.wvu.Rows" localSheetId="6" hidden="1">'3) BC and Sanction'!$1:$1</definedName>
    <definedName name="Z_6702457D_A9A8_4F46_8E1C_BC7255F4BA77_.wvu.Rows" localSheetId="4" hidden="1">'4) Baseline Changes'!$1:$1</definedName>
    <definedName name="Z_6702457D_A9A8_4F46_8E1C_BC7255F4BA77_.wvu.Rows" localSheetId="13" hidden="1">'6) RAG Table'!$72:$77</definedName>
    <definedName name="Z_6702457D_A9A8_4F46_8E1C_BC7255F4BA77_.wvu.Rows" localSheetId="11" hidden="1">'P&amp;B Summary'!$1:$1</definedName>
    <definedName name="Z_6702457D_A9A8_4F46_8E1C_BC7255F4BA77_.wvu.Rows" localSheetId="9" hidden="1">'Pd08 Extended MPPR WD9'!$7:$7,'Pd08 Extended MPPR WD9'!$11:$11,'Pd08 Extended MPPR WD9'!$15:$15,'Pd08 Extended MPPR WD9'!$19:$19,'Pd08 Extended MPPR WD9'!$23:$23,'Pd08 Extended MPPR WD9'!$27:$27,'Pd08 Extended MPPR WD9'!$31:$31,'Pd08 Extended MPPR WD9'!$35:$35</definedName>
    <definedName name="Z_6702457D_A9A8_4F46_8E1C_BC7255F4BA77_.wvu.Rows" localSheetId="8" hidden="1">'Pd08 MPPR WD9'!$7:$7,'Pd08 MPPR WD9'!$11:$11,'Pd08 MPPR WD9'!$15:$15,'Pd08 MPPR WD9'!$19:$19,'Pd08 MPPR WD9'!$23:$23,'Pd08 MPPR WD9'!$27:$27,'Pd08 MPPR WD9'!$31:$31,'Pd08 MPPR WD9'!$35:$35,'Pd08 MPPR WD9'!$39:$39,'Pd08 MPPR WD9'!$43:$43,'Pd08 MPPR WD9'!$47:$47,'Pd08 MPPR WD9'!$50:$50,'Pd08 MPPR WD9'!$53:$53</definedName>
    <definedName name="Z_70582C04_BB53_4A99_A3C1_673011D9AE1C_.wvu.Cols" localSheetId="2" hidden="1">'1) Report'!$AO:$AU</definedName>
    <definedName name="Z_70582C04_BB53_4A99_A3C1_673011D9AE1C_.wvu.Cols" localSheetId="13" hidden="1">'6) RAG Table'!$AB:$AE</definedName>
    <definedName name="Z_70582C04_BB53_4A99_A3C1_673011D9AE1C_.wvu.FilterData" localSheetId="13" hidden="1">'6) RAG Table'!$AC$4:$AC$61</definedName>
    <definedName name="Z_70582C04_BB53_4A99_A3C1_673011D9AE1C_.wvu.PrintArea" localSheetId="0" hidden="1">'0) SL Project Structure'!$A$1:$AL$82</definedName>
    <definedName name="Z_70582C04_BB53_4A99_A3C1_673011D9AE1C_.wvu.PrintArea" localSheetId="1" hidden="1">'0) SL Project Structure OLD'!$A$1:$AL$68</definedName>
    <definedName name="Z_70582C04_BB53_4A99_A3C1_673011D9AE1C_.wvu.PrintArea" localSheetId="2" hidden="1">'1) Report'!$B$2:$AM$137</definedName>
    <definedName name="Z_70582C04_BB53_4A99_A3C1_673011D9AE1C_.wvu.PrintArea" localSheetId="5" hidden="1">'2) Definitions'!$A$2:$T$50</definedName>
    <definedName name="Z_70582C04_BB53_4A99_A3C1_673011D9AE1C_.wvu.PrintArea" localSheetId="13" hidden="1">'6) RAG Table'!$A$1:$AA$100</definedName>
    <definedName name="Z_70582C04_BB53_4A99_A3C1_673011D9AE1C_.wvu.PrintArea" localSheetId="11" hidden="1">'P&amp;B Summary'!$B$3:$J$18</definedName>
    <definedName name="Z_70582C04_BB53_4A99_A3C1_673011D9AE1C_.wvu.PrintTitles" localSheetId="2" hidden="1">'1) Report'!$3:$6</definedName>
    <definedName name="Z_70582C04_BB53_4A99_A3C1_673011D9AE1C_.wvu.Rows" localSheetId="2" hidden="1">'1) Report'!$1:$1,'1) Report'!$10:$10,'1) Report'!$16:$16,'1) Report'!$45:$45,'1) Report'!$52:$52,'1) Report'!$91:$91,'1) Report'!$120:$120</definedName>
    <definedName name="Z_70582C04_BB53_4A99_A3C1_673011D9AE1C_.wvu.Rows" localSheetId="6" hidden="1">'3) BC and Sanction'!$1:$1</definedName>
    <definedName name="Z_70582C04_BB53_4A99_A3C1_673011D9AE1C_.wvu.Rows" localSheetId="4" hidden="1">'4) Baseline Changes'!$1:$1</definedName>
    <definedName name="Z_70582C04_BB53_4A99_A3C1_673011D9AE1C_.wvu.Rows" localSheetId="12" hidden="1">'5a)NDA MPPR'!$63:$101</definedName>
    <definedName name="Z_70582C04_BB53_4A99_A3C1_673011D9AE1C_.wvu.Rows" localSheetId="13" hidden="1">'6) RAG Table'!$72:$77</definedName>
    <definedName name="Z_70582C04_BB53_4A99_A3C1_673011D9AE1C_.wvu.Rows" localSheetId="11" hidden="1">'P&amp;B Summary'!$1:$1</definedName>
    <definedName name="Z_70582C04_BB53_4A99_A3C1_673011D9AE1C_.wvu.Rows" localSheetId="9" hidden="1">'Pd08 Extended MPPR WD9'!$7:$7,'Pd08 Extended MPPR WD9'!$11:$11,'Pd08 Extended MPPR WD9'!$15:$15,'Pd08 Extended MPPR WD9'!$19:$19,'Pd08 Extended MPPR WD9'!$23:$23,'Pd08 Extended MPPR WD9'!$27:$27,'Pd08 Extended MPPR WD9'!$31:$31,'Pd08 Extended MPPR WD9'!$35:$35</definedName>
    <definedName name="Z_70582C04_BB53_4A99_A3C1_673011D9AE1C_.wvu.Rows" localSheetId="8" hidden="1">'Pd08 MPPR WD9'!$7:$7,'Pd08 MPPR WD9'!$11:$11,'Pd08 MPPR WD9'!$15:$15,'Pd08 MPPR WD9'!$19:$19,'Pd08 MPPR WD9'!$23:$23,'Pd08 MPPR WD9'!$27:$27,'Pd08 MPPR WD9'!$31:$31,'Pd08 MPPR WD9'!$35:$35,'Pd08 MPPR WD9'!$39:$39,'Pd08 MPPR WD9'!$43:$43,'Pd08 MPPR WD9'!$47:$47,'Pd08 MPPR WD9'!$50:$50,'Pd08 MPPR WD9'!$53:$53</definedName>
    <definedName name="Z_75EE3B92_AF4D_4E93_A70E_6ADE60CC674F_.wvu.Cols" localSheetId="2" hidden="1">'1) Report'!$AO:$AU</definedName>
    <definedName name="Z_75EE3B92_AF4D_4E93_A70E_6ADE60CC674F_.wvu.Cols" localSheetId="13" hidden="1">'6) RAG Table'!$AB:$AE</definedName>
    <definedName name="Z_75EE3B92_AF4D_4E93_A70E_6ADE60CC674F_.wvu.FilterData" localSheetId="13" hidden="1">'6) RAG Table'!$AC$4:$AC$61</definedName>
    <definedName name="Z_75EE3B92_AF4D_4E93_A70E_6ADE60CC674F_.wvu.PrintArea" localSheetId="0" hidden="1">'0) SL Project Structure'!$A$1:$AU$74</definedName>
    <definedName name="Z_75EE3B92_AF4D_4E93_A70E_6ADE60CC674F_.wvu.PrintArea" localSheetId="1" hidden="1">'0) SL Project Structure OLD'!$A$1:$AL$68</definedName>
    <definedName name="Z_75EE3B92_AF4D_4E93_A70E_6ADE60CC674F_.wvu.PrintArea" localSheetId="2" hidden="1">'1) Report'!$B$2:$AM$137</definedName>
    <definedName name="Z_75EE3B92_AF4D_4E93_A70E_6ADE60CC674F_.wvu.PrintArea" localSheetId="5" hidden="1">'2) Definitions'!$A$2:$T$50</definedName>
    <definedName name="Z_75EE3B92_AF4D_4E93_A70E_6ADE60CC674F_.wvu.PrintArea" localSheetId="13" hidden="1">'6) RAG Table'!$B$1:$AA$97</definedName>
    <definedName name="Z_75EE3B92_AF4D_4E93_A70E_6ADE60CC674F_.wvu.PrintArea" localSheetId="11" hidden="1">'P&amp;B Summary'!$B$3:$J$18</definedName>
    <definedName name="Z_75EE3B92_AF4D_4E93_A70E_6ADE60CC674F_.wvu.PrintTitles" localSheetId="2" hidden="1">'1) Report'!$3:$6</definedName>
    <definedName name="Z_75EE3B92_AF4D_4E93_A70E_6ADE60CC674F_.wvu.Rows" localSheetId="2" hidden="1">'1) Report'!$1:$1,'1) Report'!$10:$10,'1) Report'!$16:$16,'1) Report'!$45:$45,'1) Report'!$52:$52,'1) Report'!$91:$91,'1) Report'!$120:$120</definedName>
    <definedName name="Z_75EE3B92_AF4D_4E93_A70E_6ADE60CC674F_.wvu.Rows" localSheetId="6" hidden="1">'3) BC and Sanction'!$1:$1</definedName>
    <definedName name="Z_75EE3B92_AF4D_4E93_A70E_6ADE60CC674F_.wvu.Rows" localSheetId="4" hidden="1">'4) Baseline Changes'!$1:$1</definedName>
    <definedName name="Z_75EE3B92_AF4D_4E93_A70E_6ADE60CC674F_.wvu.Rows" localSheetId="12" hidden="1">'5a)NDA MPPR'!$63:$101</definedName>
    <definedName name="Z_75EE3B92_AF4D_4E93_A70E_6ADE60CC674F_.wvu.Rows" localSheetId="13" hidden="1">'6) RAG Table'!$72:$77</definedName>
    <definedName name="Z_75EE3B92_AF4D_4E93_A70E_6ADE60CC674F_.wvu.Rows" localSheetId="11" hidden="1">'P&amp;B Summary'!$1:$1</definedName>
    <definedName name="Z_75EE3B92_AF4D_4E93_A70E_6ADE60CC674F_.wvu.Rows" localSheetId="9" hidden="1">'Pd08 Extended MPPR WD9'!$7:$7,'Pd08 Extended MPPR WD9'!$11:$11,'Pd08 Extended MPPR WD9'!$15:$15,'Pd08 Extended MPPR WD9'!$19:$19,'Pd08 Extended MPPR WD9'!$23:$23,'Pd08 Extended MPPR WD9'!$27:$27,'Pd08 Extended MPPR WD9'!$31:$31,'Pd08 Extended MPPR WD9'!$35:$35</definedName>
    <definedName name="Z_75EE3B92_AF4D_4E93_A70E_6ADE60CC674F_.wvu.Rows" localSheetId="8" hidden="1">'Pd08 MPPR WD9'!$7:$7,'Pd08 MPPR WD9'!$11:$11,'Pd08 MPPR WD9'!$15:$15,'Pd08 MPPR WD9'!$19:$19,'Pd08 MPPR WD9'!$23:$23,'Pd08 MPPR WD9'!$27:$27,'Pd08 MPPR WD9'!$31:$31,'Pd08 MPPR WD9'!$35:$35,'Pd08 MPPR WD9'!$39:$39,'Pd08 MPPR WD9'!$43:$43,'Pd08 MPPR WD9'!$47:$47,'Pd08 MPPR WD9'!$50:$50,'Pd08 MPPR WD9'!$53:$53</definedName>
    <definedName name="Z_78AA4A71_CE17_4C4D_849E_E3E1A44EA907_.wvu.Cols" localSheetId="2" hidden="1">'1) Report'!$AO:$AU</definedName>
    <definedName name="Z_78AA4A71_CE17_4C4D_849E_E3E1A44EA907_.wvu.Cols" localSheetId="13" hidden="1">'6) RAG Table'!$AC:$AC</definedName>
    <definedName name="Z_78AA4A71_CE17_4C4D_849E_E3E1A44EA907_.wvu.FilterData" localSheetId="13" hidden="1">'6) RAG Table'!$AC$4:$AC$61</definedName>
    <definedName name="Z_78AA4A71_CE17_4C4D_849E_E3E1A44EA907_.wvu.PrintArea" localSheetId="0" hidden="1">'0) SL Project Structure'!$A$1:$AL$82</definedName>
    <definedName name="Z_78AA4A71_CE17_4C4D_849E_E3E1A44EA907_.wvu.PrintArea" localSheetId="1" hidden="1">'0) SL Project Structure OLD'!$A$1:$AL$68</definedName>
    <definedName name="Z_78AA4A71_CE17_4C4D_849E_E3E1A44EA907_.wvu.PrintArea" localSheetId="2" hidden="1">'1) Report'!$B$2:$AM$137</definedName>
    <definedName name="Z_78AA4A71_CE17_4C4D_849E_E3E1A44EA907_.wvu.PrintArea" localSheetId="5" hidden="1">'2) Definitions'!$A$2:$T$50</definedName>
    <definedName name="Z_78AA4A71_CE17_4C4D_849E_E3E1A44EA907_.wvu.PrintArea" localSheetId="13" hidden="1">'6) RAG Table'!$B$1:$AA$111</definedName>
    <definedName name="Z_78AA4A71_CE17_4C4D_849E_E3E1A44EA907_.wvu.PrintArea" localSheetId="11" hidden="1">'P&amp;B Summary'!$B$3:$J$18</definedName>
    <definedName name="Z_78AA4A71_CE17_4C4D_849E_E3E1A44EA907_.wvu.PrintTitles" localSheetId="2" hidden="1">'1) Report'!$3:$6</definedName>
    <definedName name="Z_78AA4A71_CE17_4C4D_849E_E3E1A44EA907_.wvu.Rows" localSheetId="2" hidden="1">'1) Report'!$1:$1,'1) Report'!$10:$10,'1) Report'!$16:$16,'1) Report'!$45:$45,'1) Report'!$52:$52,'1) Report'!$91:$91,'1) Report'!$120:$120</definedName>
    <definedName name="Z_78AA4A71_CE17_4C4D_849E_E3E1A44EA907_.wvu.Rows" localSheetId="6" hidden="1">'3) BC and Sanction'!$1:$1</definedName>
    <definedName name="Z_78AA4A71_CE17_4C4D_849E_E3E1A44EA907_.wvu.Rows" localSheetId="4" hidden="1">'4) Baseline Changes'!$1:$1</definedName>
    <definedName name="Z_78AA4A71_CE17_4C4D_849E_E3E1A44EA907_.wvu.Rows" localSheetId="13" hidden="1">'6) RAG Table'!$72:$77</definedName>
    <definedName name="Z_78AA4A71_CE17_4C4D_849E_E3E1A44EA907_.wvu.Rows" localSheetId="11" hidden="1">'P&amp;B Summary'!$1:$1</definedName>
    <definedName name="Z_78AA4A71_CE17_4C4D_849E_E3E1A44EA907_.wvu.Rows" localSheetId="9" hidden="1">'Pd08 Extended MPPR WD9'!$7:$7,'Pd08 Extended MPPR WD9'!$11:$11,'Pd08 Extended MPPR WD9'!$15:$15,'Pd08 Extended MPPR WD9'!$19:$19,'Pd08 Extended MPPR WD9'!$23:$23,'Pd08 Extended MPPR WD9'!$27:$27,'Pd08 Extended MPPR WD9'!$31:$31,'Pd08 Extended MPPR WD9'!$35:$35</definedName>
    <definedName name="Z_78AA4A71_CE17_4C4D_849E_E3E1A44EA907_.wvu.Rows" localSheetId="8" hidden="1">'Pd08 MPPR WD9'!$7:$7,'Pd08 MPPR WD9'!$11:$11,'Pd08 MPPR WD9'!$15:$15,'Pd08 MPPR WD9'!$19:$19,'Pd08 MPPR WD9'!$23:$23,'Pd08 MPPR WD9'!$27:$27,'Pd08 MPPR WD9'!$31:$31,'Pd08 MPPR WD9'!$35:$35,'Pd08 MPPR WD9'!$39:$39,'Pd08 MPPR WD9'!$43:$43,'Pd08 MPPR WD9'!$47:$47,'Pd08 MPPR WD9'!$50:$50,'Pd08 MPPR WD9'!$53:$53</definedName>
    <definedName name="Z_7E571F1D_D438_4605_90D6_3F831F76D652_.wvu.Cols" localSheetId="2" hidden="1">'1) Report'!$AO:$AU</definedName>
    <definedName name="Z_7E571F1D_D438_4605_90D6_3F831F76D652_.wvu.Cols" localSheetId="13" hidden="1">'6) RAG Table'!$AC:$AC</definedName>
    <definedName name="Z_7E571F1D_D438_4605_90D6_3F831F76D652_.wvu.FilterData" localSheetId="13" hidden="1">'6) RAG Table'!$AC$4:$AC$61</definedName>
    <definedName name="Z_7E571F1D_D438_4605_90D6_3F831F76D652_.wvu.PrintArea" localSheetId="0" hidden="1">'0) SL Project Structure'!$A$1:$AL$82</definedName>
    <definedName name="Z_7E571F1D_D438_4605_90D6_3F831F76D652_.wvu.PrintArea" localSheetId="1" hidden="1">'0) SL Project Structure OLD'!$A$1:$AL$68</definedName>
    <definedName name="Z_7E571F1D_D438_4605_90D6_3F831F76D652_.wvu.PrintArea" localSheetId="2" hidden="1">'1) Report'!$B$2:$AM$137</definedName>
    <definedName name="Z_7E571F1D_D438_4605_90D6_3F831F76D652_.wvu.PrintArea" localSheetId="5" hidden="1">'2) Definitions'!$A$2:$T$50</definedName>
    <definedName name="Z_7E571F1D_D438_4605_90D6_3F831F76D652_.wvu.PrintArea" localSheetId="13" hidden="1">'6) RAG Table'!$B$1:$AA$111</definedName>
    <definedName name="Z_7E571F1D_D438_4605_90D6_3F831F76D652_.wvu.PrintArea" localSheetId="11" hidden="1">'P&amp;B Summary'!$B$3:$J$18</definedName>
    <definedName name="Z_7E571F1D_D438_4605_90D6_3F831F76D652_.wvu.PrintTitles" localSheetId="2" hidden="1">'1) Report'!$3:$6</definedName>
    <definedName name="Z_7E571F1D_D438_4605_90D6_3F831F76D652_.wvu.Rows" localSheetId="2" hidden="1">'1) Report'!$1:$1,'1) Report'!$10:$10,'1) Report'!$16:$16,'1) Report'!$45:$45,'1) Report'!$52:$52,'1) Report'!$91:$91,'1) Report'!$120:$120</definedName>
    <definedName name="Z_7E571F1D_D438_4605_90D6_3F831F76D652_.wvu.Rows" localSheetId="6" hidden="1">'3) BC and Sanction'!$1:$1</definedName>
    <definedName name="Z_7E571F1D_D438_4605_90D6_3F831F76D652_.wvu.Rows" localSheetId="4" hidden="1">'4) Baseline Changes'!$1:$1</definedName>
    <definedName name="Z_7E571F1D_D438_4605_90D6_3F831F76D652_.wvu.Rows" localSheetId="13" hidden="1">'6) RAG Table'!$72:$77</definedName>
    <definedName name="Z_7E571F1D_D438_4605_90D6_3F831F76D652_.wvu.Rows" localSheetId="11" hidden="1">'P&amp;B Summary'!$1:$1</definedName>
    <definedName name="Z_7E571F1D_D438_4605_90D6_3F831F76D652_.wvu.Rows" localSheetId="9" hidden="1">'Pd08 Extended MPPR WD9'!$7:$7,'Pd08 Extended MPPR WD9'!$11:$11,'Pd08 Extended MPPR WD9'!$15:$15,'Pd08 Extended MPPR WD9'!$19:$19,'Pd08 Extended MPPR WD9'!$23:$23,'Pd08 Extended MPPR WD9'!$27:$27,'Pd08 Extended MPPR WD9'!$31:$31,'Pd08 Extended MPPR WD9'!$35:$35</definedName>
    <definedName name="Z_7E571F1D_D438_4605_90D6_3F831F76D652_.wvu.Rows" localSheetId="8" hidden="1">'Pd08 MPPR WD9'!$7:$7,'Pd08 MPPR WD9'!$11:$11,'Pd08 MPPR WD9'!$15:$15,'Pd08 MPPR WD9'!$19:$19,'Pd08 MPPR WD9'!$23:$23,'Pd08 MPPR WD9'!$27:$27,'Pd08 MPPR WD9'!$31:$31,'Pd08 MPPR WD9'!$35:$35,'Pd08 MPPR WD9'!$39:$39,'Pd08 MPPR WD9'!$43:$43,'Pd08 MPPR WD9'!$47:$47,'Pd08 MPPR WD9'!$50:$50,'Pd08 MPPR WD9'!$53:$53</definedName>
    <definedName name="Z_800416AC_1374_44AC_811C_612C85EF24E6_.wvu.Cols" localSheetId="2" hidden="1">'1) Report'!$AO:$AU</definedName>
    <definedName name="Z_800416AC_1374_44AC_811C_612C85EF24E6_.wvu.Cols" localSheetId="13" hidden="1">'6) RAG Table'!$AC:$AC</definedName>
    <definedName name="Z_800416AC_1374_44AC_811C_612C85EF24E6_.wvu.FilterData" localSheetId="13" hidden="1">'6) RAG Table'!$AC$4:$AC$61</definedName>
    <definedName name="Z_800416AC_1374_44AC_811C_612C85EF24E6_.wvu.PrintArea" localSheetId="0" hidden="1">'0) SL Project Structure'!$A$1:$AL$82</definedName>
    <definedName name="Z_800416AC_1374_44AC_811C_612C85EF24E6_.wvu.PrintArea" localSheetId="1" hidden="1">'0) SL Project Structure OLD'!$A$1:$AL$68</definedName>
    <definedName name="Z_800416AC_1374_44AC_811C_612C85EF24E6_.wvu.PrintArea" localSheetId="2" hidden="1">'1) Report'!$B$2:$AM$137</definedName>
    <definedName name="Z_800416AC_1374_44AC_811C_612C85EF24E6_.wvu.PrintArea" localSheetId="5" hidden="1">'2) Definitions'!$A$2:$T$50</definedName>
    <definedName name="Z_800416AC_1374_44AC_811C_612C85EF24E6_.wvu.PrintArea" localSheetId="13" hidden="1">'6) RAG Table'!$B$1:$AA$111</definedName>
    <definedName name="Z_800416AC_1374_44AC_811C_612C85EF24E6_.wvu.PrintArea" localSheetId="11" hidden="1">'P&amp;B Summary'!$B$3:$J$18</definedName>
    <definedName name="Z_800416AC_1374_44AC_811C_612C85EF24E6_.wvu.PrintTitles" localSheetId="2" hidden="1">'1) Report'!$3:$6</definedName>
    <definedName name="Z_800416AC_1374_44AC_811C_612C85EF24E6_.wvu.Rows" localSheetId="2" hidden="1">'1) Report'!$1:$1,'1) Report'!$10:$10,'1) Report'!$16:$16,'1) Report'!$45:$45,'1) Report'!$52:$52,'1) Report'!$91:$91,'1) Report'!$120:$120</definedName>
    <definedName name="Z_800416AC_1374_44AC_811C_612C85EF24E6_.wvu.Rows" localSheetId="6" hidden="1">'3) BC and Sanction'!$1:$1</definedName>
    <definedName name="Z_800416AC_1374_44AC_811C_612C85EF24E6_.wvu.Rows" localSheetId="4" hidden="1">'4) Baseline Changes'!$1:$1</definedName>
    <definedName name="Z_800416AC_1374_44AC_811C_612C85EF24E6_.wvu.Rows" localSheetId="13" hidden="1">'6) RAG Table'!$72:$77</definedName>
    <definedName name="Z_800416AC_1374_44AC_811C_612C85EF24E6_.wvu.Rows" localSheetId="11" hidden="1">'P&amp;B Summary'!$1:$1</definedName>
    <definedName name="Z_800416AC_1374_44AC_811C_612C85EF24E6_.wvu.Rows" localSheetId="9" hidden="1">'Pd08 Extended MPPR WD9'!$7:$7,'Pd08 Extended MPPR WD9'!$11:$11,'Pd08 Extended MPPR WD9'!$15:$15,'Pd08 Extended MPPR WD9'!$19:$19,'Pd08 Extended MPPR WD9'!$23:$23,'Pd08 Extended MPPR WD9'!$27:$27,'Pd08 Extended MPPR WD9'!$31:$31,'Pd08 Extended MPPR WD9'!$35:$35</definedName>
    <definedName name="Z_800416AC_1374_44AC_811C_612C85EF24E6_.wvu.Rows" localSheetId="8" hidden="1">'Pd08 MPPR WD9'!$7:$7,'Pd08 MPPR WD9'!$11:$11,'Pd08 MPPR WD9'!$15:$15,'Pd08 MPPR WD9'!$19:$19,'Pd08 MPPR WD9'!$23:$23,'Pd08 MPPR WD9'!$27:$27,'Pd08 MPPR WD9'!$31:$31,'Pd08 MPPR WD9'!$35:$35,'Pd08 MPPR WD9'!$39:$39,'Pd08 MPPR WD9'!$43:$43,'Pd08 MPPR WD9'!$47:$47,'Pd08 MPPR WD9'!$50:$50,'Pd08 MPPR WD9'!$53:$53</definedName>
    <definedName name="Z_8263C9D2_452D_46FA_AFA0_452B42DC0298_.wvu.Cols" localSheetId="2" hidden="1">'1) Report'!$AO:$AU</definedName>
    <definedName name="Z_8263C9D2_452D_46FA_AFA0_452B42DC0298_.wvu.Cols" localSheetId="13" hidden="1">'6) RAG Table'!$AB:$AE</definedName>
    <definedName name="Z_8263C9D2_452D_46FA_AFA0_452B42DC0298_.wvu.FilterData" localSheetId="13" hidden="1">'6) RAG Table'!$AC$4:$AC$61</definedName>
    <definedName name="Z_8263C9D2_452D_46FA_AFA0_452B42DC0298_.wvu.PrintArea" localSheetId="0" hidden="1">'0) SL Project Structure'!$A$1:$AU$78</definedName>
    <definedName name="Z_8263C9D2_452D_46FA_AFA0_452B42DC0298_.wvu.PrintArea" localSheetId="1" hidden="1">'0) SL Project Structure OLD'!$A$1:$AL$68</definedName>
    <definedName name="Z_8263C9D2_452D_46FA_AFA0_452B42DC0298_.wvu.PrintArea" localSheetId="2" hidden="1">'1) Report'!$B$2:$AM$138</definedName>
    <definedName name="Z_8263C9D2_452D_46FA_AFA0_452B42DC0298_.wvu.PrintArea" localSheetId="11" hidden="1">'P&amp;B Summary'!$B$3:$J$18</definedName>
    <definedName name="Z_8263C9D2_452D_46FA_AFA0_452B42DC0298_.wvu.PrintTitles" localSheetId="2" hidden="1">'1) Report'!$3:$6</definedName>
    <definedName name="Z_8263C9D2_452D_46FA_AFA0_452B42DC0298_.wvu.Rows" localSheetId="2" hidden="1">'1) Report'!$1:$1,'1) Report'!$16:$16,'1) Report'!#REF!,'1) Report'!$52:$52,'1) Report'!$120:$120,'1) Report'!#REF!</definedName>
    <definedName name="Z_8263C9D2_452D_46FA_AFA0_452B42DC0298_.wvu.Rows" localSheetId="6" hidden="1">'3) BC and Sanction'!$1:$1</definedName>
    <definedName name="Z_8263C9D2_452D_46FA_AFA0_452B42DC0298_.wvu.Rows" localSheetId="4" hidden="1">'4) Baseline Changes'!$1:$1</definedName>
    <definedName name="Z_8263C9D2_452D_46FA_AFA0_452B42DC0298_.wvu.Rows" localSheetId="12" hidden="1">'5a)NDA MPPR'!$63:$101</definedName>
    <definedName name="Z_8263C9D2_452D_46FA_AFA0_452B42DC0298_.wvu.Rows" localSheetId="13" hidden="1">'6) RAG Table'!$72:$77</definedName>
    <definedName name="Z_8263C9D2_452D_46FA_AFA0_452B42DC0298_.wvu.Rows" localSheetId="11" hidden="1">'P&amp;B Summary'!$1:$1</definedName>
    <definedName name="Z_8263C9D2_452D_46FA_AFA0_452B42DC0298_.wvu.Rows" localSheetId="9" hidden="1">'Pd08 Extended MPPR WD9'!$7:$7,'Pd08 Extended MPPR WD9'!$11:$11,'Pd08 Extended MPPR WD9'!$15:$15,'Pd08 Extended MPPR WD9'!$19:$19,'Pd08 Extended MPPR WD9'!$23:$23,'Pd08 Extended MPPR WD9'!$27:$27,'Pd08 Extended MPPR WD9'!$31:$31,'Pd08 Extended MPPR WD9'!$35:$35</definedName>
    <definedName name="Z_8263C9D2_452D_46FA_AFA0_452B42DC0298_.wvu.Rows" localSheetId="8" hidden="1">'Pd08 MPPR WD9'!$7:$7,'Pd08 MPPR WD9'!$11:$11,'Pd08 MPPR WD9'!$15:$15,'Pd08 MPPR WD9'!$19:$19,'Pd08 MPPR WD9'!$23:$23,'Pd08 MPPR WD9'!$27:$27,'Pd08 MPPR WD9'!$31:$31,'Pd08 MPPR WD9'!$35:$35,'Pd08 MPPR WD9'!$39:$39,'Pd08 MPPR WD9'!$43:$43,'Pd08 MPPR WD9'!$47:$47,'Pd08 MPPR WD9'!$50:$50,'Pd08 MPPR WD9'!$53:$53</definedName>
    <definedName name="Z_83044EFE_7F92_4F81_B034_85D9567158C2_.wvu.Cols" localSheetId="2" hidden="1">'1) Report'!$AO:$AU</definedName>
    <definedName name="Z_83044EFE_7F92_4F81_B034_85D9567158C2_.wvu.Cols" localSheetId="13" hidden="1">'6) RAG Table'!$AB:$AE</definedName>
    <definedName name="Z_83044EFE_7F92_4F81_B034_85D9567158C2_.wvu.FilterData" localSheetId="13" hidden="1">'6) RAG Table'!$AC$4:$AC$61</definedName>
    <definedName name="Z_83044EFE_7F92_4F81_B034_85D9567158C2_.wvu.PrintArea" localSheetId="0" hidden="1">'0) SL Project Structure'!$A$1:$AL$82</definedName>
    <definedName name="Z_83044EFE_7F92_4F81_B034_85D9567158C2_.wvu.PrintArea" localSheetId="1" hidden="1">'0) SL Project Structure OLD'!$A$1:$AL$68</definedName>
    <definedName name="Z_83044EFE_7F92_4F81_B034_85D9567158C2_.wvu.PrintArea" localSheetId="2" hidden="1">'1) Report'!$B$2:$AM$137</definedName>
    <definedName name="Z_83044EFE_7F92_4F81_B034_85D9567158C2_.wvu.PrintArea" localSheetId="5" hidden="1">'2) Definitions'!$A$2:$T$50</definedName>
    <definedName name="Z_83044EFE_7F92_4F81_B034_85D9567158C2_.wvu.PrintArea" localSheetId="13" hidden="1">'6) RAG Table'!$A$1:$AA$100</definedName>
    <definedName name="Z_83044EFE_7F92_4F81_B034_85D9567158C2_.wvu.PrintArea" localSheetId="11" hidden="1">'P&amp;B Summary'!$B$3:$J$18</definedName>
    <definedName name="Z_83044EFE_7F92_4F81_B034_85D9567158C2_.wvu.PrintTitles" localSheetId="2" hidden="1">'1) Report'!$3:$6</definedName>
    <definedName name="Z_83044EFE_7F92_4F81_B034_85D9567158C2_.wvu.Rows" localSheetId="2" hidden="1">'1) Report'!$1:$1,'1) Report'!$10:$10,'1) Report'!$16:$16,'1) Report'!$45:$45,'1) Report'!$52:$52,'1) Report'!$91:$91,'1) Report'!$120:$120</definedName>
    <definedName name="Z_83044EFE_7F92_4F81_B034_85D9567158C2_.wvu.Rows" localSheetId="6" hidden="1">'3) BC and Sanction'!$1:$1</definedName>
    <definedName name="Z_83044EFE_7F92_4F81_B034_85D9567158C2_.wvu.Rows" localSheetId="4" hidden="1">'4) Baseline Changes'!$1:$1</definedName>
    <definedName name="Z_83044EFE_7F92_4F81_B034_85D9567158C2_.wvu.Rows" localSheetId="12" hidden="1">'5a)NDA MPPR'!$63:$101</definedName>
    <definedName name="Z_83044EFE_7F92_4F81_B034_85D9567158C2_.wvu.Rows" localSheetId="13" hidden="1">'6) RAG Table'!$72:$77</definedName>
    <definedName name="Z_83044EFE_7F92_4F81_B034_85D9567158C2_.wvu.Rows" localSheetId="11" hidden="1">'P&amp;B Summary'!$1:$1</definedName>
    <definedName name="Z_83044EFE_7F92_4F81_B034_85D9567158C2_.wvu.Rows" localSheetId="9" hidden="1">'Pd08 Extended MPPR WD9'!$7:$7,'Pd08 Extended MPPR WD9'!$11:$11,'Pd08 Extended MPPR WD9'!$15:$15,'Pd08 Extended MPPR WD9'!$19:$19,'Pd08 Extended MPPR WD9'!$23:$23,'Pd08 Extended MPPR WD9'!$27:$27,'Pd08 Extended MPPR WD9'!$31:$31,'Pd08 Extended MPPR WD9'!$35:$35</definedName>
    <definedName name="Z_83044EFE_7F92_4F81_B034_85D9567158C2_.wvu.Rows" localSheetId="8" hidden="1">'Pd08 MPPR WD9'!$7:$7,'Pd08 MPPR WD9'!$11:$11,'Pd08 MPPR WD9'!$15:$15,'Pd08 MPPR WD9'!$19:$19,'Pd08 MPPR WD9'!$23:$23,'Pd08 MPPR WD9'!$27:$27,'Pd08 MPPR WD9'!$31:$31,'Pd08 MPPR WD9'!$35:$35,'Pd08 MPPR WD9'!$39:$39,'Pd08 MPPR WD9'!$43:$43,'Pd08 MPPR WD9'!$47:$47,'Pd08 MPPR WD9'!$50:$50,'Pd08 MPPR WD9'!$53:$53</definedName>
    <definedName name="Z_8CB67476_3FD4_42E0_ACD6_62ACA9412843_.wvu.Cols" localSheetId="13" hidden="1">'6) RAG Table'!$AB:$AE</definedName>
    <definedName name="Z_8CB67476_3FD4_42E0_ACD6_62ACA9412843_.wvu.FilterData" localSheetId="13" hidden="1">'6) RAG Table'!$AC$4:$AC$61</definedName>
    <definedName name="Z_8CB67476_3FD4_42E0_ACD6_62ACA9412843_.wvu.PrintArea" localSheetId="0" hidden="1">'0) SL Project Structure'!$A$1:$AL$82</definedName>
    <definedName name="Z_8CB67476_3FD4_42E0_ACD6_62ACA9412843_.wvu.PrintArea" localSheetId="1" hidden="1">'0) SL Project Structure OLD'!$A$1:$AL$68</definedName>
    <definedName name="Z_8CB67476_3FD4_42E0_ACD6_62ACA9412843_.wvu.PrintArea" localSheetId="2" hidden="1">'1) Report'!$B$2:$AM$138</definedName>
    <definedName name="Z_8CB67476_3FD4_42E0_ACD6_62ACA9412843_.wvu.PrintArea" localSheetId="11" hidden="1">'P&amp;B Summary'!$B$3:$J$18</definedName>
    <definedName name="Z_8CB67476_3FD4_42E0_ACD6_62ACA9412843_.wvu.PrintTitles" localSheetId="2" hidden="1">'1) Report'!$3:$6</definedName>
    <definedName name="Z_8CB67476_3FD4_42E0_ACD6_62ACA9412843_.wvu.Rows" localSheetId="2" hidden="1">'1) Report'!$1:$1,'1) Report'!$16:$16,'1) Report'!#REF!,'1) Report'!$52:$52,'1) Report'!#REF!,'1) Report'!$120:$120,'1) Report'!#REF!,'1) Report'!#REF!</definedName>
    <definedName name="Z_8CB67476_3FD4_42E0_ACD6_62ACA9412843_.wvu.Rows" localSheetId="6" hidden="1">'3) BC and Sanction'!$1:$1</definedName>
    <definedName name="Z_8CB67476_3FD4_42E0_ACD6_62ACA9412843_.wvu.Rows" localSheetId="4" hidden="1">'4) Baseline Changes'!$1:$1</definedName>
    <definedName name="Z_8CB67476_3FD4_42E0_ACD6_62ACA9412843_.wvu.Rows" localSheetId="12" hidden="1">'5a)NDA MPPR'!$63:$101</definedName>
    <definedName name="Z_8CB67476_3FD4_42E0_ACD6_62ACA9412843_.wvu.Rows" localSheetId="13" hidden="1">'6) RAG Table'!$72:$77</definedName>
    <definedName name="Z_8CB67476_3FD4_42E0_ACD6_62ACA9412843_.wvu.Rows" localSheetId="11" hidden="1">'P&amp;B Summary'!$1:$1</definedName>
    <definedName name="Z_8CB67476_3FD4_42E0_ACD6_62ACA9412843_.wvu.Rows" localSheetId="9" hidden="1">'Pd08 Extended MPPR WD9'!$7:$7,'Pd08 Extended MPPR WD9'!$11:$11,'Pd08 Extended MPPR WD9'!$15:$15,'Pd08 Extended MPPR WD9'!$19:$19,'Pd08 Extended MPPR WD9'!$23:$23,'Pd08 Extended MPPR WD9'!$27:$27,'Pd08 Extended MPPR WD9'!$31:$31,'Pd08 Extended MPPR WD9'!$35:$35</definedName>
    <definedName name="Z_8CB67476_3FD4_42E0_ACD6_62ACA9412843_.wvu.Rows" localSheetId="8" hidden="1">'Pd08 MPPR WD9'!$7:$7,'Pd08 MPPR WD9'!$11:$11,'Pd08 MPPR WD9'!$15:$15,'Pd08 MPPR WD9'!$19:$19,'Pd08 MPPR WD9'!$23:$23,'Pd08 MPPR WD9'!$27:$27,'Pd08 MPPR WD9'!$31:$31,'Pd08 MPPR WD9'!$35:$35,'Pd08 MPPR WD9'!$39:$39,'Pd08 MPPR WD9'!$43:$43,'Pd08 MPPR WD9'!$47:$47,'Pd08 MPPR WD9'!$50:$50,'Pd08 MPPR WD9'!$53:$53</definedName>
    <definedName name="Z_9355C9F4_9C07_4A93_B7F2_69F1D1526716_.wvu.Cols" localSheetId="2" hidden="1">'1) Report'!$AO:$AU</definedName>
    <definedName name="Z_9355C9F4_9C07_4A93_B7F2_69F1D1526716_.wvu.Cols" localSheetId="13" hidden="1">'6) RAG Table'!$AB:$AE</definedName>
    <definedName name="Z_9355C9F4_9C07_4A93_B7F2_69F1D1526716_.wvu.FilterData" localSheetId="13" hidden="1">'6) RAG Table'!$AC$4:$AC$61</definedName>
    <definedName name="Z_9355C9F4_9C07_4A93_B7F2_69F1D1526716_.wvu.PrintArea" localSheetId="0" hidden="1">'0) SL Project Structure'!$A$1:$AL$82</definedName>
    <definedName name="Z_9355C9F4_9C07_4A93_B7F2_69F1D1526716_.wvu.PrintArea" localSheetId="1" hidden="1">'0) SL Project Structure OLD'!$A$1:$AL$68</definedName>
    <definedName name="Z_9355C9F4_9C07_4A93_B7F2_69F1D1526716_.wvu.PrintArea" localSheetId="2" hidden="1">'1) Report'!$B$2:$AM$137</definedName>
    <definedName name="Z_9355C9F4_9C07_4A93_B7F2_69F1D1526716_.wvu.PrintArea" localSheetId="5" hidden="1">'2) Definitions'!$A$2:$T$50</definedName>
    <definedName name="Z_9355C9F4_9C07_4A93_B7F2_69F1D1526716_.wvu.PrintArea" localSheetId="13" hidden="1">'6) RAG Table'!$B$1:$AA$97</definedName>
    <definedName name="Z_9355C9F4_9C07_4A93_B7F2_69F1D1526716_.wvu.PrintArea" localSheetId="11" hidden="1">'P&amp;B Summary'!$B$3:$J$18</definedName>
    <definedName name="Z_9355C9F4_9C07_4A93_B7F2_69F1D1526716_.wvu.PrintTitles" localSheetId="2" hidden="1">'1) Report'!$3:$6</definedName>
    <definedName name="Z_9355C9F4_9C07_4A93_B7F2_69F1D1526716_.wvu.Rows" localSheetId="2" hidden="1">'1) Report'!$1:$1,'1) Report'!$10:$10,'1) Report'!$16:$16,'1) Report'!$45:$45,'1) Report'!$52:$52,'1) Report'!$91:$91,'1) Report'!$120:$120</definedName>
    <definedName name="Z_9355C9F4_9C07_4A93_B7F2_69F1D1526716_.wvu.Rows" localSheetId="6" hidden="1">'3) BC and Sanction'!$1:$1</definedName>
    <definedName name="Z_9355C9F4_9C07_4A93_B7F2_69F1D1526716_.wvu.Rows" localSheetId="4" hidden="1">'4) Baseline Changes'!$1:$1</definedName>
    <definedName name="Z_9355C9F4_9C07_4A93_B7F2_69F1D1526716_.wvu.Rows" localSheetId="12" hidden="1">'5a)NDA MPPR'!$63:$101</definedName>
    <definedName name="Z_9355C9F4_9C07_4A93_B7F2_69F1D1526716_.wvu.Rows" localSheetId="13" hidden="1">'6) RAG Table'!$72:$77</definedName>
    <definedName name="Z_9355C9F4_9C07_4A93_B7F2_69F1D1526716_.wvu.Rows" localSheetId="11" hidden="1">'P&amp;B Summary'!$1:$1</definedName>
    <definedName name="Z_9355C9F4_9C07_4A93_B7F2_69F1D1526716_.wvu.Rows" localSheetId="9" hidden="1">'Pd08 Extended MPPR WD9'!$7:$7,'Pd08 Extended MPPR WD9'!$11:$11,'Pd08 Extended MPPR WD9'!$15:$15,'Pd08 Extended MPPR WD9'!$19:$19,'Pd08 Extended MPPR WD9'!$23:$23,'Pd08 Extended MPPR WD9'!$27:$27,'Pd08 Extended MPPR WD9'!$31:$31,'Pd08 Extended MPPR WD9'!$35:$35</definedName>
    <definedName name="Z_9355C9F4_9C07_4A93_B7F2_69F1D1526716_.wvu.Rows" localSheetId="8" hidden="1">'Pd08 MPPR WD9'!$7:$7,'Pd08 MPPR WD9'!$11:$11,'Pd08 MPPR WD9'!$15:$15,'Pd08 MPPR WD9'!$19:$19,'Pd08 MPPR WD9'!$23:$23,'Pd08 MPPR WD9'!$27:$27,'Pd08 MPPR WD9'!$31:$31,'Pd08 MPPR WD9'!$35:$35,'Pd08 MPPR WD9'!$39:$39,'Pd08 MPPR WD9'!$43:$43,'Pd08 MPPR WD9'!$47:$47,'Pd08 MPPR WD9'!$50:$50,'Pd08 MPPR WD9'!$53:$53</definedName>
    <definedName name="Z_97D58294_343B_4B62_A826_0DDDE29B5F0D_.wvu.Cols" localSheetId="2" hidden="1">'1) Report'!$AO:$AU</definedName>
    <definedName name="Z_97D58294_343B_4B62_A826_0DDDE29B5F0D_.wvu.Cols" localSheetId="13" hidden="1">'6) RAG Table'!$AC:$AC</definedName>
    <definedName name="Z_97D58294_343B_4B62_A826_0DDDE29B5F0D_.wvu.FilterData" localSheetId="13" hidden="1">'6) RAG Table'!$AC$4:$AC$61</definedName>
    <definedName name="Z_97D58294_343B_4B62_A826_0DDDE29B5F0D_.wvu.PrintArea" localSheetId="0" hidden="1">'0) SL Project Structure'!$A$1:$AL$82</definedName>
    <definedName name="Z_97D58294_343B_4B62_A826_0DDDE29B5F0D_.wvu.PrintArea" localSheetId="1" hidden="1">'0) SL Project Structure OLD'!$A$1:$AL$68</definedName>
    <definedName name="Z_97D58294_343B_4B62_A826_0DDDE29B5F0D_.wvu.PrintArea" localSheetId="2" hidden="1">'1) Report'!$B$2:$AM$137</definedName>
    <definedName name="Z_97D58294_343B_4B62_A826_0DDDE29B5F0D_.wvu.PrintArea" localSheetId="5" hidden="1">'2) Definitions'!$A$2:$T$50</definedName>
    <definedName name="Z_97D58294_343B_4B62_A826_0DDDE29B5F0D_.wvu.PrintArea" localSheetId="13" hidden="1">'6) RAG Table'!$B$1:$AA$111</definedName>
    <definedName name="Z_97D58294_343B_4B62_A826_0DDDE29B5F0D_.wvu.PrintArea" localSheetId="11" hidden="1">'P&amp;B Summary'!$B$3:$J$18</definedName>
    <definedName name="Z_97D58294_343B_4B62_A826_0DDDE29B5F0D_.wvu.PrintTitles" localSheetId="2" hidden="1">'1) Report'!$3:$6</definedName>
    <definedName name="Z_97D58294_343B_4B62_A826_0DDDE29B5F0D_.wvu.Rows" localSheetId="2" hidden="1">'1) Report'!$1:$1,'1) Report'!$10:$10,'1) Report'!$16:$16,'1) Report'!$45:$45,'1) Report'!$52:$52,'1) Report'!$91:$91,'1) Report'!$120:$120</definedName>
    <definedName name="Z_97D58294_343B_4B62_A826_0DDDE29B5F0D_.wvu.Rows" localSheetId="6" hidden="1">'3) BC and Sanction'!$1:$1</definedName>
    <definedName name="Z_97D58294_343B_4B62_A826_0DDDE29B5F0D_.wvu.Rows" localSheetId="4" hidden="1">'4) Baseline Changes'!$1:$1</definedName>
    <definedName name="Z_97D58294_343B_4B62_A826_0DDDE29B5F0D_.wvu.Rows" localSheetId="12" hidden="1">'5a)NDA MPPR'!$63:$101</definedName>
    <definedName name="Z_97D58294_343B_4B62_A826_0DDDE29B5F0D_.wvu.Rows" localSheetId="13" hidden="1">'6) RAG Table'!$72:$77</definedName>
    <definedName name="Z_97D58294_343B_4B62_A826_0DDDE29B5F0D_.wvu.Rows" localSheetId="11" hidden="1">'P&amp;B Summary'!$1:$1</definedName>
    <definedName name="Z_97D58294_343B_4B62_A826_0DDDE29B5F0D_.wvu.Rows" localSheetId="9" hidden="1">'Pd08 Extended MPPR WD9'!$7:$7,'Pd08 Extended MPPR WD9'!$11:$11,'Pd08 Extended MPPR WD9'!$15:$15,'Pd08 Extended MPPR WD9'!$19:$19,'Pd08 Extended MPPR WD9'!$23:$23,'Pd08 Extended MPPR WD9'!$27:$27,'Pd08 Extended MPPR WD9'!$31:$31,'Pd08 Extended MPPR WD9'!$35:$35</definedName>
    <definedName name="Z_97D58294_343B_4B62_A826_0DDDE29B5F0D_.wvu.Rows" localSheetId="8" hidden="1">'Pd08 MPPR WD9'!$7:$7,'Pd08 MPPR WD9'!$11:$11,'Pd08 MPPR WD9'!$15:$15,'Pd08 MPPR WD9'!$19:$19,'Pd08 MPPR WD9'!$23:$23,'Pd08 MPPR WD9'!$27:$27,'Pd08 MPPR WD9'!$31:$31,'Pd08 MPPR WD9'!$35:$35,'Pd08 MPPR WD9'!$39:$39,'Pd08 MPPR WD9'!$43:$43,'Pd08 MPPR WD9'!$47:$47,'Pd08 MPPR WD9'!$50:$50,'Pd08 MPPR WD9'!$53:$53</definedName>
    <definedName name="Z_9AF6E233_883D_48B4_95AB_42B37199AB9E_.wvu.Cols" localSheetId="2" hidden="1">'1) Report'!$AO:$AU</definedName>
    <definedName name="Z_9AF6E233_883D_48B4_95AB_42B37199AB9E_.wvu.Cols" localSheetId="13" hidden="1">'6) RAG Table'!$AB:$AE</definedName>
    <definedName name="Z_9AF6E233_883D_48B4_95AB_42B37199AB9E_.wvu.FilterData" localSheetId="13" hidden="1">'6) RAG Table'!$AC$4:$AC$61</definedName>
    <definedName name="Z_9AF6E233_883D_48B4_95AB_42B37199AB9E_.wvu.PrintArea" localSheetId="0" hidden="1">'0) SL Project Structure'!$A$1:$AL$82</definedName>
    <definedName name="Z_9AF6E233_883D_48B4_95AB_42B37199AB9E_.wvu.PrintArea" localSheetId="1" hidden="1">'0) SL Project Structure OLD'!$A$1:$AL$68</definedName>
    <definedName name="Z_9AF6E233_883D_48B4_95AB_42B37199AB9E_.wvu.PrintArea" localSheetId="2" hidden="1">'1) Report'!$B$2:$AM$138</definedName>
    <definedName name="Z_9AF6E233_883D_48B4_95AB_42B37199AB9E_.wvu.PrintArea" localSheetId="11" hidden="1">'P&amp;B Summary'!$B$3:$J$18</definedName>
    <definedName name="Z_9AF6E233_883D_48B4_95AB_42B37199AB9E_.wvu.PrintTitles" localSheetId="2" hidden="1">'1) Report'!$3:$6</definedName>
    <definedName name="Z_9AF6E233_883D_48B4_95AB_42B37199AB9E_.wvu.Rows" localSheetId="2" hidden="1">'1) Report'!$1:$1,'1) Report'!$16:$16,'1) Report'!#REF!,'1) Report'!$52:$52,'1) Report'!$120:$120,'1) Report'!#REF!</definedName>
    <definedName name="Z_9AF6E233_883D_48B4_95AB_42B37199AB9E_.wvu.Rows" localSheetId="6" hidden="1">'3) BC and Sanction'!$1:$1</definedName>
    <definedName name="Z_9AF6E233_883D_48B4_95AB_42B37199AB9E_.wvu.Rows" localSheetId="4" hidden="1">'4) Baseline Changes'!$1:$1</definedName>
    <definedName name="Z_9AF6E233_883D_48B4_95AB_42B37199AB9E_.wvu.Rows" localSheetId="12" hidden="1">'5a)NDA MPPR'!$63:$101</definedName>
    <definedName name="Z_9AF6E233_883D_48B4_95AB_42B37199AB9E_.wvu.Rows" localSheetId="13" hidden="1">'6) RAG Table'!$72:$77</definedName>
    <definedName name="Z_9AF6E233_883D_48B4_95AB_42B37199AB9E_.wvu.Rows" localSheetId="11" hidden="1">'P&amp;B Summary'!$1:$1</definedName>
    <definedName name="Z_9AF6E233_883D_48B4_95AB_42B37199AB9E_.wvu.Rows" localSheetId="9" hidden="1">'Pd08 Extended MPPR WD9'!$7:$7,'Pd08 Extended MPPR WD9'!$11:$11,'Pd08 Extended MPPR WD9'!$15:$15,'Pd08 Extended MPPR WD9'!$19:$19,'Pd08 Extended MPPR WD9'!$23:$23,'Pd08 Extended MPPR WD9'!$27:$27,'Pd08 Extended MPPR WD9'!$31:$31,'Pd08 Extended MPPR WD9'!$35:$35</definedName>
    <definedName name="Z_9AF6E233_883D_48B4_95AB_42B37199AB9E_.wvu.Rows" localSheetId="8" hidden="1">'Pd08 MPPR WD9'!$7:$7,'Pd08 MPPR WD9'!$11:$11,'Pd08 MPPR WD9'!$15:$15,'Pd08 MPPR WD9'!$19:$19,'Pd08 MPPR WD9'!$23:$23,'Pd08 MPPR WD9'!$27:$27,'Pd08 MPPR WD9'!$31:$31,'Pd08 MPPR WD9'!$35:$35,'Pd08 MPPR WD9'!$39:$39,'Pd08 MPPR WD9'!$43:$43,'Pd08 MPPR WD9'!$47:$47,'Pd08 MPPR WD9'!$50:$50,'Pd08 MPPR WD9'!$53:$53</definedName>
    <definedName name="Z_9F91FBC4_6A13_42C2_A2D9_42A2AC814E28_.wvu.Cols" localSheetId="2" hidden="1">'1) Report'!$AO:$AU</definedName>
    <definedName name="Z_9F91FBC4_6A13_42C2_A2D9_42A2AC814E28_.wvu.Cols" localSheetId="13" hidden="1">'6) RAG Table'!$AB:$AE</definedName>
    <definedName name="Z_9F91FBC4_6A13_42C2_A2D9_42A2AC814E28_.wvu.FilterData" localSheetId="13" hidden="1">'6) RAG Table'!$AC$4:$AC$61</definedName>
    <definedName name="Z_9F91FBC4_6A13_42C2_A2D9_42A2AC814E28_.wvu.PrintArea" localSheetId="0" hidden="1">'0) SL Project Structure'!$A$1:$AL$82</definedName>
    <definedName name="Z_9F91FBC4_6A13_42C2_A2D9_42A2AC814E28_.wvu.PrintArea" localSheetId="1" hidden="1">'0) SL Project Structure OLD'!$A$1:$AL$68</definedName>
    <definedName name="Z_9F91FBC4_6A13_42C2_A2D9_42A2AC814E28_.wvu.PrintArea" localSheetId="2" hidden="1">'1) Report'!$B$2:$AM$137</definedName>
    <definedName name="Z_9F91FBC4_6A13_42C2_A2D9_42A2AC814E28_.wvu.PrintArea" localSheetId="13" hidden="1">'6) RAG Table'!$B$1:$AA$104</definedName>
    <definedName name="Z_9F91FBC4_6A13_42C2_A2D9_42A2AC814E28_.wvu.PrintArea" localSheetId="11" hidden="1">'P&amp;B Summary'!$B$3:$J$18</definedName>
    <definedName name="Z_9F91FBC4_6A13_42C2_A2D9_42A2AC814E28_.wvu.PrintTitles" localSheetId="2" hidden="1">'1) Report'!$3:$6</definedName>
    <definedName name="Z_9F91FBC4_6A13_42C2_A2D9_42A2AC814E28_.wvu.Rows" localSheetId="2" hidden="1">'1) Report'!$1:$1,'1) Report'!$9:$10,'1) Report'!$16:$16,'1) Report'!$45:$45,'1) Report'!$52:$52,'1) Report'!$91:$91,'1) Report'!$120:$120</definedName>
    <definedName name="Z_9F91FBC4_6A13_42C2_A2D9_42A2AC814E28_.wvu.Rows" localSheetId="6" hidden="1">'3) BC and Sanction'!$1:$1</definedName>
    <definedName name="Z_9F91FBC4_6A13_42C2_A2D9_42A2AC814E28_.wvu.Rows" localSheetId="4" hidden="1">'4) Baseline Changes'!$1:$1</definedName>
    <definedName name="Z_9F91FBC4_6A13_42C2_A2D9_42A2AC814E28_.wvu.Rows" localSheetId="12" hidden="1">'5a)NDA MPPR'!$63:$101</definedName>
    <definedName name="Z_9F91FBC4_6A13_42C2_A2D9_42A2AC814E28_.wvu.Rows" localSheetId="13" hidden="1">'6) RAG Table'!$72:$77</definedName>
    <definedName name="Z_9F91FBC4_6A13_42C2_A2D9_42A2AC814E28_.wvu.Rows" localSheetId="11" hidden="1">'P&amp;B Summary'!$1:$1</definedName>
    <definedName name="Z_9F91FBC4_6A13_42C2_A2D9_42A2AC814E28_.wvu.Rows" localSheetId="9" hidden="1">'Pd08 Extended MPPR WD9'!$7:$7,'Pd08 Extended MPPR WD9'!$11:$11,'Pd08 Extended MPPR WD9'!$15:$15,'Pd08 Extended MPPR WD9'!$19:$19,'Pd08 Extended MPPR WD9'!$23:$23,'Pd08 Extended MPPR WD9'!$27:$27,'Pd08 Extended MPPR WD9'!$31:$31,'Pd08 Extended MPPR WD9'!$35:$35</definedName>
    <definedName name="Z_9F91FBC4_6A13_42C2_A2D9_42A2AC814E28_.wvu.Rows" localSheetId="8" hidden="1">'Pd08 MPPR WD9'!$7:$7,'Pd08 MPPR WD9'!$11:$11,'Pd08 MPPR WD9'!$15:$15,'Pd08 MPPR WD9'!$19:$19,'Pd08 MPPR WD9'!$23:$23,'Pd08 MPPR WD9'!$27:$27,'Pd08 MPPR WD9'!$31:$31,'Pd08 MPPR WD9'!$35:$35,'Pd08 MPPR WD9'!$39:$39,'Pd08 MPPR WD9'!$43:$43,'Pd08 MPPR WD9'!$47:$47,'Pd08 MPPR WD9'!$50:$50,'Pd08 MPPR WD9'!$53:$53</definedName>
    <definedName name="Z_A03C6B09_6B58_4DDE_A3B2_41A27A7049D9_.wvu.Cols" localSheetId="13" hidden="1">'6) RAG Table'!$AB:$AE</definedName>
    <definedName name="Z_A03C6B09_6B58_4DDE_A3B2_41A27A7049D9_.wvu.FilterData" localSheetId="13" hidden="1">'6) RAG Table'!$AC$4:$AC$61</definedName>
    <definedName name="Z_A03C6B09_6B58_4DDE_A3B2_41A27A7049D9_.wvu.PrintArea" localSheetId="0" hidden="1">'0) SL Project Structure'!$A$1:$AL$82</definedName>
    <definedName name="Z_A03C6B09_6B58_4DDE_A3B2_41A27A7049D9_.wvu.PrintArea" localSheetId="1" hidden="1">'0) SL Project Structure OLD'!$A$1:$AL$68</definedName>
    <definedName name="Z_A03C6B09_6B58_4DDE_A3B2_41A27A7049D9_.wvu.PrintArea" localSheetId="2" hidden="1">'1) Report'!$B$2:$AM$138</definedName>
    <definedName name="Z_A03C6B09_6B58_4DDE_A3B2_41A27A7049D9_.wvu.PrintArea" localSheetId="11" hidden="1">'P&amp;B Summary'!$B$3:$J$18</definedName>
    <definedName name="Z_A03C6B09_6B58_4DDE_A3B2_41A27A7049D9_.wvu.PrintTitles" localSheetId="2" hidden="1">'1) Report'!$3:$6</definedName>
    <definedName name="Z_A03C6B09_6B58_4DDE_A3B2_41A27A7049D9_.wvu.Rows" localSheetId="2" hidden="1">'1) Report'!$1:$1,'1) Report'!$16:$16,'1) Report'!#REF!,'1) Report'!$52:$52,'1) Report'!#REF!,'1) Report'!$120:$120,'1) Report'!#REF!,'1) Report'!#REF!</definedName>
    <definedName name="Z_A03C6B09_6B58_4DDE_A3B2_41A27A7049D9_.wvu.Rows" localSheetId="6" hidden="1">'3) BC and Sanction'!$1:$1</definedName>
    <definedName name="Z_A03C6B09_6B58_4DDE_A3B2_41A27A7049D9_.wvu.Rows" localSheetId="4" hidden="1">'4) Baseline Changes'!$1:$1</definedName>
    <definedName name="Z_A03C6B09_6B58_4DDE_A3B2_41A27A7049D9_.wvu.Rows" localSheetId="12" hidden="1">'5a)NDA MPPR'!$63:$101</definedName>
    <definedName name="Z_A03C6B09_6B58_4DDE_A3B2_41A27A7049D9_.wvu.Rows" localSheetId="13" hidden="1">'6) RAG Table'!$72:$77</definedName>
    <definedName name="Z_A03C6B09_6B58_4DDE_A3B2_41A27A7049D9_.wvu.Rows" localSheetId="11" hidden="1">'P&amp;B Summary'!$1:$1</definedName>
    <definedName name="Z_A03C6B09_6B58_4DDE_A3B2_41A27A7049D9_.wvu.Rows" localSheetId="9" hidden="1">'Pd08 Extended MPPR WD9'!$7:$7,'Pd08 Extended MPPR WD9'!$11:$11,'Pd08 Extended MPPR WD9'!$15:$15,'Pd08 Extended MPPR WD9'!$19:$19,'Pd08 Extended MPPR WD9'!$23:$23,'Pd08 Extended MPPR WD9'!$27:$27,'Pd08 Extended MPPR WD9'!$31:$31,'Pd08 Extended MPPR WD9'!$35:$35</definedName>
    <definedName name="Z_A03C6B09_6B58_4DDE_A3B2_41A27A7049D9_.wvu.Rows" localSheetId="8" hidden="1">'Pd08 MPPR WD9'!$7:$7,'Pd08 MPPR WD9'!$11:$11,'Pd08 MPPR WD9'!$15:$15,'Pd08 MPPR WD9'!$19:$19,'Pd08 MPPR WD9'!$23:$23,'Pd08 MPPR WD9'!$27:$27,'Pd08 MPPR WD9'!$31:$31,'Pd08 MPPR WD9'!$35:$35,'Pd08 MPPR WD9'!$39:$39,'Pd08 MPPR WD9'!$43:$43,'Pd08 MPPR WD9'!$47:$47,'Pd08 MPPR WD9'!$50:$50,'Pd08 MPPR WD9'!$53:$53</definedName>
    <definedName name="Z_A8E976B8_D767_4DB4_82BD_ABE90880F33F_.wvu.Cols" localSheetId="2" hidden="1">'1) Report'!$AO:$AU</definedName>
    <definedName name="Z_A8E976B8_D767_4DB4_82BD_ABE90880F33F_.wvu.Cols" localSheetId="13" hidden="1">'6) RAG Table'!$AB:$AE</definedName>
    <definedName name="Z_A8E976B8_D767_4DB4_82BD_ABE90880F33F_.wvu.FilterData" localSheetId="13" hidden="1">'6) RAG Table'!$AC$4:$AC$61</definedName>
    <definedName name="Z_A8E976B8_D767_4DB4_82BD_ABE90880F33F_.wvu.PrintArea" localSheetId="0" hidden="1">'0) SL Project Structure'!$A$1:$AL$82</definedName>
    <definedName name="Z_A8E976B8_D767_4DB4_82BD_ABE90880F33F_.wvu.PrintArea" localSheetId="1" hidden="1">'0) SL Project Structure OLD'!$A$1:$AL$68</definedName>
    <definedName name="Z_A8E976B8_D767_4DB4_82BD_ABE90880F33F_.wvu.PrintArea" localSheetId="2" hidden="1">'1) Report'!$B$2:$AM$137</definedName>
    <definedName name="Z_A8E976B8_D767_4DB4_82BD_ABE90880F33F_.wvu.PrintArea" localSheetId="5" hidden="1">'2) Definitions'!$A$2:$T$50</definedName>
    <definedName name="Z_A8E976B8_D767_4DB4_82BD_ABE90880F33F_.wvu.PrintArea" localSheetId="13" hidden="1">'6) RAG Table'!$A$1:$AA$100</definedName>
    <definedName name="Z_A8E976B8_D767_4DB4_82BD_ABE90880F33F_.wvu.PrintArea" localSheetId="11" hidden="1">'P&amp;B Summary'!$B$3:$J$18</definedName>
    <definedName name="Z_A8E976B8_D767_4DB4_82BD_ABE90880F33F_.wvu.PrintTitles" localSheetId="2" hidden="1">'1) Report'!$3:$6</definedName>
    <definedName name="Z_A8E976B8_D767_4DB4_82BD_ABE90880F33F_.wvu.Rows" localSheetId="2" hidden="1">'1) Report'!$1:$1,'1) Report'!$10:$10,'1) Report'!$16:$16,'1) Report'!$45:$45,'1) Report'!$52:$52,'1) Report'!$91:$91,'1) Report'!$120:$120</definedName>
    <definedName name="Z_A8E976B8_D767_4DB4_82BD_ABE90880F33F_.wvu.Rows" localSheetId="6" hidden="1">'3) BC and Sanction'!$1:$1</definedName>
    <definedName name="Z_A8E976B8_D767_4DB4_82BD_ABE90880F33F_.wvu.Rows" localSheetId="4" hidden="1">'4) Baseline Changes'!$1:$1</definedName>
    <definedName name="Z_A8E976B8_D767_4DB4_82BD_ABE90880F33F_.wvu.Rows" localSheetId="12" hidden="1">'5a)NDA MPPR'!$63:$101</definedName>
    <definedName name="Z_A8E976B8_D767_4DB4_82BD_ABE90880F33F_.wvu.Rows" localSheetId="13" hidden="1">'6) RAG Table'!$72:$77</definedName>
    <definedName name="Z_A8E976B8_D767_4DB4_82BD_ABE90880F33F_.wvu.Rows" localSheetId="11" hidden="1">'P&amp;B Summary'!$1:$1</definedName>
    <definedName name="Z_A8E976B8_D767_4DB4_82BD_ABE90880F33F_.wvu.Rows" localSheetId="9" hidden="1">'Pd08 Extended MPPR WD9'!$7:$7,'Pd08 Extended MPPR WD9'!$11:$11,'Pd08 Extended MPPR WD9'!$15:$15,'Pd08 Extended MPPR WD9'!$19:$19,'Pd08 Extended MPPR WD9'!$23:$23,'Pd08 Extended MPPR WD9'!$27:$27,'Pd08 Extended MPPR WD9'!$31:$31,'Pd08 Extended MPPR WD9'!$35:$35</definedName>
    <definedName name="Z_A8E976B8_D767_4DB4_82BD_ABE90880F33F_.wvu.Rows" localSheetId="8" hidden="1">'Pd08 MPPR WD9'!$7:$7,'Pd08 MPPR WD9'!$11:$11,'Pd08 MPPR WD9'!$15:$15,'Pd08 MPPR WD9'!$19:$19,'Pd08 MPPR WD9'!$23:$23,'Pd08 MPPR WD9'!$27:$27,'Pd08 MPPR WD9'!$31:$31,'Pd08 MPPR WD9'!$35:$35,'Pd08 MPPR WD9'!$39:$39,'Pd08 MPPR WD9'!$43:$43,'Pd08 MPPR WD9'!$47:$47,'Pd08 MPPR WD9'!$50:$50,'Pd08 MPPR WD9'!$53:$53</definedName>
    <definedName name="Z_B0A28FD4_D7F6_428C_A7F7_92132DCD74BB_.wvu.Cols" localSheetId="13" hidden="1">'6) RAG Table'!$AB:$AE</definedName>
    <definedName name="Z_B0A28FD4_D7F6_428C_A7F7_92132DCD74BB_.wvu.FilterData" localSheetId="13" hidden="1">'6) RAG Table'!$AC$4:$AC$61</definedName>
    <definedName name="Z_B0A28FD4_D7F6_428C_A7F7_92132DCD74BB_.wvu.PrintArea" localSheetId="0" hidden="1">'0) SL Project Structure'!$A$1:$AL$82</definedName>
    <definedName name="Z_B0A28FD4_D7F6_428C_A7F7_92132DCD74BB_.wvu.PrintArea" localSheetId="1" hidden="1">'0) SL Project Structure OLD'!$A$1:$AL$68</definedName>
    <definedName name="Z_B0A28FD4_D7F6_428C_A7F7_92132DCD74BB_.wvu.PrintArea" localSheetId="2" hidden="1">'1) Report'!$B$2:$AM$138</definedName>
    <definedName name="Z_B0A28FD4_D7F6_428C_A7F7_92132DCD74BB_.wvu.PrintArea" localSheetId="11" hidden="1">'P&amp;B Summary'!$B$3:$J$18</definedName>
    <definedName name="Z_B0A28FD4_D7F6_428C_A7F7_92132DCD74BB_.wvu.PrintTitles" localSheetId="2" hidden="1">'1) Report'!$3:$6</definedName>
    <definedName name="Z_B0A28FD4_D7F6_428C_A7F7_92132DCD74BB_.wvu.Rows" localSheetId="2" hidden="1">'1) Report'!$1:$1,'1) Report'!$16:$16,'1) Report'!#REF!,'1) Report'!$52:$52,'1) Report'!#REF!,'1) Report'!$120:$120,'1) Report'!#REF!,'1) Report'!#REF!</definedName>
    <definedName name="Z_B0A28FD4_D7F6_428C_A7F7_92132DCD74BB_.wvu.Rows" localSheetId="6" hidden="1">'3) BC and Sanction'!$1:$1</definedName>
    <definedName name="Z_B0A28FD4_D7F6_428C_A7F7_92132DCD74BB_.wvu.Rows" localSheetId="4" hidden="1">'4) Baseline Changes'!$1:$1</definedName>
    <definedName name="Z_B0A28FD4_D7F6_428C_A7F7_92132DCD74BB_.wvu.Rows" localSheetId="12" hidden="1">'5a)NDA MPPR'!$63:$101</definedName>
    <definedName name="Z_B0A28FD4_D7F6_428C_A7F7_92132DCD74BB_.wvu.Rows" localSheetId="13" hidden="1">'6) RAG Table'!$72:$77</definedName>
    <definedName name="Z_B0A28FD4_D7F6_428C_A7F7_92132DCD74BB_.wvu.Rows" localSheetId="11" hidden="1">'P&amp;B Summary'!$1:$1</definedName>
    <definedName name="Z_B0A28FD4_D7F6_428C_A7F7_92132DCD74BB_.wvu.Rows" localSheetId="9" hidden="1">'Pd08 Extended MPPR WD9'!$7:$7,'Pd08 Extended MPPR WD9'!$11:$11,'Pd08 Extended MPPR WD9'!$15:$15,'Pd08 Extended MPPR WD9'!$19:$19,'Pd08 Extended MPPR WD9'!$23:$23,'Pd08 Extended MPPR WD9'!$27:$27,'Pd08 Extended MPPR WD9'!$31:$31,'Pd08 Extended MPPR WD9'!$35:$35</definedName>
    <definedName name="Z_B0A28FD4_D7F6_428C_A7F7_92132DCD74BB_.wvu.Rows" localSheetId="8" hidden="1">'Pd08 MPPR WD9'!$7:$7,'Pd08 MPPR WD9'!$11:$11,'Pd08 MPPR WD9'!$15:$15,'Pd08 MPPR WD9'!$19:$19,'Pd08 MPPR WD9'!$23:$23,'Pd08 MPPR WD9'!$27:$27,'Pd08 MPPR WD9'!$31:$31,'Pd08 MPPR WD9'!$35:$35,'Pd08 MPPR WD9'!$39:$39,'Pd08 MPPR WD9'!$43:$43,'Pd08 MPPR WD9'!$47:$47,'Pd08 MPPR WD9'!$50:$50,'Pd08 MPPR WD9'!$53:$53</definedName>
    <definedName name="Z_B434A8A8_5A4C_48C0_82E7_2458B9D2EEEF_.wvu.Cols" localSheetId="2" hidden="1">'1) Report'!$AO:$AU</definedName>
    <definedName name="Z_B434A8A8_5A4C_48C0_82E7_2458B9D2EEEF_.wvu.Cols" localSheetId="13" hidden="1">'6) RAG Table'!$AC:$AC</definedName>
    <definedName name="Z_B434A8A8_5A4C_48C0_82E7_2458B9D2EEEF_.wvu.FilterData" localSheetId="13" hidden="1">'6) RAG Table'!$AC$4:$AC$61</definedName>
    <definedName name="Z_B434A8A8_5A4C_48C0_82E7_2458B9D2EEEF_.wvu.PrintArea" localSheetId="0" hidden="1">'0) SL Project Structure'!$A$1:$AL$82</definedName>
    <definedName name="Z_B434A8A8_5A4C_48C0_82E7_2458B9D2EEEF_.wvu.PrintArea" localSheetId="1" hidden="1">'0) SL Project Structure OLD'!$A$1:$AL$68</definedName>
    <definedName name="Z_B434A8A8_5A4C_48C0_82E7_2458B9D2EEEF_.wvu.PrintArea" localSheetId="2" hidden="1">'1) Report'!$B$2:$AM$137</definedName>
    <definedName name="Z_B434A8A8_5A4C_48C0_82E7_2458B9D2EEEF_.wvu.PrintArea" localSheetId="5" hidden="1">'2) Definitions'!$A$2:$T$50</definedName>
    <definedName name="Z_B434A8A8_5A4C_48C0_82E7_2458B9D2EEEF_.wvu.PrintArea" localSheetId="13" hidden="1">'6) RAG Table'!$B$1:$AA$111</definedName>
    <definedName name="Z_B434A8A8_5A4C_48C0_82E7_2458B9D2EEEF_.wvu.PrintArea" localSheetId="11" hidden="1">'P&amp;B Summary'!$B$3:$J$18</definedName>
    <definedName name="Z_B434A8A8_5A4C_48C0_82E7_2458B9D2EEEF_.wvu.PrintTitles" localSheetId="2" hidden="1">'1) Report'!$3:$6</definedName>
    <definedName name="Z_B434A8A8_5A4C_48C0_82E7_2458B9D2EEEF_.wvu.Rows" localSheetId="2" hidden="1">'1) Report'!$1:$1,'1) Report'!$10:$10,'1) Report'!$16:$16,'1) Report'!$45:$45,'1) Report'!$52:$52,'1) Report'!$91:$91,'1) Report'!$120:$120</definedName>
    <definedName name="Z_B434A8A8_5A4C_48C0_82E7_2458B9D2EEEF_.wvu.Rows" localSheetId="6" hidden="1">'3) BC and Sanction'!$1:$1</definedName>
    <definedName name="Z_B434A8A8_5A4C_48C0_82E7_2458B9D2EEEF_.wvu.Rows" localSheetId="4" hidden="1">'4) Baseline Changes'!$1:$1</definedName>
    <definedName name="Z_B434A8A8_5A4C_48C0_82E7_2458B9D2EEEF_.wvu.Rows" localSheetId="12" hidden="1">'5a)NDA MPPR'!$63:$101</definedName>
    <definedName name="Z_B434A8A8_5A4C_48C0_82E7_2458B9D2EEEF_.wvu.Rows" localSheetId="13" hidden="1">'6) RAG Table'!$72:$77</definedName>
    <definedName name="Z_B434A8A8_5A4C_48C0_82E7_2458B9D2EEEF_.wvu.Rows" localSheetId="11" hidden="1">'P&amp;B Summary'!$1:$1</definedName>
    <definedName name="Z_B434A8A8_5A4C_48C0_82E7_2458B9D2EEEF_.wvu.Rows" localSheetId="9" hidden="1">'Pd08 Extended MPPR WD9'!$7:$7,'Pd08 Extended MPPR WD9'!$11:$11,'Pd08 Extended MPPR WD9'!$15:$15,'Pd08 Extended MPPR WD9'!$19:$19,'Pd08 Extended MPPR WD9'!$23:$23,'Pd08 Extended MPPR WD9'!$27:$27,'Pd08 Extended MPPR WD9'!$31:$31,'Pd08 Extended MPPR WD9'!$35:$35</definedName>
    <definedName name="Z_B434A8A8_5A4C_48C0_82E7_2458B9D2EEEF_.wvu.Rows" localSheetId="8" hidden="1">'Pd08 MPPR WD9'!$7:$7,'Pd08 MPPR WD9'!$11:$11,'Pd08 MPPR WD9'!$15:$15,'Pd08 MPPR WD9'!$19:$19,'Pd08 MPPR WD9'!$23:$23,'Pd08 MPPR WD9'!$27:$27,'Pd08 MPPR WD9'!$31:$31,'Pd08 MPPR WD9'!$35:$35,'Pd08 MPPR WD9'!$39:$39,'Pd08 MPPR WD9'!$43:$43,'Pd08 MPPR WD9'!$47:$47,'Pd08 MPPR WD9'!$50:$50,'Pd08 MPPR WD9'!$53:$53</definedName>
    <definedName name="Z_B8317A9A_0FFD_4A18_80F7_203DB2FC8CA5_.wvu.Cols" localSheetId="2" hidden="1">'1) Report'!$AO:$AU</definedName>
    <definedName name="Z_B8317A9A_0FFD_4A18_80F7_203DB2FC8CA5_.wvu.Cols" localSheetId="13" hidden="1">'6) RAG Table'!$AB:$AE</definedName>
    <definedName name="Z_B8317A9A_0FFD_4A18_80F7_203DB2FC8CA5_.wvu.FilterData" localSheetId="13" hidden="1">'6) RAG Table'!$AC$4:$AC$61</definedName>
    <definedName name="Z_B8317A9A_0FFD_4A18_80F7_203DB2FC8CA5_.wvu.PrintArea" localSheetId="0" hidden="1">'0) SL Project Structure'!$A$1:$AL$82</definedName>
    <definedName name="Z_B8317A9A_0FFD_4A18_80F7_203DB2FC8CA5_.wvu.PrintArea" localSheetId="1" hidden="1">'0) SL Project Structure OLD'!$A$1:$AL$68</definedName>
    <definedName name="Z_B8317A9A_0FFD_4A18_80F7_203DB2FC8CA5_.wvu.PrintArea" localSheetId="2" hidden="1">'1) Report'!$B$2:$AM$137</definedName>
    <definedName name="Z_B8317A9A_0FFD_4A18_80F7_203DB2FC8CA5_.wvu.PrintArea" localSheetId="5" hidden="1">'2) Definitions'!$A$2:$T$50</definedName>
    <definedName name="Z_B8317A9A_0FFD_4A18_80F7_203DB2FC8CA5_.wvu.PrintArea" localSheetId="13" hidden="1">'6) RAG Table'!$A$1:$AA$100</definedName>
    <definedName name="Z_B8317A9A_0FFD_4A18_80F7_203DB2FC8CA5_.wvu.PrintArea" localSheetId="11" hidden="1">'P&amp;B Summary'!$B$3:$J$18</definedName>
    <definedName name="Z_B8317A9A_0FFD_4A18_80F7_203DB2FC8CA5_.wvu.PrintTitles" localSheetId="2" hidden="1">'1) Report'!$3:$6</definedName>
    <definedName name="Z_B8317A9A_0FFD_4A18_80F7_203DB2FC8CA5_.wvu.Rows" localSheetId="2" hidden="1">'1) Report'!$1:$1,'1) Report'!$10:$10,'1) Report'!$16:$16,'1) Report'!$45:$45,'1) Report'!$52:$52,'1) Report'!$91:$91,'1) Report'!$120:$120</definedName>
    <definedName name="Z_B8317A9A_0FFD_4A18_80F7_203DB2FC8CA5_.wvu.Rows" localSheetId="6" hidden="1">'3) BC and Sanction'!$1:$1</definedName>
    <definedName name="Z_B8317A9A_0FFD_4A18_80F7_203DB2FC8CA5_.wvu.Rows" localSheetId="4" hidden="1">'4) Baseline Changes'!$1:$1</definedName>
    <definedName name="Z_B8317A9A_0FFD_4A18_80F7_203DB2FC8CA5_.wvu.Rows" localSheetId="12" hidden="1">'5a)NDA MPPR'!$63:$101</definedName>
    <definedName name="Z_B8317A9A_0FFD_4A18_80F7_203DB2FC8CA5_.wvu.Rows" localSheetId="13" hidden="1">'6) RAG Table'!$72:$77</definedName>
    <definedName name="Z_B8317A9A_0FFD_4A18_80F7_203DB2FC8CA5_.wvu.Rows" localSheetId="11" hidden="1">'P&amp;B Summary'!$1:$1</definedName>
    <definedName name="Z_B8317A9A_0FFD_4A18_80F7_203DB2FC8CA5_.wvu.Rows" localSheetId="9" hidden="1">'Pd08 Extended MPPR WD9'!$7:$7,'Pd08 Extended MPPR WD9'!$11:$11,'Pd08 Extended MPPR WD9'!$15:$15,'Pd08 Extended MPPR WD9'!$19:$19,'Pd08 Extended MPPR WD9'!$23:$23,'Pd08 Extended MPPR WD9'!$27:$27,'Pd08 Extended MPPR WD9'!$31:$31,'Pd08 Extended MPPR WD9'!$35:$35</definedName>
    <definedName name="Z_B8317A9A_0FFD_4A18_80F7_203DB2FC8CA5_.wvu.Rows" localSheetId="8" hidden="1">'Pd08 MPPR WD9'!$7:$7,'Pd08 MPPR WD9'!$11:$11,'Pd08 MPPR WD9'!$15:$15,'Pd08 MPPR WD9'!$19:$19,'Pd08 MPPR WD9'!$23:$23,'Pd08 MPPR WD9'!$27:$27,'Pd08 MPPR WD9'!$31:$31,'Pd08 MPPR WD9'!$35:$35,'Pd08 MPPR WD9'!$39:$39,'Pd08 MPPR WD9'!$43:$43,'Pd08 MPPR WD9'!$47:$47,'Pd08 MPPR WD9'!$50:$50,'Pd08 MPPR WD9'!$53:$53</definedName>
    <definedName name="Z_B84DA703_8C5B_4100_91A4_8807E303D379_.wvu.Cols" localSheetId="2" hidden="1">'1) Report'!$AO:$AU</definedName>
    <definedName name="Z_B84DA703_8C5B_4100_91A4_8807E303D379_.wvu.Cols" localSheetId="13" hidden="1">'6) RAG Table'!$AC:$AC</definedName>
    <definedName name="Z_B84DA703_8C5B_4100_91A4_8807E303D379_.wvu.FilterData" localSheetId="13" hidden="1">'6) RAG Table'!$AC$4:$AC$61</definedName>
    <definedName name="Z_B84DA703_8C5B_4100_91A4_8807E303D379_.wvu.PrintArea" localSheetId="0" hidden="1">'0) SL Project Structure'!$A$1:$AL$82</definedName>
    <definedName name="Z_B84DA703_8C5B_4100_91A4_8807E303D379_.wvu.PrintArea" localSheetId="1" hidden="1">'0) SL Project Structure OLD'!$A$1:$AL$68</definedName>
    <definedName name="Z_B84DA703_8C5B_4100_91A4_8807E303D379_.wvu.PrintArea" localSheetId="2" hidden="1">'1) Report'!$B$2:$AM$137</definedName>
    <definedName name="Z_B84DA703_8C5B_4100_91A4_8807E303D379_.wvu.PrintArea" localSheetId="5" hidden="1">'2) Definitions'!$A$2:$T$50</definedName>
    <definedName name="Z_B84DA703_8C5B_4100_91A4_8807E303D379_.wvu.PrintArea" localSheetId="13" hidden="1">'6) RAG Table'!$B$1:$AA$111</definedName>
    <definedName name="Z_B84DA703_8C5B_4100_91A4_8807E303D379_.wvu.PrintArea" localSheetId="11" hidden="1">'P&amp;B Summary'!$B$3:$J$18</definedName>
    <definedName name="Z_B84DA703_8C5B_4100_91A4_8807E303D379_.wvu.PrintTitles" localSheetId="2" hidden="1">'1) Report'!$3:$6</definedName>
    <definedName name="Z_B84DA703_8C5B_4100_91A4_8807E303D379_.wvu.Rows" localSheetId="2" hidden="1">'1) Report'!$1:$1,'1) Report'!$10:$10,'1) Report'!$16:$16,'1) Report'!$45:$45,'1) Report'!$52:$52,'1) Report'!$91:$91,'1) Report'!$120:$120</definedName>
    <definedName name="Z_B84DA703_8C5B_4100_91A4_8807E303D379_.wvu.Rows" localSheetId="6" hidden="1">'3) BC and Sanction'!$1:$1</definedName>
    <definedName name="Z_B84DA703_8C5B_4100_91A4_8807E303D379_.wvu.Rows" localSheetId="4" hidden="1">'4) Baseline Changes'!$1:$1</definedName>
    <definedName name="Z_B84DA703_8C5B_4100_91A4_8807E303D379_.wvu.Rows" localSheetId="13" hidden="1">'6) RAG Table'!$72:$77</definedName>
    <definedName name="Z_B84DA703_8C5B_4100_91A4_8807E303D379_.wvu.Rows" localSheetId="11" hidden="1">'P&amp;B Summary'!$1:$1</definedName>
    <definedName name="Z_B84DA703_8C5B_4100_91A4_8807E303D379_.wvu.Rows" localSheetId="9" hidden="1">'Pd08 Extended MPPR WD9'!$7:$7,'Pd08 Extended MPPR WD9'!$11:$11,'Pd08 Extended MPPR WD9'!$15:$15,'Pd08 Extended MPPR WD9'!$19:$19,'Pd08 Extended MPPR WD9'!$23:$23,'Pd08 Extended MPPR WD9'!$27:$27,'Pd08 Extended MPPR WD9'!$31:$31,'Pd08 Extended MPPR WD9'!$35:$35</definedName>
    <definedName name="Z_B84DA703_8C5B_4100_91A4_8807E303D379_.wvu.Rows" localSheetId="8" hidden="1">'Pd08 MPPR WD9'!$7:$7,'Pd08 MPPR WD9'!$11:$11,'Pd08 MPPR WD9'!$15:$15,'Pd08 MPPR WD9'!$19:$19,'Pd08 MPPR WD9'!$23:$23,'Pd08 MPPR WD9'!$27:$27,'Pd08 MPPR WD9'!$31:$31,'Pd08 MPPR WD9'!$35:$35,'Pd08 MPPR WD9'!$39:$39,'Pd08 MPPR WD9'!$43:$43,'Pd08 MPPR WD9'!$47:$47,'Pd08 MPPR WD9'!$50:$50,'Pd08 MPPR WD9'!$53:$53</definedName>
    <definedName name="Z_B95D32C7_1418_4EF6_8936_849885C54A4A_.wvu.Cols" localSheetId="2" hidden="1">'1) Report'!$AO:$AU</definedName>
    <definedName name="Z_B95D32C7_1418_4EF6_8936_849885C54A4A_.wvu.Cols" localSheetId="13" hidden="1">'6) RAG Table'!$AB:$AE</definedName>
    <definedName name="Z_B95D32C7_1418_4EF6_8936_849885C54A4A_.wvu.FilterData" localSheetId="13" hidden="1">'6) RAG Table'!$AC$4:$AC$61</definedName>
    <definedName name="Z_B95D32C7_1418_4EF6_8936_849885C54A4A_.wvu.PrintArea" localSheetId="0" hidden="1">'0) SL Project Structure'!$A$1:$AL$82</definedName>
    <definedName name="Z_B95D32C7_1418_4EF6_8936_849885C54A4A_.wvu.PrintArea" localSheetId="1" hidden="1">'0) SL Project Structure OLD'!$A$1:$AL$68</definedName>
    <definedName name="Z_B95D32C7_1418_4EF6_8936_849885C54A4A_.wvu.PrintArea" localSheetId="2" hidden="1">'1) Report'!$B$2:$AM$137</definedName>
    <definedName name="Z_B95D32C7_1418_4EF6_8936_849885C54A4A_.wvu.PrintArea" localSheetId="5" hidden="1">'2) Definitions'!$A$2:$T$50</definedName>
    <definedName name="Z_B95D32C7_1418_4EF6_8936_849885C54A4A_.wvu.PrintArea" localSheetId="13" hidden="1">'6) RAG Table'!$B$1:$AA$97</definedName>
    <definedName name="Z_B95D32C7_1418_4EF6_8936_849885C54A4A_.wvu.PrintArea" localSheetId="11" hidden="1">'P&amp;B Summary'!$B$3:$J$18</definedName>
    <definedName name="Z_B95D32C7_1418_4EF6_8936_849885C54A4A_.wvu.PrintTitles" localSheetId="2" hidden="1">'1) Report'!$3:$6</definedName>
    <definedName name="Z_B95D32C7_1418_4EF6_8936_849885C54A4A_.wvu.Rows" localSheetId="2" hidden="1">'1) Report'!$1:$1,'1) Report'!$10:$10,'1) Report'!$16:$16,'1) Report'!$45:$45,'1) Report'!$52:$52,'1) Report'!$91:$91,'1) Report'!$120:$120</definedName>
    <definedName name="Z_B95D32C7_1418_4EF6_8936_849885C54A4A_.wvu.Rows" localSheetId="6" hidden="1">'3) BC and Sanction'!$1:$1</definedName>
    <definedName name="Z_B95D32C7_1418_4EF6_8936_849885C54A4A_.wvu.Rows" localSheetId="4" hidden="1">'4) Baseline Changes'!$1:$1</definedName>
    <definedName name="Z_B95D32C7_1418_4EF6_8936_849885C54A4A_.wvu.Rows" localSheetId="12" hidden="1">'5a)NDA MPPR'!$63:$101</definedName>
    <definedName name="Z_B95D32C7_1418_4EF6_8936_849885C54A4A_.wvu.Rows" localSheetId="13" hidden="1">'6) RAG Table'!$72:$77</definedName>
    <definedName name="Z_B95D32C7_1418_4EF6_8936_849885C54A4A_.wvu.Rows" localSheetId="11" hidden="1">'P&amp;B Summary'!$1:$1</definedName>
    <definedName name="Z_B95D32C7_1418_4EF6_8936_849885C54A4A_.wvu.Rows" localSheetId="9" hidden="1">'Pd08 Extended MPPR WD9'!$7:$7,'Pd08 Extended MPPR WD9'!$11:$11,'Pd08 Extended MPPR WD9'!$15:$15,'Pd08 Extended MPPR WD9'!$19:$19,'Pd08 Extended MPPR WD9'!$23:$23,'Pd08 Extended MPPR WD9'!$27:$27,'Pd08 Extended MPPR WD9'!$31:$31,'Pd08 Extended MPPR WD9'!$35:$35</definedName>
    <definedName name="Z_B95D32C7_1418_4EF6_8936_849885C54A4A_.wvu.Rows" localSheetId="8" hidden="1">'Pd08 MPPR WD9'!$7:$7,'Pd08 MPPR WD9'!$11:$11,'Pd08 MPPR WD9'!$15:$15,'Pd08 MPPR WD9'!$19:$19,'Pd08 MPPR WD9'!$23:$23,'Pd08 MPPR WD9'!$27:$27,'Pd08 MPPR WD9'!$31:$31,'Pd08 MPPR WD9'!$35:$35,'Pd08 MPPR WD9'!$39:$39,'Pd08 MPPR WD9'!$43:$43,'Pd08 MPPR WD9'!$47:$47,'Pd08 MPPR WD9'!$50:$50,'Pd08 MPPR WD9'!$53:$53</definedName>
    <definedName name="Z_BDCD1595_C0B8_4F6C_B01C_3472C895B827_.wvu.Cols" localSheetId="2" hidden="1">'1) Report'!$AO:$AU</definedName>
    <definedName name="Z_BDCD1595_C0B8_4F6C_B01C_3472C895B827_.wvu.Cols" localSheetId="13" hidden="1">'6) RAG Table'!$AC:$AC</definedName>
    <definedName name="Z_BDCD1595_C0B8_4F6C_B01C_3472C895B827_.wvu.FilterData" localSheetId="13" hidden="1">'6) RAG Table'!$AC$4:$AC$61</definedName>
    <definedName name="Z_BDCD1595_C0B8_4F6C_B01C_3472C895B827_.wvu.PrintArea" localSheetId="0" hidden="1">'0) SL Project Structure'!$A$1:$AL$82</definedName>
    <definedName name="Z_BDCD1595_C0B8_4F6C_B01C_3472C895B827_.wvu.PrintArea" localSheetId="1" hidden="1">'0) SL Project Structure OLD'!$A$1:$AL$68</definedName>
    <definedName name="Z_BDCD1595_C0B8_4F6C_B01C_3472C895B827_.wvu.PrintArea" localSheetId="2" hidden="1">'1) Report'!$B$2:$AM$137</definedName>
    <definedName name="Z_BDCD1595_C0B8_4F6C_B01C_3472C895B827_.wvu.PrintArea" localSheetId="5" hidden="1">'2) Definitions'!$A$2:$T$50</definedName>
    <definedName name="Z_BDCD1595_C0B8_4F6C_B01C_3472C895B827_.wvu.PrintArea" localSheetId="13" hidden="1">'6) RAG Table'!$B$1:$AA$111</definedName>
    <definedName name="Z_BDCD1595_C0B8_4F6C_B01C_3472C895B827_.wvu.PrintArea" localSheetId="11" hidden="1">'P&amp;B Summary'!$B$3:$J$18</definedName>
    <definedName name="Z_BDCD1595_C0B8_4F6C_B01C_3472C895B827_.wvu.PrintTitles" localSheetId="2" hidden="1">'1) Report'!$3:$6</definedName>
    <definedName name="Z_BDCD1595_C0B8_4F6C_B01C_3472C895B827_.wvu.Rows" localSheetId="2" hidden="1">'1) Report'!$1:$1,'1) Report'!$10:$10,'1) Report'!$16:$16,'1) Report'!$45:$45,'1) Report'!$52:$52,'1) Report'!$91:$91,'1) Report'!$120:$120</definedName>
    <definedName name="Z_BDCD1595_C0B8_4F6C_B01C_3472C895B827_.wvu.Rows" localSheetId="6" hidden="1">'3) BC and Sanction'!$1:$1</definedName>
    <definedName name="Z_BDCD1595_C0B8_4F6C_B01C_3472C895B827_.wvu.Rows" localSheetId="4" hidden="1">'4) Baseline Changes'!$1:$1</definedName>
    <definedName name="Z_BDCD1595_C0B8_4F6C_B01C_3472C895B827_.wvu.Rows" localSheetId="13" hidden="1">'6) RAG Table'!$72:$77</definedName>
    <definedName name="Z_BDCD1595_C0B8_4F6C_B01C_3472C895B827_.wvu.Rows" localSheetId="11" hidden="1">'P&amp;B Summary'!$1:$1</definedName>
    <definedName name="Z_BDCD1595_C0B8_4F6C_B01C_3472C895B827_.wvu.Rows" localSheetId="9" hidden="1">'Pd08 Extended MPPR WD9'!$7:$7,'Pd08 Extended MPPR WD9'!$11:$11,'Pd08 Extended MPPR WD9'!$15:$15,'Pd08 Extended MPPR WD9'!$19:$19,'Pd08 Extended MPPR WD9'!$23:$23,'Pd08 Extended MPPR WD9'!$27:$27,'Pd08 Extended MPPR WD9'!$31:$31,'Pd08 Extended MPPR WD9'!$35:$35</definedName>
    <definedName name="Z_BDCD1595_C0B8_4F6C_B01C_3472C895B827_.wvu.Rows" localSheetId="8" hidden="1">'Pd08 MPPR WD9'!$7:$7,'Pd08 MPPR WD9'!$11:$11,'Pd08 MPPR WD9'!$15:$15,'Pd08 MPPR WD9'!$19:$19,'Pd08 MPPR WD9'!$23:$23,'Pd08 MPPR WD9'!$27:$27,'Pd08 MPPR WD9'!$31:$31,'Pd08 MPPR WD9'!$35:$35,'Pd08 MPPR WD9'!$39:$39,'Pd08 MPPR WD9'!$43:$43,'Pd08 MPPR WD9'!$47:$47,'Pd08 MPPR WD9'!$50:$50,'Pd08 MPPR WD9'!$53:$53</definedName>
    <definedName name="Z_C39AE06A_FC0A_4D7D_B287_2FA9CA174191_.wvu.Cols" localSheetId="13" hidden="1">'6) RAG Table'!$AB:$AE</definedName>
    <definedName name="Z_C39AE06A_FC0A_4D7D_B287_2FA9CA174191_.wvu.FilterData" localSheetId="13" hidden="1">'6) RAG Table'!$AC$4:$AC$61</definedName>
    <definedName name="Z_C39AE06A_FC0A_4D7D_B287_2FA9CA174191_.wvu.PrintArea" localSheetId="0" hidden="1">'0) SL Project Structure'!$A$1:$AL$82</definedName>
    <definedName name="Z_C39AE06A_FC0A_4D7D_B287_2FA9CA174191_.wvu.PrintArea" localSheetId="1" hidden="1">'0) SL Project Structure OLD'!$A$1:$AL$68</definedName>
    <definedName name="Z_C39AE06A_FC0A_4D7D_B287_2FA9CA174191_.wvu.PrintArea" localSheetId="2" hidden="1">'1) Report'!$B$2:$AM$138</definedName>
    <definedName name="Z_C39AE06A_FC0A_4D7D_B287_2FA9CA174191_.wvu.PrintArea" localSheetId="11" hidden="1">'P&amp;B Summary'!$B$3:$J$18</definedName>
    <definedName name="Z_C39AE06A_FC0A_4D7D_B287_2FA9CA174191_.wvu.PrintTitles" localSheetId="2" hidden="1">'1) Report'!$3:$6</definedName>
    <definedName name="Z_C39AE06A_FC0A_4D7D_B287_2FA9CA174191_.wvu.Rows" localSheetId="2" hidden="1">'1) Report'!$1:$1,'1) Report'!$16:$16,'1) Report'!#REF!,'1) Report'!$52:$52,'1) Report'!#REF!,'1) Report'!$120:$120,'1) Report'!#REF!,'1) Report'!#REF!</definedName>
    <definedName name="Z_C39AE06A_FC0A_4D7D_B287_2FA9CA174191_.wvu.Rows" localSheetId="6" hidden="1">'3) BC and Sanction'!$1:$1</definedName>
    <definedName name="Z_C39AE06A_FC0A_4D7D_B287_2FA9CA174191_.wvu.Rows" localSheetId="4" hidden="1">'4) Baseline Changes'!$1:$1</definedName>
    <definedName name="Z_C39AE06A_FC0A_4D7D_B287_2FA9CA174191_.wvu.Rows" localSheetId="12" hidden="1">'5a)NDA MPPR'!$63:$101</definedName>
    <definedName name="Z_C39AE06A_FC0A_4D7D_B287_2FA9CA174191_.wvu.Rows" localSheetId="13" hidden="1">'6) RAG Table'!$72:$77</definedName>
    <definedName name="Z_C39AE06A_FC0A_4D7D_B287_2FA9CA174191_.wvu.Rows" localSheetId="11" hidden="1">'P&amp;B Summary'!$1:$1</definedName>
    <definedName name="Z_C39AE06A_FC0A_4D7D_B287_2FA9CA174191_.wvu.Rows" localSheetId="9" hidden="1">'Pd08 Extended MPPR WD9'!$7:$7,'Pd08 Extended MPPR WD9'!$11:$11,'Pd08 Extended MPPR WD9'!$15:$15,'Pd08 Extended MPPR WD9'!$19:$19,'Pd08 Extended MPPR WD9'!$23:$23,'Pd08 Extended MPPR WD9'!$27:$27,'Pd08 Extended MPPR WD9'!$31:$31,'Pd08 Extended MPPR WD9'!$35:$35</definedName>
    <definedName name="Z_C39AE06A_FC0A_4D7D_B287_2FA9CA174191_.wvu.Rows" localSheetId="8" hidden="1">'Pd08 MPPR WD9'!$7:$7,'Pd08 MPPR WD9'!$11:$11,'Pd08 MPPR WD9'!$15:$15,'Pd08 MPPR WD9'!$19:$19,'Pd08 MPPR WD9'!$23:$23,'Pd08 MPPR WD9'!$27:$27,'Pd08 MPPR WD9'!$31:$31,'Pd08 MPPR WD9'!$35:$35,'Pd08 MPPR WD9'!$39:$39,'Pd08 MPPR WD9'!$43:$43,'Pd08 MPPR WD9'!$47:$47,'Pd08 MPPR WD9'!$50:$50,'Pd08 MPPR WD9'!$53:$53</definedName>
    <definedName name="Z_C57A83F1_F5A3_470B_9579_6A222C54F4E8_.wvu.Cols" localSheetId="2" hidden="1">'1) Report'!$AO:$AU</definedName>
    <definedName name="Z_C57A83F1_F5A3_470B_9579_6A222C54F4E8_.wvu.Cols" localSheetId="13" hidden="1">'6) RAG Table'!$AC:$AC</definedName>
    <definedName name="Z_C57A83F1_F5A3_470B_9579_6A222C54F4E8_.wvu.FilterData" localSheetId="13" hidden="1">'6) RAG Table'!$AC$4:$AC$61</definedName>
    <definedName name="Z_C57A83F1_F5A3_470B_9579_6A222C54F4E8_.wvu.PrintArea" localSheetId="0" hidden="1">'0) SL Project Structure'!$A$1:$AL$82</definedName>
    <definedName name="Z_C57A83F1_F5A3_470B_9579_6A222C54F4E8_.wvu.PrintArea" localSheetId="1" hidden="1">'0) SL Project Structure OLD'!$A$1:$AL$68</definedName>
    <definedName name="Z_C57A83F1_F5A3_470B_9579_6A222C54F4E8_.wvu.PrintArea" localSheetId="2" hidden="1">'1) Report'!$B$2:$AM$137</definedName>
    <definedName name="Z_C57A83F1_F5A3_470B_9579_6A222C54F4E8_.wvu.PrintArea" localSheetId="5" hidden="1">'2) Definitions'!$A$2:$T$50</definedName>
    <definedName name="Z_C57A83F1_F5A3_470B_9579_6A222C54F4E8_.wvu.PrintArea" localSheetId="13" hidden="1">'6) RAG Table'!$B$1:$AA$111</definedName>
    <definedName name="Z_C57A83F1_F5A3_470B_9579_6A222C54F4E8_.wvu.PrintArea" localSheetId="11" hidden="1">'P&amp;B Summary'!$B$3:$J$18</definedName>
    <definedName name="Z_C57A83F1_F5A3_470B_9579_6A222C54F4E8_.wvu.PrintTitles" localSheetId="2" hidden="1">'1) Report'!$3:$6</definedName>
    <definedName name="Z_C57A83F1_F5A3_470B_9579_6A222C54F4E8_.wvu.Rows" localSheetId="2" hidden="1">'1) Report'!$1:$1,'1) Report'!$10:$10,'1) Report'!$16:$16,'1) Report'!$45:$45,'1) Report'!$52:$52,'1) Report'!$91:$91,'1) Report'!$120:$120</definedName>
    <definedName name="Z_C57A83F1_F5A3_470B_9579_6A222C54F4E8_.wvu.Rows" localSheetId="6" hidden="1">'3) BC and Sanction'!$1:$1</definedName>
    <definedName name="Z_C57A83F1_F5A3_470B_9579_6A222C54F4E8_.wvu.Rows" localSheetId="4" hidden="1">'4) Baseline Changes'!$1:$1</definedName>
    <definedName name="Z_C57A83F1_F5A3_470B_9579_6A222C54F4E8_.wvu.Rows" localSheetId="13" hidden="1">'6) RAG Table'!$72:$77</definedName>
    <definedName name="Z_C57A83F1_F5A3_470B_9579_6A222C54F4E8_.wvu.Rows" localSheetId="11" hidden="1">'P&amp;B Summary'!$1:$1</definedName>
    <definedName name="Z_C57A83F1_F5A3_470B_9579_6A222C54F4E8_.wvu.Rows" localSheetId="9" hidden="1">'Pd08 Extended MPPR WD9'!$7:$7,'Pd08 Extended MPPR WD9'!$11:$11,'Pd08 Extended MPPR WD9'!$15:$15,'Pd08 Extended MPPR WD9'!$19:$19,'Pd08 Extended MPPR WD9'!$23:$23,'Pd08 Extended MPPR WD9'!$27:$27,'Pd08 Extended MPPR WD9'!$31:$31,'Pd08 Extended MPPR WD9'!$35:$35</definedName>
    <definedName name="Z_C57A83F1_F5A3_470B_9579_6A222C54F4E8_.wvu.Rows" localSheetId="8" hidden="1">'Pd08 MPPR WD9'!$7:$7,'Pd08 MPPR WD9'!$11:$11,'Pd08 MPPR WD9'!$15:$15,'Pd08 MPPR WD9'!$19:$19,'Pd08 MPPR WD9'!$23:$23,'Pd08 MPPR WD9'!$27:$27,'Pd08 MPPR WD9'!$31:$31,'Pd08 MPPR WD9'!$35:$35,'Pd08 MPPR WD9'!$39:$39,'Pd08 MPPR WD9'!$43:$43,'Pd08 MPPR WD9'!$47:$47,'Pd08 MPPR WD9'!$50:$50,'Pd08 MPPR WD9'!$53:$53</definedName>
    <definedName name="Z_C7C13768_4A8D_4CBA_978C_F4A7B5550C00_.wvu.Cols" localSheetId="2" hidden="1">'1) Report'!$AO:$AU</definedName>
    <definedName name="Z_C7C13768_4A8D_4CBA_978C_F4A7B5550C00_.wvu.Cols" localSheetId="13" hidden="1">'6) RAG Table'!$AC:$AC</definedName>
    <definedName name="Z_C7C13768_4A8D_4CBA_978C_F4A7B5550C00_.wvu.FilterData" localSheetId="13" hidden="1">'6) RAG Table'!$AC$4:$AC$61</definedName>
    <definedName name="Z_C7C13768_4A8D_4CBA_978C_F4A7B5550C00_.wvu.PrintArea" localSheetId="0" hidden="1">'0) SL Project Structure'!$A$1:$AL$82</definedName>
    <definedName name="Z_C7C13768_4A8D_4CBA_978C_F4A7B5550C00_.wvu.PrintArea" localSheetId="1" hidden="1">'0) SL Project Structure OLD'!$A$1:$AL$68</definedName>
    <definedName name="Z_C7C13768_4A8D_4CBA_978C_F4A7B5550C00_.wvu.PrintArea" localSheetId="2" hidden="1">'1) Report'!$B$2:$AM$137</definedName>
    <definedName name="Z_C7C13768_4A8D_4CBA_978C_F4A7B5550C00_.wvu.PrintArea" localSheetId="5" hidden="1">'2) Definitions'!$A$2:$T$50</definedName>
    <definedName name="Z_C7C13768_4A8D_4CBA_978C_F4A7B5550C00_.wvu.PrintArea" localSheetId="13" hidden="1">'6) RAG Table'!$B$1:$AA$111</definedName>
    <definedName name="Z_C7C13768_4A8D_4CBA_978C_F4A7B5550C00_.wvu.PrintArea" localSheetId="11" hidden="1">'P&amp;B Summary'!$B$3:$J$18</definedName>
    <definedName name="Z_C7C13768_4A8D_4CBA_978C_F4A7B5550C00_.wvu.PrintTitles" localSheetId="2" hidden="1">'1) Report'!$3:$6</definedName>
    <definedName name="Z_C7C13768_4A8D_4CBA_978C_F4A7B5550C00_.wvu.Rows" localSheetId="2" hidden="1">'1) Report'!$1:$1,'1) Report'!$10:$10,'1) Report'!$16:$16,'1) Report'!$45:$45,'1) Report'!$52:$52,'1) Report'!$91:$91,'1) Report'!$120:$120</definedName>
    <definedName name="Z_C7C13768_4A8D_4CBA_978C_F4A7B5550C00_.wvu.Rows" localSheetId="6" hidden="1">'3) BC and Sanction'!$1:$1</definedName>
    <definedName name="Z_C7C13768_4A8D_4CBA_978C_F4A7B5550C00_.wvu.Rows" localSheetId="4" hidden="1">'4) Baseline Changes'!$1:$1</definedName>
    <definedName name="Z_C7C13768_4A8D_4CBA_978C_F4A7B5550C00_.wvu.Rows" localSheetId="13" hidden="1">'6) RAG Table'!$72:$77</definedName>
    <definedName name="Z_C7C13768_4A8D_4CBA_978C_F4A7B5550C00_.wvu.Rows" localSheetId="11" hidden="1">'P&amp;B Summary'!$1:$1</definedName>
    <definedName name="Z_C7C13768_4A8D_4CBA_978C_F4A7B5550C00_.wvu.Rows" localSheetId="9" hidden="1">'Pd08 Extended MPPR WD9'!$7:$7,'Pd08 Extended MPPR WD9'!$11:$11,'Pd08 Extended MPPR WD9'!$15:$15,'Pd08 Extended MPPR WD9'!$19:$19,'Pd08 Extended MPPR WD9'!$23:$23,'Pd08 Extended MPPR WD9'!$27:$27,'Pd08 Extended MPPR WD9'!$31:$31,'Pd08 Extended MPPR WD9'!$35:$35</definedName>
    <definedName name="Z_C7C13768_4A8D_4CBA_978C_F4A7B5550C00_.wvu.Rows" localSheetId="8" hidden="1">'Pd08 MPPR WD9'!$7:$7,'Pd08 MPPR WD9'!$11:$11,'Pd08 MPPR WD9'!$15:$15,'Pd08 MPPR WD9'!$19:$19,'Pd08 MPPR WD9'!$23:$23,'Pd08 MPPR WD9'!$27:$27,'Pd08 MPPR WD9'!$31:$31,'Pd08 MPPR WD9'!$35:$35,'Pd08 MPPR WD9'!$39:$39,'Pd08 MPPR WD9'!$43:$43,'Pd08 MPPR WD9'!$47:$47,'Pd08 MPPR WD9'!$50:$50,'Pd08 MPPR WD9'!$53:$53</definedName>
    <definedName name="Z_CA7E8063_5145_49E1_8E00_2E1025705A81_.wvu.Cols" localSheetId="2" hidden="1">'1) Report'!$AO:$AU</definedName>
    <definedName name="Z_CA7E8063_5145_49E1_8E00_2E1025705A81_.wvu.Cols" localSheetId="13" hidden="1">'6) RAG Table'!$AB:$AE</definedName>
    <definedName name="Z_CA7E8063_5145_49E1_8E00_2E1025705A81_.wvu.FilterData" localSheetId="13" hidden="1">'6) RAG Table'!$AC$4:$AC$61</definedName>
    <definedName name="Z_CA7E8063_5145_49E1_8E00_2E1025705A81_.wvu.PrintArea" localSheetId="0" hidden="1">'0) SL Project Structure'!$A$1:$AL$82</definedName>
    <definedName name="Z_CA7E8063_5145_49E1_8E00_2E1025705A81_.wvu.PrintArea" localSheetId="1" hidden="1">'0) SL Project Structure OLD'!$A$1:$AL$68</definedName>
    <definedName name="Z_CA7E8063_5145_49E1_8E00_2E1025705A81_.wvu.PrintArea" localSheetId="2" hidden="1">'1) Report'!$B$2:$AM$137</definedName>
    <definedName name="Z_CA7E8063_5145_49E1_8E00_2E1025705A81_.wvu.PrintArea" localSheetId="5" hidden="1">'2) Definitions'!$A$2:$T$50</definedName>
    <definedName name="Z_CA7E8063_5145_49E1_8E00_2E1025705A81_.wvu.PrintArea" localSheetId="13" hidden="1">'6) RAG Table'!$B$1:$AA$97</definedName>
    <definedName name="Z_CA7E8063_5145_49E1_8E00_2E1025705A81_.wvu.PrintArea" localSheetId="11" hidden="1">'P&amp;B Summary'!$B$3:$J$18</definedName>
    <definedName name="Z_CA7E8063_5145_49E1_8E00_2E1025705A81_.wvu.PrintTitles" localSheetId="2" hidden="1">'1) Report'!$3:$6</definedName>
    <definedName name="Z_CA7E8063_5145_49E1_8E00_2E1025705A81_.wvu.Rows" localSheetId="2" hidden="1">'1) Report'!$1:$1,'1) Report'!$10:$10,'1) Report'!$16:$16,'1) Report'!$45:$45,'1) Report'!$52:$52,'1) Report'!$91:$91,'1) Report'!$120:$120</definedName>
    <definedName name="Z_CA7E8063_5145_49E1_8E00_2E1025705A81_.wvu.Rows" localSheetId="6" hidden="1">'3) BC and Sanction'!$1:$1</definedName>
    <definedName name="Z_CA7E8063_5145_49E1_8E00_2E1025705A81_.wvu.Rows" localSheetId="4" hidden="1">'4) Baseline Changes'!$1:$1</definedName>
    <definedName name="Z_CA7E8063_5145_49E1_8E00_2E1025705A81_.wvu.Rows" localSheetId="12" hidden="1">'5a)NDA MPPR'!$63:$101</definedName>
    <definedName name="Z_CA7E8063_5145_49E1_8E00_2E1025705A81_.wvu.Rows" localSheetId="13" hidden="1">'6) RAG Table'!$72:$77</definedName>
    <definedName name="Z_CA7E8063_5145_49E1_8E00_2E1025705A81_.wvu.Rows" localSheetId="11" hidden="1">'P&amp;B Summary'!$1:$1</definedName>
    <definedName name="Z_CA7E8063_5145_49E1_8E00_2E1025705A81_.wvu.Rows" localSheetId="9" hidden="1">'Pd08 Extended MPPR WD9'!$7:$7,'Pd08 Extended MPPR WD9'!$11:$11,'Pd08 Extended MPPR WD9'!$15:$15,'Pd08 Extended MPPR WD9'!$19:$19,'Pd08 Extended MPPR WD9'!$23:$23,'Pd08 Extended MPPR WD9'!$27:$27,'Pd08 Extended MPPR WD9'!$31:$31,'Pd08 Extended MPPR WD9'!$35:$35</definedName>
    <definedName name="Z_CA7E8063_5145_49E1_8E00_2E1025705A81_.wvu.Rows" localSheetId="8" hidden="1">'Pd08 MPPR WD9'!$7:$7,'Pd08 MPPR WD9'!$11:$11,'Pd08 MPPR WD9'!$15:$15,'Pd08 MPPR WD9'!$19:$19,'Pd08 MPPR WD9'!$23:$23,'Pd08 MPPR WD9'!$27:$27,'Pd08 MPPR WD9'!$31:$31,'Pd08 MPPR WD9'!$35:$35,'Pd08 MPPR WD9'!$39:$39,'Pd08 MPPR WD9'!$43:$43,'Pd08 MPPR WD9'!$47:$47,'Pd08 MPPR WD9'!$50:$50,'Pd08 MPPR WD9'!$53:$53</definedName>
    <definedName name="Z_D16D941B_FC89_4FEC_A49B_5FA2532584DE_.wvu.Cols" localSheetId="13" hidden="1">'6) RAG Table'!$AB:$AE</definedName>
    <definedName name="Z_D16D941B_FC89_4FEC_A49B_5FA2532584DE_.wvu.FilterData" localSheetId="13" hidden="1">'6) RAG Table'!$AC$4:$AC$61</definedName>
    <definedName name="Z_D16D941B_FC89_4FEC_A49B_5FA2532584DE_.wvu.PrintArea" localSheetId="0" hidden="1">'0) SL Project Structure'!$A$1:$AL$82</definedName>
    <definedName name="Z_D16D941B_FC89_4FEC_A49B_5FA2532584DE_.wvu.PrintArea" localSheetId="1" hidden="1">'0) SL Project Structure OLD'!$A$1:$AL$68</definedName>
    <definedName name="Z_D16D941B_FC89_4FEC_A49B_5FA2532584DE_.wvu.PrintArea" localSheetId="2" hidden="1">'1) Report'!$B$2:$AM$138</definedName>
    <definedName name="Z_D16D941B_FC89_4FEC_A49B_5FA2532584DE_.wvu.PrintArea" localSheetId="11" hidden="1">'P&amp;B Summary'!$B$3:$J$18</definedName>
    <definedName name="Z_D16D941B_FC89_4FEC_A49B_5FA2532584DE_.wvu.PrintTitles" localSheetId="2" hidden="1">'1) Report'!$3:$6</definedName>
    <definedName name="Z_D16D941B_FC89_4FEC_A49B_5FA2532584DE_.wvu.Rows" localSheetId="2" hidden="1">'1) Report'!$1:$1,'1) Report'!$16:$16,'1) Report'!#REF!,'1) Report'!$52:$52,'1) Report'!#REF!,'1) Report'!$120:$120,'1) Report'!#REF!,'1) Report'!#REF!</definedName>
    <definedName name="Z_D16D941B_FC89_4FEC_A49B_5FA2532584DE_.wvu.Rows" localSheetId="6" hidden="1">'3) BC and Sanction'!$1:$1</definedName>
    <definedName name="Z_D16D941B_FC89_4FEC_A49B_5FA2532584DE_.wvu.Rows" localSheetId="4" hidden="1">'4) Baseline Changes'!$1:$1</definedName>
    <definedName name="Z_D16D941B_FC89_4FEC_A49B_5FA2532584DE_.wvu.Rows" localSheetId="12" hidden="1">'5a)NDA MPPR'!$63:$101</definedName>
    <definedName name="Z_D16D941B_FC89_4FEC_A49B_5FA2532584DE_.wvu.Rows" localSheetId="13" hidden="1">'6) RAG Table'!$72:$77</definedName>
    <definedName name="Z_D16D941B_FC89_4FEC_A49B_5FA2532584DE_.wvu.Rows" localSheetId="11" hidden="1">'P&amp;B Summary'!$1:$1</definedName>
    <definedName name="Z_D16D941B_FC89_4FEC_A49B_5FA2532584DE_.wvu.Rows" localSheetId="9" hidden="1">'Pd08 Extended MPPR WD9'!$7:$7,'Pd08 Extended MPPR WD9'!$11:$11,'Pd08 Extended MPPR WD9'!$15:$15,'Pd08 Extended MPPR WD9'!$19:$19,'Pd08 Extended MPPR WD9'!$23:$23,'Pd08 Extended MPPR WD9'!$27:$27,'Pd08 Extended MPPR WD9'!$31:$31,'Pd08 Extended MPPR WD9'!$35:$35</definedName>
    <definedName name="Z_D16D941B_FC89_4FEC_A49B_5FA2532584DE_.wvu.Rows" localSheetId="8" hidden="1">'Pd08 MPPR WD9'!$7:$7,'Pd08 MPPR WD9'!$11:$11,'Pd08 MPPR WD9'!$15:$15,'Pd08 MPPR WD9'!$19:$19,'Pd08 MPPR WD9'!$23:$23,'Pd08 MPPR WD9'!$27:$27,'Pd08 MPPR WD9'!$31:$31,'Pd08 MPPR WD9'!$35:$35,'Pd08 MPPR WD9'!$39:$39,'Pd08 MPPR WD9'!$43:$43,'Pd08 MPPR WD9'!$47:$47,'Pd08 MPPR WD9'!$50:$50,'Pd08 MPPR WD9'!$53:$53</definedName>
    <definedName name="Z_D27C51BB_BB54_4F37_8171_98067C39697C_.wvu.Cols" localSheetId="13" hidden="1">'6) RAG Table'!#REF!</definedName>
    <definedName name="Z_D27C51BB_BB54_4F37_8171_98067C39697C_.wvu.FilterData" localSheetId="13" hidden="1">'6) RAG Table'!$AC$4:$AC$61</definedName>
    <definedName name="Z_D27C51BB_BB54_4F37_8171_98067C39697C_.wvu.PrintArea" localSheetId="1" hidden="1">'0) SL Project Structure OLD'!$A$1:$AL$68</definedName>
    <definedName name="Z_D27C51BB_BB54_4F37_8171_98067C39697C_.wvu.PrintArea" localSheetId="2" hidden="1">'1) Report'!$B$2:$AM$138</definedName>
    <definedName name="Z_D27C51BB_BB54_4F37_8171_98067C39697C_.wvu.PrintArea" localSheetId="11" hidden="1">'P&amp;B Summary'!$B$3:$J$18</definedName>
    <definedName name="Z_D27C51BB_BB54_4F37_8171_98067C39697C_.wvu.PrintTitles" localSheetId="2" hidden="1">'1) Report'!$3:$6</definedName>
    <definedName name="Z_D27C51BB_BB54_4F37_8171_98067C39697C_.wvu.Rows" localSheetId="2" hidden="1">'1) Report'!$1:$1,'1) Report'!$16:$16,'1) Report'!#REF!,'1) Report'!$52:$52,'1) Report'!#REF!,'1) Report'!$120:$120,'1) Report'!#REF!,'1) Report'!#REF!</definedName>
    <definedName name="Z_D27C51BB_BB54_4F37_8171_98067C39697C_.wvu.Rows" localSheetId="6" hidden="1">'3) BC and Sanction'!$1:$1</definedName>
    <definedName name="Z_D27C51BB_BB54_4F37_8171_98067C39697C_.wvu.Rows" localSheetId="4" hidden="1">'4) Baseline Changes'!$1:$1</definedName>
    <definedName name="Z_D27C51BB_BB54_4F37_8171_98067C39697C_.wvu.Rows" localSheetId="12" hidden="1">'5a)NDA MPPR'!$63:$101</definedName>
    <definedName name="Z_D27C51BB_BB54_4F37_8171_98067C39697C_.wvu.Rows" localSheetId="13" hidden="1">'6) RAG Table'!$72:$77</definedName>
    <definedName name="Z_D27C51BB_BB54_4F37_8171_98067C39697C_.wvu.Rows" localSheetId="11" hidden="1">'P&amp;B Summary'!$1:$1</definedName>
    <definedName name="Z_D27C51BB_BB54_4F37_8171_98067C39697C_.wvu.Rows" localSheetId="9" hidden="1">'Pd08 Extended MPPR WD9'!$7:$7,'Pd08 Extended MPPR WD9'!$11:$11,'Pd08 Extended MPPR WD9'!$15:$15,'Pd08 Extended MPPR WD9'!$19:$19,'Pd08 Extended MPPR WD9'!$23:$23,'Pd08 Extended MPPR WD9'!$27:$27,'Pd08 Extended MPPR WD9'!$31:$31,'Pd08 Extended MPPR WD9'!$35:$35</definedName>
    <definedName name="Z_D27C51BB_BB54_4F37_8171_98067C39697C_.wvu.Rows" localSheetId="8" hidden="1">'Pd08 MPPR WD9'!$7:$7,'Pd08 MPPR WD9'!$11:$11,'Pd08 MPPR WD9'!$15:$15,'Pd08 MPPR WD9'!$19:$19,'Pd08 MPPR WD9'!$23:$23,'Pd08 MPPR WD9'!$27:$27,'Pd08 MPPR WD9'!$31:$31,'Pd08 MPPR WD9'!$35:$35,'Pd08 MPPR WD9'!$39:$39,'Pd08 MPPR WD9'!$43:$43,'Pd08 MPPR WD9'!$47:$47,'Pd08 MPPR WD9'!$50:$50,'Pd08 MPPR WD9'!$53:$53</definedName>
    <definedName name="Z_D59DDBAA_620D_43B7_A6D9_759808D3397A_.wvu.Cols" localSheetId="2" hidden="1">'1) Report'!$AO:$AU</definedName>
    <definedName name="Z_D59DDBAA_620D_43B7_A6D9_759808D3397A_.wvu.Cols" localSheetId="13" hidden="1">'6) RAG Table'!$AC:$AC</definedName>
    <definedName name="Z_D59DDBAA_620D_43B7_A6D9_759808D3397A_.wvu.FilterData" localSheetId="13" hidden="1">'6) RAG Table'!$AC$4:$AC$61</definedName>
    <definedName name="Z_D59DDBAA_620D_43B7_A6D9_759808D3397A_.wvu.PrintArea" localSheetId="0" hidden="1">'0) SL Project Structure'!$A$1:$AL$82</definedName>
    <definedName name="Z_D59DDBAA_620D_43B7_A6D9_759808D3397A_.wvu.PrintArea" localSheetId="1" hidden="1">'0) SL Project Structure OLD'!$A$1:$AL$68</definedName>
    <definedName name="Z_D59DDBAA_620D_43B7_A6D9_759808D3397A_.wvu.PrintArea" localSheetId="2" hidden="1">'1) Report'!$B$2:$AM$137</definedName>
    <definedName name="Z_D59DDBAA_620D_43B7_A6D9_759808D3397A_.wvu.PrintArea" localSheetId="5" hidden="1">'2) Definitions'!$A$2:$T$50</definedName>
    <definedName name="Z_D59DDBAA_620D_43B7_A6D9_759808D3397A_.wvu.PrintArea" localSheetId="13" hidden="1">'6) RAG Table'!$B$1:$AA$111</definedName>
    <definedName name="Z_D59DDBAA_620D_43B7_A6D9_759808D3397A_.wvu.PrintArea" localSheetId="11" hidden="1">'P&amp;B Summary'!$B$3:$J$18</definedName>
    <definedName name="Z_D59DDBAA_620D_43B7_A6D9_759808D3397A_.wvu.PrintTitles" localSheetId="2" hidden="1">'1) Report'!$3:$6</definedName>
    <definedName name="Z_D59DDBAA_620D_43B7_A6D9_759808D3397A_.wvu.Rows" localSheetId="2" hidden="1">'1) Report'!$1:$1,'1) Report'!$10:$10,'1) Report'!$16:$16,'1) Report'!$45:$45,'1) Report'!$52:$52,'1) Report'!$91:$91,'1) Report'!$120:$120</definedName>
    <definedName name="Z_D59DDBAA_620D_43B7_A6D9_759808D3397A_.wvu.Rows" localSheetId="6" hidden="1">'3) BC and Sanction'!$1:$1</definedName>
    <definedName name="Z_D59DDBAA_620D_43B7_A6D9_759808D3397A_.wvu.Rows" localSheetId="4" hidden="1">'4) Baseline Changes'!$1:$1</definedName>
    <definedName name="Z_D59DDBAA_620D_43B7_A6D9_759808D3397A_.wvu.Rows" localSheetId="13" hidden="1">'6) RAG Table'!$72:$77</definedName>
    <definedName name="Z_D59DDBAA_620D_43B7_A6D9_759808D3397A_.wvu.Rows" localSheetId="11" hidden="1">'P&amp;B Summary'!$1:$1</definedName>
    <definedName name="Z_D59DDBAA_620D_43B7_A6D9_759808D3397A_.wvu.Rows" localSheetId="9" hidden="1">'Pd08 Extended MPPR WD9'!$7:$7,'Pd08 Extended MPPR WD9'!$11:$11,'Pd08 Extended MPPR WD9'!$15:$15,'Pd08 Extended MPPR WD9'!$19:$19,'Pd08 Extended MPPR WD9'!$23:$23,'Pd08 Extended MPPR WD9'!$27:$27,'Pd08 Extended MPPR WD9'!$31:$31,'Pd08 Extended MPPR WD9'!$35:$35</definedName>
    <definedName name="Z_D59DDBAA_620D_43B7_A6D9_759808D3397A_.wvu.Rows" localSheetId="8" hidden="1">'Pd08 MPPR WD9'!$7:$7,'Pd08 MPPR WD9'!$11:$11,'Pd08 MPPR WD9'!$15:$15,'Pd08 MPPR WD9'!$19:$19,'Pd08 MPPR WD9'!$23:$23,'Pd08 MPPR WD9'!$27:$27,'Pd08 MPPR WD9'!$31:$31,'Pd08 MPPR WD9'!$35:$35,'Pd08 MPPR WD9'!$39:$39,'Pd08 MPPR WD9'!$43:$43,'Pd08 MPPR WD9'!$47:$47,'Pd08 MPPR WD9'!$50:$50,'Pd08 MPPR WD9'!$53:$53</definedName>
    <definedName name="Z_D850720D_4A1C_48F2_8E1D_8E09B7414A1A_.wvu.Cols" localSheetId="2" hidden="1">'1) Report'!$AO:$AU</definedName>
    <definedName name="Z_D850720D_4A1C_48F2_8E1D_8E09B7414A1A_.wvu.Cols" localSheetId="13" hidden="1">'6) RAG Table'!$AB:$AE</definedName>
    <definedName name="Z_D850720D_4A1C_48F2_8E1D_8E09B7414A1A_.wvu.FilterData" localSheetId="13" hidden="1">'6) RAG Table'!$AC$4:$AC$61</definedName>
    <definedName name="Z_D850720D_4A1C_48F2_8E1D_8E09B7414A1A_.wvu.PrintArea" localSheetId="0" hidden="1">'0) SL Project Structure'!$A$1:$AL$82</definedName>
    <definedName name="Z_D850720D_4A1C_48F2_8E1D_8E09B7414A1A_.wvu.PrintArea" localSheetId="1" hidden="1">'0) SL Project Structure OLD'!$A$1:$AL$68</definedName>
    <definedName name="Z_D850720D_4A1C_48F2_8E1D_8E09B7414A1A_.wvu.PrintArea" localSheetId="2" hidden="1">'1) Report'!$B$2:$AM$137</definedName>
    <definedName name="Z_D850720D_4A1C_48F2_8E1D_8E09B7414A1A_.wvu.PrintArea" localSheetId="5" hidden="1">'2) Definitions'!$A$2:$T$50</definedName>
    <definedName name="Z_D850720D_4A1C_48F2_8E1D_8E09B7414A1A_.wvu.PrintArea" localSheetId="13" hidden="1">'6) RAG Table'!$A$1:$AA$100</definedName>
    <definedName name="Z_D850720D_4A1C_48F2_8E1D_8E09B7414A1A_.wvu.PrintArea" localSheetId="11" hidden="1">'P&amp;B Summary'!$B$3:$J$18</definedName>
    <definedName name="Z_D850720D_4A1C_48F2_8E1D_8E09B7414A1A_.wvu.PrintTitles" localSheetId="2" hidden="1">'1) Report'!$3:$6</definedName>
    <definedName name="Z_D850720D_4A1C_48F2_8E1D_8E09B7414A1A_.wvu.Rows" localSheetId="2" hidden="1">'1) Report'!$1:$1,'1) Report'!$10:$10,'1) Report'!$16:$16,'1) Report'!$45:$45,'1) Report'!$52:$52,'1) Report'!$91:$91,'1) Report'!$120:$120</definedName>
    <definedName name="Z_D850720D_4A1C_48F2_8E1D_8E09B7414A1A_.wvu.Rows" localSheetId="6" hidden="1">'3) BC and Sanction'!$1:$1</definedName>
    <definedName name="Z_D850720D_4A1C_48F2_8E1D_8E09B7414A1A_.wvu.Rows" localSheetId="4" hidden="1">'4) Baseline Changes'!$1:$1</definedName>
    <definedName name="Z_D850720D_4A1C_48F2_8E1D_8E09B7414A1A_.wvu.Rows" localSheetId="12" hidden="1">'5a)NDA MPPR'!$63:$101</definedName>
    <definedName name="Z_D850720D_4A1C_48F2_8E1D_8E09B7414A1A_.wvu.Rows" localSheetId="13" hidden="1">'6) RAG Table'!$72:$77</definedName>
    <definedName name="Z_D850720D_4A1C_48F2_8E1D_8E09B7414A1A_.wvu.Rows" localSheetId="11" hidden="1">'P&amp;B Summary'!$1:$1</definedName>
    <definedName name="Z_D850720D_4A1C_48F2_8E1D_8E09B7414A1A_.wvu.Rows" localSheetId="9" hidden="1">'Pd08 Extended MPPR WD9'!$7:$7,'Pd08 Extended MPPR WD9'!$11:$11,'Pd08 Extended MPPR WD9'!$15:$15,'Pd08 Extended MPPR WD9'!$19:$19,'Pd08 Extended MPPR WD9'!$23:$23,'Pd08 Extended MPPR WD9'!$27:$27,'Pd08 Extended MPPR WD9'!$31:$31,'Pd08 Extended MPPR WD9'!$35:$35</definedName>
    <definedName name="Z_D850720D_4A1C_48F2_8E1D_8E09B7414A1A_.wvu.Rows" localSheetId="8" hidden="1">'Pd08 MPPR WD9'!$7:$7,'Pd08 MPPR WD9'!$11:$11,'Pd08 MPPR WD9'!$15:$15,'Pd08 MPPR WD9'!$19:$19,'Pd08 MPPR WD9'!$23:$23,'Pd08 MPPR WD9'!$27:$27,'Pd08 MPPR WD9'!$31:$31,'Pd08 MPPR WD9'!$35:$35,'Pd08 MPPR WD9'!$39:$39,'Pd08 MPPR WD9'!$43:$43,'Pd08 MPPR WD9'!$47:$47,'Pd08 MPPR WD9'!$50:$50,'Pd08 MPPR WD9'!$53:$53</definedName>
    <definedName name="Z_DA3D1DA1_B104_47C7_B83C_11A340E825EA_.wvu.FilterData" localSheetId="13" hidden="1">'6) RAG Table'!$AC$4:$AC$61</definedName>
    <definedName name="Z_DF265C7B_1EEB_47EB_982A_6938E81F7AC2_.wvu.Cols" localSheetId="2" hidden="1">'1) Report'!$AO:$AU</definedName>
    <definedName name="Z_DF265C7B_1EEB_47EB_982A_6938E81F7AC2_.wvu.Cols" localSheetId="13" hidden="1">'6) RAG Table'!$AB:$AE</definedName>
    <definedName name="Z_DF265C7B_1EEB_47EB_982A_6938E81F7AC2_.wvu.FilterData" localSheetId="13" hidden="1">'6) RAG Table'!$AC$4:$AC$61</definedName>
    <definedName name="Z_DF265C7B_1EEB_47EB_982A_6938E81F7AC2_.wvu.PrintArea" localSheetId="0" hidden="1">'0) SL Project Structure'!$A$1:$AL$82</definedName>
    <definedName name="Z_DF265C7B_1EEB_47EB_982A_6938E81F7AC2_.wvu.PrintArea" localSheetId="1" hidden="1">'0) SL Project Structure OLD'!$A$1:$AL$68</definedName>
    <definedName name="Z_DF265C7B_1EEB_47EB_982A_6938E81F7AC2_.wvu.PrintArea" localSheetId="2" hidden="1">'1) Report'!$B$2:$AM$138</definedName>
    <definedName name="Z_DF265C7B_1EEB_47EB_982A_6938E81F7AC2_.wvu.PrintArea" localSheetId="11" hidden="1">'P&amp;B Summary'!$B$3:$J$18</definedName>
    <definedName name="Z_DF265C7B_1EEB_47EB_982A_6938E81F7AC2_.wvu.PrintTitles" localSheetId="2" hidden="1">'1) Report'!$3:$6</definedName>
    <definedName name="Z_DF265C7B_1EEB_47EB_982A_6938E81F7AC2_.wvu.Rows" localSheetId="2" hidden="1">'1) Report'!$1:$1,'1) Report'!$16:$16,'1) Report'!#REF!,'1) Report'!$52:$52,'1) Report'!$120:$120,'1) Report'!#REF!</definedName>
    <definedName name="Z_DF265C7B_1EEB_47EB_982A_6938E81F7AC2_.wvu.Rows" localSheetId="6" hidden="1">'3) BC and Sanction'!$1:$1</definedName>
    <definedName name="Z_DF265C7B_1EEB_47EB_982A_6938E81F7AC2_.wvu.Rows" localSheetId="4" hidden="1">'4) Baseline Changes'!$1:$1</definedName>
    <definedName name="Z_DF265C7B_1EEB_47EB_982A_6938E81F7AC2_.wvu.Rows" localSheetId="12" hidden="1">'5a)NDA MPPR'!$63:$101</definedName>
    <definedName name="Z_DF265C7B_1EEB_47EB_982A_6938E81F7AC2_.wvu.Rows" localSheetId="13" hidden="1">'6) RAG Table'!$72:$77</definedName>
    <definedName name="Z_DF265C7B_1EEB_47EB_982A_6938E81F7AC2_.wvu.Rows" localSheetId="11" hidden="1">'P&amp;B Summary'!$1:$1</definedName>
    <definedName name="Z_DF265C7B_1EEB_47EB_982A_6938E81F7AC2_.wvu.Rows" localSheetId="9" hidden="1">'Pd08 Extended MPPR WD9'!$7:$7,'Pd08 Extended MPPR WD9'!$11:$11,'Pd08 Extended MPPR WD9'!$15:$15,'Pd08 Extended MPPR WD9'!$19:$19,'Pd08 Extended MPPR WD9'!$23:$23,'Pd08 Extended MPPR WD9'!$27:$27,'Pd08 Extended MPPR WD9'!$31:$31,'Pd08 Extended MPPR WD9'!$35:$35</definedName>
    <definedName name="Z_DF265C7B_1EEB_47EB_982A_6938E81F7AC2_.wvu.Rows" localSheetId="8" hidden="1">'Pd08 MPPR WD9'!$7:$7,'Pd08 MPPR WD9'!$11:$11,'Pd08 MPPR WD9'!$15:$15,'Pd08 MPPR WD9'!$19:$19,'Pd08 MPPR WD9'!$23:$23,'Pd08 MPPR WD9'!$27:$27,'Pd08 MPPR WD9'!$31:$31,'Pd08 MPPR WD9'!$35:$35,'Pd08 MPPR WD9'!$39:$39,'Pd08 MPPR WD9'!$43:$43,'Pd08 MPPR WD9'!$47:$47,'Pd08 MPPR WD9'!$50:$50,'Pd08 MPPR WD9'!$53:$53</definedName>
    <definedName name="Z_E06B4FE8_6127_47B2_A6A5_4FAC9EEB4538_.wvu.Cols" localSheetId="13" hidden="1">'6) RAG Table'!$AB:$AE</definedName>
    <definedName name="Z_E06B4FE8_6127_47B2_A6A5_4FAC9EEB4538_.wvu.FilterData" localSheetId="13" hidden="1">'6) RAG Table'!$AC$4:$AC$61</definedName>
    <definedName name="Z_E06B4FE8_6127_47B2_A6A5_4FAC9EEB4538_.wvu.PrintArea" localSheetId="0" hidden="1">'0) SL Project Structure'!$A$1:$AL$82</definedName>
    <definedName name="Z_E06B4FE8_6127_47B2_A6A5_4FAC9EEB4538_.wvu.PrintArea" localSheetId="1" hidden="1">'0) SL Project Structure OLD'!$A$1:$AL$68</definedName>
    <definedName name="Z_E06B4FE8_6127_47B2_A6A5_4FAC9EEB4538_.wvu.PrintArea" localSheetId="2" hidden="1">'1) Report'!$B$2:$AM$138</definedName>
    <definedName name="Z_E06B4FE8_6127_47B2_A6A5_4FAC9EEB4538_.wvu.PrintArea" localSheetId="11" hidden="1">'P&amp;B Summary'!$B$3:$J$18</definedName>
    <definedName name="Z_E06B4FE8_6127_47B2_A6A5_4FAC9EEB4538_.wvu.PrintTitles" localSheetId="2" hidden="1">'1) Report'!$3:$6</definedName>
    <definedName name="Z_E06B4FE8_6127_47B2_A6A5_4FAC9EEB4538_.wvu.Rows" localSheetId="2" hidden="1">'1) Report'!$1:$1,'1) Report'!$16:$16,'1) Report'!#REF!,'1) Report'!$52:$52,'1) Report'!#REF!,'1) Report'!$120:$120,'1) Report'!#REF!,'1) Report'!#REF!</definedName>
    <definedName name="Z_E06B4FE8_6127_47B2_A6A5_4FAC9EEB4538_.wvu.Rows" localSheetId="6" hidden="1">'3) BC and Sanction'!$1:$1</definedName>
    <definedName name="Z_E06B4FE8_6127_47B2_A6A5_4FAC9EEB4538_.wvu.Rows" localSheetId="4" hidden="1">'4) Baseline Changes'!$1:$1</definedName>
    <definedName name="Z_E06B4FE8_6127_47B2_A6A5_4FAC9EEB4538_.wvu.Rows" localSheetId="12" hidden="1">'5a)NDA MPPR'!$63:$101</definedName>
    <definedName name="Z_E06B4FE8_6127_47B2_A6A5_4FAC9EEB4538_.wvu.Rows" localSheetId="13" hidden="1">'6) RAG Table'!$72:$77</definedName>
    <definedName name="Z_E06B4FE8_6127_47B2_A6A5_4FAC9EEB4538_.wvu.Rows" localSheetId="11" hidden="1">'P&amp;B Summary'!$1:$1</definedName>
    <definedName name="Z_E06B4FE8_6127_47B2_A6A5_4FAC9EEB4538_.wvu.Rows" localSheetId="9" hidden="1">'Pd08 Extended MPPR WD9'!$7:$7,'Pd08 Extended MPPR WD9'!$11:$11,'Pd08 Extended MPPR WD9'!$15:$15,'Pd08 Extended MPPR WD9'!$19:$19,'Pd08 Extended MPPR WD9'!$23:$23,'Pd08 Extended MPPR WD9'!$27:$27,'Pd08 Extended MPPR WD9'!$31:$31,'Pd08 Extended MPPR WD9'!$35:$35</definedName>
    <definedName name="Z_E06B4FE8_6127_47B2_A6A5_4FAC9EEB4538_.wvu.Rows" localSheetId="8" hidden="1">'Pd08 MPPR WD9'!$7:$7,'Pd08 MPPR WD9'!$11:$11,'Pd08 MPPR WD9'!$15:$15,'Pd08 MPPR WD9'!$19:$19,'Pd08 MPPR WD9'!$23:$23,'Pd08 MPPR WD9'!$27:$27,'Pd08 MPPR WD9'!$31:$31,'Pd08 MPPR WD9'!$35:$35,'Pd08 MPPR WD9'!$39:$39,'Pd08 MPPR WD9'!$43:$43,'Pd08 MPPR WD9'!$47:$47,'Pd08 MPPR WD9'!$50:$50,'Pd08 MPPR WD9'!$53:$53</definedName>
    <definedName name="Z_E3A3AE56_8881_4A6F_9299_803C489AD1B4_.wvu.Cols" localSheetId="2" hidden="1">'1) Report'!$AO:$AU</definedName>
    <definedName name="Z_E3A3AE56_8881_4A6F_9299_803C489AD1B4_.wvu.Cols" localSheetId="13" hidden="1">'6) RAG Table'!$AB:$AE</definedName>
    <definedName name="Z_E3A3AE56_8881_4A6F_9299_803C489AD1B4_.wvu.FilterData" localSheetId="13" hidden="1">'6) RAG Table'!$AC$4:$AC$61</definedName>
    <definedName name="Z_E3A3AE56_8881_4A6F_9299_803C489AD1B4_.wvu.PrintArea" localSheetId="0" hidden="1">'0) SL Project Structure'!$A$1:$AL$82</definedName>
    <definedName name="Z_E3A3AE56_8881_4A6F_9299_803C489AD1B4_.wvu.PrintArea" localSheetId="1" hidden="1">'0) SL Project Structure OLD'!$A$1:$AL$68</definedName>
    <definedName name="Z_E3A3AE56_8881_4A6F_9299_803C489AD1B4_.wvu.PrintArea" localSheetId="2" hidden="1">'1) Report'!$B$2:$AM$137</definedName>
    <definedName name="Z_E3A3AE56_8881_4A6F_9299_803C489AD1B4_.wvu.PrintArea" localSheetId="5" hidden="1">'2) Definitions'!$A$2:$T$50</definedName>
    <definedName name="Z_E3A3AE56_8881_4A6F_9299_803C489AD1B4_.wvu.PrintArea" localSheetId="13" hidden="1">'6) RAG Table'!$A$1:$AA$100</definedName>
    <definedName name="Z_E3A3AE56_8881_4A6F_9299_803C489AD1B4_.wvu.PrintArea" localSheetId="11" hidden="1">'P&amp;B Summary'!$B$3:$J$18</definedName>
    <definedName name="Z_E3A3AE56_8881_4A6F_9299_803C489AD1B4_.wvu.PrintTitles" localSheetId="2" hidden="1">'1) Report'!$3:$6</definedName>
    <definedName name="Z_E3A3AE56_8881_4A6F_9299_803C489AD1B4_.wvu.Rows" localSheetId="2" hidden="1">'1) Report'!$1:$1,'1) Report'!$10:$10,'1) Report'!$16:$16,'1) Report'!$45:$45,'1) Report'!$52:$52,'1) Report'!$91:$91,'1) Report'!$120:$120</definedName>
    <definedName name="Z_E3A3AE56_8881_4A6F_9299_803C489AD1B4_.wvu.Rows" localSheetId="6" hidden="1">'3) BC and Sanction'!$1:$1</definedName>
    <definedName name="Z_E3A3AE56_8881_4A6F_9299_803C489AD1B4_.wvu.Rows" localSheetId="4" hidden="1">'4) Baseline Changes'!$1:$1</definedName>
    <definedName name="Z_E3A3AE56_8881_4A6F_9299_803C489AD1B4_.wvu.Rows" localSheetId="12" hidden="1">'5a)NDA MPPR'!$63:$101</definedName>
    <definedName name="Z_E3A3AE56_8881_4A6F_9299_803C489AD1B4_.wvu.Rows" localSheetId="13" hidden="1">'6) RAG Table'!$72:$77</definedName>
    <definedName name="Z_E3A3AE56_8881_4A6F_9299_803C489AD1B4_.wvu.Rows" localSheetId="11" hidden="1">'P&amp;B Summary'!$1:$1</definedName>
    <definedName name="Z_E3A3AE56_8881_4A6F_9299_803C489AD1B4_.wvu.Rows" localSheetId="9" hidden="1">'Pd08 Extended MPPR WD9'!$7:$7,'Pd08 Extended MPPR WD9'!$11:$11,'Pd08 Extended MPPR WD9'!$15:$15,'Pd08 Extended MPPR WD9'!$19:$19,'Pd08 Extended MPPR WD9'!$23:$23,'Pd08 Extended MPPR WD9'!$27:$27,'Pd08 Extended MPPR WD9'!$31:$31,'Pd08 Extended MPPR WD9'!$35:$35</definedName>
    <definedName name="Z_E3A3AE56_8881_4A6F_9299_803C489AD1B4_.wvu.Rows" localSheetId="8" hidden="1">'Pd08 MPPR WD9'!$7:$7,'Pd08 MPPR WD9'!$11:$11,'Pd08 MPPR WD9'!$15:$15,'Pd08 MPPR WD9'!$19:$19,'Pd08 MPPR WD9'!$23:$23,'Pd08 MPPR WD9'!$27:$27,'Pd08 MPPR WD9'!$31:$31,'Pd08 MPPR WD9'!$35:$35,'Pd08 MPPR WD9'!$39:$39,'Pd08 MPPR WD9'!$43:$43,'Pd08 MPPR WD9'!$47:$47,'Pd08 MPPR WD9'!$50:$50,'Pd08 MPPR WD9'!$53:$53</definedName>
    <definedName name="Z_E4713981_DD11_40CE_BE52_873D93BDDE05_.wvu.Cols" localSheetId="2" hidden="1">'1) Report'!$AO:$AU</definedName>
    <definedName name="Z_E4713981_DD11_40CE_BE52_873D93BDDE05_.wvu.Cols" localSheetId="13" hidden="1">'6) RAG Table'!$AB:$AE</definedName>
    <definedName name="Z_E4713981_DD11_40CE_BE52_873D93BDDE05_.wvu.FilterData" localSheetId="13" hidden="1">'6) RAG Table'!$AC$4:$AC$61</definedName>
    <definedName name="Z_E4713981_DD11_40CE_BE52_873D93BDDE05_.wvu.PrintArea" localSheetId="0" hidden="1">'0) SL Project Structure'!$A$1:$AL$82</definedName>
    <definedName name="Z_E4713981_DD11_40CE_BE52_873D93BDDE05_.wvu.PrintArea" localSheetId="1" hidden="1">'0) SL Project Structure OLD'!$A$1:$AL$68</definedName>
    <definedName name="Z_E4713981_DD11_40CE_BE52_873D93BDDE05_.wvu.PrintArea" localSheetId="2" hidden="1">'1) Report'!$B$2:$AM$137</definedName>
    <definedName name="Z_E4713981_DD11_40CE_BE52_873D93BDDE05_.wvu.PrintArea" localSheetId="5" hidden="1">'2) Definitions'!$A$2:$T$50</definedName>
    <definedName name="Z_E4713981_DD11_40CE_BE52_873D93BDDE05_.wvu.PrintArea" localSheetId="13" hidden="1">'6) RAG Table'!$A$1:$AA$100</definedName>
    <definedName name="Z_E4713981_DD11_40CE_BE52_873D93BDDE05_.wvu.PrintArea" localSheetId="11" hidden="1">'P&amp;B Summary'!$B$3:$J$18</definedName>
    <definedName name="Z_E4713981_DD11_40CE_BE52_873D93BDDE05_.wvu.PrintTitles" localSheetId="2" hidden="1">'1) Report'!$3:$6</definedName>
    <definedName name="Z_E4713981_DD11_40CE_BE52_873D93BDDE05_.wvu.Rows" localSheetId="2" hidden="1">'1) Report'!$1:$1,'1) Report'!$10:$10,'1) Report'!$16:$16,'1) Report'!$45:$45,'1) Report'!$52:$52,'1) Report'!$91:$91,'1) Report'!$120:$120</definedName>
    <definedName name="Z_E4713981_DD11_40CE_BE52_873D93BDDE05_.wvu.Rows" localSheetId="6" hidden="1">'3) BC and Sanction'!$1:$1</definedName>
    <definedName name="Z_E4713981_DD11_40CE_BE52_873D93BDDE05_.wvu.Rows" localSheetId="4" hidden="1">'4) Baseline Changes'!$1:$1</definedName>
    <definedName name="Z_E4713981_DD11_40CE_BE52_873D93BDDE05_.wvu.Rows" localSheetId="12" hidden="1">'5a)NDA MPPR'!$63:$101</definedName>
    <definedName name="Z_E4713981_DD11_40CE_BE52_873D93BDDE05_.wvu.Rows" localSheetId="13" hidden="1">'6) RAG Table'!$72:$77</definedName>
    <definedName name="Z_E4713981_DD11_40CE_BE52_873D93BDDE05_.wvu.Rows" localSheetId="11" hidden="1">'P&amp;B Summary'!$1:$1</definedName>
    <definedName name="Z_E4713981_DD11_40CE_BE52_873D93BDDE05_.wvu.Rows" localSheetId="9" hidden="1">'Pd08 Extended MPPR WD9'!$7:$7,'Pd08 Extended MPPR WD9'!$11:$11,'Pd08 Extended MPPR WD9'!$15:$15,'Pd08 Extended MPPR WD9'!$19:$19,'Pd08 Extended MPPR WD9'!$23:$23,'Pd08 Extended MPPR WD9'!$27:$27,'Pd08 Extended MPPR WD9'!$31:$31,'Pd08 Extended MPPR WD9'!$35:$35</definedName>
    <definedName name="Z_E4713981_DD11_40CE_BE52_873D93BDDE05_.wvu.Rows" localSheetId="8" hidden="1">'Pd08 MPPR WD9'!$7:$7,'Pd08 MPPR WD9'!$11:$11,'Pd08 MPPR WD9'!$15:$15,'Pd08 MPPR WD9'!$19:$19,'Pd08 MPPR WD9'!$23:$23,'Pd08 MPPR WD9'!$27:$27,'Pd08 MPPR WD9'!$31:$31,'Pd08 MPPR WD9'!$35:$35,'Pd08 MPPR WD9'!$39:$39,'Pd08 MPPR WD9'!$43:$43,'Pd08 MPPR WD9'!$47:$47,'Pd08 MPPR WD9'!$50:$50,'Pd08 MPPR WD9'!$53:$53</definedName>
    <definedName name="Z_EB96DBE4_2D64_4388_853C_CB52A0CB79BA_.wvu.Cols" localSheetId="13" hidden="1">'6) RAG Table'!$AB:$AE</definedName>
    <definedName name="Z_EB96DBE4_2D64_4388_853C_CB52A0CB79BA_.wvu.FilterData" localSheetId="13" hidden="1">'6) RAG Table'!$AC$4:$AC$61</definedName>
    <definedName name="Z_EB96DBE4_2D64_4388_853C_CB52A0CB79BA_.wvu.PrintArea" localSheetId="0" hidden="1">'0) SL Project Structure'!$A$1:$AL$82</definedName>
    <definedName name="Z_EB96DBE4_2D64_4388_853C_CB52A0CB79BA_.wvu.PrintArea" localSheetId="1" hidden="1">'0) SL Project Structure OLD'!$A$1:$AL$68</definedName>
    <definedName name="Z_EB96DBE4_2D64_4388_853C_CB52A0CB79BA_.wvu.PrintArea" localSheetId="2" hidden="1">'1) Report'!$B$2:$AM$138</definedName>
    <definedName name="Z_EB96DBE4_2D64_4388_853C_CB52A0CB79BA_.wvu.PrintArea" localSheetId="11" hidden="1">'P&amp;B Summary'!$B$3:$J$18</definedName>
    <definedName name="Z_EB96DBE4_2D64_4388_853C_CB52A0CB79BA_.wvu.PrintTitles" localSheetId="2" hidden="1">'1) Report'!$3:$6</definedName>
    <definedName name="Z_EB96DBE4_2D64_4388_853C_CB52A0CB79BA_.wvu.Rows" localSheetId="2" hidden="1">'1) Report'!$1:$1,'1) Report'!$16:$16,'1) Report'!#REF!,'1) Report'!$52:$52,'1) Report'!#REF!,'1) Report'!$120:$120,'1) Report'!#REF!,'1) Report'!#REF!</definedName>
    <definedName name="Z_EB96DBE4_2D64_4388_853C_CB52A0CB79BA_.wvu.Rows" localSheetId="6" hidden="1">'3) BC and Sanction'!$1:$1</definedName>
    <definedName name="Z_EB96DBE4_2D64_4388_853C_CB52A0CB79BA_.wvu.Rows" localSheetId="4" hidden="1">'4) Baseline Changes'!$1:$1</definedName>
    <definedName name="Z_EB96DBE4_2D64_4388_853C_CB52A0CB79BA_.wvu.Rows" localSheetId="12" hidden="1">'5a)NDA MPPR'!$63:$101</definedName>
    <definedName name="Z_EB96DBE4_2D64_4388_853C_CB52A0CB79BA_.wvu.Rows" localSheetId="13" hidden="1">'6) RAG Table'!$72:$77</definedName>
    <definedName name="Z_EB96DBE4_2D64_4388_853C_CB52A0CB79BA_.wvu.Rows" localSheetId="11" hidden="1">'P&amp;B Summary'!$1:$1</definedName>
    <definedName name="Z_EB96DBE4_2D64_4388_853C_CB52A0CB79BA_.wvu.Rows" localSheetId="9" hidden="1">'Pd08 Extended MPPR WD9'!$7:$7,'Pd08 Extended MPPR WD9'!$11:$11,'Pd08 Extended MPPR WD9'!$15:$15,'Pd08 Extended MPPR WD9'!$19:$19,'Pd08 Extended MPPR WD9'!$23:$23,'Pd08 Extended MPPR WD9'!$27:$27,'Pd08 Extended MPPR WD9'!$31:$31,'Pd08 Extended MPPR WD9'!$35:$35</definedName>
    <definedName name="Z_EB96DBE4_2D64_4388_853C_CB52A0CB79BA_.wvu.Rows" localSheetId="8" hidden="1">'Pd08 MPPR WD9'!$7:$7,'Pd08 MPPR WD9'!$11:$11,'Pd08 MPPR WD9'!$15:$15,'Pd08 MPPR WD9'!$19:$19,'Pd08 MPPR WD9'!$23:$23,'Pd08 MPPR WD9'!$27:$27,'Pd08 MPPR WD9'!$31:$31,'Pd08 MPPR WD9'!$35:$35,'Pd08 MPPR WD9'!$39:$39,'Pd08 MPPR WD9'!$43:$43,'Pd08 MPPR WD9'!$47:$47,'Pd08 MPPR WD9'!$50:$50,'Pd08 MPPR WD9'!$53:$53</definedName>
    <definedName name="Z_EDD5A64E_02C0_4DD6_80BA_449123FCDAA2_.wvu.Cols" localSheetId="2" hidden="1">'1) Report'!$AO:$AU</definedName>
    <definedName name="Z_EDD5A64E_02C0_4DD6_80BA_449123FCDAA2_.wvu.Cols" localSheetId="13" hidden="1">'6) RAG Table'!$AC:$AC</definedName>
    <definedName name="Z_EDD5A64E_02C0_4DD6_80BA_449123FCDAA2_.wvu.FilterData" localSheetId="13" hidden="1">'6) RAG Table'!$AC$4:$AC$61</definedName>
    <definedName name="Z_EDD5A64E_02C0_4DD6_80BA_449123FCDAA2_.wvu.PrintArea" localSheetId="0" hidden="1">'0) SL Project Structure'!$A$1:$AL$82</definedName>
    <definedName name="Z_EDD5A64E_02C0_4DD6_80BA_449123FCDAA2_.wvu.PrintArea" localSheetId="1" hidden="1">'0) SL Project Structure OLD'!$A$1:$AL$68</definedName>
    <definedName name="Z_EDD5A64E_02C0_4DD6_80BA_449123FCDAA2_.wvu.PrintArea" localSheetId="2" hidden="1">'1) Report'!$B$2:$AM$137</definedName>
    <definedName name="Z_EDD5A64E_02C0_4DD6_80BA_449123FCDAA2_.wvu.PrintArea" localSheetId="5" hidden="1">'2) Definitions'!$A$2:$T$50</definedName>
    <definedName name="Z_EDD5A64E_02C0_4DD6_80BA_449123FCDAA2_.wvu.PrintArea" localSheetId="13" hidden="1">'6) RAG Table'!$B$1:$AA$111</definedName>
    <definedName name="Z_EDD5A64E_02C0_4DD6_80BA_449123FCDAA2_.wvu.PrintArea" localSheetId="11" hidden="1">'P&amp;B Summary'!$B$3:$J$18</definedName>
    <definedName name="Z_EDD5A64E_02C0_4DD6_80BA_449123FCDAA2_.wvu.PrintTitles" localSheetId="2" hidden="1">'1) Report'!$3:$6</definedName>
    <definedName name="Z_EDD5A64E_02C0_4DD6_80BA_449123FCDAA2_.wvu.Rows" localSheetId="2" hidden="1">'1) Report'!$1:$1,'1) Report'!$10:$10,'1) Report'!$16:$16,'1) Report'!$45:$45,'1) Report'!$52:$52,'1) Report'!$91:$91,'1) Report'!$120:$120</definedName>
    <definedName name="Z_EDD5A64E_02C0_4DD6_80BA_449123FCDAA2_.wvu.Rows" localSheetId="6" hidden="1">'3) BC and Sanction'!$1:$1</definedName>
    <definedName name="Z_EDD5A64E_02C0_4DD6_80BA_449123FCDAA2_.wvu.Rows" localSheetId="4" hidden="1">'4) Baseline Changes'!$1:$1</definedName>
    <definedName name="Z_EDD5A64E_02C0_4DD6_80BA_449123FCDAA2_.wvu.Rows" localSheetId="12" hidden="1">'5a)NDA MPPR'!$63:$101</definedName>
    <definedName name="Z_EDD5A64E_02C0_4DD6_80BA_449123FCDAA2_.wvu.Rows" localSheetId="13" hidden="1">'6) RAG Table'!$72:$77</definedName>
    <definedName name="Z_EDD5A64E_02C0_4DD6_80BA_449123FCDAA2_.wvu.Rows" localSheetId="11" hidden="1">'P&amp;B Summary'!$1:$1</definedName>
    <definedName name="Z_EDD5A64E_02C0_4DD6_80BA_449123FCDAA2_.wvu.Rows" localSheetId="9" hidden="1">'Pd08 Extended MPPR WD9'!$7:$7,'Pd08 Extended MPPR WD9'!$11:$11,'Pd08 Extended MPPR WD9'!$15:$15,'Pd08 Extended MPPR WD9'!$19:$19,'Pd08 Extended MPPR WD9'!$23:$23,'Pd08 Extended MPPR WD9'!$27:$27,'Pd08 Extended MPPR WD9'!$31:$31,'Pd08 Extended MPPR WD9'!$35:$35</definedName>
    <definedName name="Z_EDD5A64E_02C0_4DD6_80BA_449123FCDAA2_.wvu.Rows" localSheetId="8" hidden="1">'Pd08 MPPR WD9'!$7:$7,'Pd08 MPPR WD9'!$11:$11,'Pd08 MPPR WD9'!$15:$15,'Pd08 MPPR WD9'!$19:$19,'Pd08 MPPR WD9'!$23:$23,'Pd08 MPPR WD9'!$27:$27,'Pd08 MPPR WD9'!$31:$31,'Pd08 MPPR WD9'!$35:$35,'Pd08 MPPR WD9'!$39:$39,'Pd08 MPPR WD9'!$43:$43,'Pd08 MPPR WD9'!$47:$47,'Pd08 MPPR WD9'!$50:$50,'Pd08 MPPR WD9'!$53:$53</definedName>
    <definedName name="Z_F4A6298C_1A75_4FA9_A6A4_2BE13CCFE545_.wvu.Cols" localSheetId="2" hidden="1">'1) Report'!$AO:$AU</definedName>
    <definedName name="Z_F4A6298C_1A75_4FA9_A6A4_2BE13CCFE545_.wvu.Cols" localSheetId="13" hidden="1">'6) RAG Table'!$AB:$AE</definedName>
    <definedName name="Z_F4A6298C_1A75_4FA9_A6A4_2BE13CCFE545_.wvu.FilterData" localSheetId="13" hidden="1">'6) RAG Table'!$AC$4:$AC$61</definedName>
    <definedName name="Z_F4A6298C_1A75_4FA9_A6A4_2BE13CCFE545_.wvu.PrintArea" localSheetId="0" hidden="1">'0) SL Project Structure'!$A$1:$AL$82</definedName>
    <definedName name="Z_F4A6298C_1A75_4FA9_A6A4_2BE13CCFE545_.wvu.PrintArea" localSheetId="1" hidden="1">'0) SL Project Structure OLD'!$A$1:$AL$68</definedName>
    <definedName name="Z_F4A6298C_1A75_4FA9_A6A4_2BE13CCFE545_.wvu.PrintArea" localSheetId="2" hidden="1">'1) Report'!$B$2:$AM$137</definedName>
    <definedName name="Z_F4A6298C_1A75_4FA9_A6A4_2BE13CCFE545_.wvu.PrintArea" localSheetId="13" hidden="1">'6) RAG Table'!$B$1:$AA$104</definedName>
    <definedName name="Z_F4A6298C_1A75_4FA9_A6A4_2BE13CCFE545_.wvu.PrintArea" localSheetId="11" hidden="1">'P&amp;B Summary'!$B$3:$J$18</definedName>
    <definedName name="Z_F4A6298C_1A75_4FA9_A6A4_2BE13CCFE545_.wvu.PrintTitles" localSheetId="2" hidden="1">'1) Report'!$3:$6</definedName>
    <definedName name="Z_F4A6298C_1A75_4FA9_A6A4_2BE13CCFE545_.wvu.Rows" localSheetId="2" hidden="1">'1) Report'!$1:$1,'1) Report'!$91:$91,'1) Report'!$120:$120</definedName>
    <definedName name="Z_F4A6298C_1A75_4FA9_A6A4_2BE13CCFE545_.wvu.Rows" localSheetId="6" hidden="1">'3) BC and Sanction'!$1:$1</definedName>
    <definedName name="Z_F4A6298C_1A75_4FA9_A6A4_2BE13CCFE545_.wvu.Rows" localSheetId="4" hidden="1">'4) Baseline Changes'!$1:$1</definedName>
    <definedName name="Z_F4A6298C_1A75_4FA9_A6A4_2BE13CCFE545_.wvu.Rows" localSheetId="12" hidden="1">'5a)NDA MPPR'!$63:$101</definedName>
    <definedName name="Z_F4A6298C_1A75_4FA9_A6A4_2BE13CCFE545_.wvu.Rows" localSheetId="13" hidden="1">'6) RAG Table'!$72:$77</definedName>
    <definedName name="Z_F4A6298C_1A75_4FA9_A6A4_2BE13CCFE545_.wvu.Rows" localSheetId="11" hidden="1">'P&amp;B Summary'!$1:$1</definedName>
    <definedName name="Z_F4A6298C_1A75_4FA9_A6A4_2BE13CCFE545_.wvu.Rows" localSheetId="9" hidden="1">'Pd08 Extended MPPR WD9'!$7:$7,'Pd08 Extended MPPR WD9'!$11:$11,'Pd08 Extended MPPR WD9'!$15:$15,'Pd08 Extended MPPR WD9'!$19:$19,'Pd08 Extended MPPR WD9'!$23:$23,'Pd08 Extended MPPR WD9'!$27:$27,'Pd08 Extended MPPR WD9'!$31:$31,'Pd08 Extended MPPR WD9'!$35:$35</definedName>
    <definedName name="Z_F4A6298C_1A75_4FA9_A6A4_2BE13CCFE545_.wvu.Rows" localSheetId="8" hidden="1">'Pd08 MPPR WD9'!$7:$7,'Pd08 MPPR WD9'!$11:$11,'Pd08 MPPR WD9'!$15:$15,'Pd08 MPPR WD9'!$19:$19,'Pd08 MPPR WD9'!$23:$23,'Pd08 MPPR WD9'!$27:$27,'Pd08 MPPR WD9'!$31:$31,'Pd08 MPPR WD9'!$35:$35,'Pd08 MPPR WD9'!$39:$39,'Pd08 MPPR WD9'!$43:$43,'Pd08 MPPR WD9'!$47:$47,'Pd08 MPPR WD9'!$50:$50,'Pd08 MPPR WD9'!$53:$53</definedName>
    <definedName name="Z_F5FA2A23_9E46_4C2F_B1EE_B71787F95C57_.wvu.Cols" localSheetId="2" hidden="1">'1) Report'!$AO:$AU</definedName>
    <definedName name="Z_F5FA2A23_9E46_4C2F_B1EE_B71787F95C57_.wvu.Cols" localSheetId="13" hidden="1">'6) RAG Table'!$AC:$AC</definedName>
    <definedName name="Z_F5FA2A23_9E46_4C2F_B1EE_B71787F95C57_.wvu.FilterData" localSheetId="13" hidden="1">'6) RAG Table'!$AC$4:$AC$61</definedName>
    <definedName name="Z_F5FA2A23_9E46_4C2F_B1EE_B71787F95C57_.wvu.PrintArea" localSheetId="0" hidden="1">'0) SL Project Structure'!$A$1:$AL$82</definedName>
    <definedName name="Z_F5FA2A23_9E46_4C2F_B1EE_B71787F95C57_.wvu.PrintArea" localSheetId="1" hidden="1">'0) SL Project Structure OLD'!$A$1:$AL$68</definedName>
    <definedName name="Z_F5FA2A23_9E46_4C2F_B1EE_B71787F95C57_.wvu.PrintArea" localSheetId="2" hidden="1">'1) Report'!$B$2:$AM$137</definedName>
    <definedName name="Z_F5FA2A23_9E46_4C2F_B1EE_B71787F95C57_.wvu.PrintArea" localSheetId="5" hidden="1">'2) Definitions'!$A$2:$T$50</definedName>
    <definedName name="Z_F5FA2A23_9E46_4C2F_B1EE_B71787F95C57_.wvu.PrintArea" localSheetId="13" hidden="1">'6) RAG Table'!$B$1:$AA$111</definedName>
    <definedName name="Z_F5FA2A23_9E46_4C2F_B1EE_B71787F95C57_.wvu.PrintArea" localSheetId="11" hidden="1">'P&amp;B Summary'!$B$3:$J$18</definedName>
    <definedName name="Z_F5FA2A23_9E46_4C2F_B1EE_B71787F95C57_.wvu.PrintTitles" localSheetId="2" hidden="1">'1) Report'!$3:$6</definedName>
    <definedName name="Z_F5FA2A23_9E46_4C2F_B1EE_B71787F95C57_.wvu.Rows" localSheetId="2" hidden="1">'1) Report'!$1:$1,'1) Report'!$10:$10,'1) Report'!$16:$16,'1) Report'!$45:$45,'1) Report'!$52:$52,'1) Report'!$91:$91,'1) Report'!$120:$120</definedName>
    <definedName name="Z_F5FA2A23_9E46_4C2F_B1EE_B71787F95C57_.wvu.Rows" localSheetId="6" hidden="1">'3) BC and Sanction'!$1:$1</definedName>
    <definedName name="Z_F5FA2A23_9E46_4C2F_B1EE_B71787F95C57_.wvu.Rows" localSheetId="4" hidden="1">'4) Baseline Changes'!$1:$1</definedName>
    <definedName name="Z_F5FA2A23_9E46_4C2F_B1EE_B71787F95C57_.wvu.Rows" localSheetId="13" hidden="1">'6) RAG Table'!$72:$77</definedName>
    <definedName name="Z_F5FA2A23_9E46_4C2F_B1EE_B71787F95C57_.wvu.Rows" localSheetId="11" hidden="1">'P&amp;B Summary'!$1:$1</definedName>
    <definedName name="Z_F5FA2A23_9E46_4C2F_B1EE_B71787F95C57_.wvu.Rows" localSheetId="9" hidden="1">'Pd08 Extended MPPR WD9'!$7:$7,'Pd08 Extended MPPR WD9'!$11:$11,'Pd08 Extended MPPR WD9'!$15:$15,'Pd08 Extended MPPR WD9'!$19:$19,'Pd08 Extended MPPR WD9'!$23:$23,'Pd08 Extended MPPR WD9'!$27:$27,'Pd08 Extended MPPR WD9'!$31:$31,'Pd08 Extended MPPR WD9'!$35:$35</definedName>
    <definedName name="Z_F5FA2A23_9E46_4C2F_B1EE_B71787F95C57_.wvu.Rows" localSheetId="8" hidden="1">'Pd08 MPPR WD9'!$7:$7,'Pd08 MPPR WD9'!$11:$11,'Pd08 MPPR WD9'!$15:$15,'Pd08 MPPR WD9'!$19:$19,'Pd08 MPPR WD9'!$23:$23,'Pd08 MPPR WD9'!$27:$27,'Pd08 MPPR WD9'!$31:$31,'Pd08 MPPR WD9'!$35:$35,'Pd08 MPPR WD9'!$39:$39,'Pd08 MPPR WD9'!$43:$43,'Pd08 MPPR WD9'!$47:$47,'Pd08 MPPR WD9'!$50:$50,'Pd08 MPPR WD9'!$53:$53</definedName>
    <definedName name="Z_FBC63E8F_69FE_4648_B709_FA1212EFFB29_.wvu.Cols" localSheetId="2" hidden="1">'1) Report'!$AO:$AU</definedName>
    <definedName name="Z_FBC63E8F_69FE_4648_B709_FA1212EFFB29_.wvu.Cols" localSheetId="13" hidden="1">'6) RAG Table'!$AB:$AE</definedName>
    <definedName name="Z_FBC63E8F_69FE_4648_B709_FA1212EFFB29_.wvu.FilterData" localSheetId="13" hidden="1">'6) RAG Table'!$AC$4:$AC$61</definedName>
    <definedName name="Z_FBC63E8F_69FE_4648_B709_FA1212EFFB29_.wvu.PrintArea" localSheetId="0" hidden="1">'0) SL Project Structure'!$A$1:$AU$78</definedName>
    <definedName name="Z_FBC63E8F_69FE_4648_B709_FA1212EFFB29_.wvu.PrintArea" localSheetId="1" hidden="1">'0) SL Project Structure OLD'!$A$1:$AL$68</definedName>
    <definedName name="Z_FBC63E8F_69FE_4648_B709_FA1212EFFB29_.wvu.PrintArea" localSheetId="2" hidden="1">'1) Report'!$B$2:$AM$137</definedName>
    <definedName name="Z_FBC63E8F_69FE_4648_B709_FA1212EFFB29_.wvu.PrintArea" localSheetId="5" hidden="1">'2) Definitions'!$A$2:$T$50</definedName>
    <definedName name="Z_FBC63E8F_69FE_4648_B709_FA1212EFFB29_.wvu.PrintArea" localSheetId="13" hidden="1">'6) RAG Table'!$A$1:$AA$100</definedName>
    <definedName name="Z_FBC63E8F_69FE_4648_B709_FA1212EFFB29_.wvu.PrintArea" localSheetId="11" hidden="1">'P&amp;B Summary'!$B$3:$J$18</definedName>
    <definedName name="Z_FBC63E8F_69FE_4648_B709_FA1212EFFB29_.wvu.PrintTitles" localSheetId="2" hidden="1">'1) Report'!$3:$6</definedName>
    <definedName name="Z_FBC63E8F_69FE_4648_B709_FA1212EFFB29_.wvu.Rows" localSheetId="2" hidden="1">'1) Report'!$1:$1,'1) Report'!$10:$10,'1) Report'!$16:$16,'1) Report'!$45:$45,'1) Report'!$52:$52,'1) Report'!$91:$91,'1) Report'!$120:$120</definedName>
    <definedName name="Z_FBC63E8F_69FE_4648_B709_FA1212EFFB29_.wvu.Rows" localSheetId="6" hidden="1">'3) BC and Sanction'!$1:$1</definedName>
    <definedName name="Z_FBC63E8F_69FE_4648_B709_FA1212EFFB29_.wvu.Rows" localSheetId="4" hidden="1">'4) Baseline Changes'!$1:$1</definedName>
    <definedName name="Z_FBC63E8F_69FE_4648_B709_FA1212EFFB29_.wvu.Rows" localSheetId="12" hidden="1">'5a)NDA MPPR'!$63:$101</definedName>
    <definedName name="Z_FBC63E8F_69FE_4648_B709_FA1212EFFB29_.wvu.Rows" localSheetId="13" hidden="1">'6) RAG Table'!$72:$77</definedName>
    <definedName name="Z_FBC63E8F_69FE_4648_B709_FA1212EFFB29_.wvu.Rows" localSheetId="11" hidden="1">'P&amp;B Summary'!$1:$1</definedName>
    <definedName name="Z_FBC63E8F_69FE_4648_B709_FA1212EFFB29_.wvu.Rows" localSheetId="9" hidden="1">'Pd08 Extended MPPR WD9'!$7:$7,'Pd08 Extended MPPR WD9'!$11:$11,'Pd08 Extended MPPR WD9'!$15:$15,'Pd08 Extended MPPR WD9'!$19:$19,'Pd08 Extended MPPR WD9'!$23:$23,'Pd08 Extended MPPR WD9'!$27:$27,'Pd08 Extended MPPR WD9'!$31:$31,'Pd08 Extended MPPR WD9'!$35:$35</definedName>
    <definedName name="Z_FBC63E8F_69FE_4648_B709_FA1212EFFB29_.wvu.Rows" localSheetId="8" hidden="1">'Pd08 MPPR WD9'!$7:$7,'Pd08 MPPR WD9'!$11:$11,'Pd08 MPPR WD9'!$15:$15,'Pd08 MPPR WD9'!$19:$19,'Pd08 MPPR WD9'!$23:$23,'Pd08 MPPR WD9'!$27:$27,'Pd08 MPPR WD9'!$31:$31,'Pd08 MPPR WD9'!$35:$35,'Pd08 MPPR WD9'!$39:$39,'Pd08 MPPR WD9'!$43:$43,'Pd08 MPPR WD9'!$47:$47,'Pd08 MPPR WD9'!$50:$50,'Pd08 MPPR WD9'!$53:$53</definedName>
  </definedNames>
  <calcPr calcId="191029"/>
  <customWorkbookViews>
    <customWorkbookView name="Duffy, Joanne (SL) - Personal View" guid="{7E571F1D-D438-4605-90D6-3F831F76D652}" mergeInterval="0" personalView="1" maximized="1" xWindow="-11" yWindow="-11" windowWidth="1942" windowHeight="1030" tabRatio="806" activeSheetId="14" showComments="commIndAndComment"/>
    <customWorkbookView name="Burns, Veronica A (SL) - Personal View" guid="{466708C2-41CE-4656-AB81-E1E49DF5945D}" mergeInterval="0" personalView="1" maximized="1" xWindow="1912" yWindow="-8" windowWidth="1936" windowHeight="1048" tabRatio="610" activeSheetId="3"/>
    <customWorkbookView name="Philip, Jody (SL) - Personal View" guid="{B84DA703-8C5B-4100-91A4-8807E303D379}" mergeInterval="0" personalView="1" maximized="1" xWindow="-8" yWindow="-8" windowWidth="1936" windowHeight="1048" tabRatio="610" activeSheetId="3"/>
    <customWorkbookView name="Brinicombe, Benjamin R (SL) - Personal View" guid="{527A2BDE-37CE-4B02-9F2C-CD7E7AC81C63}" mergeInterval="0" personalView="1" xWindow="7" yWindow="38" windowWidth="1913" windowHeight="1006" tabRatio="610" activeSheetId="3"/>
    <customWorkbookView name="Barnett, Matthew J (SL) - Personal View" guid="{BDCD1595-C0B8-4F6C-B01C-3472C895B827}" mergeInterval="0" personalView="1" maximized="1" xWindow="-8" yWindow="-8" windowWidth="1936" windowHeight="1048" tabRatio="610" activeSheetId="3"/>
    <customWorkbookView name="Graham, Craig W (SL) - Personal View" guid="{C57A83F1-F5A3-470B-9579-6A222C54F4E8}" mergeInterval="0" personalView="1" xWindow="1" yWindow="46" windowWidth="1924" windowHeight="753" tabRatio="610" activeSheetId="3"/>
    <customWorkbookView name="Mossop, Ellie L (SL) - Personal View" guid="{3827E543-57D2-48C8-B786-7077EA079DD2}" mergeInterval="0" personalView="1" maximized="1" xWindow="-11" yWindow="-11" windowWidth="1942" windowHeight="1054" tabRatio="610" activeSheetId="3"/>
    <customWorkbookView name="Morris, James (SL) - Personal View" guid="{F5FA2A23-9E46-4C2F-B1EE-B71787F95C57}" mergeInterval="0" personalView="1" maximized="1" xWindow="-1928" yWindow="-8" windowWidth="1936" windowHeight="1048" tabRatio="610" activeSheetId="3"/>
    <customWorkbookView name="Brenan, Lauren E (SL) - Personal View" guid="{42B0E8B1-ADFA-49AE-A83B-82D384737703}" mergeInterval="0" personalView="1" maximized="1" xWindow="1672" yWindow="-8" windowWidth="1936" windowHeight="1048" tabRatio="610" activeSheetId="3"/>
    <customWorkbookView name="Simpson, Nicole (SL) - Personal View" guid="{602520CD-F98C-43A6-AA0D-88893E9CB6E8}" mergeInterval="0" personalView="1" maximized="1" xWindow="-1688" yWindow="-105" windowWidth="1696" windowHeight="1018" tabRatio="610" activeSheetId="3"/>
    <customWorkbookView name="Park, Gary B (SL) - Personal View" guid="{B8317A9A-0FFD-4A18-80F7-203DB2FC8CA5}" mergeInterval="0" personalView="1" maximized="1" xWindow="1912" yWindow="-8" windowWidth="1936" windowHeight="1048" tabRatio="806" activeSheetId="3"/>
    <customWorkbookView name="Cooper, Jonathan (SL) - Personal View" guid="{2608BE9B-66AC-4D4C-8EE0-E88C94E88140}" mergeInterval="0" personalView="1" maximized="1" xWindow="-1928" yWindow="-8" windowWidth="1936" windowHeight="1048" tabRatio="610" activeSheetId="3"/>
    <customWorkbookView name="Bennett, Helene (SL) - Personal View" guid="{D850720D-4A1C-48F2-8E1D-8E09B7414A1A}" mergeInterval="0" personalView="1" maximized="1" xWindow="1798" yWindow="-1712" windowWidth="2902" windowHeight="1570" tabRatio="610" activeSheetId="3"/>
    <customWorkbookView name="Greeson, Clare (SL) - Personal View" guid="{A8E976B8-D767-4DB4-82BD-ABE90880F33F}" mergeInterval="0" personalView="1" maximized="1" xWindow="-8" yWindow="-8" windowWidth="1936" windowHeight="1048" tabRatio="610" activeSheetId="3"/>
    <customWorkbookView name="Akers, Dianne M (SL) - Personal View" guid="{B95D32C7-1418-4EF6-8936-849885C54A4A}" mergeInterval="0" personalView="1" maximized="1" xWindow="-8" yWindow="-8" windowWidth="2576" windowHeight="1408" tabRatio="806" activeSheetId="8"/>
    <customWorkbookView name="Bayliff, Adele (SL) - Personal View" guid="{9355C9F4-9C07-4A93-B7F2-69F1D1526716}" mergeInterval="0" personalView="1" maximized="1" xWindow="1912" yWindow="-8" windowWidth="1936" windowHeight="1048" tabRatio="806" activeSheetId="3"/>
    <customWorkbookView name="Parker-Brannan, Sharon (SL) - Personal View" guid="{1ECD6E30-299B-4354-A416-2DAFF33C7022}" mergeInterval="0" personalView="1" maximized="1" xWindow="1912" yWindow="-8" windowWidth="1936" windowHeight="1048" tabRatio="610" activeSheetId="3"/>
    <customWorkbookView name="Irving, John SP (SL) - Personal View" guid="{9AF6E233-883D-48B4-95AB-42B37199AB9E}" mergeInterval="0" personalView="1" maximized="1" xWindow="-11" yWindow="-11" windowWidth="1942" windowHeight="1030" tabRatio="698" activeSheetId="3"/>
    <customWorkbookView name="Connah, Danielle (SL) - Personal View" guid="{451730E2-FFE9-4FCE-B8B5-64952C26C672}" mergeInterval="0" personalView="1" maximized="1" xWindow="1912" yWindow="-8" windowWidth="1936" windowHeight="1048" tabRatio="610" activeSheetId="3"/>
    <customWorkbookView name="Durkin, Mark SJ (SL) - Personal View" guid="{4EBEE699-7DEF-4A50-9CB7-490835CF0B98}" mergeInterval="0" personalView="1" maximized="1" xWindow="-11" yWindow="-11" windowWidth="3862" windowHeight="2110" tabRatio="610" activeSheetId="3"/>
    <customWorkbookView name="Munton, Paul (SL) - Personal View" guid="{A03C6B09-6B58-4DDE-A3B2-41A27A7049D9}" mergeInterval="0" personalView="1" maximized="1" xWindow="-9" yWindow="-9" windowWidth="1938" windowHeight="1038" tabRatio="610" activeSheetId="3"/>
    <customWorkbookView name="France, James M (SL) - Personal View" guid="{3C97F0B0-2F3C-4E03-96E0-0C4FEC2F24AC}" mergeInterval="0" personalView="1" maximized="1" xWindow="-11" yWindow="-11" windowWidth="1942" windowHeight="1030" tabRatio="806" activeSheetId="3"/>
    <customWorkbookView name="McCormick, Matthew (SL) - Personal View" guid="{B0A28FD4-D7F6-428C-A7F7-92132DCD74BB}" mergeInterval="0" personalView="1" maximized="1" xWindow="-311" yWindow="-1448" windowWidth="2576" windowHeight="1408" tabRatio="806" activeSheetId="8"/>
    <customWorkbookView name="Silver, Stephen N (SL) - Personal View" guid="{3BB18945-69B5-4B22-8D55-989F8F233459}" mergeInterval="0" personalView="1" maximized="1" xWindow="-8" yWindow="-8" windowWidth="1936" windowHeight="1048" tabRatio="806" activeSheetId="3"/>
    <customWorkbookView name="Fennell, William J (SL) - Personal View" guid="{D16D941B-FC89-4FEC-A49B-5FA2532584DE}" mergeInterval="0" personalView="1" maximized="1" xWindow="-11" yWindow="-11" windowWidth="1942" windowHeight="1030" tabRatio="610" activeSheetId="3"/>
    <customWorkbookView name="Kolbe, John L (SL) - Personal View" guid="{C39AE06A-FC0A-4D7D-B287-2FA9CA174191}" mergeInterval="0" personalView="1" maximized="1" xWindow="-8" yWindow="-8" windowWidth="1936" windowHeight="1048" tabRatio="806" activeSheetId="3"/>
    <customWorkbookView name="Teasdale, David (SL) - Personal View" guid="{4E6F9C2D-76F2-4884-BBF6-E02A7BAE11EF}" mergeInterval="0" personalView="1" xWindow="3" yWindow="23" windowWidth="1901" windowHeight="1009" tabRatio="806" activeSheetId="3"/>
    <customWorkbookView name="Bell, Emily (SL) - Personal View" guid="{008CCD98-7480-4C51-806A-4B55C801DDC2}" mergeInterval="0" personalView="1" maximized="1" xWindow="1912" yWindow="-8" windowWidth="1936" windowHeight="1048" tabRatio="806" activeSheetId="3"/>
    <customWorkbookView name="Boyes, Lisa (SL) - Personal View" guid="{D27C51BB-BB54-4F37-8171-98067C39697C}" mergeInterval="0" personalView="1" maximized="1" xWindow="-8" yWindow="-8" windowWidth="1936" windowHeight="1048" tabRatio="806" activeSheetId="3"/>
    <customWorkbookView name="Holliday, Maegan (SL) - Personal View" guid="{6702457D-A9A8-4F46-8E1C-BC7255F4BA77}" mergeInterval="0" personalView="1" maximized="1" xWindow="-8" yWindow="-8" windowWidth="2576" windowHeight="1416" tabRatio="610" activeSheetId="3"/>
    <customWorkbookView name="Mahaffy, Yvonne E (SL) - Personal View" guid="{016CEBB2-C827-48F4-95E1-85D8C5129F41}" mergeInterval="0" personalView="1" maximized="1" xWindow="-11" yWindow="-11" windowWidth="1942" windowHeight="1030" tabRatio="587" activeSheetId="3"/>
    <customWorkbookView name="McClure, Simon C (SL) - Personal View" guid="{EB96DBE4-2D64-4388-853C-CB52A0CB79BA}" mergeInterval="0" personalView="1" maximized="1" xWindow="-11" yWindow="-11" windowWidth="1942" windowHeight="1030" tabRatio="610" activeSheetId="3"/>
    <customWorkbookView name="Tierney, Harry T (SL) - Personal View" guid="{351EFD38-BF62-4E34-A37F-0EEB3E165043}" mergeInterval="0" personalView="1" maximized="1" xWindow="-11" yWindow="-11" windowWidth="1942" windowHeight="1030" tabRatio="610" activeSheetId="3"/>
    <customWorkbookView name="Wright, Benjamin J (SL) - Personal View" guid="{593284E7-E32C-4D6C-8C2F-3DEEF9DEE1DF}" mergeInterval="0" personalView="1" maximized="1" xWindow="2" yWindow="-1088" windowWidth="1936" windowHeight="1048" tabRatio="806" activeSheetId="3"/>
    <customWorkbookView name="Harlow, Matt (SL) - Personal View" guid="{E06B4FE8-6127-47B2-A6A5-4FAC9EEB4538}" mergeInterval="0" personalView="1" xWindow="2012" yWindow="95" windowWidth="1725" windowHeight="1065" tabRatio="806" activeSheetId="3"/>
    <customWorkbookView name="Parr, Simon (SL) - Personal View" guid="{51B3083F-A103-41AB-A137-63549C54B838}" mergeInterval="0" personalView="1" maximized="1" xWindow="1912" yWindow="-8" windowWidth="1696" windowHeight="1018" tabRatio="806" activeSheetId="3"/>
    <customWorkbookView name="Hoodless, David R (SL) - Personal View" guid="{8CB67476-3FD4-42E0-ACD6-62ACA9412843}" mergeInterval="0" personalView="1" maximized="1" xWindow="-11" yWindow="-11" windowWidth="1942" windowHeight="1030" tabRatio="610" activeSheetId="3" showComments="commIndAndComment"/>
    <customWorkbookView name="Charlson, Helen (SL) - Personal View" guid="{151EB58C-4EFD-4330-8D1A-8AACF5F7C679}" mergeInterval="0" personalView="1" maximized="1" xWindow="1909" yWindow="-11" windowWidth="1942" windowHeight="1030" tabRatio="610" activeSheetId="3"/>
    <customWorkbookView name="Roberts, Louise (SL) - Personal View" guid="{8263C9D2-452D-46FA-AFA0-452B42DC0298}" mergeInterval="0" personalView="1" maximized="1" xWindow="-8" yWindow="-8" windowWidth="1936" windowHeight="1048" tabRatio="806" activeSheetId="3"/>
    <customWorkbookView name="Watson, Louise (SL) - Personal View" guid="{DF265C7B-1EEB-47EB-982A-6938E81F7AC2}" mergeInterval="0" personalView="1" maximized="1" xWindow="-11" yWindow="-11" windowWidth="1942" windowHeight="1030" tabRatio="610" activeSheetId="3"/>
    <customWorkbookView name="Maher, Jennifer (SL) - Personal View" guid="{9F91FBC4-6A13-42C2-A2D9-42A2AC814E28}" mergeInterval="0" personalView="1" maximized="1" xWindow="-9" yWindow="-9" windowWidth="1938" windowHeight="1038" tabRatio="806" activeSheetId="3"/>
    <customWorkbookView name="Illidge, Caroline (SL) - Personal View" guid="{F4A6298C-1A75-4FA9-A6A4-2BE13CCFE545}" mergeInterval="0" personalView="1" maximized="1" xWindow="-8" yWindow="-8" windowWidth="2576" windowHeight="1408" tabRatio="610" activeSheetId="3"/>
    <customWorkbookView name="Kitchingman, Mark D (SL) - Personal View" guid="{29AC9BE3-332A-4738-949C-1F8C0D32BAEE}" mergeInterval="0" personalView="1" maximized="1" xWindow="-1928" yWindow="-8" windowWidth="1936" windowHeight="1048" tabRatio="806" activeSheetId="3"/>
    <customWorkbookView name="Dearman-Hill, Olivia A (SL) - Personal View" guid="{75EE3B92-AF4D-4E93-A70E-6ADE60CC674F}" mergeInterval="0" personalView="1" maximized="1" xWindow="-8" yWindow="-8" windowWidth="1936" windowHeight="1024" tabRatio="698" activeSheetId="3"/>
    <customWorkbookView name="Wilson, Sarah (SL) - Personal View" guid="{CA7E8063-5145-49E1-8E00-2E1025705A81}" mergeInterval="0" personalView="1" maximized="1" xWindow="-8" yWindow="-8" windowWidth="1936" windowHeight="1048" tabRatio="610" activeSheetId="3"/>
    <customWorkbookView name="Williams, Mark XX (SL) - Personal View" guid="{51DFD3D6-BC25-47B4-B28F-D640534DB3A9}" mergeInterval="0" personalView="1" maximized="1" xWindow="2552" yWindow="-8" windowWidth="1936" windowHeight="1048" tabRatio="806" activeSheetId="3"/>
    <customWorkbookView name="Eyles, Rico D (SL) - Personal View" guid="{37F5A0AB-EB39-4832-9D67-F67D908BF486}" mergeInterval="0" personalView="1" maximized="1" xWindow="-7" yWindow="-1088" windowWidth="1936" windowHeight="1048" tabRatio="806" activeSheetId="3"/>
    <customWorkbookView name="Horsley, David Z (SL) - Personal View" guid="{70582C04-BB53-4A99-A3C1-673011D9AE1C}" mergeInterval="0" personalView="1" maximized="1" xWindow="-11" yWindow="-11" windowWidth="1942" windowHeight="1030" tabRatio="610" activeSheetId="3"/>
    <customWorkbookView name="Smith, Alison (SL) - Personal View" guid="{442F9A23-CA6E-4109-B10C-ACF5FD36B859}" mergeInterval="0" personalView="1" maximized="1" xWindow="-8" yWindow="-8" windowWidth="1936" windowHeight="1048" tabRatio="610" activeSheetId="3"/>
    <customWorkbookView name="Stead, Dave (SL) - Personal View" guid="{E4713981-DD11-40CE-BE52-873D93BDDE05}" mergeInterval="0" personalView="1" maximized="1" xWindow="-8" yWindow="-8" windowWidth="1936" windowHeight="1048" tabRatio="610" activeSheetId="3"/>
    <customWorkbookView name="Jackson, Simon X (SL) - Personal View" guid="{83044EFE-7F92-4F81-B034-85D9567158C2}" mergeInterval="0" personalView="1" maximized="1" xWindow="-3373" yWindow="-847" windowWidth="3386" windowHeight="2030" tabRatio="610" activeSheetId="3"/>
    <customWorkbookView name="Eaves, Debs (SL) - Personal View" guid="{E3A3AE56-8881-4A6F-9299-803C489AD1B4}" mergeInterval="0" personalView="1" maximized="1" xWindow="1912" yWindow="-8" windowWidth="1936" windowHeight="1048" tabRatio="610" activeSheetId="3"/>
    <customWorkbookView name="Nash, Alice (SL) - Personal View" guid="{FBC63E8F-69FE-4648-B709-FA1212EFFB29}" mergeInterval="0" personalView="1" maximized="1" xWindow="1912" yWindow="-428" windowWidth="1936" windowHeight="1048" tabRatio="806" activeSheetId="3" showComments="commIndAndComment"/>
    <customWorkbookView name="Salloo, Naeemah (SL) - Personal View" guid="{0EDA65D2-43FB-421C-9D8C-D8082C64B09A}" mergeInterval="0" personalView="1" maximized="1" xWindow="-11" yWindow="-11" windowWidth="1942" windowHeight="1030" tabRatio="610" activeSheetId="3"/>
    <customWorkbookView name="Pickering, Eva (SL) - Personal View" guid="{B434A8A8-5A4C-48C0-82E7-2458B9D2EEEF}" mergeInterval="0" personalView="1" maximized="1" xWindow="-8" yWindow="-8" windowWidth="1936" windowHeight="1048" tabRatio="610" activeSheetId="3"/>
    <customWorkbookView name="Hindley, Joanne A (SL) - Personal View" guid="{EDD5A64E-02C0-4DD6-80BA-449123FCDAA2}" mergeInterval="0" personalView="1" maximized="1" xWindow="-1928" yWindow="-202" windowWidth="1936" windowHeight="1048" tabRatio="610" activeSheetId="1"/>
    <customWorkbookView name="Brew, John (SL) - Personal View" guid="{97D58294-343B-4B62-A826-0DDDE29B5F0D}" mergeInterval="0" personalView="1" maximized="1" xWindow="-8" yWindow="-8" windowWidth="1936" windowHeight="1048" tabRatio="806" activeSheetId="3"/>
    <customWorkbookView name="Ericsen, Danielle (SL) - Personal View" guid="{800416AC-1374-44AC-811C-612C85EF24E6}" mergeInterval="0" personalView="1" maximized="1" xWindow="1912" yWindow="-8" windowWidth="1936" windowHeight="1048" tabRatio="806" activeSheetId="3"/>
    <customWorkbookView name="Goodfellow, Louise (SL) - Personal View" guid="{2EA8DBF7-9763-457C-AA9F-1EEB2F136D1F}" mergeInterval="0" personalView="1" maximized="1" xWindow="-11" yWindow="-11" windowWidth="1942" windowHeight="1030" tabRatio="610" activeSheetId="3"/>
    <customWorkbookView name="Kegg, Aiden (SL) - Personal View" guid="{78AA4A71-CE17-4C4D-849E-E3E1A44EA907}" mergeInterval="0" personalView="1" maximized="1" xWindow="-8" yWindow="-8" windowWidth="1936" windowHeight="1048" tabRatio="610" activeSheetId="13"/>
    <customWorkbookView name="Quanbrough, Julie (SL) - Personal View" guid="{C7C13768-4A8D-4CBA-978C-F4A7B5550C00}" mergeInterval="0" personalView="1" maximized="1" xWindow="-11" yWindow="-11" windowWidth="1942" windowHeight="1030" tabRatio="610" activeSheetId="3"/>
    <customWorkbookView name="Potter, Daniel (SL) - Personal View" guid="{D59DDBAA-620D-43B7-A6D9-759808D3397A}" mergeInterval="0" personalView="1" maximized="1" xWindow="-11" yWindow="-11" windowWidth="1942" windowHeight="1030" tabRatio="806" activeSheetId="3" showComments="commIndAndComment"/>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B75" i="3" l="1"/>
  <c r="P56" i="1"/>
  <c r="B74" i="13"/>
  <c r="J73" i="13"/>
  <c r="I73" i="13"/>
  <c r="B73" i="13"/>
  <c r="B72" i="13"/>
  <c r="B71" i="13"/>
  <c r="B70" i="13"/>
  <c r="B67" i="13"/>
  <c r="B66" i="13"/>
  <c r="B65" i="13"/>
  <c r="B64" i="13"/>
  <c r="B63" i="13"/>
  <c r="B62" i="13"/>
  <c r="B61" i="13"/>
  <c r="B60" i="13"/>
  <c r="B59" i="13"/>
  <c r="AT54" i="13"/>
  <c r="W54" i="13"/>
  <c r="G73" i="13" s="1"/>
  <c r="AT51" i="13"/>
  <c r="AA51" i="13"/>
  <c r="H68" i="13" s="1"/>
  <c r="BF51" i="13"/>
  <c r="J68" i="13" s="1"/>
  <c r="W51" i="13"/>
  <c r="G68" i="13" s="1"/>
  <c r="AV51" i="13"/>
  <c r="BD51" i="13"/>
  <c r="I68" i="13" s="1"/>
  <c r="AO51" i="13"/>
  <c r="BD48" i="13"/>
  <c r="I66" i="13" s="1"/>
  <c r="AA48" i="13"/>
  <c r="H66" i="13" s="1"/>
  <c r="AO48" i="13"/>
  <c r="BF48" i="13"/>
  <c r="J66" i="13" s="1"/>
  <c r="AQ48" i="13"/>
  <c r="AT45" i="13"/>
  <c r="BF45" i="13"/>
  <c r="J72" i="13" s="1"/>
  <c r="AV45" i="13"/>
  <c r="BD45" i="13"/>
  <c r="I72" i="13" s="1"/>
  <c r="AQ45" i="13"/>
  <c r="AV42" i="13"/>
  <c r="AA42" i="13"/>
  <c r="H69" i="13" s="1"/>
  <c r="BF42" i="13"/>
  <c r="J69" i="13" s="1"/>
  <c r="W42" i="13"/>
  <c r="G69" i="13" s="1"/>
  <c r="AN42" i="13"/>
  <c r="BD42" i="13"/>
  <c r="I69" i="13" s="1"/>
  <c r="BF39" i="13"/>
  <c r="J71" i="13" s="1"/>
  <c r="BD39" i="13"/>
  <c r="I71" i="13" s="1"/>
  <c r="AN39" i="13"/>
  <c r="AA39" i="13"/>
  <c r="H71" i="13" s="1"/>
  <c r="AO39" i="13"/>
  <c r="AR39" i="13"/>
  <c r="AX36" i="13"/>
  <c r="BF36" i="13"/>
  <c r="J62" i="13" s="1"/>
  <c r="AV36" i="13"/>
  <c r="BD36" i="13"/>
  <c r="I62" i="13" s="1"/>
  <c r="AO33" i="13"/>
  <c r="BF33" i="13"/>
  <c r="J59" i="13" s="1"/>
  <c r="AN33" i="13"/>
  <c r="BD33" i="13"/>
  <c r="I59" i="13" s="1"/>
  <c r="AO30" i="13"/>
  <c r="AT30" i="13"/>
  <c r="BF30" i="13"/>
  <c r="J64" i="13" s="1"/>
  <c r="W30" i="13"/>
  <c r="G64" i="13" s="1"/>
  <c r="AR30" i="13"/>
  <c r="BD30" i="13"/>
  <c r="I64" i="13" s="1"/>
  <c r="AA27" i="13"/>
  <c r="H63" i="13" s="1"/>
  <c r="BF27" i="13"/>
  <c r="J63" i="13" s="1"/>
  <c r="W27" i="13"/>
  <c r="G63" i="13" s="1"/>
  <c r="AV27" i="13"/>
  <c r="BD27" i="13"/>
  <c r="I63" i="13" s="1"/>
  <c r="AT27" i="13"/>
  <c r="BD24" i="13"/>
  <c r="I65" i="13" s="1"/>
  <c r="AA24" i="13"/>
  <c r="H65" i="13" s="1"/>
  <c r="AO24" i="13"/>
  <c r="BF24" i="13"/>
  <c r="J65" i="13" s="1"/>
  <c r="W24" i="13"/>
  <c r="G65" i="13" s="1"/>
  <c r="AQ24" i="13"/>
  <c r="AA21" i="13"/>
  <c r="H60" i="13" s="1"/>
  <c r="AT21" i="13"/>
  <c r="BF21" i="13"/>
  <c r="J60" i="13" s="1"/>
  <c r="AV21" i="13"/>
  <c r="BD21" i="13"/>
  <c r="I60" i="13" s="1"/>
  <c r="AQ21" i="13"/>
  <c r="AV18" i="13"/>
  <c r="AA18" i="13"/>
  <c r="H74" i="13" s="1"/>
  <c r="BF18" i="13"/>
  <c r="J74" i="13" s="1"/>
  <c r="W18" i="13"/>
  <c r="G74" i="13" s="1"/>
  <c r="AN18" i="13"/>
  <c r="BD18" i="13"/>
  <c r="I74" i="13" s="1"/>
  <c r="BF15" i="13"/>
  <c r="J61" i="13" s="1"/>
  <c r="AN15" i="13"/>
  <c r="AO15" i="13"/>
  <c r="W15" i="13"/>
  <c r="G61" i="13" s="1"/>
  <c r="AR15" i="13"/>
  <c r="BD15" i="13"/>
  <c r="I61" i="13" s="1"/>
  <c r="AA12" i="13"/>
  <c r="H67" i="13" s="1"/>
  <c r="AX12" i="13"/>
  <c r="BF12" i="13"/>
  <c r="J67" i="13" s="1"/>
  <c r="AV12" i="13"/>
  <c r="BD12" i="13"/>
  <c r="I67" i="13" s="1"/>
  <c r="AO9" i="13"/>
  <c r="BF9" i="13"/>
  <c r="J70" i="13" s="1"/>
  <c r="AN9" i="13"/>
  <c r="BD9" i="13"/>
  <c r="I70" i="13" s="1"/>
  <c r="AR12" i="13" l="1"/>
  <c r="AQ9" i="13"/>
  <c r="AT15" i="13"/>
  <c r="AO18" i="13"/>
  <c r="AX21" i="13"/>
  <c r="AR24" i="13"/>
  <c r="AN27" i="13"/>
  <c r="AV30" i="13"/>
  <c r="AQ33" i="13"/>
  <c r="AA36" i="13"/>
  <c r="H62" i="13" s="1"/>
  <c r="W39" i="13"/>
  <c r="G71" i="13" s="1"/>
  <c r="AT39" i="13"/>
  <c r="AO42" i="13"/>
  <c r="AX45" i="13"/>
  <c r="AR48" i="13"/>
  <c r="AN51" i="13"/>
  <c r="AV54" i="13"/>
  <c r="AX9" i="13"/>
  <c r="AR36" i="13"/>
  <c r="AR9" i="13"/>
  <c r="AN12" i="13"/>
  <c r="AV15" i="13"/>
  <c r="AQ18" i="13"/>
  <c r="AT24" i="13"/>
  <c r="AO27" i="13"/>
  <c r="AX30" i="13"/>
  <c r="AR33" i="13"/>
  <c r="AN36" i="13"/>
  <c r="AV39" i="13"/>
  <c r="AQ42" i="13"/>
  <c r="AA45" i="13"/>
  <c r="H72" i="13" s="1"/>
  <c r="W48" i="13"/>
  <c r="G66" i="13" s="1"/>
  <c r="AT48" i="13"/>
  <c r="AX54" i="13"/>
  <c r="W9" i="13"/>
  <c r="G70" i="13" s="1"/>
  <c r="AT9" i="13"/>
  <c r="AO12" i="13"/>
  <c r="AX15" i="13"/>
  <c r="AR18" i="13"/>
  <c r="AN21" i="13"/>
  <c r="AV24" i="13"/>
  <c r="AQ27" i="13"/>
  <c r="AA30" i="13"/>
  <c r="H64" i="13" s="1"/>
  <c r="W33" i="13"/>
  <c r="G59" i="13" s="1"/>
  <c r="AT33" i="13"/>
  <c r="AO36" i="13"/>
  <c r="AX39" i="13"/>
  <c r="AR42" i="13"/>
  <c r="AN45" i="13"/>
  <c r="AV48" i="13"/>
  <c r="AQ51" i="13"/>
  <c r="AA54" i="13"/>
  <c r="H73" i="13" s="1"/>
  <c r="AV9" i="13"/>
  <c r="AQ12" i="13"/>
  <c r="AA15" i="13"/>
  <c r="H61" i="13" s="1"/>
  <c r="AT18" i="13"/>
  <c r="AO21" i="13"/>
  <c r="AX24" i="13"/>
  <c r="AR27" i="13"/>
  <c r="AN30" i="13"/>
  <c r="AV33" i="13"/>
  <c r="AQ36" i="13"/>
  <c r="AT42" i="13"/>
  <c r="AO45" i="13"/>
  <c r="AX48" i="13"/>
  <c r="AR51" i="13"/>
  <c r="AN54" i="13"/>
  <c r="AO54" i="13"/>
  <c r="AA9" i="13"/>
  <c r="H70" i="13" s="1"/>
  <c r="W12" i="13"/>
  <c r="G67" i="13" s="1"/>
  <c r="AT12" i="13"/>
  <c r="AX18" i="13"/>
  <c r="AR21" i="13"/>
  <c r="AN24" i="13"/>
  <c r="AQ30" i="13"/>
  <c r="AA33" i="13"/>
  <c r="H59" i="13" s="1"/>
  <c r="W36" i="13"/>
  <c r="G62" i="13" s="1"/>
  <c r="AT36" i="13"/>
  <c r="AX42" i="13"/>
  <c r="AR45" i="13"/>
  <c r="AN48" i="13"/>
  <c r="AQ54" i="13"/>
  <c r="AQ15" i="13"/>
  <c r="W21" i="13"/>
  <c r="G60" i="13" s="1"/>
  <c r="AX27" i="13"/>
  <c r="AQ39" i="13"/>
  <c r="W45" i="13"/>
  <c r="G72" i="13" s="1"/>
  <c r="AX51" i="13"/>
  <c r="AR54" i="13"/>
  <c r="AX33" i="13"/>
  <c r="M82" i="8" l="1" a="1"/>
  <c r="M82" i="8" s="1"/>
  <c r="C82" i="8" a="1"/>
  <c r="C82" i="8" s="1"/>
  <c r="AB81" i="8"/>
  <c r="AA81" i="8"/>
  <c r="N81" i="8"/>
  <c r="M78" i="8" a="1"/>
  <c r="M78" i="8" s="1"/>
  <c r="C78" i="8"/>
  <c r="C78" i="8" a="1"/>
  <c r="AB77" i="8"/>
  <c r="AA77" i="8"/>
  <c r="N77" i="8"/>
  <c r="M74" i="8" a="1"/>
  <c r="M74" i="8" s="1"/>
  <c r="C74" i="8" a="1"/>
  <c r="C74" i="8" s="1"/>
  <c r="AB73" i="8"/>
  <c r="AA73" i="8"/>
  <c r="N73" i="8"/>
  <c r="M70" i="8" a="1"/>
  <c r="M70" i="8" s="1"/>
  <c r="C70" i="8" a="1"/>
  <c r="C70" i="8" s="1"/>
  <c r="AB69" i="8"/>
  <c r="AA69" i="8"/>
  <c r="N69" i="8"/>
  <c r="M66" i="8" a="1"/>
  <c r="M66" i="8" s="1"/>
  <c r="C66" i="8" a="1"/>
  <c r="C66" i="8" s="1"/>
  <c r="AB65" i="8"/>
  <c r="AA65" i="8"/>
  <c r="N65" i="8"/>
  <c r="M62" i="8"/>
  <c r="M62" i="8" a="1"/>
  <c r="C62" i="8" a="1"/>
  <c r="C62" i="8" s="1"/>
  <c r="AB61" i="8"/>
  <c r="AA61" i="8"/>
  <c r="N61" i="8"/>
  <c r="M58" i="8"/>
  <c r="M58" i="8" a="1"/>
  <c r="C58" i="8" a="1"/>
  <c r="C58" i="8" s="1"/>
  <c r="AB57" i="8"/>
  <c r="AA57" i="8"/>
  <c r="N57" i="8"/>
  <c r="M54" i="8"/>
  <c r="M54" i="8" a="1"/>
  <c r="C54" i="8"/>
  <c r="C54" i="8" a="1"/>
  <c r="AB53" i="8"/>
  <c r="AA53" i="8"/>
  <c r="N53" i="8"/>
  <c r="M50" i="8" a="1"/>
  <c r="M50" i="8" s="1"/>
  <c r="C50" i="8"/>
  <c r="C50" i="8" a="1"/>
  <c r="AB49" i="8"/>
  <c r="AA49" i="8"/>
  <c r="N49" i="8"/>
  <c r="M46" i="8" a="1"/>
  <c r="M46" i="8" s="1"/>
  <c r="C46" i="8"/>
  <c r="C46" i="8" a="1"/>
  <c r="AB45" i="8"/>
  <c r="AA45" i="8"/>
  <c r="N45" i="8"/>
  <c r="M42" i="8" a="1"/>
  <c r="M42" i="8" s="1"/>
  <c r="C42" i="8" a="1"/>
  <c r="C42" i="8" s="1"/>
  <c r="AB41" i="8"/>
  <c r="AA41" i="8"/>
  <c r="N41" i="8"/>
  <c r="M38" i="8" a="1"/>
  <c r="M38" i="8" s="1"/>
  <c r="C38" i="8" a="1"/>
  <c r="C38" i="8" s="1"/>
  <c r="AB37" i="8"/>
  <c r="AA37" i="8"/>
  <c r="N37" i="8"/>
  <c r="M34" i="8" a="1"/>
  <c r="M34" i="8" s="1"/>
  <c r="C34" i="8" a="1"/>
  <c r="C34" i="8" s="1"/>
  <c r="AB33" i="8"/>
  <c r="AA33" i="8"/>
  <c r="N33" i="8"/>
  <c r="M30" i="8"/>
  <c r="M30" i="8" a="1"/>
  <c r="C30" i="8" a="1"/>
  <c r="C30" i="8" s="1"/>
  <c r="AB29" i="8"/>
  <c r="AA29" i="8"/>
  <c r="N29" i="8"/>
  <c r="M26" i="8"/>
  <c r="M26" i="8" a="1"/>
  <c r="C26" i="8" a="1"/>
  <c r="C26" i="8" s="1"/>
  <c r="AB25" i="8"/>
  <c r="AA25" i="8"/>
  <c r="N25" i="8"/>
  <c r="M22" i="8"/>
  <c r="M22" i="8" a="1"/>
  <c r="C22" i="8"/>
  <c r="C22" i="8" a="1"/>
  <c r="AB21" i="8"/>
  <c r="AA21" i="8"/>
  <c r="N21" i="8"/>
  <c r="M18" i="8" a="1"/>
  <c r="M18" i="8" s="1"/>
  <c r="C18" i="8"/>
  <c r="C18" i="8" a="1"/>
  <c r="AB17" i="8"/>
  <c r="AA17" i="8"/>
  <c r="N17" i="8"/>
  <c r="M14" i="8" a="1"/>
  <c r="M14" i="8" s="1"/>
  <c r="C14" i="8"/>
  <c r="C14" i="8" a="1"/>
  <c r="AB13" i="8"/>
  <c r="AA13" i="8"/>
  <c r="N13" i="8"/>
  <c r="M10" i="8" a="1"/>
  <c r="M10" i="8" s="1"/>
  <c r="C10" i="8" a="1"/>
  <c r="C10" i="8" s="1"/>
  <c r="AB9" i="8"/>
  <c r="AA9" i="8"/>
  <c r="N9" i="8"/>
  <c r="M6" i="8" a="1"/>
  <c r="M6" i="8" s="1"/>
  <c r="C6" i="8" a="1"/>
  <c r="C6" i="8" s="1"/>
  <c r="AB5" i="8"/>
  <c r="AA5" i="8"/>
  <c r="N5" i="8"/>
  <c r="AE57" i="8" l="1"/>
  <c r="AD57" i="8"/>
  <c r="X84" i="3"/>
  <c r="AE81" i="8" l="1"/>
  <c r="AE77" i="8"/>
  <c r="AH37" i="8"/>
  <c r="AK115" i="3"/>
  <c r="AJ115" i="3"/>
  <c r="Z58" i="1"/>
  <c r="S45" i="1"/>
  <c r="B170" i="3"/>
  <c r="B163" i="3"/>
  <c r="AD77" i="8"/>
  <c r="AD81" i="8"/>
  <c r="A116" i="3"/>
  <c r="AM115" i="3"/>
  <c r="AL115" i="3"/>
  <c r="AI115" i="3"/>
  <c r="AH115" i="3"/>
  <c r="AG115" i="3"/>
  <c r="AF115" i="3"/>
  <c r="AE115" i="3"/>
  <c r="AD115" i="3"/>
  <c r="AC115" i="3"/>
  <c r="G170" i="3" s="1"/>
  <c r="AB115" i="3"/>
  <c r="AA115" i="3"/>
  <c r="BB115" i="3" s="1"/>
  <c r="J170" i="3" s="1"/>
  <c r="Z115" i="3"/>
  <c r="Y115" i="3"/>
  <c r="F170" i="3" s="1"/>
  <c r="X115" i="3"/>
  <c r="W115" i="3"/>
  <c r="AZ115" i="3" s="1"/>
  <c r="I170" i="3" s="1"/>
  <c r="S115" i="3"/>
  <c r="R115" i="3"/>
  <c r="P115" i="3"/>
  <c r="O115" i="3"/>
  <c r="M115" i="3"/>
  <c r="L115" i="3"/>
  <c r="K115" i="3"/>
  <c r="J115" i="3"/>
  <c r="G115" i="3"/>
  <c r="F115" i="3"/>
  <c r="A85" i="3" l="1"/>
  <c r="AM84" i="3"/>
  <c r="AL84" i="3"/>
  <c r="AK84" i="3"/>
  <c r="AJ84" i="3"/>
  <c r="AI84" i="3"/>
  <c r="AH84" i="3"/>
  <c r="AG84" i="3"/>
  <c r="AF84" i="3"/>
  <c r="AE84" i="3"/>
  <c r="AD84" i="3"/>
  <c r="AC84" i="3"/>
  <c r="G163" i="3" s="1"/>
  <c r="AB84" i="3"/>
  <c r="AA84" i="3"/>
  <c r="BB84" i="3" s="1"/>
  <c r="J163" i="3" s="1"/>
  <c r="Z84" i="3"/>
  <c r="Y84" i="3"/>
  <c r="F163" i="3" s="1"/>
  <c r="W84" i="3"/>
  <c r="AZ84" i="3" s="1"/>
  <c r="I163" i="3" s="1"/>
  <c r="S84" i="3"/>
  <c r="R84" i="3"/>
  <c r="P84" i="3"/>
  <c r="O84" i="3"/>
  <c r="N84" i="3"/>
  <c r="M84" i="3"/>
  <c r="L84" i="3"/>
  <c r="K84" i="3"/>
  <c r="J84" i="3"/>
  <c r="G84" i="3"/>
  <c r="F84" i="3"/>
  <c r="J11" i="3" l="1"/>
  <c r="AG105" i="3" l="1"/>
  <c r="AF105" i="3"/>
  <c r="AE105" i="3"/>
  <c r="X66" i="3" l="1"/>
  <c r="AA29" i="3" l="1"/>
  <c r="AA17" i="3"/>
  <c r="L41" i="3" l="1"/>
  <c r="A10" i="13" l="1"/>
  <c r="A13" i="13"/>
  <c r="A16" i="13"/>
  <c r="A19" i="13"/>
  <c r="A22" i="13"/>
  <c r="A25" i="13"/>
  <c r="A28" i="13"/>
  <c r="A31" i="13"/>
  <c r="A34" i="13"/>
  <c r="A37" i="13"/>
  <c r="A40" i="13"/>
  <c r="A43" i="13"/>
  <c r="A46" i="13"/>
  <c r="A49" i="13"/>
  <c r="A52" i="13"/>
  <c r="A55" i="13"/>
  <c r="A58" i="13"/>
  <c r="A61" i="13"/>
  <c r="B12" i="3" l="1"/>
  <c r="B21" i="3"/>
  <c r="B109" i="3"/>
  <c r="B132" i="3"/>
  <c r="B129" i="3"/>
  <c r="B103" i="3"/>
  <c r="B94" i="3"/>
  <c r="AM11" i="3"/>
  <c r="R93" i="3"/>
  <c r="R11" i="3"/>
  <c r="S11" i="3"/>
  <c r="R61" i="14" l="1"/>
  <c r="B177" i="3"/>
  <c r="Y41" i="3" l="1"/>
  <c r="L64" i="1" l="1"/>
  <c r="Z61" i="14"/>
  <c r="A12" i="3"/>
  <c r="AK11" i="3"/>
  <c r="AJ11" i="3"/>
  <c r="AI11" i="3"/>
  <c r="AH11" i="3"/>
  <c r="AG11" i="3"/>
  <c r="AF11" i="3"/>
  <c r="AE11" i="3"/>
  <c r="AC11" i="3"/>
  <c r="G177" i="3" s="1"/>
  <c r="AB11" i="3"/>
  <c r="AA11" i="3"/>
  <c r="J177" i="3" s="1"/>
  <c r="Y11" i="3"/>
  <c r="F177" i="3" s="1"/>
  <c r="X11" i="3"/>
  <c r="W11" i="3"/>
  <c r="P11" i="3"/>
  <c r="O11" i="3"/>
  <c r="M11" i="3"/>
  <c r="L11" i="3"/>
  <c r="I11" i="3"/>
  <c r="G11" i="3"/>
  <c r="F11" i="3"/>
  <c r="J61" i="14" l="1"/>
  <c r="I177" i="3"/>
  <c r="J41" i="3" l="1"/>
  <c r="K105" i="3"/>
  <c r="B176" i="3" l="1"/>
  <c r="B175" i="3"/>
  <c r="B174" i="3"/>
  <c r="B173" i="3"/>
  <c r="B172" i="3"/>
  <c r="B171" i="3"/>
  <c r="B169" i="3"/>
  <c r="B168" i="3"/>
  <c r="B167" i="3"/>
  <c r="B166" i="3"/>
  <c r="B165" i="3"/>
  <c r="B164" i="3"/>
  <c r="B162" i="3"/>
  <c r="B161" i="3"/>
  <c r="B160" i="3"/>
  <c r="B159" i="3"/>
  <c r="B158" i="3"/>
  <c r="B157" i="3"/>
  <c r="B156" i="3"/>
  <c r="B155" i="3"/>
  <c r="B154" i="3"/>
  <c r="B153" i="3"/>
  <c r="B152" i="3"/>
  <c r="B151" i="3"/>
  <c r="B150" i="3"/>
  <c r="B149" i="3"/>
  <c r="B148" i="3"/>
  <c r="B147" i="3"/>
  <c r="B146" i="3"/>
  <c r="B145" i="3"/>
  <c r="B144" i="3"/>
  <c r="B143" i="3"/>
  <c r="B142" i="3"/>
  <c r="AT53" i="3"/>
  <c r="AS53" i="3"/>
  <c r="AQ53" i="3"/>
  <c r="AP53" i="3"/>
  <c r="AO53" i="3"/>
  <c r="AT50" i="3"/>
  <c r="AS50" i="3"/>
  <c r="AQ50" i="3"/>
  <c r="AP50" i="3"/>
  <c r="AO50" i="3"/>
  <c r="AT47" i="3"/>
  <c r="AS47" i="3"/>
  <c r="AQ47" i="3"/>
  <c r="AP47" i="3"/>
  <c r="AO47" i="3"/>
  <c r="AT44" i="3"/>
  <c r="AS44" i="3"/>
  <c r="AQ44" i="3"/>
  <c r="AP44" i="3"/>
  <c r="AO44" i="3"/>
  <c r="AT41" i="3"/>
  <c r="AS41" i="3"/>
  <c r="AQ41" i="3"/>
  <c r="AP41" i="3"/>
  <c r="AO41" i="3"/>
  <c r="AT38" i="3"/>
  <c r="AS38" i="3"/>
  <c r="AQ38" i="3"/>
  <c r="AP38" i="3"/>
  <c r="AO38" i="3"/>
  <c r="AT35" i="3"/>
  <c r="AS35" i="3"/>
  <c r="AQ35" i="3"/>
  <c r="AP35" i="3"/>
  <c r="AO35" i="3"/>
  <c r="AT26" i="3"/>
  <c r="AS26" i="3"/>
  <c r="AQ26" i="3"/>
  <c r="AP26" i="3"/>
  <c r="AO26" i="3"/>
  <c r="AT32" i="3"/>
  <c r="AS32" i="3"/>
  <c r="AQ32" i="3"/>
  <c r="AP32" i="3"/>
  <c r="AO32" i="3"/>
  <c r="AT23" i="3"/>
  <c r="AS23" i="3"/>
  <c r="AQ23" i="3"/>
  <c r="AP23" i="3"/>
  <c r="AO23" i="3"/>
  <c r="AT20" i="3"/>
  <c r="AS20" i="3"/>
  <c r="AQ20" i="3"/>
  <c r="AP20" i="3"/>
  <c r="AO20" i="3"/>
  <c r="AT29" i="3"/>
  <c r="AS29" i="3"/>
  <c r="AQ29" i="3"/>
  <c r="AP29" i="3"/>
  <c r="AO29" i="3"/>
  <c r="AT17" i="3"/>
  <c r="AS17" i="3"/>
  <c r="AQ17" i="3"/>
  <c r="AP17" i="3"/>
  <c r="AO17" i="3"/>
  <c r="Y20" i="3"/>
  <c r="F144" i="3" s="1"/>
  <c r="AC57" i="3"/>
  <c r="G154" i="3" s="1"/>
  <c r="AK60" i="3"/>
  <c r="AK81" i="3"/>
  <c r="AJ81" i="3"/>
  <c r="AJ78" i="3"/>
  <c r="AK105" i="3"/>
  <c r="AE73" i="8"/>
  <c r="AJ47" i="3"/>
  <c r="AE69" i="8"/>
  <c r="AE65" i="8"/>
  <c r="AK75" i="3"/>
  <c r="AJ75" i="3"/>
  <c r="AE53" i="8"/>
  <c r="AJ66" i="3"/>
  <c r="AE49" i="8"/>
  <c r="AE45" i="8"/>
  <c r="AJ96" i="3"/>
  <c r="AE41" i="8"/>
  <c r="AK99" i="3"/>
  <c r="AJ99" i="3"/>
  <c r="AE37" i="8"/>
  <c r="AK41" i="3"/>
  <c r="AE33" i="8"/>
  <c r="AK69" i="3"/>
  <c r="AJ69" i="3"/>
  <c r="AE29" i="8"/>
  <c r="U84" i="3" s="1"/>
  <c r="AJ63" i="3"/>
  <c r="AK72" i="3"/>
  <c r="AJ72" i="3"/>
  <c r="AE21" i="8"/>
  <c r="AK87" i="3"/>
  <c r="AJ87" i="3"/>
  <c r="AE17" i="8"/>
  <c r="U115" i="3" s="1"/>
  <c r="AJ136" i="3"/>
  <c r="AE9" i="8"/>
  <c r="AK122" i="3"/>
  <c r="AE5" i="8"/>
  <c r="R54" i="3"/>
  <c r="C15" i="1"/>
  <c r="J69" i="3"/>
  <c r="K69" i="3"/>
  <c r="AP71" i="3" s="1"/>
  <c r="F99" i="3"/>
  <c r="AD73" i="8"/>
  <c r="AD69" i="8"/>
  <c r="AD65" i="8"/>
  <c r="AD61" i="8"/>
  <c r="AD53" i="8"/>
  <c r="AD49" i="8"/>
  <c r="AD45" i="8"/>
  <c r="AD41" i="8"/>
  <c r="AD37" i="8"/>
  <c r="AD33" i="8"/>
  <c r="AD29" i="8"/>
  <c r="I84" i="3" s="1"/>
  <c r="AD13" i="8"/>
  <c r="AD25" i="8"/>
  <c r="AD21" i="8"/>
  <c r="AD17" i="8"/>
  <c r="I115" i="3" s="1"/>
  <c r="AD9" i="8"/>
  <c r="AD5" i="8"/>
  <c r="AE61" i="8"/>
  <c r="AE25" i="8"/>
  <c r="AE13" i="8"/>
  <c r="AH24" i="1"/>
  <c r="AH31" i="1"/>
  <c r="AH38" i="1"/>
  <c r="AH45" i="1"/>
  <c r="AH52" i="1"/>
  <c r="C33" i="1"/>
  <c r="C39" i="1"/>
  <c r="C51" i="1"/>
  <c r="L33" i="1"/>
  <c r="Z17" i="1"/>
  <c r="Z24" i="1"/>
  <c r="S27" i="1"/>
  <c r="Z35" i="1"/>
  <c r="S33" i="1"/>
  <c r="S39" i="1"/>
  <c r="Z42" i="1"/>
  <c r="Z52" i="1"/>
  <c r="AD46" i="1" s="1"/>
  <c r="AF93" i="3"/>
  <c r="AE93" i="3"/>
  <c r="AI57" i="3"/>
  <c r="AH57" i="3"/>
  <c r="AG57" i="3"/>
  <c r="AE57" i="3"/>
  <c r="AM57" i="3"/>
  <c r="AM136" i="3"/>
  <c r="AL136" i="3"/>
  <c r="AI136" i="3"/>
  <c r="AH136" i="3"/>
  <c r="AG136" i="3"/>
  <c r="AF136" i="3"/>
  <c r="AE136" i="3"/>
  <c r="AD136" i="3"/>
  <c r="AC136" i="3"/>
  <c r="G176" i="3" s="1"/>
  <c r="AB136" i="3"/>
  <c r="AA136" i="3"/>
  <c r="Z136" i="3"/>
  <c r="Y136" i="3"/>
  <c r="F176" i="3" s="1"/>
  <c r="X136" i="3"/>
  <c r="W136" i="3"/>
  <c r="AM122" i="3"/>
  <c r="AL122" i="3"/>
  <c r="AI122" i="3"/>
  <c r="AH122" i="3"/>
  <c r="AG122" i="3"/>
  <c r="AF122" i="3"/>
  <c r="AE122" i="3"/>
  <c r="AD122" i="3"/>
  <c r="AC122" i="3"/>
  <c r="G172" i="3" s="1"/>
  <c r="AB122" i="3"/>
  <c r="AA122" i="3"/>
  <c r="Z122" i="3"/>
  <c r="Y122" i="3"/>
  <c r="F172" i="3" s="1"/>
  <c r="X122" i="3"/>
  <c r="W122" i="3"/>
  <c r="AM99" i="3"/>
  <c r="AL99" i="3"/>
  <c r="AI99" i="3"/>
  <c r="AH99" i="3"/>
  <c r="AG99" i="3"/>
  <c r="AF99" i="3"/>
  <c r="AE99" i="3"/>
  <c r="AD99" i="3"/>
  <c r="AC99" i="3"/>
  <c r="G171" i="3" s="1"/>
  <c r="AB99" i="3"/>
  <c r="AA99" i="3"/>
  <c r="Z99" i="3"/>
  <c r="Y99" i="3"/>
  <c r="F171" i="3" s="1"/>
  <c r="X99" i="3"/>
  <c r="W99" i="3"/>
  <c r="AM96" i="3"/>
  <c r="AL96" i="3"/>
  <c r="AI96" i="3"/>
  <c r="AH96" i="3"/>
  <c r="AG96" i="3"/>
  <c r="AF96" i="3"/>
  <c r="AE96" i="3"/>
  <c r="AD96" i="3"/>
  <c r="AC96" i="3"/>
  <c r="G168" i="3" s="1"/>
  <c r="AB96" i="3"/>
  <c r="AA96" i="3"/>
  <c r="Z96" i="3"/>
  <c r="Y96" i="3"/>
  <c r="F168" i="3" s="1"/>
  <c r="X96" i="3"/>
  <c r="W96" i="3"/>
  <c r="AM111" i="3"/>
  <c r="AL111" i="3"/>
  <c r="AI111" i="3"/>
  <c r="AH111" i="3"/>
  <c r="AG111" i="3"/>
  <c r="AF111" i="3"/>
  <c r="AE111" i="3"/>
  <c r="AD111" i="3"/>
  <c r="AC111" i="3"/>
  <c r="G167" i="3" s="1"/>
  <c r="AB111" i="3"/>
  <c r="AA111" i="3"/>
  <c r="Z111" i="3"/>
  <c r="Y111" i="3"/>
  <c r="F167" i="3" s="1"/>
  <c r="X111" i="3"/>
  <c r="W111" i="3"/>
  <c r="AM105" i="3"/>
  <c r="AL105" i="3"/>
  <c r="AI105" i="3"/>
  <c r="AH105" i="3"/>
  <c r="AD105" i="3"/>
  <c r="AC105" i="3"/>
  <c r="G165" i="3" s="1"/>
  <c r="AB105" i="3"/>
  <c r="AA105" i="3"/>
  <c r="Z105" i="3"/>
  <c r="Y105" i="3"/>
  <c r="F165" i="3" s="1"/>
  <c r="X105" i="3"/>
  <c r="W105" i="3"/>
  <c r="AM87" i="3"/>
  <c r="AL87" i="3"/>
  <c r="AI87" i="3"/>
  <c r="AH87" i="3"/>
  <c r="AG87" i="3"/>
  <c r="AF87" i="3"/>
  <c r="AE87" i="3"/>
  <c r="AD87" i="3"/>
  <c r="AC87" i="3"/>
  <c r="G162" i="3" s="1"/>
  <c r="AB87" i="3"/>
  <c r="AA87" i="3"/>
  <c r="Z87" i="3"/>
  <c r="Y87" i="3"/>
  <c r="F162" i="3" s="1"/>
  <c r="X87" i="3"/>
  <c r="W87" i="3"/>
  <c r="AZ87" i="3" s="1"/>
  <c r="AM72" i="3"/>
  <c r="AL72" i="3"/>
  <c r="AI72" i="3"/>
  <c r="AH72" i="3"/>
  <c r="AG72" i="3"/>
  <c r="AF72" i="3"/>
  <c r="AE72" i="3"/>
  <c r="AD72" i="3"/>
  <c r="AC72" i="3"/>
  <c r="G156" i="3" s="1"/>
  <c r="AB72" i="3"/>
  <c r="AA72" i="3"/>
  <c r="Z72" i="3"/>
  <c r="Y72" i="3"/>
  <c r="F156" i="3" s="1"/>
  <c r="X72" i="3"/>
  <c r="W72" i="3"/>
  <c r="AM81" i="3"/>
  <c r="AL81" i="3"/>
  <c r="AI81" i="3"/>
  <c r="AH81" i="3"/>
  <c r="AG81" i="3"/>
  <c r="AF81" i="3"/>
  <c r="AE81" i="3"/>
  <c r="AD81" i="3"/>
  <c r="AC81" i="3"/>
  <c r="G161" i="3" s="1"/>
  <c r="AB81" i="3"/>
  <c r="AA81" i="3"/>
  <c r="Z81" i="3"/>
  <c r="Y81" i="3"/>
  <c r="F161" i="3" s="1"/>
  <c r="X81" i="3"/>
  <c r="W81" i="3"/>
  <c r="AM78" i="3"/>
  <c r="AL78" i="3"/>
  <c r="AI78" i="3"/>
  <c r="AH78" i="3"/>
  <c r="AG78" i="3"/>
  <c r="AF78" i="3"/>
  <c r="AE78" i="3"/>
  <c r="AD78" i="3"/>
  <c r="AC78" i="3"/>
  <c r="G160" i="3" s="1"/>
  <c r="AB78" i="3"/>
  <c r="AA78" i="3"/>
  <c r="Z78" i="3"/>
  <c r="Y78" i="3"/>
  <c r="F160" i="3" s="1"/>
  <c r="X78" i="3"/>
  <c r="W78" i="3"/>
  <c r="AM75" i="3"/>
  <c r="AL75" i="3"/>
  <c r="AI75" i="3"/>
  <c r="AH75" i="3"/>
  <c r="AG75" i="3"/>
  <c r="AF75" i="3"/>
  <c r="AE75" i="3"/>
  <c r="AD75" i="3"/>
  <c r="AC75" i="3"/>
  <c r="G159" i="3" s="1"/>
  <c r="AB75" i="3"/>
  <c r="AA75" i="3"/>
  <c r="Z75" i="3"/>
  <c r="Y75" i="3"/>
  <c r="F159" i="3" s="1"/>
  <c r="X75" i="3"/>
  <c r="W75" i="3"/>
  <c r="AM63" i="3"/>
  <c r="AL63" i="3"/>
  <c r="AI63" i="3"/>
  <c r="AH63" i="3"/>
  <c r="AG63" i="3"/>
  <c r="AF63" i="3"/>
  <c r="AE63" i="3"/>
  <c r="AD63" i="3"/>
  <c r="AC63" i="3"/>
  <c r="G158" i="3" s="1"/>
  <c r="AB63" i="3"/>
  <c r="AA63" i="3"/>
  <c r="Z63" i="3"/>
  <c r="Y63" i="3"/>
  <c r="F158" i="3" s="1"/>
  <c r="X63" i="3"/>
  <c r="W63" i="3"/>
  <c r="AF57" i="3"/>
  <c r="AM60" i="3"/>
  <c r="AL60" i="3"/>
  <c r="AI60" i="3"/>
  <c r="AH60" i="3"/>
  <c r="AG60" i="3"/>
  <c r="AF60" i="3"/>
  <c r="AE60" i="3"/>
  <c r="AD60" i="3"/>
  <c r="AC60" i="3"/>
  <c r="G157" i="3" s="1"/>
  <c r="AB60" i="3"/>
  <c r="AA60" i="3"/>
  <c r="Z60" i="3"/>
  <c r="Y60" i="3"/>
  <c r="F157" i="3" s="1"/>
  <c r="X60" i="3"/>
  <c r="W60" i="3"/>
  <c r="AM66" i="3"/>
  <c r="AL66" i="3"/>
  <c r="AI66" i="3"/>
  <c r="AH66" i="3"/>
  <c r="AG66" i="3"/>
  <c r="AF66" i="3"/>
  <c r="AE66" i="3"/>
  <c r="AD66" i="3"/>
  <c r="AC66" i="3"/>
  <c r="G153" i="3" s="1"/>
  <c r="AB66" i="3"/>
  <c r="AA66" i="3"/>
  <c r="Z66" i="3"/>
  <c r="Y66" i="3"/>
  <c r="F153" i="3" s="1"/>
  <c r="W66" i="3"/>
  <c r="AM69" i="3"/>
  <c r="AL69" i="3"/>
  <c r="AI69" i="3"/>
  <c r="AH69" i="3"/>
  <c r="AG69" i="3"/>
  <c r="AF69" i="3"/>
  <c r="AE69" i="3"/>
  <c r="AD69" i="3"/>
  <c r="AC69" i="3"/>
  <c r="G155" i="3" s="1"/>
  <c r="AB69" i="3"/>
  <c r="AA69" i="3"/>
  <c r="Z69" i="3"/>
  <c r="Y69" i="3"/>
  <c r="F155" i="3" s="1"/>
  <c r="X69" i="3"/>
  <c r="W69" i="3"/>
  <c r="AM54" i="3"/>
  <c r="AL54" i="3"/>
  <c r="AI54" i="3"/>
  <c r="AH54" i="3"/>
  <c r="AG54" i="3"/>
  <c r="AF54" i="3"/>
  <c r="AE54" i="3"/>
  <c r="AD54" i="3"/>
  <c r="AC54" i="3"/>
  <c r="G152" i="3" s="1"/>
  <c r="AB54" i="3"/>
  <c r="AA54" i="3"/>
  <c r="Z54" i="3"/>
  <c r="Y54" i="3"/>
  <c r="F152" i="3" s="1"/>
  <c r="X54" i="3"/>
  <c r="W54" i="3"/>
  <c r="AM47" i="3"/>
  <c r="AL47" i="3"/>
  <c r="AI47" i="3"/>
  <c r="AH47" i="3"/>
  <c r="AG47" i="3"/>
  <c r="AF47" i="3"/>
  <c r="AE47" i="3"/>
  <c r="AD47" i="3"/>
  <c r="AC47" i="3"/>
  <c r="G151" i="3" s="1"/>
  <c r="AB47" i="3"/>
  <c r="AA47" i="3"/>
  <c r="Z47" i="3"/>
  <c r="Y47" i="3"/>
  <c r="F151" i="3" s="1"/>
  <c r="X47" i="3"/>
  <c r="W47" i="3"/>
  <c r="S41" i="3"/>
  <c r="R41" i="3"/>
  <c r="P41" i="3"/>
  <c r="O41" i="3"/>
  <c r="M41" i="3"/>
  <c r="K41" i="3"/>
  <c r="W41" i="3"/>
  <c r="X41" i="3"/>
  <c r="F150" i="3"/>
  <c r="AA41" i="3"/>
  <c r="AB41" i="3"/>
  <c r="AC41" i="3"/>
  <c r="G150" i="3" s="1"/>
  <c r="AE41" i="3"/>
  <c r="AF41" i="3"/>
  <c r="AG41" i="3"/>
  <c r="AH41" i="3"/>
  <c r="H9" i="12" s="1"/>
  <c r="AI41" i="3"/>
  <c r="I9" i="12" s="1"/>
  <c r="AM41" i="3"/>
  <c r="Z41" i="3"/>
  <c r="W57" i="3"/>
  <c r="AA57" i="3"/>
  <c r="AB57" i="3"/>
  <c r="X57" i="3"/>
  <c r="AJ60" i="3"/>
  <c r="AK54" i="3"/>
  <c r="AJ54" i="3"/>
  <c r="AK78" i="3"/>
  <c r="AJ105" i="3"/>
  <c r="AK47" i="3"/>
  <c r="AK66" i="3"/>
  <c r="AK111" i="3"/>
  <c r="AJ111" i="3"/>
  <c r="AK96" i="3"/>
  <c r="AJ41" i="3"/>
  <c r="AK63" i="3"/>
  <c r="AK136" i="3"/>
  <c r="AJ122" i="3"/>
  <c r="AH17" i="1"/>
  <c r="G21" i="1"/>
  <c r="C21" i="1"/>
  <c r="G15" i="1"/>
  <c r="S15" i="1"/>
  <c r="S21" i="1"/>
  <c r="L27" i="1"/>
  <c r="L21" i="1"/>
  <c r="L15" i="1"/>
  <c r="C45" i="1"/>
  <c r="G33" i="1"/>
  <c r="C27" i="1"/>
  <c r="G27" i="1"/>
  <c r="I57" i="3"/>
  <c r="G29" i="3"/>
  <c r="G20" i="3"/>
  <c r="E16" i="12" s="1"/>
  <c r="G26" i="3"/>
  <c r="G108" i="3"/>
  <c r="G102" i="3"/>
  <c r="G93" i="3"/>
  <c r="G17" i="3"/>
  <c r="E13" i="12" s="1"/>
  <c r="G125" i="3"/>
  <c r="G32" i="3"/>
  <c r="G35" i="3"/>
  <c r="E17" i="12" s="1"/>
  <c r="G128" i="3"/>
  <c r="G38" i="3"/>
  <c r="G131" i="3"/>
  <c r="G23" i="3"/>
  <c r="G57" i="3"/>
  <c r="AO59" i="3" s="1"/>
  <c r="F41" i="3"/>
  <c r="A137" i="3"/>
  <c r="A132" i="3"/>
  <c r="A129" i="3"/>
  <c r="A126" i="3"/>
  <c r="A123" i="3"/>
  <c r="A106" i="3"/>
  <c r="A100" i="3"/>
  <c r="A94" i="3"/>
  <c r="A97" i="3"/>
  <c r="A112" i="3"/>
  <c r="A103" i="3"/>
  <c r="A109" i="3"/>
  <c r="A73" i="3"/>
  <c r="A82" i="3"/>
  <c r="A79" i="3"/>
  <c r="A76" i="3"/>
  <c r="A88" i="3"/>
  <c r="A58" i="3"/>
  <c r="A67" i="3"/>
  <c r="A64" i="3"/>
  <c r="A61" i="3"/>
  <c r="A70" i="3"/>
  <c r="A55" i="3"/>
  <c r="A48" i="3"/>
  <c r="A42" i="3"/>
  <c r="A39" i="3"/>
  <c r="A36" i="3"/>
  <c r="A24" i="3"/>
  <c r="A27" i="3"/>
  <c r="A33" i="3"/>
  <c r="A21" i="3"/>
  <c r="A18" i="3"/>
  <c r="A30" i="3"/>
  <c r="F94" i="7"/>
  <c r="F96" i="7" s="1"/>
  <c r="E94" i="7"/>
  <c r="E96" i="7" s="1"/>
  <c r="F55" i="7"/>
  <c r="F54" i="7"/>
  <c r="F52" i="7"/>
  <c r="F51" i="7"/>
  <c r="E39" i="7"/>
  <c r="F33" i="7"/>
  <c r="E33" i="7"/>
  <c r="J16" i="7"/>
  <c r="E15" i="7"/>
  <c r="E10" i="7"/>
  <c r="F47" i="3"/>
  <c r="C74" i="11" a="1"/>
  <c r="C74" i="11" s="1"/>
  <c r="M67" i="11" a="1"/>
  <c r="M67" i="11" s="1"/>
  <c r="C67" i="11" a="1"/>
  <c r="C67" i="11" s="1"/>
  <c r="AA66" i="11"/>
  <c r="Z66" i="11"/>
  <c r="M63" i="11" a="1"/>
  <c r="M63" i="11" s="1"/>
  <c r="C63" i="11" a="1"/>
  <c r="C63" i="11" s="1"/>
  <c r="AA62" i="11"/>
  <c r="Z62" i="11"/>
  <c r="M59" i="11" a="1"/>
  <c r="M59" i="11" s="1"/>
  <c r="C59" i="11" a="1"/>
  <c r="C59" i="11" s="1"/>
  <c r="AA58" i="11"/>
  <c r="Z58" i="11"/>
  <c r="M55" i="11" a="1"/>
  <c r="M55" i="11" s="1"/>
  <c r="C55" i="11" a="1"/>
  <c r="C55" i="11" s="1"/>
  <c r="AA54" i="11"/>
  <c r="Z54" i="11"/>
  <c r="M51" i="11" a="1"/>
  <c r="M51" i="11" s="1"/>
  <c r="C51" i="11" a="1"/>
  <c r="C51" i="11" s="1"/>
  <c r="AA50" i="11"/>
  <c r="Z50" i="11"/>
  <c r="M47" i="11" a="1"/>
  <c r="M47" i="11" s="1"/>
  <c r="C47" i="11" a="1"/>
  <c r="C47" i="11" s="1"/>
  <c r="AA46" i="11"/>
  <c r="Z46" i="11"/>
  <c r="M43" i="11" a="1"/>
  <c r="M43" i="11" s="1"/>
  <c r="C43" i="11" a="1"/>
  <c r="C43" i="11" s="1"/>
  <c r="AA42" i="11"/>
  <c r="Z42" i="11"/>
  <c r="M39" i="11" a="1"/>
  <c r="M39" i="11" s="1"/>
  <c r="C39" i="11" a="1"/>
  <c r="C39" i="11" s="1"/>
  <c r="AA38" i="11"/>
  <c r="Z38" i="11"/>
  <c r="M35" i="11" a="1"/>
  <c r="M35" i="11" s="1"/>
  <c r="C35" i="11" a="1"/>
  <c r="C35" i="11" s="1"/>
  <c r="AA34" i="11"/>
  <c r="Z34" i="11"/>
  <c r="M31" i="11" a="1"/>
  <c r="M31" i="11" s="1"/>
  <c r="C31" i="11" a="1"/>
  <c r="C31" i="11" s="1"/>
  <c r="AA30" i="11"/>
  <c r="Z30" i="11"/>
  <c r="M27" i="11" a="1"/>
  <c r="M27" i="11" s="1"/>
  <c r="C27" i="11" a="1"/>
  <c r="C27" i="11" s="1"/>
  <c r="AA26" i="11"/>
  <c r="Z26" i="11"/>
  <c r="M23" i="11" a="1"/>
  <c r="M23" i="11" s="1"/>
  <c r="C23" i="11" a="1"/>
  <c r="C23" i="11" s="1"/>
  <c r="AA22" i="11"/>
  <c r="Z22" i="11"/>
  <c r="M19" i="11" a="1"/>
  <c r="M19" i="11" s="1"/>
  <c r="C19" i="11" a="1"/>
  <c r="C19" i="11" s="1"/>
  <c r="AA18" i="11"/>
  <c r="Z18" i="11"/>
  <c r="M15" i="11" a="1"/>
  <c r="M15" i="11" s="1"/>
  <c r="C15" i="11" a="1"/>
  <c r="C15" i="11" s="1"/>
  <c r="AA14" i="11"/>
  <c r="Z14" i="11"/>
  <c r="M11" i="11" a="1"/>
  <c r="M11" i="11" s="1"/>
  <c r="C11" i="11" a="1"/>
  <c r="C11" i="11" s="1"/>
  <c r="AA10" i="11"/>
  <c r="Z10" i="11"/>
  <c r="M7" i="11" a="1"/>
  <c r="M7" i="11" s="1"/>
  <c r="C7" i="11" a="1"/>
  <c r="C7" i="11" s="1"/>
  <c r="AA6" i="11"/>
  <c r="Z6" i="11"/>
  <c r="Z24" i="2"/>
  <c r="S49" i="2"/>
  <c r="L39" i="2"/>
  <c r="Z34" i="2"/>
  <c r="AH16" i="2"/>
  <c r="Z57" i="2"/>
  <c r="Z44" i="2"/>
  <c r="Z39" i="2"/>
  <c r="AH22" i="2"/>
  <c r="Z52" i="2"/>
  <c r="AH28" i="2"/>
  <c r="Z29" i="2"/>
  <c r="Z65" i="2"/>
  <c r="AD60" i="2" s="1"/>
  <c r="L59" i="2"/>
  <c r="S44" i="2"/>
  <c r="S39" i="2"/>
  <c r="Z19" i="2"/>
  <c r="L64" i="2"/>
  <c r="S34" i="2"/>
  <c r="S29" i="2"/>
  <c r="S24" i="2"/>
  <c r="C39" i="2"/>
  <c r="C34" i="2"/>
  <c r="C49" i="2"/>
  <c r="Z14" i="2"/>
  <c r="S19" i="2"/>
  <c r="S14" i="2"/>
  <c r="L29" i="2"/>
  <c r="L34" i="2"/>
  <c r="L14" i="2"/>
  <c r="L24" i="2"/>
  <c r="L19" i="2"/>
  <c r="G29" i="2"/>
  <c r="G24" i="2"/>
  <c r="G19" i="2"/>
  <c r="C44" i="2"/>
  <c r="C29" i="2"/>
  <c r="C24" i="2"/>
  <c r="C19" i="2"/>
  <c r="C14" i="2"/>
  <c r="G14" i="2"/>
  <c r="F136" i="3"/>
  <c r="G136" i="3"/>
  <c r="J136" i="3"/>
  <c r="K136" i="3"/>
  <c r="L136" i="3"/>
  <c r="M136" i="3"/>
  <c r="O136" i="3"/>
  <c r="P136" i="3"/>
  <c r="R136" i="3"/>
  <c r="S136" i="3"/>
  <c r="F111" i="3"/>
  <c r="G111" i="3"/>
  <c r="J111" i="3"/>
  <c r="K111" i="3"/>
  <c r="L111" i="3"/>
  <c r="M111" i="3"/>
  <c r="O111" i="3"/>
  <c r="P111" i="3"/>
  <c r="R111" i="3"/>
  <c r="S111" i="3"/>
  <c r="N38" i="3"/>
  <c r="N35" i="3"/>
  <c r="N23" i="3"/>
  <c r="N26" i="3"/>
  <c r="N20" i="3"/>
  <c r="N17" i="3"/>
  <c r="AB29" i="3"/>
  <c r="N29" i="3"/>
  <c r="AI32" i="3"/>
  <c r="AM29" i="3"/>
  <c r="J12" i="12" s="1"/>
  <c r="AI29" i="3"/>
  <c r="AH29" i="3"/>
  <c r="H12" i="12" s="1"/>
  <c r="AG29" i="3"/>
  <c r="AF29" i="3"/>
  <c r="AE29" i="3"/>
  <c r="S29" i="3"/>
  <c r="R29" i="3"/>
  <c r="F12" i="12" s="1"/>
  <c r="P29" i="3"/>
  <c r="O29" i="3"/>
  <c r="M29" i="3"/>
  <c r="L29" i="3"/>
  <c r="K29" i="3"/>
  <c r="I29" i="3"/>
  <c r="F29" i="3"/>
  <c r="AA131" i="3"/>
  <c r="BB131" i="3" s="1"/>
  <c r="O131" i="3"/>
  <c r="F131" i="3"/>
  <c r="AE128" i="3"/>
  <c r="S128" i="3"/>
  <c r="J128" i="3"/>
  <c r="AH125" i="3"/>
  <c r="X125" i="3"/>
  <c r="M125" i="3"/>
  <c r="AH93" i="3"/>
  <c r="X93" i="3"/>
  <c r="M93" i="3"/>
  <c r="AB102" i="3"/>
  <c r="P102" i="3"/>
  <c r="AF108" i="3"/>
  <c r="K108" i="3"/>
  <c r="R57" i="3"/>
  <c r="AG38" i="3"/>
  <c r="W38" i="3"/>
  <c r="L38" i="3"/>
  <c r="AA35" i="3"/>
  <c r="O35" i="3"/>
  <c r="F35" i="3"/>
  <c r="D17" i="12" s="1"/>
  <c r="AE23" i="3"/>
  <c r="S23" i="3"/>
  <c r="J23" i="3"/>
  <c r="AH26" i="3"/>
  <c r="H14" i="12" s="1"/>
  <c r="X26" i="3"/>
  <c r="M26" i="3"/>
  <c r="AB20" i="3"/>
  <c r="P20" i="3"/>
  <c r="AF17" i="3"/>
  <c r="K17" i="3"/>
  <c r="AG32" i="3"/>
  <c r="W32" i="3"/>
  <c r="K32" i="3"/>
  <c r="O26" i="3"/>
  <c r="AI131" i="3"/>
  <c r="AM128" i="3"/>
  <c r="R128" i="3"/>
  <c r="I128" i="3"/>
  <c r="AG125" i="3"/>
  <c r="W125" i="3"/>
  <c r="L125" i="3"/>
  <c r="AG93" i="3"/>
  <c r="W93" i="3"/>
  <c r="L93" i="3"/>
  <c r="AA102" i="3"/>
  <c r="O102" i="3"/>
  <c r="F102" i="3"/>
  <c r="AE108" i="3"/>
  <c r="S108" i="3"/>
  <c r="J108" i="3"/>
  <c r="P57" i="3"/>
  <c r="AF38" i="3"/>
  <c r="K38" i="3"/>
  <c r="AI35" i="3"/>
  <c r="Y35" i="3"/>
  <c r="F148" i="3" s="1"/>
  <c r="AM23" i="3"/>
  <c r="J15" i="12" s="1"/>
  <c r="R23" i="3"/>
  <c r="I23" i="3"/>
  <c r="AG26" i="3"/>
  <c r="W26" i="3"/>
  <c r="L26" i="3"/>
  <c r="AA20" i="3"/>
  <c r="O20" i="3"/>
  <c r="F20" i="3"/>
  <c r="AE17" i="3"/>
  <c r="S17" i="3"/>
  <c r="G13" i="12" s="1"/>
  <c r="J17" i="3"/>
  <c r="AF32" i="3"/>
  <c r="S32" i="3"/>
  <c r="J32" i="3"/>
  <c r="AH131" i="3"/>
  <c r="X131" i="3"/>
  <c r="M131" i="3"/>
  <c r="AB128" i="3"/>
  <c r="P128" i="3"/>
  <c r="AF125" i="3"/>
  <c r="K125" i="3"/>
  <c r="K93" i="3"/>
  <c r="AI102" i="3"/>
  <c r="AM108" i="3"/>
  <c r="R108" i="3"/>
  <c r="I108" i="3"/>
  <c r="O57" i="3"/>
  <c r="F57" i="3"/>
  <c r="AE38" i="3"/>
  <c r="S38" i="3"/>
  <c r="G18" i="12" s="1"/>
  <c r="J38" i="3"/>
  <c r="AH35" i="3"/>
  <c r="X35" i="3"/>
  <c r="M35" i="3"/>
  <c r="AB23" i="3"/>
  <c r="P23" i="3"/>
  <c r="AF26" i="3"/>
  <c r="K26" i="3"/>
  <c r="AI20" i="3"/>
  <c r="AM17" i="3"/>
  <c r="R17" i="3"/>
  <c r="I17" i="3"/>
  <c r="AE32" i="3"/>
  <c r="F32" i="3"/>
  <c r="D10" i="12" s="1"/>
  <c r="R131" i="3"/>
  <c r="W128" i="3"/>
  <c r="F125" i="3"/>
  <c r="F93" i="3"/>
  <c r="J102" i="3"/>
  <c r="AM35" i="3"/>
  <c r="J17" i="12" s="1"/>
  <c r="AG23" i="3"/>
  <c r="F26" i="3"/>
  <c r="AH17" i="3"/>
  <c r="AG131" i="3"/>
  <c r="W131" i="3"/>
  <c r="L131" i="3"/>
  <c r="AA128" i="3"/>
  <c r="O128" i="3"/>
  <c r="F128" i="3"/>
  <c r="AE125" i="3"/>
  <c r="S125" i="3"/>
  <c r="J125" i="3"/>
  <c r="S93" i="3"/>
  <c r="J93" i="3"/>
  <c r="AH102" i="3"/>
  <c r="X102" i="3"/>
  <c r="M102" i="3"/>
  <c r="AB108" i="3"/>
  <c r="P108" i="3"/>
  <c r="AM38" i="3"/>
  <c r="R38" i="3"/>
  <c r="F18" i="12" s="1"/>
  <c r="I38" i="3"/>
  <c r="AG35" i="3"/>
  <c r="W35" i="3"/>
  <c r="L35" i="3"/>
  <c r="AA23" i="3"/>
  <c r="O23" i="3"/>
  <c r="F23" i="3"/>
  <c r="AE26" i="3"/>
  <c r="S26" i="3"/>
  <c r="G14" i="12" s="1"/>
  <c r="J26" i="3"/>
  <c r="AH20" i="3"/>
  <c r="X20" i="3"/>
  <c r="M20" i="3"/>
  <c r="AB17" i="3"/>
  <c r="P17" i="3"/>
  <c r="AM32" i="3"/>
  <c r="R32" i="3"/>
  <c r="F10" i="12" s="1"/>
  <c r="I32" i="3"/>
  <c r="AA93" i="3"/>
  <c r="S102" i="3"/>
  <c r="M108" i="3"/>
  <c r="AI38" i="3"/>
  <c r="R35" i="3"/>
  <c r="F17" i="12" s="1"/>
  <c r="L23" i="3"/>
  <c r="AE20" i="3"/>
  <c r="X17" i="3"/>
  <c r="AF131" i="3"/>
  <c r="K131" i="3"/>
  <c r="AI128" i="3"/>
  <c r="AM125" i="3"/>
  <c r="R125" i="3"/>
  <c r="I125" i="3"/>
  <c r="AM93" i="3"/>
  <c r="I93" i="3"/>
  <c r="AG102" i="3"/>
  <c r="W102" i="3"/>
  <c r="L102" i="3"/>
  <c r="AA108" i="3"/>
  <c r="O108" i="3"/>
  <c r="F108" i="3"/>
  <c r="M57" i="3"/>
  <c r="AB38" i="3"/>
  <c r="P38" i="3"/>
  <c r="AF35" i="3"/>
  <c r="K35" i="3"/>
  <c r="AI23" i="3"/>
  <c r="I15" i="12" s="1"/>
  <c r="Y23" i="3"/>
  <c r="F145" i="3" s="1"/>
  <c r="AM26" i="3"/>
  <c r="J14" i="12" s="1"/>
  <c r="R26" i="3"/>
  <c r="I26" i="3"/>
  <c r="AG20" i="3"/>
  <c r="W20" i="3"/>
  <c r="L20" i="3"/>
  <c r="O17" i="3"/>
  <c r="F17" i="3"/>
  <c r="H11" i="12"/>
  <c r="AB32" i="3"/>
  <c r="P32" i="3"/>
  <c r="AG128" i="3"/>
  <c r="AA125" i="3"/>
  <c r="AJ93" i="3"/>
  <c r="AE102" i="3"/>
  <c r="X108" i="3"/>
  <c r="K57" i="3"/>
  <c r="AP59" i="3" s="1"/>
  <c r="AC35" i="3"/>
  <c r="G148" i="3" s="1"/>
  <c r="W23" i="3"/>
  <c r="AA26" i="3"/>
  <c r="J20" i="3"/>
  <c r="AE131" i="3"/>
  <c r="S131" i="3"/>
  <c r="J131" i="3"/>
  <c r="AH128" i="3"/>
  <c r="X128" i="3"/>
  <c r="M128" i="3"/>
  <c r="AB125" i="3"/>
  <c r="P125" i="3"/>
  <c r="AK93" i="3"/>
  <c r="AB93" i="3"/>
  <c r="P93" i="3"/>
  <c r="AF102" i="3"/>
  <c r="K102" i="3"/>
  <c r="AI108" i="3"/>
  <c r="L57" i="3"/>
  <c r="AA38" i="3"/>
  <c r="O38" i="3"/>
  <c r="F38" i="3"/>
  <c r="AE35" i="3"/>
  <c r="S35" i="3"/>
  <c r="J35" i="3"/>
  <c r="AH23" i="3"/>
  <c r="H15" i="12" s="1"/>
  <c r="X23" i="3"/>
  <c r="M23" i="3"/>
  <c r="AB26" i="3"/>
  <c r="P26" i="3"/>
  <c r="AF20" i="3"/>
  <c r="K20" i="3"/>
  <c r="AI17" i="3"/>
  <c r="Y17" i="3"/>
  <c r="F142" i="3" s="1"/>
  <c r="AA32" i="3"/>
  <c r="O32" i="3"/>
  <c r="AM131" i="3"/>
  <c r="AC131" i="3"/>
  <c r="G175" i="3" s="1"/>
  <c r="I131" i="3"/>
  <c r="L128" i="3"/>
  <c r="O125" i="3"/>
  <c r="O93" i="3"/>
  <c r="AH108" i="3"/>
  <c r="I35" i="3"/>
  <c r="S20" i="3"/>
  <c r="G16" i="12" s="1"/>
  <c r="M17" i="3"/>
  <c r="AB131" i="3"/>
  <c r="P131" i="3"/>
  <c r="AF128" i="3"/>
  <c r="K128" i="3"/>
  <c r="AI125" i="3"/>
  <c r="AI93" i="3"/>
  <c r="Y93" i="3"/>
  <c r="F169" i="3" s="1"/>
  <c r="AM102" i="3"/>
  <c r="R102" i="3"/>
  <c r="I102" i="3"/>
  <c r="AG108" i="3"/>
  <c r="W108" i="3"/>
  <c r="L108" i="3"/>
  <c r="S57" i="3"/>
  <c r="AS59" i="3" s="1"/>
  <c r="J57" i="3"/>
  <c r="AH38" i="3"/>
  <c r="H18" i="12" s="1"/>
  <c r="X38" i="3"/>
  <c r="M38" i="3"/>
  <c r="AB35" i="3"/>
  <c r="P35" i="3"/>
  <c r="AF23" i="3"/>
  <c r="K23" i="3"/>
  <c r="AI26" i="3"/>
  <c r="I14" i="12" s="1"/>
  <c r="AM20" i="3"/>
  <c r="J16" i="12" s="1"/>
  <c r="AC20" i="3"/>
  <c r="G144" i="3" s="1"/>
  <c r="R20" i="3"/>
  <c r="I20" i="3"/>
  <c r="AG17" i="3"/>
  <c r="W17" i="3"/>
  <c r="L17" i="3"/>
  <c r="G11" i="12"/>
  <c r="AH32" i="3"/>
  <c r="X32" i="3"/>
  <c r="L32" i="3"/>
  <c r="M32" i="3"/>
  <c r="W29" i="3"/>
  <c r="X29" i="3"/>
  <c r="AC23" i="3"/>
  <c r="G145" i="3" s="1"/>
  <c r="AC93" i="3"/>
  <c r="G169" i="3" s="1"/>
  <c r="N32" i="3"/>
  <c r="R47" i="3"/>
  <c r="M60" i="3"/>
  <c r="M78" i="3"/>
  <c r="M81" i="3"/>
  <c r="M72" i="3"/>
  <c r="M87" i="3"/>
  <c r="L78" i="3"/>
  <c r="L81" i="3"/>
  <c r="L72" i="3"/>
  <c r="F122" i="3"/>
  <c r="G122" i="3"/>
  <c r="J122" i="3"/>
  <c r="K122" i="3"/>
  <c r="L122" i="3"/>
  <c r="M122" i="3"/>
  <c r="O122" i="3"/>
  <c r="P122" i="3"/>
  <c r="R122" i="3"/>
  <c r="S122" i="3"/>
  <c r="S99" i="3"/>
  <c r="R99" i="3"/>
  <c r="P99" i="3"/>
  <c r="O99" i="3"/>
  <c r="M99" i="3"/>
  <c r="L99" i="3"/>
  <c r="K99" i="3"/>
  <c r="J99" i="3"/>
  <c r="G99" i="3"/>
  <c r="S105" i="3"/>
  <c r="R105" i="3"/>
  <c r="P105" i="3"/>
  <c r="O105" i="3"/>
  <c r="M105" i="3"/>
  <c r="L105" i="3"/>
  <c r="J105" i="3"/>
  <c r="G105" i="3"/>
  <c r="F105" i="3"/>
  <c r="S87" i="3"/>
  <c r="R87" i="3"/>
  <c r="P87" i="3"/>
  <c r="O87" i="3"/>
  <c r="N87" i="3"/>
  <c r="L87" i="3"/>
  <c r="K87" i="3"/>
  <c r="J87" i="3"/>
  <c r="G87" i="3"/>
  <c r="F87" i="3"/>
  <c r="S72" i="3"/>
  <c r="R72" i="3"/>
  <c r="P72" i="3"/>
  <c r="O72" i="3"/>
  <c r="N72" i="3"/>
  <c r="K72" i="3"/>
  <c r="J72" i="3"/>
  <c r="G72" i="3"/>
  <c r="F72" i="3"/>
  <c r="S81" i="3"/>
  <c r="R81" i="3"/>
  <c r="P81" i="3"/>
  <c r="O81" i="3"/>
  <c r="N81" i="3"/>
  <c r="K81" i="3"/>
  <c r="J81" i="3"/>
  <c r="G81" i="3"/>
  <c r="F81" i="3"/>
  <c r="S78" i="3"/>
  <c r="R78" i="3"/>
  <c r="P78" i="3"/>
  <c r="O78" i="3"/>
  <c r="N78" i="3"/>
  <c r="K78" i="3"/>
  <c r="J78" i="3"/>
  <c r="G78" i="3"/>
  <c r="F78" i="3"/>
  <c r="S69" i="3"/>
  <c r="AS71" i="3" s="1"/>
  <c r="R69" i="3"/>
  <c r="P69" i="3"/>
  <c r="O69" i="3"/>
  <c r="N69" i="3"/>
  <c r="M69" i="3"/>
  <c r="L69" i="3"/>
  <c r="G69" i="3"/>
  <c r="AO71" i="3" s="1"/>
  <c r="F69" i="3"/>
  <c r="S66" i="3"/>
  <c r="AS68" i="3" s="1"/>
  <c r="R66" i="3"/>
  <c r="P66" i="3"/>
  <c r="O66" i="3"/>
  <c r="M66" i="3"/>
  <c r="L66" i="3"/>
  <c r="K66" i="3"/>
  <c r="AP68" i="3" s="1"/>
  <c r="J66" i="3"/>
  <c r="G66" i="3"/>
  <c r="AO68" i="3" s="1"/>
  <c r="F66" i="3"/>
  <c r="S63" i="3"/>
  <c r="R63" i="3"/>
  <c r="P63" i="3"/>
  <c r="O63" i="3"/>
  <c r="M63" i="3"/>
  <c r="L63" i="3"/>
  <c r="K63" i="3"/>
  <c r="J63" i="3"/>
  <c r="G63" i="3"/>
  <c r="F63" i="3"/>
  <c r="S75" i="3"/>
  <c r="R75" i="3"/>
  <c r="P75" i="3"/>
  <c r="O75" i="3"/>
  <c r="N75" i="3"/>
  <c r="M75" i="3"/>
  <c r="L75" i="3"/>
  <c r="K75" i="3"/>
  <c r="J75" i="3"/>
  <c r="G75" i="3"/>
  <c r="F75" i="3"/>
  <c r="S96" i="3"/>
  <c r="R96" i="3"/>
  <c r="P96" i="3"/>
  <c r="O96" i="3"/>
  <c r="M96" i="3"/>
  <c r="L96" i="3"/>
  <c r="K96" i="3"/>
  <c r="J96" i="3"/>
  <c r="G96" i="3"/>
  <c r="F96" i="3"/>
  <c r="P54" i="3"/>
  <c r="O54" i="3"/>
  <c r="N54" i="3"/>
  <c r="M54" i="3"/>
  <c r="L54" i="3"/>
  <c r="K54" i="3"/>
  <c r="AP56" i="3" s="1"/>
  <c r="J54" i="3"/>
  <c r="S60" i="3"/>
  <c r="R60" i="3"/>
  <c r="P60" i="3"/>
  <c r="O60" i="3"/>
  <c r="N60" i="3"/>
  <c r="L60" i="3"/>
  <c r="K60" i="3"/>
  <c r="J60" i="3"/>
  <c r="G60" i="3"/>
  <c r="F60" i="3"/>
  <c r="F54" i="3"/>
  <c r="G54" i="3"/>
  <c r="AO56" i="3" s="1"/>
  <c r="S54" i="3"/>
  <c r="AS56" i="3" s="1"/>
  <c r="P47" i="3"/>
  <c r="O47" i="3"/>
  <c r="N47" i="3"/>
  <c r="M47" i="3"/>
  <c r="L47" i="3"/>
  <c r="K47" i="3"/>
  <c r="J47" i="3"/>
  <c r="G47" i="3"/>
  <c r="AL41" i="3"/>
  <c r="AD41" i="3"/>
  <c r="N41" i="3"/>
  <c r="G41" i="3"/>
  <c r="E9" i="12" s="1"/>
  <c r="B24" i="14"/>
  <c r="M35" i="10" a="1"/>
  <c r="M35" i="10" s="1"/>
  <c r="C35" i="10" a="1"/>
  <c r="C35" i="10" s="1"/>
  <c r="AA34" i="10"/>
  <c r="Z34" i="10"/>
  <c r="M31" i="10" a="1"/>
  <c r="M31" i="10" s="1"/>
  <c r="C31" i="10" a="1"/>
  <c r="C31" i="10" s="1"/>
  <c r="AA30" i="10"/>
  <c r="Z30" i="10"/>
  <c r="M27" i="10" a="1"/>
  <c r="M27" i="10" s="1"/>
  <c r="C27" i="10" a="1"/>
  <c r="C27" i="10" s="1"/>
  <c r="AA26" i="10"/>
  <c r="Z26" i="10"/>
  <c r="M23" i="10" a="1"/>
  <c r="M23" i="10" s="1"/>
  <c r="C23" i="10" a="1"/>
  <c r="C23" i="10" s="1"/>
  <c r="AA22" i="10"/>
  <c r="Z22" i="10"/>
  <c r="M19" i="10" a="1"/>
  <c r="M19" i="10" s="1"/>
  <c r="C19" i="10" a="1"/>
  <c r="C19" i="10" s="1"/>
  <c r="AA18" i="10"/>
  <c r="Z18" i="10"/>
  <c r="M15" i="10" a="1"/>
  <c r="M15" i="10" s="1"/>
  <c r="C15" i="10" a="1"/>
  <c r="C15" i="10" s="1"/>
  <c r="AA14" i="10"/>
  <c r="Z14" i="10"/>
  <c r="M11" i="10" a="1"/>
  <c r="M11" i="10" s="1"/>
  <c r="C11" i="10" a="1"/>
  <c r="C11" i="10" s="1"/>
  <c r="AA10" i="10"/>
  <c r="Z10" i="10"/>
  <c r="M7" i="10" a="1"/>
  <c r="M7" i="10" s="1"/>
  <c r="C7" i="10" a="1"/>
  <c r="C7" i="10" s="1"/>
  <c r="AA6" i="10"/>
  <c r="Z6" i="10"/>
  <c r="M53" i="9" a="1"/>
  <c r="M53" i="9" s="1"/>
  <c r="C53" i="9" a="1"/>
  <c r="C53" i="9" s="1"/>
  <c r="AA52" i="9"/>
  <c r="Z52" i="9"/>
  <c r="M50" i="9" a="1"/>
  <c r="M50" i="9" s="1"/>
  <c r="C50" i="9" a="1"/>
  <c r="C50" i="9" s="1"/>
  <c r="AA49" i="9"/>
  <c r="Z49" i="9"/>
  <c r="M47" i="9" a="1"/>
  <c r="M47" i="9" s="1"/>
  <c r="C47" i="9" a="1"/>
  <c r="C47" i="9" s="1"/>
  <c r="AA46" i="9"/>
  <c r="Z46" i="9"/>
  <c r="M43" i="9" a="1"/>
  <c r="M43" i="9" s="1"/>
  <c r="C43" i="9" a="1"/>
  <c r="C43" i="9" s="1"/>
  <c r="AA42" i="9"/>
  <c r="Z42" i="9"/>
  <c r="M39" i="9" a="1"/>
  <c r="M39" i="9" s="1"/>
  <c r="C39" i="9" a="1"/>
  <c r="C39" i="9" s="1"/>
  <c r="AA38" i="9"/>
  <c r="Z38" i="9"/>
  <c r="M35" i="9" a="1"/>
  <c r="M35" i="9" s="1"/>
  <c r="C35" i="9" a="1"/>
  <c r="C35" i="9" s="1"/>
  <c r="AA34" i="9"/>
  <c r="Z34" i="9"/>
  <c r="M31" i="9" a="1"/>
  <c r="M31" i="9" s="1"/>
  <c r="C31" i="9" a="1"/>
  <c r="C31" i="9" s="1"/>
  <c r="AA30" i="9"/>
  <c r="Z30" i="9"/>
  <c r="M27" i="9" a="1"/>
  <c r="M27" i="9" s="1"/>
  <c r="C27" i="9" a="1"/>
  <c r="C27" i="9" s="1"/>
  <c r="AA26" i="9"/>
  <c r="Z26" i="9"/>
  <c r="M23" i="9" a="1"/>
  <c r="M23" i="9" s="1"/>
  <c r="C23" i="9" a="1"/>
  <c r="C23" i="9" s="1"/>
  <c r="AA22" i="9"/>
  <c r="Z22" i="9"/>
  <c r="M19" i="9" a="1"/>
  <c r="M19" i="9" s="1"/>
  <c r="C19" i="9" a="1"/>
  <c r="C19" i="9" s="1"/>
  <c r="AA18" i="9"/>
  <c r="Z18" i="9"/>
  <c r="M15" i="9" a="1"/>
  <c r="M15" i="9" s="1"/>
  <c r="C15" i="9" a="1"/>
  <c r="C15" i="9" s="1"/>
  <c r="AA14" i="9"/>
  <c r="Z14" i="9"/>
  <c r="M11" i="9" a="1"/>
  <c r="M11" i="9" s="1"/>
  <c r="C11" i="9" a="1"/>
  <c r="C11" i="9" s="1"/>
  <c r="AA10" i="9"/>
  <c r="Z10" i="9"/>
  <c r="M7" i="9" a="1"/>
  <c r="M7" i="9" s="1"/>
  <c r="C7" i="9" a="1"/>
  <c r="C7" i="9" s="1"/>
  <c r="AA6" i="9"/>
  <c r="Z6" i="9"/>
  <c r="F53" i="4"/>
  <c r="F51" i="4"/>
  <c r="F49" i="4"/>
  <c r="F47" i="4"/>
  <c r="E36" i="4"/>
  <c r="F30" i="4"/>
  <c r="E30" i="4"/>
  <c r="J15" i="4"/>
  <c r="E14" i="4"/>
  <c r="E10" i="4"/>
  <c r="K18" i="12"/>
  <c r="K17" i="12"/>
  <c r="K16" i="12"/>
  <c r="K15" i="12"/>
  <c r="K14" i="12"/>
  <c r="K13" i="12"/>
  <c r="K12" i="12"/>
  <c r="K11" i="12"/>
  <c r="K10" i="12"/>
  <c r="K9" i="12"/>
  <c r="AL9" i="1" l="1"/>
  <c r="W5" i="1"/>
  <c r="I5" i="1"/>
  <c r="D13" i="12"/>
  <c r="F13" i="12"/>
  <c r="J13" i="12"/>
  <c r="AZ131" i="3"/>
  <c r="I175" i="3" s="1"/>
  <c r="AZ47" i="3"/>
  <c r="I151" i="3" s="1"/>
  <c r="BB111" i="3"/>
  <c r="J167" i="3" s="1"/>
  <c r="AZ122" i="3"/>
  <c r="I172" i="3" s="1"/>
  <c r="AZ17" i="3"/>
  <c r="I142" i="3" s="1"/>
  <c r="AZ102" i="3"/>
  <c r="I166" i="3" s="1"/>
  <c r="BB23" i="3"/>
  <c r="J145" i="3" s="1"/>
  <c r="AZ128" i="3"/>
  <c r="I174" i="3" s="1"/>
  <c r="BB20" i="3"/>
  <c r="J144" i="3" s="1"/>
  <c r="BB57" i="3"/>
  <c r="J154" i="3" s="1"/>
  <c r="BB66" i="3"/>
  <c r="J153" i="3" s="1"/>
  <c r="AZ78" i="3"/>
  <c r="I160" i="3" s="1"/>
  <c r="BB105" i="3"/>
  <c r="J165" i="3" s="1"/>
  <c r="AZ99" i="3"/>
  <c r="I171" i="3" s="1"/>
  <c r="J175" i="3"/>
  <c r="BB60" i="3"/>
  <c r="J157" i="3" s="1"/>
  <c r="BB63" i="3"/>
  <c r="J158" i="3" s="1"/>
  <c r="AZ81" i="3"/>
  <c r="I161" i="3" s="1"/>
  <c r="BB93" i="3"/>
  <c r="J169" i="3" s="1"/>
  <c r="AZ125" i="3"/>
  <c r="I173" i="3" s="1"/>
  <c r="AZ32" i="3"/>
  <c r="I146" i="3" s="1"/>
  <c r="BB29" i="3"/>
  <c r="J143" i="3" s="1"/>
  <c r="AZ57" i="3"/>
  <c r="I154" i="3" s="1"/>
  <c r="BB69" i="3"/>
  <c r="J155" i="3" s="1"/>
  <c r="BB87" i="3"/>
  <c r="J162" i="3" s="1"/>
  <c r="AZ23" i="3"/>
  <c r="I145" i="3" s="1"/>
  <c r="BB17" i="3"/>
  <c r="J142" i="3" s="1"/>
  <c r="BB41" i="3"/>
  <c r="J150" i="3" s="1"/>
  <c r="BB47" i="3"/>
  <c r="J151" i="3" s="1"/>
  <c r="AZ60" i="3"/>
  <c r="I157" i="3" s="1"/>
  <c r="AZ63" i="3"/>
  <c r="I158" i="3" s="1"/>
  <c r="BB81" i="3"/>
  <c r="J161" i="3" s="1"/>
  <c r="AZ111" i="3"/>
  <c r="I167" i="3" s="1"/>
  <c r="BB122" i="3"/>
  <c r="J172" i="3" s="1"/>
  <c r="BB35" i="3"/>
  <c r="J148" i="3" s="1"/>
  <c r="AZ75" i="3"/>
  <c r="I159" i="3" s="1"/>
  <c r="BB72" i="3"/>
  <c r="J156" i="3" s="1"/>
  <c r="AZ96" i="3"/>
  <c r="I168" i="3" s="1"/>
  <c r="BB136" i="3"/>
  <c r="J176" i="3" s="1"/>
  <c r="AZ108" i="3"/>
  <c r="I164" i="3" s="1"/>
  <c r="BB32" i="3"/>
  <c r="J146" i="3" s="1"/>
  <c r="BB102" i="3"/>
  <c r="J166" i="3" s="1"/>
  <c r="AZ38" i="3"/>
  <c r="I149" i="3" s="1"/>
  <c r="AZ66" i="3"/>
  <c r="I153" i="3" s="1"/>
  <c r="BB78" i="3"/>
  <c r="J160" i="3" s="1"/>
  <c r="AZ105" i="3"/>
  <c r="I165" i="3" s="1"/>
  <c r="BB99" i="3"/>
  <c r="J171" i="3" s="1"/>
  <c r="AZ26" i="3"/>
  <c r="I147" i="3" s="1"/>
  <c r="AZ20" i="3"/>
  <c r="I144" i="3" s="1"/>
  <c r="BB128" i="3"/>
  <c r="J174" i="3" s="1"/>
  <c r="AZ69" i="3"/>
  <c r="I155" i="3" s="1"/>
  <c r="BB26" i="3"/>
  <c r="J147" i="3" s="1"/>
  <c r="BB125" i="3"/>
  <c r="J173" i="3" s="1"/>
  <c r="AZ35" i="3"/>
  <c r="I148" i="3" s="1"/>
  <c r="BB54" i="3"/>
  <c r="J152" i="3" s="1"/>
  <c r="AZ29" i="3"/>
  <c r="I143" i="3" s="1"/>
  <c r="BB38" i="3"/>
  <c r="J149" i="3" s="1"/>
  <c r="BB108" i="3"/>
  <c r="J164" i="3" s="1"/>
  <c r="AZ93" i="3"/>
  <c r="I169" i="3" s="1"/>
  <c r="AZ41" i="3"/>
  <c r="I150" i="3" s="1"/>
  <c r="AZ54" i="3"/>
  <c r="I152" i="3" s="1"/>
  <c r="J159" i="3"/>
  <c r="AZ72" i="3"/>
  <c r="I156" i="3" s="1"/>
  <c r="BB96" i="3"/>
  <c r="J168" i="3" s="1"/>
  <c r="AZ136" i="3"/>
  <c r="I176" i="3" s="1"/>
  <c r="B33" i="3"/>
  <c r="B30" i="3"/>
  <c r="B18" i="3"/>
  <c r="D9" i="12"/>
  <c r="J9" i="12"/>
  <c r="F9" i="12"/>
  <c r="I66" i="3"/>
  <c r="AQ68" i="3" s="1"/>
  <c r="I78" i="3"/>
  <c r="U41" i="3"/>
  <c r="U66" i="3"/>
  <c r="U47" i="3"/>
  <c r="I105" i="3"/>
  <c r="U63" i="3"/>
  <c r="I63" i="3"/>
  <c r="I75" i="3"/>
  <c r="I81" i="3"/>
  <c r="I111" i="3"/>
  <c r="U99" i="3"/>
  <c r="U60" i="3"/>
  <c r="I87" i="3"/>
  <c r="U81" i="3"/>
  <c r="I69" i="3"/>
  <c r="AQ71" i="3" s="1"/>
  <c r="U78" i="3"/>
  <c r="I41" i="3"/>
  <c r="I60" i="3"/>
  <c r="I122" i="3"/>
  <c r="I99" i="3"/>
  <c r="I136" i="3"/>
  <c r="I96" i="3"/>
  <c r="I47" i="3"/>
  <c r="B126" i="3"/>
  <c r="I162" i="3"/>
  <c r="E11" i="12"/>
  <c r="AC32" i="3"/>
  <c r="G146" i="3" s="1"/>
  <c r="U111" i="3"/>
  <c r="AC29" i="3"/>
  <c r="G143" i="3" s="1"/>
  <c r="AC125" i="3"/>
  <c r="G173" i="3" s="1"/>
  <c r="Y128" i="3"/>
  <c r="F174" i="3" s="1"/>
  <c r="AC128" i="3"/>
  <c r="G174" i="3" s="1"/>
  <c r="D12" i="12"/>
  <c r="Y131" i="3"/>
  <c r="F175" i="3" s="1"/>
  <c r="AC102" i="3"/>
  <c r="G166" i="3" s="1"/>
  <c r="Y102" i="3"/>
  <c r="F166" i="3" s="1"/>
  <c r="U72" i="3"/>
  <c r="AC26" i="3"/>
  <c r="G147" i="3" s="1"/>
  <c r="G9" i="12"/>
  <c r="U105" i="3"/>
  <c r="I12" i="12"/>
  <c r="E12" i="12"/>
  <c r="E15" i="12"/>
  <c r="D16" i="12"/>
  <c r="Y26" i="3"/>
  <c r="F147" i="3" s="1"/>
  <c r="U75" i="3"/>
  <c r="D15" i="12"/>
  <c r="Y38" i="3"/>
  <c r="F149" i="3" s="1"/>
  <c r="U69" i="3"/>
  <c r="U54" i="3"/>
  <c r="I54" i="3"/>
  <c r="AQ56" i="3" s="1"/>
  <c r="U122" i="3"/>
  <c r="I72" i="3"/>
  <c r="U136" i="3"/>
  <c r="U96" i="3"/>
  <c r="U87" i="3"/>
  <c r="I10" i="12"/>
  <c r="G12" i="12"/>
  <c r="F15" i="12"/>
  <c r="J18" i="12"/>
  <c r="H16" i="12"/>
  <c r="I16" i="12"/>
  <c r="G15" i="12"/>
  <c r="I17" i="12"/>
  <c r="I13" i="12"/>
  <c r="I18" i="12"/>
  <c r="F14" i="12"/>
  <c r="J10" i="12"/>
  <c r="G17" i="12"/>
  <c r="E14" i="12"/>
  <c r="H10" i="12"/>
  <c r="Y29" i="3"/>
  <c r="AC38" i="3"/>
  <c r="E18" i="12"/>
  <c r="Y108" i="3"/>
  <c r="F164" i="3" s="1"/>
  <c r="Y125" i="3"/>
  <c r="F173" i="3" s="1"/>
  <c r="Y32" i="3"/>
  <c r="Y57" i="3"/>
  <c r="F154" i="3" s="1"/>
  <c r="J11" i="12"/>
  <c r="AC17" i="3"/>
  <c r="G142" i="3" s="1"/>
  <c r="AC108" i="3"/>
  <c r="G164" i="3" s="1"/>
  <c r="D14" i="12"/>
  <c r="H17" i="12"/>
  <c r="AD9" i="1"/>
  <c r="G10" i="12"/>
  <c r="D11" i="12"/>
  <c r="I11" i="12"/>
  <c r="E10" i="12"/>
  <c r="P5" i="1"/>
  <c r="AL9" i="2"/>
  <c r="F16" i="12"/>
  <c r="W5" i="2"/>
  <c r="AD47" i="2"/>
  <c r="AT56" i="3"/>
  <c r="AD9" i="2"/>
  <c r="AD28" i="1"/>
  <c r="I5" i="2"/>
  <c r="AQ59" i="3"/>
  <c r="F11" i="12"/>
  <c r="H13" i="12"/>
  <c r="P5" i="2"/>
  <c r="P53" i="2"/>
  <c r="B39" i="3"/>
  <c r="AT71" i="3"/>
  <c r="D18" i="12"/>
  <c r="B58" i="3"/>
  <c r="AT59" i="3"/>
  <c r="B27" i="3"/>
  <c r="AT68" i="3"/>
  <c r="B36" i="3"/>
  <c r="B24" i="3"/>
  <c r="AK5" i="1" l="1"/>
  <c r="G2" i="1" s="1"/>
  <c r="J46" i="14"/>
  <c r="Z34" i="14"/>
  <c r="Z46" i="14"/>
  <c r="R46" i="14"/>
  <c r="R34" i="14"/>
  <c r="J34" i="14"/>
  <c r="J20" i="14"/>
  <c r="R35" i="14"/>
  <c r="J40" i="14"/>
  <c r="J26" i="14"/>
  <c r="J35" i="14"/>
  <c r="R29" i="14"/>
  <c r="J33" i="14"/>
  <c r="J31" i="14"/>
  <c r="Z40" i="14"/>
  <c r="J29" i="14"/>
  <c r="Z39" i="14"/>
  <c r="R27" i="14"/>
  <c r="R24" i="14"/>
  <c r="R31" i="14"/>
  <c r="R32" i="14"/>
  <c r="R26" i="14"/>
  <c r="R16" i="14"/>
  <c r="Z32" i="14"/>
  <c r="Z50" i="14"/>
  <c r="Z31" i="14"/>
  <c r="J27" i="14"/>
  <c r="Z43" i="14"/>
  <c r="J39" i="14"/>
  <c r="R20" i="14"/>
  <c r="Z33" i="14"/>
  <c r="Z57" i="14"/>
  <c r="J24" i="14"/>
  <c r="Z28" i="14"/>
  <c r="Z45" i="14"/>
  <c r="J32" i="14"/>
  <c r="Z51" i="14"/>
  <c r="R52" i="14"/>
  <c r="J41" i="14"/>
  <c r="Z10" i="14"/>
  <c r="R9" i="14"/>
  <c r="J8" i="14"/>
  <c r="R53" i="14"/>
  <c r="J44" i="14"/>
  <c r="Z13" i="14"/>
  <c r="R10" i="14"/>
  <c r="J12" i="14"/>
  <c r="Z52" i="14"/>
  <c r="Z53" i="14"/>
  <c r="R25" i="14"/>
  <c r="Z14" i="14"/>
  <c r="R11" i="14"/>
  <c r="J10" i="14"/>
  <c r="Z9" i="14"/>
  <c r="Z25" i="14"/>
  <c r="J9" i="14"/>
  <c r="Z42" i="14"/>
  <c r="R41" i="14"/>
  <c r="J25" i="14"/>
  <c r="Z15" i="14"/>
  <c r="R14" i="14"/>
  <c r="J13" i="14"/>
  <c r="Z44" i="14"/>
  <c r="Z12" i="14"/>
  <c r="J14" i="14"/>
  <c r="R51" i="14"/>
  <c r="R12" i="14"/>
  <c r="J15" i="14"/>
  <c r="Z11" i="14"/>
  <c r="J42" i="14"/>
  <c r="Z41" i="14"/>
  <c r="Z8" i="14"/>
  <c r="R15" i="14"/>
  <c r="J11" i="14"/>
  <c r="R44" i="14"/>
  <c r="R8" i="14"/>
  <c r="R17" i="14"/>
  <c r="R42" i="14"/>
  <c r="R13" i="14"/>
  <c r="Z16" i="14"/>
  <c r="Z20" i="14"/>
  <c r="Z30" i="14"/>
  <c r="R40" i="14"/>
  <c r="J45" i="14"/>
  <c r="Z27" i="14"/>
  <c r="J28" i="14"/>
  <c r="J30" i="14"/>
  <c r="J43" i="14"/>
  <c r="R43" i="14"/>
  <c r="Z24" i="14"/>
  <c r="Z35" i="14"/>
  <c r="R45" i="14"/>
  <c r="Z26" i="14"/>
  <c r="R30" i="14"/>
  <c r="J16" i="14"/>
  <c r="R28" i="14"/>
  <c r="Z29" i="14"/>
  <c r="R50" i="14"/>
  <c r="R33" i="14"/>
  <c r="R39" i="14"/>
  <c r="J53" i="14"/>
  <c r="AH5" i="2"/>
  <c r="G2" i="2" s="1"/>
  <c r="F146" i="3"/>
  <c r="F143" i="3"/>
  <c r="G149" i="3"/>
  <c r="J50" i="14"/>
  <c r="J52" i="14"/>
  <c r="J51" i="14"/>
  <c r="K11" i="3" l="1"/>
  <c r="AK35" i="3" l="1"/>
  <c r="AJ35" i="3"/>
  <c r="AK102" i="3"/>
  <c r="AJ102" i="3"/>
  <c r="AK23" i="3"/>
  <c r="AJ23" i="3"/>
  <c r="AK29" i="3"/>
  <c r="AJ29" i="3"/>
  <c r="AK125" i="3"/>
  <c r="AJ125" i="3"/>
  <c r="AK38" i="3"/>
  <c r="AJ38" i="3"/>
  <c r="AK131" i="3"/>
  <c r="AJ131" i="3"/>
  <c r="AK17" i="3"/>
  <c r="AJ17" i="3"/>
  <c r="AK57" i="3"/>
  <c r="AJ57" i="3"/>
  <c r="AK32" i="3"/>
  <c r="AJ32" i="3"/>
  <c r="AK128" i="3"/>
  <c r="AJ128" i="3"/>
  <c r="AK108" i="3"/>
  <c r="AJ108" i="3"/>
  <c r="AK20" i="3"/>
  <c r="AJ20" i="3"/>
  <c r="AK26" i="3"/>
  <c r="AJ26" i="3"/>
  <c r="U26" i="3" l="1"/>
  <c r="U11" i="3" l="1"/>
  <c r="U35" i="3"/>
  <c r="U102" i="3"/>
  <c r="U23" i="3"/>
  <c r="U29" i="3"/>
  <c r="U93" i="3"/>
  <c r="U125" i="3"/>
  <c r="U38" i="3"/>
  <c r="U131" i="3"/>
  <c r="U17" i="3"/>
  <c r="U57" i="3"/>
  <c r="U32" i="3"/>
  <c r="U128" i="3"/>
  <c r="U108" i="3"/>
  <c r="U20" i="3"/>
  <c r="J29" i="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Akers, Dianne M (SL)</author>
  </authors>
  <commentList>
    <comment ref="AV6" authorId="0" shapeId="0" xr:uid="{7CA06D85-38F9-4955-88B2-FFEFB1F9BC13}">
      <text>
        <r>
          <rPr>
            <b/>
            <sz val="9"/>
            <color indexed="81"/>
            <rFont val="Tahoma"/>
            <family val="2"/>
          </rPr>
          <t>Akers, Dianne M (SL):</t>
        </r>
        <r>
          <rPr>
            <sz val="9"/>
            <color indexed="81"/>
            <rFont val="Tahoma"/>
            <family val="2"/>
          </rPr>
          <t xml:space="preserve">
Column X
</t>
        </r>
      </text>
    </comment>
    <comment ref="AW6" authorId="0" shapeId="0" xr:uid="{3895B43A-53B7-4CD0-AF07-2ED9CE7E7EC1}">
      <text>
        <r>
          <rPr>
            <b/>
            <sz val="9"/>
            <color indexed="81"/>
            <rFont val="Tahoma"/>
            <family val="2"/>
          </rPr>
          <t>Akers, Dianne M (SL):</t>
        </r>
        <r>
          <rPr>
            <sz val="9"/>
            <color indexed="81"/>
            <rFont val="Tahoma"/>
            <family val="2"/>
          </rPr>
          <t xml:space="preserve">
Column AB</t>
        </r>
      </text>
    </comment>
    <comment ref="AY6" authorId="0" shapeId="0" xr:uid="{2639AC14-CFE8-40AE-86F7-AE50E9AE88F8}">
      <text>
        <r>
          <rPr>
            <b/>
            <sz val="9"/>
            <color indexed="81"/>
            <rFont val="Tahoma"/>
            <family val="2"/>
          </rPr>
          <t>Akers, Dianne M (SL):</t>
        </r>
        <r>
          <rPr>
            <sz val="9"/>
            <color indexed="81"/>
            <rFont val="Tahoma"/>
            <family val="2"/>
          </rPr>
          <t xml:space="preserve">
Column W
</t>
        </r>
      </text>
    </comment>
    <comment ref="BA6" authorId="0" shapeId="0" xr:uid="{8A85F73D-96E2-4524-B5B2-431204013746}">
      <text>
        <r>
          <rPr>
            <b/>
            <sz val="9"/>
            <color indexed="81"/>
            <rFont val="Tahoma"/>
            <family val="2"/>
          </rPr>
          <t>Akers, Dianne M (SL):</t>
        </r>
        <r>
          <rPr>
            <sz val="9"/>
            <color indexed="81"/>
            <rFont val="Tahoma"/>
            <family val="2"/>
          </rPr>
          <t xml:space="preserve">
Column AA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2">
    <bk>
      <extLst>
        <ext uri="{bdbb8cdc-fa1e-496e-a857-3c3f30c029c3}">
          <xda:dynamicArrayProperties fDynamic="0" fCollapsed="0"/>
        </ext>
      </extLst>
    </bk>
    <bk>
      <extLst>
        <ext uri="{bdbb8cdc-fa1e-496e-a857-3c3f30c029c3}">
          <xda:dynamicArrayProperties fDynamic="1" fCollapsed="0"/>
        </ext>
      </extLst>
    </bk>
  </futureMetadata>
  <cellMetadata count="2">
    <bk>
      <rc t="1" v="0"/>
    </bk>
    <bk>
      <rc t="1" v="1"/>
    </bk>
  </cellMetadata>
</metadata>
</file>

<file path=xl/sharedStrings.xml><?xml version="1.0" encoding="utf-8"?>
<sst xmlns="http://schemas.openxmlformats.org/spreadsheetml/2006/main" count="4540" uniqueCount="590">
  <si>
    <t>Project Name</t>
  </si>
  <si>
    <t>OpCo</t>
  </si>
  <si>
    <t>Sanction Released to OpCo</t>
  </si>
  <si>
    <t>Sellafield</t>
  </si>
  <si>
    <t>FBC
(Sep-20)</t>
  </si>
  <si>
    <t>Security Systems Architecture Upgrade (SSAU)</t>
  </si>
  <si>
    <t>FBC
(Mar-20)</t>
  </si>
  <si>
    <t>SEP Solid Waste Storage Retrievals</t>
  </si>
  <si>
    <t>FBC
(Jan-16)</t>
  </si>
  <si>
    <t>GDF Community Engagement &amp; Site Evaluation (Project 2)</t>
  </si>
  <si>
    <t>RWM</t>
  </si>
  <si>
    <t>FBC
(Jan-20)</t>
  </si>
  <si>
    <t>FBC
(Dec-17)</t>
  </si>
  <si>
    <t>Chimney Decommissioning Phase 2F</t>
  </si>
  <si>
    <t>FBC
(Apr-21)</t>
  </si>
  <si>
    <t>FBC
(Jul-21)</t>
  </si>
  <si>
    <t>FBC
(Dec-21)</t>
  </si>
  <si>
    <t>Steam Generating Heavy Water Reactor (SGHWR)</t>
  </si>
  <si>
    <t>Magnox</t>
  </si>
  <si>
    <t>FBC
(Sep-21)</t>
  </si>
  <si>
    <t>OBC
(Dec-17)</t>
  </si>
  <si>
    <t>OBC
(Jan-20)</t>
  </si>
  <si>
    <t>327.0
(to FBC)</t>
  </si>
  <si>
    <r>
      <t>•</t>
    </r>
    <r>
      <rPr>
        <b/>
        <sz val="10"/>
        <color rgb="FF00B050"/>
        <rFont val="Arial"/>
        <family val="2"/>
      </rPr>
      <t>Green</t>
    </r>
    <r>
      <rPr>
        <sz val="10"/>
        <color rgb="FF000000"/>
        <rFont val="Arial"/>
        <family val="2"/>
      </rPr>
      <t xml:space="preserve"> - Successful delivery of the project on time, agreed spend and quality appears highly achievable and there are no major outstanding issues that at this stage appear to threaten delivery significantly.</t>
    </r>
  </si>
  <si>
    <r>
      <t>•</t>
    </r>
    <r>
      <rPr>
        <b/>
        <sz val="10"/>
        <color rgb="FFFFC000"/>
        <rFont val="Arial"/>
        <family val="2"/>
      </rPr>
      <t>Amber</t>
    </r>
    <r>
      <rPr>
        <sz val="10"/>
        <color rgb="FF000000"/>
        <rFont val="Arial"/>
        <family val="2"/>
      </rPr>
      <t xml:space="preserve"> - Successful delivery appears feasible but significant issues already exist, require management attention. These appear resolvable at this stage and, if addressed promptly, should not present a cost/schedule overrun.</t>
    </r>
  </si>
  <si>
    <r>
      <t>•</t>
    </r>
    <r>
      <rPr>
        <b/>
        <sz val="10"/>
        <color rgb="FFFF0000"/>
        <rFont val="Arial"/>
        <family val="2"/>
      </rPr>
      <t>Red</t>
    </r>
    <r>
      <rPr>
        <sz val="10"/>
        <color rgb="FF000000"/>
        <rFont val="Arial"/>
        <family val="2"/>
      </rPr>
      <t xml:space="preserve"> - Successful delivery of the project appears to be unachievable. There are major issues with project definition, schedule, agreed spend, quality and/or benefits delivery, which at this stage do not appear to be manageable or resolvable. The project may need re-scoping and/or its overall viability reassessed.</t>
    </r>
  </si>
  <si>
    <t>HMT Approved Business Case</t>
  </si>
  <si>
    <r>
      <t>•</t>
    </r>
    <r>
      <rPr>
        <sz val="10"/>
        <color rgb="FF000000"/>
        <rFont val="Arial"/>
        <family val="2"/>
      </rPr>
      <t>HMT Approval – Latest HMT approved business case and date (MM-YY) this was approved by HMT (by the Chief Secretary to the Treasury).</t>
    </r>
  </si>
  <si>
    <r>
      <t>•</t>
    </r>
    <r>
      <rPr>
        <sz val="10"/>
        <color rgb="FF000000"/>
        <rFont val="Arial"/>
        <family val="2"/>
      </rPr>
      <t>Whole Life Cost (P80) – as taken from the latest HMT approved business case; expressed in nominal (fully escalated) terms.</t>
    </r>
  </si>
  <si>
    <r>
      <t>•</t>
    </r>
    <r>
      <rPr>
        <sz val="10"/>
        <color rgb="FF000000"/>
        <rFont val="Arial"/>
        <family val="2"/>
      </rPr>
      <t>End Date (P80) - as taken from the latest HMT approved business case; no project spend should have been in the business case beyond this date.</t>
    </r>
  </si>
  <si>
    <t>Sanction</t>
  </si>
  <si>
    <t>Current Baseline</t>
  </si>
  <si>
    <r>
      <t>•</t>
    </r>
    <r>
      <rPr>
        <sz val="10"/>
        <color rgb="FF000000"/>
        <rFont val="Arial"/>
        <family val="2"/>
      </rPr>
      <t>Denotes the business case (OBC or FBC) and date (MM-YY) the current baseline was last updated – i.e. the date the Change Control Request (CCR) was implemented and was first used for performance reporting.</t>
    </r>
  </si>
  <si>
    <t>Whole Life</t>
  </si>
  <si>
    <r>
      <t>•</t>
    </r>
    <r>
      <rPr>
        <sz val="10"/>
        <color rgb="FF000000"/>
        <rFont val="Arial"/>
        <family val="2"/>
      </rPr>
      <t>Cost</t>
    </r>
  </si>
  <si>
    <r>
      <t>•</t>
    </r>
    <r>
      <rPr>
        <sz val="10"/>
        <color rgb="FF000000"/>
        <rFont val="Arial"/>
        <family val="2"/>
      </rPr>
      <t>Current Baseline (P50) – as taken from the current baseline; expressed in real (current financial year) terms.</t>
    </r>
  </si>
  <si>
    <r>
      <t xml:space="preserve">•Estimate At Completion (EAC) </t>
    </r>
    <r>
      <rPr>
        <sz val="10"/>
        <color rgb="FF000000"/>
        <rFont val="Arial"/>
        <family val="2"/>
      </rPr>
      <t xml:space="preserve">– also known as </t>
    </r>
    <r>
      <rPr>
        <sz val="10"/>
        <color theme="1"/>
        <rFont val="Arial"/>
        <family val="2"/>
      </rPr>
      <t>Reported Forecast Lifecycle ACWP</t>
    </r>
  </si>
  <si>
    <r>
      <t>•</t>
    </r>
    <r>
      <rPr>
        <sz val="10"/>
        <color rgb="FF000000"/>
        <rFont val="Arial"/>
        <family val="2"/>
      </rPr>
      <t>End Date</t>
    </r>
  </si>
  <si>
    <r>
      <t>•</t>
    </r>
    <r>
      <rPr>
        <sz val="10"/>
        <color rgb="FF000000"/>
        <rFont val="Arial"/>
        <family val="2"/>
      </rPr>
      <t>Current Baseline (P50) – as taken from the current baseline.</t>
    </r>
  </si>
  <si>
    <r>
      <t>•</t>
    </r>
    <r>
      <rPr>
        <sz val="10"/>
        <color rgb="FF000000"/>
        <rFont val="Arial"/>
        <family val="2"/>
      </rPr>
      <t>End Date - reflects the project manager’s best judgement on when the project is completed; no monies should be spent by the project after this date.</t>
    </r>
  </si>
  <si>
    <t>Lifetime To Date</t>
  </si>
  <si>
    <r>
      <t>•</t>
    </r>
    <r>
      <rPr>
        <sz val="10"/>
        <color rgb="FF000000"/>
        <rFont val="Arial"/>
        <family val="2"/>
      </rPr>
      <t>All of the earned value metrics and % complete metrics in this section relate to performance against the Current Baseline (P50).</t>
    </r>
  </si>
  <si>
    <t>Capability and Capacity – as defined by the IPA</t>
  </si>
  <si>
    <r>
      <t>•</t>
    </r>
    <r>
      <rPr>
        <b/>
        <sz val="10"/>
        <color rgb="FF00B050"/>
        <rFont val="Arial"/>
        <family val="2"/>
      </rPr>
      <t>Green</t>
    </r>
    <r>
      <rPr>
        <sz val="10"/>
        <color rgb="FF000000"/>
        <rFont val="Arial"/>
        <family val="2"/>
      </rPr>
      <t>: Capability in this area is largely satisfactory for successfully delivering project time, cost and quality.</t>
    </r>
  </si>
  <si>
    <r>
      <t>•</t>
    </r>
    <r>
      <rPr>
        <b/>
        <sz val="10"/>
        <color rgb="FFFFC000"/>
        <rFont val="Arial"/>
        <family val="2"/>
      </rPr>
      <t>Amber</t>
    </r>
    <r>
      <rPr>
        <sz val="10"/>
        <color rgb="FF000000"/>
        <rFont val="Arial"/>
        <family val="2"/>
      </rPr>
      <t>: Some concern over capability in this area, with possible implications for successful delivery of the project to time, cost and quality.</t>
    </r>
  </si>
  <si>
    <r>
      <t>•</t>
    </r>
    <r>
      <rPr>
        <b/>
        <sz val="10"/>
        <color rgb="FFFF0000"/>
        <rFont val="Arial"/>
        <family val="2"/>
      </rPr>
      <t>Red</t>
    </r>
    <r>
      <rPr>
        <sz val="10"/>
        <color rgb="FF000000"/>
        <rFont val="Arial"/>
        <family val="2"/>
      </rPr>
      <t>: Lack of capability in this area presents an serious concern and may impact on the successful delivery of the project to time, cost and quality.</t>
    </r>
  </si>
  <si>
    <t>People RAG</t>
  </si>
  <si>
    <t>Approved Business Case and Sanction</t>
  </si>
  <si>
    <t>Approved Business Case</t>
  </si>
  <si>
    <t>Whole
Life Cost
(P80)</t>
  </si>
  <si>
    <t>Project End Date (P80)</t>
  </si>
  <si>
    <t>Sanction Approved
to NDA</t>
  </si>
  <si>
    <t>OBC
(Jul-20)</t>
  </si>
  <si>
    <t>360
(to FBC)</t>
  </si>
  <si>
    <t>Whole
Life Cost
(P50)</t>
  </si>
  <si>
    <t>Project End Date (P50)</t>
  </si>
  <si>
    <t>The DCA is to be measured against the P80 whole life cost and project end date from the latest approved business case, or sanction approved to NDA, whichever is the higher. Approval being achieved only once the highest governance body has approved the business case, not at any prior endorsement governance steps.</t>
  </si>
  <si>
    <t xml:space="preserve">The current baseline plan is updated once the OpCo Board has approved / endorsed the project business case and the CCR has been implemented in the OpCo’s reporting system, which for major projects will be earlier than HMT approval to the latest business case. </t>
  </si>
  <si>
    <r>
      <t>•</t>
    </r>
    <r>
      <rPr>
        <sz val="10"/>
        <color rgb="FF000000"/>
        <rFont val="Arial"/>
        <family val="2"/>
      </rPr>
      <t>Sanction Approved to NDA – total spend that HMT has currently sanctioned that the NDA can spend on the project; expressed in nominal (fully escalated) terms.</t>
    </r>
  </si>
  <si>
    <r>
      <t>•</t>
    </r>
    <r>
      <rPr>
        <sz val="10"/>
        <color rgb="FF000000"/>
        <rFont val="Arial"/>
        <family val="2"/>
      </rPr>
      <t>Sanction Released to OpCo - total spend that NDA has currently sanctioned that the OpCo can spend on the project; expressed in nominal (fully escalated) terms.</t>
    </r>
  </si>
  <si>
    <t>The Baseline Performance RAG is to be measured against the project end date and whole life cost in the current implemented baseline plan (which is set at P50). It should reflect the impact of any known pending change(s) related to an authorised trend, but which have not yet been implemented in the baseline by a Change Control Request (CCR).</t>
  </si>
  <si>
    <t>Description of Change</t>
  </si>
  <si>
    <t>P8 2021/22</t>
  </si>
  <si>
    <t>Both sanction values increased by £25.0m in line with Covid-19 impact drawdown approved by GIC in Aug-21.</t>
  </si>
  <si>
    <t>Both sanction values increased by £21.6m in line with Covid-19 impact drawdown approved by GIC in Oct-21.</t>
  </si>
  <si>
    <t>Reporting Period Change Made</t>
  </si>
  <si>
    <t>P9 2021/22</t>
  </si>
  <si>
    <t>?</t>
  </si>
  <si>
    <t>Baseline RAG</t>
  </si>
  <si>
    <t>Baseline</t>
  </si>
  <si>
    <t>Capability and Capacity</t>
  </si>
  <si>
    <t>Baseline
 RAG</t>
  </si>
  <si>
    <t>Current Baseline in Effect From</t>
  </si>
  <si>
    <t>Project Cost</t>
  </si>
  <si>
    <t>Project End Date</t>
  </si>
  <si>
    <t>Budgeted Cost Work Scheduled (BCWS)</t>
  </si>
  <si>
    <t>Budgeted Cost Work Performed (BCWP)</t>
  </si>
  <si>
    <t>Actual
Cost Work Performed (ACWP)</t>
  </si>
  <si>
    <t>Cost
Perf. Index (CPI)</t>
  </si>
  <si>
    <t>Schedule Perf.  Index (SPI)</t>
  </si>
  <si>
    <t>% Complete</t>
  </si>
  <si>
    <t>Current Baseline (P50)</t>
  </si>
  <si>
    <t>Estimate
At Complete (EAC)</t>
  </si>
  <si>
    <t>EAC 
vs. Last Period</t>
  </si>
  <si>
    <t>Forecast</t>
  </si>
  <si>
    <t xml:space="preserve"> Forecast vs. Last Period (Days)</t>
  </si>
  <si>
    <t>Actual</t>
  </si>
  <si>
    <t>EAC Last Period</t>
  </si>
  <si>
    <t>R</t>
  </si>
  <si>
    <t>è</t>
  </si>
  <si>
    <t>A</t>
  </si>
  <si>
    <t>G</t>
  </si>
  <si>
    <t>EAC vs. Last Period</t>
  </si>
  <si>
    <t>Self Shielded Boxes Design and Manufacture</t>
  </si>
  <si>
    <t>35/10128</t>
  </si>
  <si>
    <t>N/A</t>
  </si>
  <si>
    <t>BEPPS2</t>
  </si>
  <si>
    <t>35/07654</t>
  </si>
  <si>
    <t>Box Encapsulation Plant</t>
  </si>
  <si>
    <t>35/10137</t>
  </si>
  <si>
    <t>35/06075</t>
  </si>
  <si>
    <t>Box Encapsulation Plant Product Store Direct Import Facility</t>
  </si>
  <si>
    <t>35/10095</t>
  </si>
  <si>
    <t>PFCS Full Retrievals - Project 1</t>
  </si>
  <si>
    <t>35/10242</t>
  </si>
  <si>
    <t>Sellafield 3m3 Box Supply - Tranche A</t>
  </si>
  <si>
    <t>35/09198</t>
  </si>
  <si>
    <t>35/09707</t>
  </si>
  <si>
    <t>35/05396</t>
  </si>
  <si>
    <t>Lightly Shielded Store (LSS)</t>
  </si>
  <si>
    <t>35/09203</t>
  </si>
  <si>
    <t>Sellafield Product &amp; Residue Store Retreatment Plant</t>
  </si>
  <si>
    <t>35/09592</t>
  </si>
  <si>
    <t>SIXEP Continuity Plant</t>
  </si>
  <si>
    <t>35/09343</t>
  </si>
  <si>
    <t>Electrical Supply - New Construction</t>
  </si>
  <si>
    <t>35/09140</t>
  </si>
  <si>
    <t>Replacement Analytical Project</t>
  </si>
  <si>
    <t>35/09269</t>
  </si>
  <si>
    <t>CNC Operational Unit</t>
  </si>
  <si>
    <t>35/09968</t>
  </si>
  <si>
    <t>Enhanced CNC Airwave System (Encrypted Comms)</t>
  </si>
  <si>
    <t>35/09976</t>
  </si>
  <si>
    <t>35/09975</t>
  </si>
  <si>
    <t>FBC Add.
(Mar-21)</t>
  </si>
  <si>
    <t>FBC Add.
(Aug-21)</t>
  </si>
  <si>
    <t>FBC
(Aug-21)</t>
  </si>
  <si>
    <t>OBC
(Jun-19)</t>
  </si>
  <si>
    <t>FBC
(Mar-21)</t>
  </si>
  <si>
    <t>Current Baseline
(P50)</t>
  </si>
  <si>
    <t>EAC vs. Approved BC WLC (P80)</t>
  </si>
  <si>
    <t>EAC vs. Sanction Approved to NDA (P80)</t>
  </si>
  <si>
    <t>EAC vs. Current Baseline (P50)</t>
  </si>
  <si>
    <t>Forecast  End Date vs. Approved BC (P80)</t>
  </si>
  <si>
    <t>Forecast  End Date  vs. Current Baseline (P50)</t>
  </si>
  <si>
    <t>DCA Comparison</t>
  </si>
  <si>
    <t>Baseline RAG Comparison</t>
  </si>
  <si>
    <t>Previous Period Data for Variance Calcs</t>
  </si>
  <si>
    <r>
      <t>•</t>
    </r>
    <r>
      <rPr>
        <sz val="10"/>
        <color rgb="FF000000"/>
        <rFont val="Arial"/>
        <family val="2"/>
      </rPr>
      <t xml:space="preserve">Cost Performance Index (CPI) RAG – </t>
    </r>
    <r>
      <rPr>
        <b/>
        <sz val="10"/>
        <color rgb="FF00B050"/>
        <rFont val="Arial"/>
        <family val="2"/>
      </rPr>
      <t xml:space="preserve">Green </t>
    </r>
    <r>
      <rPr>
        <sz val="10"/>
        <color rgb="FF000000"/>
        <rFont val="Arial"/>
        <family val="2"/>
      </rPr>
      <t xml:space="preserve">&gt;= 1.00; </t>
    </r>
    <r>
      <rPr>
        <b/>
        <sz val="10"/>
        <color rgb="FFFFC000"/>
        <rFont val="Arial"/>
        <family val="2"/>
      </rPr>
      <t>Amber</t>
    </r>
    <r>
      <rPr>
        <sz val="10"/>
        <color rgb="FF000000"/>
        <rFont val="Arial"/>
        <family val="2"/>
      </rPr>
      <t xml:space="preserve"> &gt;= 0.95; </t>
    </r>
    <r>
      <rPr>
        <b/>
        <sz val="10"/>
        <color rgb="FFFF0000"/>
        <rFont val="Arial"/>
        <family val="2"/>
      </rPr>
      <t>Red</t>
    </r>
    <r>
      <rPr>
        <sz val="10"/>
        <color rgb="FF000000"/>
        <rFont val="Arial"/>
        <family val="2"/>
      </rPr>
      <t xml:space="preserve"> &lt; 0.95</t>
    </r>
  </si>
  <si>
    <r>
      <t>•</t>
    </r>
    <r>
      <rPr>
        <sz val="10"/>
        <color rgb="FF000000"/>
        <rFont val="Arial"/>
        <family val="2"/>
      </rPr>
      <t xml:space="preserve">Schedule Performance Index (SPI) RAG – </t>
    </r>
    <r>
      <rPr>
        <b/>
        <sz val="10"/>
        <color rgb="FF00B050"/>
        <rFont val="Arial"/>
        <family val="2"/>
      </rPr>
      <t>Green</t>
    </r>
    <r>
      <rPr>
        <sz val="10"/>
        <color rgb="FF000000"/>
        <rFont val="Arial"/>
        <family val="2"/>
      </rPr>
      <t xml:space="preserve"> &gt;= 0.95; </t>
    </r>
    <r>
      <rPr>
        <b/>
        <sz val="10"/>
        <color rgb="FFFFC000"/>
        <rFont val="Arial"/>
        <family val="2"/>
      </rPr>
      <t>Amber</t>
    </r>
    <r>
      <rPr>
        <sz val="10"/>
        <color rgb="FF000000"/>
        <rFont val="Arial"/>
        <family val="2"/>
      </rPr>
      <t xml:space="preserve"> &gt;=0.90; </t>
    </r>
    <r>
      <rPr>
        <b/>
        <sz val="10"/>
        <color rgb="FFFF0000"/>
        <rFont val="Arial"/>
        <family val="2"/>
      </rPr>
      <t>Red</t>
    </r>
    <r>
      <rPr>
        <sz val="10"/>
        <color rgb="FF000000"/>
        <rFont val="Arial"/>
        <family val="2"/>
      </rPr>
      <t xml:space="preserve"> &lt; 0.90 </t>
    </r>
  </si>
  <si>
    <t>Minor correction: Sanction Approved to NDA changed from £139.0m to £139.6m</t>
  </si>
  <si>
    <t>FBC
(Oct-19)</t>
  </si>
  <si>
    <t>Business Case
Approval Date</t>
  </si>
  <si>
    <t>P10 2021/22</t>
  </si>
  <si>
    <t>Whole Life Cost P80 increased by £21.6m in line with Covid-19 impact drawdown. Business Case Project End Date (P80) of Dec-24 aligns with the £315.3m 'Covid-19 drawdown adjusted' Whole Life Cost (P80).</t>
  </si>
  <si>
    <t>Current Baseline (P50) first added to this report</t>
  </si>
  <si>
    <t>P11 2021/22</t>
  </si>
  <si>
    <t>Changes to Current Baseline (P50)</t>
  </si>
  <si>
    <t>Baseline (P50) Last Period</t>
  </si>
  <si>
    <t>Change to Baseline (P50)</t>
  </si>
  <si>
    <t>P12
2021/22</t>
  </si>
  <si>
    <t>Correction as figures quoted in P10 were Business Case figures</t>
  </si>
  <si>
    <t>Correction as figure quoted in P10 was Business Case / Sanction figure</t>
  </si>
  <si>
    <t>OBC
(Mar-22)</t>
  </si>
  <si>
    <t>P12 2021/22</t>
  </si>
  <si>
    <t>Correction in SL systems</t>
  </si>
  <si>
    <t>Current Baseline (P50) updated as per Q4 GMPP Return</t>
  </si>
  <si>
    <t>SRO Delivery Confidence Assessment (DCA)</t>
  </si>
  <si>
    <t xml:space="preserve">The Senior Responsible Owner (SRO) DCA is created by the project and reflects its view on the overall project deliverability against the approved business case. </t>
  </si>
  <si>
    <t>This assessment is informed, when applicable, by recent Assurance Reviews as well as progress and issues that have arisen since the review. The assessment is owned by the SRO.</t>
  </si>
  <si>
    <t>Cost</t>
  </si>
  <si>
    <t>End Date</t>
  </si>
  <si>
    <t>Forecast Last Period</t>
  </si>
  <si>
    <t>P2
2022/23</t>
  </si>
  <si>
    <t>n/a</t>
  </si>
  <si>
    <t>Calder Demolition &amp; Land Clearance (OBC Model)</t>
  </si>
  <si>
    <t>LAETP Floc Retrievals</t>
  </si>
  <si>
    <t>ILW East Zone Phase 1 Land Excavation</t>
  </si>
  <si>
    <t>CNC Encrypted Comms</t>
  </si>
  <si>
    <t>Delivery Confidence Assessment
(DCA)</t>
  </si>
  <si>
    <t>35/10398</t>
  </si>
  <si>
    <t>35/10417</t>
  </si>
  <si>
    <t>Project Number</t>
  </si>
  <si>
    <t>FBC
(Oct-21)</t>
  </si>
  <si>
    <t>384.6
(to FBC)</t>
  </si>
  <si>
    <t>351.6
(to FBC)</t>
  </si>
  <si>
    <t>P3 
2022/23</t>
  </si>
  <si>
    <t>Business Case
(P50)</t>
  </si>
  <si>
    <t>Business Case
(P80)</t>
  </si>
  <si>
    <r>
      <t xml:space="preserve">Whole Life Cost P80 increased by £25.0m in line with Covid-19 impact drawdown. 
</t>
    </r>
    <r>
      <rPr>
        <i/>
        <u/>
        <sz val="9"/>
        <rFont val="Arial"/>
        <family val="2"/>
      </rPr>
      <t>Note</t>
    </r>
    <r>
      <rPr>
        <i/>
        <sz val="9"/>
        <rFont val="Arial"/>
        <family val="2"/>
      </rPr>
      <t>: No point in updating the BC dates (P50) and (P80) to reflect Covid-19 impact drawdown as forecast completion and cost would still be such that SRO DCA remains red. The route to green SRO DCA for this project is a resubmission Business Case which is currently expected to go to SL IRP in Nov 2022, following which it will go to NDA and HMG.</t>
    </r>
  </si>
  <si>
    <t>P4 2022/23</t>
  </si>
  <si>
    <t>Whole Life Cost P50 increased by £25.0m in line with Covid-19 impact drawdown (should have done this in P10 21/22)</t>
  </si>
  <si>
    <r>
      <t xml:space="preserve">Whole Life Cost P80 increased to £249.3m - no other changes requested. Note: no additional sanction released to the OpCo under this submission. </t>
    </r>
    <r>
      <rPr>
        <i/>
        <sz val="9"/>
        <rFont val="Arial"/>
        <family val="2"/>
      </rPr>
      <t xml:space="preserve">
</t>
    </r>
    <r>
      <rPr>
        <i/>
        <u/>
        <sz val="9"/>
        <rFont val="Arial"/>
        <family val="2"/>
      </rPr>
      <t>Note</t>
    </r>
    <r>
      <rPr>
        <i/>
        <sz val="9"/>
        <rFont val="Arial"/>
        <family val="2"/>
      </rPr>
      <t>: No point in updating the BC dates (P50) and (P80) to reflect Covid-19 impact drawdown as forecast completion and cost would still be such that SRO DCA remains red. The route to green SRO DCA for this project is a resubmission Business Case which is currently expected to be taken to TAP in Dec 2022.</t>
    </r>
  </si>
  <si>
    <t>Whole Life Cost P50 increased by £11.3m in line with Covid-19 impact drawdown (should have done this in P2 22/23).</t>
  </si>
  <si>
    <t>FBC
(Jul-22)</t>
  </si>
  <si>
    <t>P4</t>
  </si>
  <si>
    <t>BEP FBC Resubmission received CST approval 26 July 2022</t>
  </si>
  <si>
    <t>Both sanction values increased by £13.9m following the approach detailed within the NDA Covid-19 Sanction Request paper approved by HMT. Although the covid total impact was £38.9m the existing P80 contingency was used to partially offset the impact, thereby reducing the drawdown. Sellafield Ltd only requested NDA approval of the P50 (P80 is not required at this stage). £466.4 is the P80 figure identified in the Covid Sanction paper.</t>
  </si>
  <si>
    <t>Change Sanction Approved to NDA as £466.4m to align with the P80 (should have done this P12 21/22).</t>
  </si>
  <si>
    <t>To reflect HMT approval of FBC in Dec-21 and associated approval and release of sanction.</t>
  </si>
  <si>
    <t>Whole Life Cost P50 and P80 increased by £24.6m in line with Covid-19 impact drawdown (should have done this in P3 22/23).</t>
  </si>
  <si>
    <t>Whole Life Cost P50 increased by £21.6m in line with Covid-19 impact drawdown (should have done this in P10 21/22).
Project End Date P50 needs to be updated in line with the Covid-19 impact drawdown - i.e. aligned with the revised P80 date of 01-Dec-24. Have changed to current baseline P50 date of 10-Apr-24 (should have done this in P10 21/22).</t>
  </si>
  <si>
    <t>Project Delivery Directorate</t>
  </si>
  <si>
    <t>Value Stream: Spent Fuel Management</t>
  </si>
  <si>
    <t>Value Stream: Retrievals</t>
  </si>
  <si>
    <t>Value Stream: Remediation</t>
  </si>
  <si>
    <t>P5 2022/23</t>
  </si>
  <si>
    <t>Corrections provided by NDA Sanction Team</t>
  </si>
  <si>
    <t>P50 and P80 end date increased by 9 months in line with Covid-19 impact drawdown (should have done this in P3 22/23).</t>
  </si>
  <si>
    <t>P5 soft launch addition to MPPR, in line with HMT condition
Values from pg 3 of SL/IRP/20/092 - The P80 cost is inclusive of Covid impact and escalation. NDA has released P50 to SL at GIC 16 March 2021.</t>
  </si>
  <si>
    <t>P7
2022/23</t>
  </si>
  <si>
    <t>Whole life P50 increased by £5.43m to account for Covid-19 impact (please note SL Ltd starting position in paper SL/IRP/22/045 stated £1329.59m rather than the HMG approved £1330.0m - rounding issue - NDA to resend official correspondence taking into account approved value).
We note that there has been a new P80 date provided however not updated as request applies to P50 only and pending query to SL. Paper SL/IRP/22/045 suggests project completion date is 1 year earlier than in HMG approved business case.</t>
  </si>
  <si>
    <r>
      <t>Table of Changes</t>
    </r>
    <r>
      <rPr>
        <sz val="8"/>
        <color theme="1"/>
        <rFont val="Arial"/>
        <family val="2"/>
      </rPr>
      <t xml:space="preserve"> (vs Last Period)</t>
    </r>
  </si>
  <si>
    <t>EAC</t>
  </si>
  <si>
    <t>Forecast End Date</t>
  </si>
  <si>
    <t>Baseline P50 Cost</t>
  </si>
  <si>
    <t>Baseline P50 End Date</t>
  </si>
  <si>
    <t>Intermediate Level Waste East Zone Phase 1 Excavation</t>
  </si>
  <si>
    <t>FBC
(Jan-23)</t>
  </si>
  <si>
    <t>P10
2022/23</t>
  </si>
  <si>
    <t>Please note both P50 and P80 values quoted are inflated. See page 11 of the Full Business Case. Dates provided indicated only month and year so deferred to the end of each month for reporting purposes.</t>
  </si>
  <si>
    <t>FBC
(Apr-23)</t>
  </si>
  <si>
    <t>P1
2023/24</t>
  </si>
  <si>
    <t xml:space="preserve">Please note both P50 and P80 values quoted are inflated. See page 2, 8 &amp; 9 of the Full Business Case. Please note slight discrrepancy in paper with regards to P80 completion date. Paper quotes both Oct 27 and Nov 27. </t>
  </si>
  <si>
    <t>Plan</t>
  </si>
  <si>
    <t/>
  </si>
  <si>
    <t>Approved Business Case (BC) &amp; Sanction</t>
  </si>
  <si>
    <t>Cumulative vs. Current Baseline</t>
  </si>
  <si>
    <t>Project</t>
  </si>
  <si>
    <t>SRO Delivery Confidence Assessment</t>
  </si>
  <si>
    <t>Business Case Approval Date</t>
  </si>
  <si>
    <t>Business Case (P50)</t>
  </si>
  <si>
    <t>Business Case (P80)</t>
  </si>
  <si>
    <t>Sanction Approved to NDA</t>
  </si>
  <si>
    <t>Current Baseline In Effect From</t>
  </si>
  <si>
    <t>Estimate at Complete (EAC)</t>
  </si>
  <si>
    <t>Forecast vs. Last Period (Days)</t>
  </si>
  <si>
    <t>Budgeted Cost Work Scheduled
(BCWS)</t>
  </si>
  <si>
    <r>
      <rPr>
        <sz val="10"/>
        <color rgb="FFFFFFFF"/>
        <rFont val="Arial"/>
        <family val="2"/>
      </rPr>
      <t xml:space="preserve">Budgeted Cost Work Performed
</t>
    </r>
    <r>
      <rPr>
        <sz val="10"/>
        <color rgb="FFFFFFFF"/>
        <rFont val="Arial"/>
        <family val="2"/>
      </rPr>
      <t>(BCWP)</t>
    </r>
  </si>
  <si>
    <r>
      <rPr>
        <sz val="10"/>
        <color rgb="FFFFFFFF"/>
        <rFont val="Arial"/>
        <family val="2"/>
      </rPr>
      <t xml:space="preserve">Actual Cost Work Performed
</t>
    </r>
    <r>
      <rPr>
        <sz val="10"/>
        <color rgb="FFFFFFFF"/>
        <rFont val="Arial"/>
        <family val="2"/>
      </rPr>
      <t>(ACWP)</t>
    </r>
  </si>
  <si>
    <r>
      <rPr>
        <sz val="10"/>
        <color rgb="FFFFFFFF"/>
        <rFont val="Arial"/>
        <family val="2"/>
      </rPr>
      <t xml:space="preserve">Cost Perf. Index
</t>
    </r>
    <r>
      <rPr>
        <sz val="10"/>
        <color rgb="FFFFFFFF"/>
        <rFont val="Arial"/>
        <family val="2"/>
      </rPr>
      <t>(CPI)</t>
    </r>
  </si>
  <si>
    <r>
      <rPr>
        <sz val="10"/>
        <color rgb="FFFFFFFF"/>
        <rFont val="Arial"/>
        <family val="2"/>
      </rPr>
      <t xml:space="preserve">Schedule Perf. Index
</t>
    </r>
    <r>
      <rPr>
        <sz val="10"/>
        <color rgb="FFFFFFFF"/>
        <rFont val="Arial"/>
        <family val="2"/>
      </rPr>
      <t>(SPI)</t>
    </r>
  </si>
  <si>
    <t>OBC</t>
  </si>
  <si>
    <t>LAETP Floc Retrieval</t>
  </si>
  <si>
    <t>FBC</t>
  </si>
  <si>
    <t>ILW East Land Excavation</t>
  </si>
  <si>
    <t>Delivery Confidence Assessment (DCA)</t>
  </si>
  <si>
    <t>P8</t>
  </si>
  <si>
    <t>Box Encapsulation Plant Product Store DIF</t>
  </si>
  <si>
    <t>Sellafield Product &amp; Residue SRP</t>
  </si>
  <si>
    <t>Lightly Shielded Stores (LSS)</t>
  </si>
  <si>
    <t>FBC 
(May-23)</t>
  </si>
  <si>
    <t>P2
2023/24</t>
  </si>
  <si>
    <t>Please note both P50 and P80 values quoted are inflated. See page 2 &amp; 10 of the Full Business Case resubmission version 2. (Approved on 10 May 2023). Only month and year provided for P50 &amp; P80 completion dates, so reverted to the 1st of the month.</t>
  </si>
  <si>
    <t>Both sanction values increased by £24.620m in line with Covid-19 impact drawdown approved by GIC in June 22. Please be advised that the RAP Covid Impact request paper reported the P80 @£360.714m. Past approvals have been checked and £360m has been confirmed. There are ongoing discussions with SL to explore where the additional £714k has come from.</t>
  </si>
  <si>
    <t xml:space="preserve">Solid Intermediate Level Waste Encapsulation (SILWE) </t>
  </si>
  <si>
    <t>FBC
(Jun-20)</t>
  </si>
  <si>
    <t>Orginal business case requested £88.59m @P80 (pg8 Gate 3c Issue 003) - however this was rounded to £89m by NDA with an additional management reserve of £4.5m added, taking cumulative value to £93.5 @ P80 escalated. Please note no adjustments made to P50. GIC approval 17 June 2020.</t>
  </si>
  <si>
    <t>FBC
(Jun-21)</t>
  </si>
  <si>
    <t>P5 soft launch addition to MPPR, in line with HMT condition
Whole Life Cost P50 and P80 increased by £3.5m to account for Covid-19 Impact - see page 2 of GIC004.05a. Management reserve of £4.5m held by NDA Programme Director - Magnox. GIC approval 15 June 2021.</t>
  </si>
  <si>
    <t xml:space="preserve">Modular ILW Encapsulation Plant (MILWEP) </t>
  </si>
  <si>
    <t>FBC
(Feb-20)</t>
  </si>
  <si>
    <t xml:space="preserve">Please note the P50 values of £44.392m and £8.498 (pg2 paper SC115.04a) have been rounded by the NDA to £45m and £9m respectively.
Please note the P80 values of £1.928  (SC115.04a) has been rounded by NDA to £4m to incorporate additional contingency (£45m+£9m+£4m=£58).
P80 value = £58m + £3m management reserve held by NDA Programme Director - Magnox. </t>
  </si>
  <si>
    <t>P5 soft launch addition to MPPR, in line with HMT condition
Whole Life Cost P50 &amp; P80 increased by £6m to account for Covid-19 Impact - see page 2 of GIC004.04a. Management reserve of £3m held by NDA Programme Director - Magnox. GIC approval 15 June 2021.</t>
  </si>
  <si>
    <t>Trawsfynydd Reactor Safestores Height Reduction</t>
  </si>
  <si>
    <t>OBC
(Jul-22)</t>
  </si>
  <si>
    <t>P5
2022/23</t>
  </si>
  <si>
    <t>P5 soft launch addition to MPPR, in line with HMT condition
Following GIC approval in P4 (July 2022) project now added to report. Please note the P50 and P80 values quoted are inflated and there is a minor discrepancy within the business case caused by rounding down from £73.138m to £73m (see page 2 vs 10). BC ref</t>
  </si>
  <si>
    <t>NWS</t>
  </si>
  <si>
    <t>Repository Development Programme Tranche 1 Project</t>
  </si>
  <si>
    <t>OBC
(Jan-17)</t>
  </si>
  <si>
    <t>P5 soft launch addition to MPPR, in line with HMT condition.
Please note P50 figure does not include inflation whereas the P80 value includes inflation. OBC sanction release was £14.5m (Jan 2017) with 2 subsequest sanction releases in 2020 and 2022, taking the cumulative sanction released to £33.1m.</t>
  </si>
  <si>
    <t xml:space="preserve">GDF Seismic Studies </t>
  </si>
  <si>
    <t>P5 soft launch addition to MPPR, in line with HMT condition.
Please note both P50 and P80 values quoted are inflated. No P50 completion date indicated in the FBC Business Case, however project completion is stated and assumed as P80 completion. Post FBC further £1.5m released as part of resubmission, taking cumulative sanction released to £12.8m.</t>
  </si>
  <si>
    <t xml:space="preserve">Berkeley Blower House Remediation </t>
  </si>
  <si>
    <t>FBC
(Nov-22)</t>
  </si>
  <si>
    <t>P8
2022/23</t>
  </si>
  <si>
    <t>Please note both P50 and P80 values quoted are inflated. See page 5 of the update Full Business Case version 4.3. (Approved on 25 November 2022).</t>
  </si>
  <si>
    <t>Dungeness Boilers Removal</t>
  </si>
  <si>
    <t>OBC
(Nov-22)</t>
  </si>
  <si>
    <t>P9
2022/23</t>
  </si>
  <si>
    <t>Please note the sanction approved to NDA = 0 as no further sanction has been sought from HMG to proceed to FBC stage. The NDA has released £11.3m to Mx within its own delegations via GIC in September 2021. Dates/values quoted referenced on page 20: section 5.3, Option 3 which align with HMT approval (excluding metals recycling).</t>
  </si>
  <si>
    <t>GDF Major Permissions</t>
  </si>
  <si>
    <t>Please note both P50 and P80 values quoted are inflated. See page 9 of the Outline Business Case. The project end dates are scenario dependant, this reporting has been aligned to the more complex scenario resulting in a 2041/42 completion date. Please note that the less complex (simple) have a forecast project completion date of 2033/34 (see pg 34 section 7.4). The Business Case no sanction has been approved or is sought at this stage.</t>
  </si>
  <si>
    <t>Asbestos Innovation Partnership</t>
  </si>
  <si>
    <t>P50 Life cost taken from pag1 of the Business Case. P50 project end date provided by Project Team as no dates provided in Business Case.</t>
  </si>
  <si>
    <t xml:space="preserve">GDF Property Value Protection Scheme Tranche 2 </t>
  </si>
  <si>
    <t>P12
2022/23</t>
  </si>
  <si>
    <t>added by NWS</t>
  </si>
  <si>
    <t>SIXEP Receipt Facility</t>
  </si>
  <si>
    <t>Hinkley Point A Vault Retrieval and Packaging</t>
  </si>
  <si>
    <t>FBC
(Jul-23)</t>
  </si>
  <si>
    <t>P4
2023/24</t>
  </si>
  <si>
    <r>
      <t xml:space="preserve">Both P50 and P80 values quoted are inflated. See page 3 &amp; 43 of the Full Business Case for values and end dates.
</t>
    </r>
    <r>
      <rPr>
        <b/>
        <sz val="9"/>
        <color theme="1"/>
        <rFont val="Arial"/>
        <family val="2"/>
      </rPr>
      <t xml:space="preserve">Please note: </t>
    </r>
    <r>
      <rPr>
        <sz val="9"/>
        <color theme="1"/>
        <rFont val="Arial"/>
        <family val="2"/>
      </rPr>
      <t xml:space="preserve">HMT CST confirmed approval of the FBC and the project sanction of £151.6m, bringing the cumulative project sanction to £157.7m (escalated P80). </t>
    </r>
  </si>
  <si>
    <t>35/10505</t>
  </si>
  <si>
    <t>Approved Business Case 
and Sanction</t>
  </si>
  <si>
    <t>OBC
(Sep-23)</t>
  </si>
  <si>
    <t>Box Encapsulation Plant Product Store 2</t>
  </si>
  <si>
    <t>P6
2023/24</t>
  </si>
  <si>
    <t>Please be advised that the whole life cost values are at OBC stage therefore not approved, but provide indication of FBC direction of travel. Please note the RCF (inflated) value in the buisness case is £882m.
Sanction released to OpCo and NDA are cumulative, P50 = £151m and P80 = £347m (inclusive of previously released sanction of £35m).
Date extracted from 0.44v BEPPS2 OBC.</t>
  </si>
  <si>
    <t>35/09000</t>
  </si>
  <si>
    <t>FBC
(Oct-23)</t>
  </si>
  <si>
    <t>P8
23/24</t>
  </si>
  <si>
    <t>FBC Resubmission inclusive of OB and 1E only. Projects relating to 2E and 3E, although delegated to the NDA, are to be considered as being within a separate programme tranche, so in this instance the overall £1,098m referred to in the BC will not be reported against.</t>
  </si>
  <si>
    <t>Calder Land Clearance</t>
  </si>
  <si>
    <t>Heat Exchanger Deplanting - Main Project</t>
  </si>
  <si>
    <t>Cumulativf vs. Currfnt Basflinf</t>
  </si>
  <si>
    <t>Budgftfd Cost Work Schfdulfd
(BCWS)</t>
  </si>
  <si>
    <t>P80 drawdown request of £17m approved at Group Investment Committee 25 Ocotber 2023.</t>
  </si>
  <si>
    <t>Sellafield Security Enhancement Programme (SSEP)</t>
  </si>
  <si>
    <t>35/05684</t>
  </si>
  <si>
    <t>35/10188</t>
  </si>
  <si>
    <t>35/10342</t>
  </si>
  <si>
    <t>35/10351</t>
  </si>
  <si>
    <t>MSSS Upgrades for Retrievals &amp; Resilience</t>
  </si>
  <si>
    <t>MSSS SEP3 Rails &amp; Brackets</t>
  </si>
  <si>
    <t>Data Centre Replacement Project</t>
  </si>
  <si>
    <t>Enablers: Information Services Organisation (ISO)</t>
  </si>
  <si>
    <t>Security &amp; Resilience</t>
  </si>
  <si>
    <t>P9
2023/24</t>
  </si>
  <si>
    <t>OBC
(Mar-20)</t>
  </si>
  <si>
    <t>FBC
(not approved)</t>
  </si>
  <si>
    <t>Not approved</t>
  </si>
  <si>
    <t>OBC
(Jan-24)</t>
  </si>
  <si>
    <t>P10
2023/24</t>
  </si>
  <si>
    <t xml:space="preserve">BC values and dates taken from pg 7 of the OBC. Recieived approval at GIC on the 24 Janaury 2024. </t>
  </si>
  <si>
    <t>PBC</t>
  </si>
  <si>
    <t>THORP Receipt &amp; Storage Control Systems Replacement</t>
  </si>
  <si>
    <t>interim position as DESNZ have approved sanction but bc not yet approved by HMT CST</t>
  </si>
  <si>
    <t>-</t>
  </si>
  <si>
    <t>MSSS 2nd and 3rd Extension Sub-Programme</t>
  </si>
  <si>
    <t>PBC
(Oct-21)</t>
  </si>
  <si>
    <r>
      <t>added in P9. BC and Sanction data provided by SL.</t>
    </r>
    <r>
      <rPr>
        <sz val="9"/>
        <color rgb="FFFF0000"/>
        <rFont val="Arial"/>
        <family val="2"/>
      </rPr>
      <t xml:space="preserve"> SL figures amended by NDA Sanction Team as the 'Sanction approved to NDA' and 'Sanction Released to OpCo' were incorrect. OBC stage gate also amended to FBC (incorrect). The FBC was approved by DESNZ on 19 November 2020 at £48.3m. Following approval of SSEP Programme covid-19 impact of £27.313m an additional £299k was distributed to CNC OU increasing the P50 and P80 sanction approved. 
Latest sanction release to OpCo was approved by NDA 28 July 2023 (OR-2023-739) taking cumulative released to £48.6m (rounded in letter to £48.7m). 
Original FBC dates excluded Covid-19 impacts - stated on pg. 17 of the original FBC to HMG. </t>
    </r>
  </si>
  <si>
    <r>
      <t xml:space="preserve">Values extracted from (SL/IRP/23/27) - page 2.  </t>
    </r>
    <r>
      <rPr>
        <b/>
        <u/>
        <sz val="9"/>
        <color rgb="FFFF0000"/>
        <rFont val="Arial"/>
        <family val="2"/>
      </rPr>
      <t xml:space="preserve">PLEASE NOTE: FBC Resubmission has not yet been approved by HMT CST. </t>
    </r>
    <r>
      <rPr>
        <sz val="9"/>
        <color rgb="FFFF0000"/>
        <rFont val="Arial"/>
        <family val="2"/>
      </rPr>
      <t xml:space="preserve">
The whole life cost at P80 of £79m is inclusive of £8m provision to accommodate time related costs due to risk of approvals delay. </t>
    </r>
  </si>
  <si>
    <r>
      <t xml:space="preserve">added in P9. BC and Sanction data provided by SL. </t>
    </r>
    <r>
      <rPr>
        <sz val="9"/>
        <color rgb="FFFF0000"/>
        <rFont val="Arial"/>
        <family val="2"/>
      </rPr>
      <t>NDA Sanction team extracted data from SL/IRP/21/055 SSEP Covid-19 update paper includes a £901k increase and 7 week delay to original approval (P50 = £24.937m and P80 = £31.039m). Dates extracted from table Table 1 – SSEP Programme Position Spend and Forecast against Programme Business Case.</t>
    </r>
  </si>
  <si>
    <r>
      <t>added in P9. BC and Sanction data provided by SL.</t>
    </r>
    <r>
      <rPr>
        <sz val="9"/>
        <color rgb="FFFF0000"/>
        <rFont val="Arial"/>
        <family val="2"/>
      </rPr>
      <t xml:space="preserve"> SL figures corrected to account for the removal of £63.5 (P80) for the Cyber Project (March 2017), inflation uplift of £48m (P80) approved by BEIS in November 2018, drawdown of £25m management reserve into the P80, and the covid-19 uplift of £27.3m in October 2021 following HMG approval. These add and omits against the</t>
    </r>
    <r>
      <rPr>
        <b/>
        <sz val="9"/>
        <color rgb="FFFF0000"/>
        <rFont val="Arial"/>
        <family val="2"/>
      </rPr>
      <t xml:space="preserve"> P80 (£855m) </t>
    </r>
    <r>
      <rPr>
        <sz val="9"/>
        <color rgb="FFFF0000"/>
        <rFont val="Arial"/>
        <family val="2"/>
      </rPr>
      <t xml:space="preserve">take the sanction value to £891.8m (P80). The P50 value includes the removal of the Cyber project at P50 = £60.4m, inflation at P50 = £34m, covid at £27.3m with no management reserve addition against the original P50 </t>
    </r>
    <r>
      <rPr>
        <b/>
        <sz val="9"/>
        <color rgb="FFFF0000"/>
        <rFont val="Arial"/>
        <family val="2"/>
      </rPr>
      <t>£774.5m.</t>
    </r>
  </si>
  <si>
    <r>
      <t xml:space="preserve">PBC
</t>
    </r>
    <r>
      <rPr>
        <sz val="6"/>
        <color theme="1"/>
        <rFont val="Arial"/>
        <family val="2"/>
      </rPr>
      <t>(addendum)</t>
    </r>
  </si>
  <si>
    <t>35/10371</t>
  </si>
  <si>
    <t>Sludge Handling &amp; Export Plant</t>
  </si>
  <si>
    <t>35/10475</t>
  </si>
  <si>
    <t>Product Zone Power Supply</t>
  </si>
  <si>
    <t>35/09244</t>
  </si>
  <si>
    <t>FGFL Ventilation Extract System Upgrade</t>
  </si>
  <si>
    <t>35/09357</t>
  </si>
  <si>
    <t>PMF North Transfers Project</t>
  </si>
  <si>
    <t>35/10151</t>
  </si>
  <si>
    <t>FHP &amp; SIXEP Roof Replacement</t>
  </si>
  <si>
    <t>35/10401</t>
  </si>
  <si>
    <t>Decommissioning Encapsulation Plant</t>
  </si>
  <si>
    <t>35/10402</t>
  </si>
  <si>
    <t>Remote Handlable Intermediate Level Waste (RHILW)</t>
  </si>
  <si>
    <t>35/10192</t>
  </si>
  <si>
    <t>TR&amp;S Replacement Cooling System</t>
  </si>
  <si>
    <t>35/10523</t>
  </si>
  <si>
    <t>Sample Management Capability</t>
  </si>
  <si>
    <t>35/10563</t>
  </si>
  <si>
    <t>Substation 10 Replacement</t>
  </si>
  <si>
    <t>35/10564</t>
  </si>
  <si>
    <t>Substation 15 Replacement</t>
  </si>
  <si>
    <t>35/10565</t>
  </si>
  <si>
    <t>EMRMS (Emergency Management Radiological Monitoring System)</t>
  </si>
  <si>
    <t>35/10545</t>
  </si>
  <si>
    <t>Degradation of Pipebridge 57 (PB57) L14, L15, L16 Refurbishment</t>
  </si>
  <si>
    <t xml:space="preserve">  </t>
  </si>
  <si>
    <t>MPPR</t>
  </si>
  <si>
    <t>EXTENDED</t>
  </si>
  <si>
    <t>BLANK</t>
  </si>
  <si>
    <t>SL BOARD REPORT</t>
  </si>
  <si>
    <t>35/09248</t>
  </si>
  <si>
    <t>35/10274</t>
  </si>
  <si>
    <t>MSSS Electrical Distribution Upgrade for Retrievals</t>
  </si>
  <si>
    <t>Substations 6 &amp; 7 Replacement</t>
  </si>
  <si>
    <t>35/10478</t>
  </si>
  <si>
    <t xml:space="preserve">Project Number </t>
  </si>
  <si>
    <t>ASC Exit (PICTS)</t>
  </si>
  <si>
    <t>FBC
(Apr-24)</t>
  </si>
  <si>
    <t>P1
2024/25</t>
  </si>
  <si>
    <r>
      <t xml:space="preserve">Please note that the project has undergone descoping activities, reducing the P50 from £70.7m to £68.5m and the P80 from £76.7 to </t>
    </r>
    <r>
      <rPr>
        <i/>
        <sz val="9"/>
        <color theme="1"/>
        <rFont val="Arial"/>
        <family val="2"/>
      </rPr>
      <t>£7</t>
    </r>
    <r>
      <rPr>
        <sz val="9"/>
        <color theme="1"/>
        <rFont val="Arial"/>
        <family val="2"/>
      </rPr>
      <t xml:space="preserve">4.6m
*please note that the P80 date was not present within the P80 drawdown paper - date provided by SL direct. </t>
    </r>
  </si>
  <si>
    <t>FBC
(Jun-24)</t>
  </si>
  <si>
    <t>P3
2024/25</t>
  </si>
  <si>
    <t>The reason why the ‘released to OpCo’ and ‘approved to NDA’ are now the same is because HMT have introduced new approval conditions stating that any P80 drawdown (£10m between P50 and P80) now requires DESNZ approval which means that the £79m is not approved to NDA at this stage. This value will likely change in the next 3 months as SL make a request for P80 drawdown to NDA, and then we subsequently make a request to DESNZ, this is due at GIC in c. September 24</t>
  </si>
  <si>
    <r>
      <rPr>
        <b/>
        <sz val="9"/>
        <color rgb="FFFF0000"/>
        <rFont val="Arial"/>
        <family val="2"/>
      </rPr>
      <t>Andrew - could you please advise where the £803.4m value come from please?</t>
    </r>
    <r>
      <rPr>
        <b/>
        <u/>
        <sz val="9"/>
        <color rgb="FFFF0000"/>
        <rFont val="Arial"/>
        <family val="2"/>
      </rPr>
      <t xml:space="preserve">
PLEASE NOTE: the Programme addendum (Resubmission) has not yet been approved by HMT CST. </t>
    </r>
    <r>
      <rPr>
        <sz val="9"/>
        <color rgb="FFFF0000"/>
        <rFont val="Arial"/>
        <family val="2"/>
      </rPr>
      <t xml:space="preserve">Current indications are that DESNZ will approve £8m less than requested for whole life cyle P80 (stated in cell F93). 
P50 and P80 dates are based on latest completion date of the three remaining live projects within SSEP which is currently CNC OU Project dates.  </t>
    </r>
  </si>
  <si>
    <r>
      <t xml:space="preserve">PBC </t>
    </r>
    <r>
      <rPr>
        <sz val="6"/>
        <color theme="1"/>
        <rFont val="Arial"/>
        <family val="2"/>
      </rPr>
      <t>addendum</t>
    </r>
    <r>
      <rPr>
        <sz val="9"/>
        <color theme="1"/>
        <rFont val="Arial"/>
        <family val="2"/>
      </rPr>
      <t xml:space="preserve">
(Jun-24)</t>
    </r>
  </si>
  <si>
    <t>P3 
2024/25</t>
  </si>
  <si>
    <t>The £904m has been extracted from the medium scenario within the SSEP Addendum (section 8.3 of SL/IRP/23/060).
The £921.8m is being utilised as a proxy for the P80 as this has been agreed with SL and DESNZ as the upper value programme value not to be exceeded. The £928.8m has not been approved to the NDA or by DESNZ PIC.
Utilised same P50 and P80 dates based on latest completion date of the three remaining live projects within SSEP (as above).</t>
  </si>
  <si>
    <t>FBC
(Mar-22)</t>
  </si>
  <si>
    <t>FBC update
(Jun-24)</t>
  </si>
  <si>
    <t>P4 2024/25</t>
  </si>
  <si>
    <t>Update to BC Approval date on SL request</t>
  </si>
  <si>
    <t xml:space="preserve">Values taken from pg8, table 1 of Sanction Inflation paper SL IRP (23) 073. 
</t>
  </si>
  <si>
    <r>
      <t xml:space="preserve">Please note both P50 and P80 values quoted are inflated. See page 2, 8 &amp; 9 of the Full Business Case. Please note slight discrrepancy in paper with regards to P80 completion date. Paper quotes both Oct 27 and Nov 27. 
</t>
    </r>
    <r>
      <rPr>
        <b/>
        <sz val="9"/>
        <color theme="1"/>
        <rFont val="Arial"/>
        <family val="2"/>
      </rPr>
      <t>Please note the NDA Accounting Officer approved £90m (SL request + management reserve) only releasing £75m (P50) to the OpCo.</t>
    </r>
  </si>
  <si>
    <r>
      <t xml:space="preserve">Values taken from pg8, table 1 of Sanction Inflation paper SL IRP (23) 073.
</t>
    </r>
    <r>
      <rPr>
        <b/>
        <sz val="9"/>
        <color theme="1"/>
        <rFont val="Arial"/>
        <family val="2"/>
      </rPr>
      <t>Please note</t>
    </r>
    <r>
      <rPr>
        <sz val="9"/>
        <color theme="1"/>
        <rFont val="Arial"/>
        <family val="2"/>
      </rPr>
      <t xml:space="preserve"> it appears the inflation increase appears lower due to rounding of previous sanction values. P50 = £74.6m &amp; P80 = £79.1m.</t>
    </r>
  </si>
  <si>
    <t>SRO 
Delivery Confidence Assessment
(DCA)</t>
  </si>
  <si>
    <t>Portfolio Summary</t>
  </si>
  <si>
    <t>SL Project Services Functional Strategy Project Landscape Map (Coded by Principle Current Commercial Delivery Framework)
(Projects with Lifecycle Forecast over £20M)</t>
  </si>
  <si>
    <t xml:space="preserve">  Total Lifetime EAC Value of SL Projects over £20M = </t>
  </si>
  <si>
    <t>Project Delivery Directorate (PDD)</t>
  </si>
  <si>
    <t>Remediation</t>
  </si>
  <si>
    <t>Retrievals</t>
  </si>
  <si>
    <t>Site Management Projects (SMPro)</t>
  </si>
  <si>
    <t>Director / Lead: A. Sharples</t>
  </si>
  <si>
    <t xml:space="preserve">Lifecycle Value: </t>
  </si>
  <si>
    <t>Director / Lead: G. McCracken</t>
  </si>
  <si>
    <t>Director / Lead: A. Armett</t>
  </si>
  <si>
    <t>Director / Lead: M. Johns</t>
  </si>
  <si>
    <t>PC Lead: Lee Edgar &amp; SPCMs</t>
  </si>
  <si>
    <t>PC Lead: A Grainger</t>
  </si>
  <si>
    <t>PC Lead: J Kolbe</t>
  </si>
  <si>
    <t>PC Lead: J Irving</t>
  </si>
  <si>
    <t>Site Management</t>
  </si>
  <si>
    <t>Infrastructure</t>
  </si>
  <si>
    <t>PPP</t>
  </si>
  <si>
    <t>Legacy</t>
  </si>
  <si>
    <t>Director / Lead: J. Brocklebank</t>
  </si>
  <si>
    <t>Director / Lead: C. Mills</t>
  </si>
  <si>
    <t>N.B. Project very close to completion</t>
  </si>
  <si>
    <t>PC Lead: S Jackson</t>
  </si>
  <si>
    <t>Proj No:</t>
  </si>
  <si>
    <t>Title:</t>
  </si>
  <si>
    <t>SRO</t>
  </si>
  <si>
    <t>Jeremy Hunt</t>
  </si>
  <si>
    <t>SPA</t>
  </si>
  <si>
    <t>Phil Reeve</t>
  </si>
  <si>
    <t>Glenn McCracken</t>
  </si>
  <si>
    <t>Kevin Brown</t>
  </si>
  <si>
    <t>Gavin Askew</t>
  </si>
  <si>
    <t>Lifecycle P50:</t>
  </si>
  <si>
    <t>Rob Hargreaves</t>
  </si>
  <si>
    <t>Michael Askew</t>
  </si>
  <si>
    <t>Andrew Pringle</t>
  </si>
  <si>
    <t>Utilites</t>
  </si>
  <si>
    <t>Stuart Pearson</t>
  </si>
  <si>
    <t>Analytical Services</t>
  </si>
  <si>
    <t>N.B. Project paused</t>
  </si>
  <si>
    <t>Kathryn McCloghrie</t>
  </si>
  <si>
    <t>Principle Project Commercial Delivery Framework Key</t>
  </si>
  <si>
    <t>Stuart Latham</t>
  </si>
  <si>
    <t xml:space="preserve"> Programme and Project Partners (PPP)</t>
  </si>
  <si>
    <t xml:space="preserve"> Legacy Bespoke Contracts (ie. BEP JV)</t>
  </si>
  <si>
    <t>Carl Carruthers</t>
  </si>
  <si>
    <t xml:space="preserve"> Decommissioning Delivery Partner (DDP)</t>
  </si>
  <si>
    <t xml:space="preserve"> Design Services Alliance (DSA)</t>
  </si>
  <si>
    <t xml:space="preserve"> Infrastructure Services Alliance (ISA)</t>
  </si>
  <si>
    <t>Special Nuclear Materials (SNM)</t>
  </si>
  <si>
    <t>Director / Lead: P. Nichol</t>
  </si>
  <si>
    <t>N.B. Project known as SWMRF</t>
  </si>
  <si>
    <t>TBC</t>
  </si>
  <si>
    <t>Simon Bremer</t>
  </si>
  <si>
    <t>SNM Future Stores</t>
  </si>
  <si>
    <t>ISO</t>
  </si>
  <si>
    <t>Future PPP Pipeline Projects currently in Study Phase and not currently reflected as a gated project</t>
  </si>
  <si>
    <t>PC Lead: J Beetham / D Burns</t>
  </si>
  <si>
    <t>35/10489</t>
  </si>
  <si>
    <t>Commoc Data Environment (CDE)</t>
  </si>
  <si>
    <t>SRO
SPA</t>
  </si>
  <si>
    <t>Jeremy Hunt
Paul Nichol</t>
  </si>
  <si>
    <t>Spent Fual Management (SFM)</t>
  </si>
  <si>
    <t>RAP Option Selection</t>
  </si>
  <si>
    <t>Director / Lead: S. Pearson</t>
  </si>
  <si>
    <t>Dominic Fitzsimmons</t>
  </si>
  <si>
    <t>Steve Wordsworth</t>
  </si>
  <si>
    <t>Director / Lead: G. Slater</t>
  </si>
  <si>
    <t>Graeme Slater</t>
  </si>
  <si>
    <t xml:space="preserve"> </t>
  </si>
  <si>
    <t>SOC</t>
  </si>
  <si>
    <t>Business Case</t>
  </si>
  <si>
    <t>Programme:</t>
  </si>
  <si>
    <t>Spent Fuel Management (SFM)</t>
  </si>
  <si>
    <t>SNM Future State</t>
  </si>
  <si>
    <t>SIXEP Capability</t>
  </si>
  <si>
    <t>Decommissioning Higher Active Waste Capability (DHAWC)</t>
  </si>
  <si>
    <t>Land and Infrastructure Future State</t>
  </si>
  <si>
    <t>Common Data Environment (CDE)</t>
  </si>
  <si>
    <t>Unified Command &amp; Control</t>
  </si>
  <si>
    <t>No Programme</t>
  </si>
  <si>
    <t>Utilities and Future Energy</t>
  </si>
  <si>
    <t>Magnox Swarf Storage Silo</t>
  </si>
  <si>
    <t>AGROP</t>
  </si>
  <si>
    <t>Pile Fuel Cladding Silo</t>
  </si>
  <si>
    <t>First Generation Magnox Storage Pond</t>
  </si>
  <si>
    <t>Magnox Swarf Storage Silos</t>
  </si>
  <si>
    <t>Retrievals Value Stream Waste Capabilities</t>
  </si>
  <si>
    <t xml:space="preserve">*1 - Final Decommissioning </t>
  </si>
  <si>
    <t xml:space="preserve">N.B *1 - Final Decommissioning OU is not a programme in the new construct </t>
  </si>
  <si>
    <t>Occom</t>
  </si>
  <si>
    <t>Director / Lead: J. Millington</t>
  </si>
  <si>
    <t>C. Carruthers</t>
  </si>
  <si>
    <t xml:space="preserve">PC Lead: J Beetham </t>
  </si>
  <si>
    <t>SOC Approval Date</t>
  </si>
  <si>
    <t xml:space="preserve">50% cost increase </t>
  </si>
  <si>
    <t xml:space="preserve">50% time increase </t>
  </si>
  <si>
    <t xml:space="preserve">Value Stream: Operations Directorate - Project Office </t>
  </si>
  <si>
    <t>Business Case Approval Dates</t>
  </si>
  <si>
    <t xml:space="preserve">Previous Period </t>
  </si>
  <si>
    <t>Current Period</t>
  </si>
  <si>
    <r>
      <t>Table of Changes</t>
    </r>
    <r>
      <rPr>
        <sz val="10"/>
        <color theme="1"/>
        <rFont val="Arial"/>
        <family val="2"/>
      </rPr>
      <t xml:space="preserve"> (vs Last Period)</t>
    </r>
  </si>
  <si>
    <t>Value Stream: Site Projects Office</t>
  </si>
  <si>
    <t>Site Project Office</t>
  </si>
  <si>
    <t>Categorised / Value Streams</t>
  </si>
  <si>
    <t>PC Lead: Programme PCMs</t>
  </si>
  <si>
    <r>
      <t>n/a</t>
    </r>
    <r>
      <rPr>
        <b/>
        <sz val="9"/>
        <color theme="0"/>
        <rFont val="Arial"/>
        <family val="2"/>
      </rPr>
      <t>(1)</t>
    </r>
  </si>
  <si>
    <r>
      <t>n/a</t>
    </r>
    <r>
      <rPr>
        <sz val="9"/>
        <color theme="0"/>
        <rFont val="Arial"/>
        <family val="2"/>
      </rPr>
      <t>(1)</t>
    </r>
  </si>
  <si>
    <t>FBC
(Jul-19)</t>
  </si>
  <si>
    <t>FBC
(Oct-20)</t>
  </si>
  <si>
    <t>OBC
(Jul-23)</t>
  </si>
  <si>
    <t>OBC
(Dec-23)</t>
  </si>
  <si>
    <t>SOC
(Mar-22)</t>
  </si>
  <si>
    <t>SOC
(Feb-23)</t>
  </si>
  <si>
    <t>OBC
(Mar-25)</t>
  </si>
  <si>
    <t>FBC
(Mar-23)</t>
  </si>
  <si>
    <t>FBC
(Feb-23)</t>
  </si>
  <si>
    <t>FBC
(Oct-22)</t>
  </si>
  <si>
    <t>OBC
(Feb-21)</t>
  </si>
  <si>
    <t>OBC
(Aug-21)</t>
  </si>
  <si>
    <t>N/A
(Mar-24)</t>
  </si>
  <si>
    <t>N/A
(Mar-25)</t>
  </si>
  <si>
    <t>SOC
(Sep-21)</t>
  </si>
  <si>
    <t>SOC
(Apr-24)</t>
  </si>
  <si>
    <t>SOC
(Feb-24)</t>
  </si>
  <si>
    <t>Pd04</t>
  </si>
  <si>
    <t>Pd05</t>
  </si>
  <si>
    <t>Pd06</t>
  </si>
  <si>
    <t>Pd07</t>
  </si>
  <si>
    <t>SOC
(Sep-23)</t>
  </si>
  <si>
    <t>OBC
(Jan-25)</t>
  </si>
  <si>
    <t xml:space="preserve">N/A
</t>
  </si>
  <si>
    <t>SOC
(Mar-24)</t>
  </si>
  <si>
    <t>SOC
(Nov-23)</t>
  </si>
  <si>
    <t>SOC
(Jan-24)</t>
  </si>
  <si>
    <t>N/A
(May-15)</t>
  </si>
  <si>
    <t>N/A
(Aug-18)</t>
  </si>
  <si>
    <t xml:space="preserve">35/09579 </t>
  </si>
  <si>
    <t>FGOFSP Effluent Route Project</t>
  </si>
  <si>
    <t>Effluent Distribution Asset Improvement</t>
  </si>
  <si>
    <t>35/09239</t>
  </si>
  <si>
    <t>Pd08</t>
  </si>
  <si>
    <t>35/09579</t>
  </si>
  <si>
    <t>Spent Fuel Services</t>
  </si>
  <si>
    <t>This project is to provide the long-term cooling requirements for Thorp Receipt and Storage (TR&amp;S) facility.  The first project benefit is to provide a modern and efficient cooling system to support the unconstrained and timely import of the Advanced Gas Reactor (AGR) Fuel for Long Term Interim Safe Storage. The Delivery Confidence Assessment remains Amber, following evaluation of the decision to relocate the cooling system from the South to East side of the building.  Baseline RAG remains Amber whilst the project team continue to review the impact of the strategic change on the get to gate plan (movement of Plant and Equipment Room from Product Zone). The Capability and Capacity RAG remains Amber due to the resource shortfalls now affecting delivery confidence. Senior Project Engineering Manager, Project Controls (P/T) and Commercial lead are required.   Work continues on risk assessing the plant room move from south to East of the building which will underpin the delivery strategy option to support the OBC.</t>
  </si>
  <si>
    <t>The North Transfers Project will deliver the capability to retrieve and transport packages from Special Nuclear Materials (SNM) North Stores to the Sellafield Product and Residue Store Retreatment Plant (SRP), enabling the retreatment and repackaging of plutonium for long term, safe and secure storage. The Delivery Confidence Assessment and Baseline RAG remain Green. The project remains on track to realise project and NDA benefits. The capability and capacity RAG status is Green due to adequate resources being in place to deliver the scope. North Transfers Project has commenced get to gate activities.</t>
  </si>
  <si>
    <t>é</t>
  </si>
  <si>
    <t>Pd09</t>
  </si>
  <si>
    <t>Trend at Pd09</t>
  </si>
  <si>
    <t>OBC
(Aug-25)</t>
  </si>
  <si>
    <t>OBC
(Aug-23)</t>
  </si>
  <si>
    <t>SOC
(Aug-25)</t>
  </si>
  <si>
    <t>SOC
(Apr-25)</t>
  </si>
  <si>
    <t>This project will provide safe and secure storage capacity for Contact Handleable Intermediate Level Waste (CHILW) packages until final treatment and disposal. The first project benefit will be receipt of the first package. The CHILW Programme Brief has been endorsed by the SL Enterprise Development Committee (EDC); this includes the LSS1 revised preferred option which incorporates identified optimisation opportunities. The Outline Business Case (OBC) Strategic and Economic Cases have been endorsed in principle by the EDC. The project have revised the OBC baseline to align to both the updated preferred option and affordability assumptions. Sellafield Project Execution Review (SPER) concluded this period with an amber rating, with findings on track for closure. SL Enhanced Commercial Assurance concluded an amber-green rating. Progress through NDA assurance is planned during January with OBC submission to SL Investment Review Panel (IRP) remaining on track for March 2026. Current sanction approval gives the project financial coverage until Q4 FY2026/2027. This sanction enables conclusion of the Appraise &amp; Select phase whilst progressing the Define stage design in parallel, which will maintain momentum on the project critical path until the OBC is approved by HMT during FY2026/2027. Key interfaces will be funded by the Enterprise and provided prior to site establishment, including provision of services to the construction site (power is becoming critical due to lead times of equipment). The Lifecycle EAC will be updated once the OBC Change Control Record has been implemented.  The Capability and Capacity RAG remains Green.</t>
  </si>
  <si>
    <t>At the Enterprise Development Committee (EDC) on 14th October 2025, the decision to move to a straight to treatment project was approved. Consequently, the SWMRF (SIXEP Waste Management Receipt Facility) project is being strategically paused. The ramp down to a controlled close out has begun along with the commencement of the new SWMTF (SIXEP Waste Management Treatment Facility) project.  A sanction re-use paper will be presented at the January 2026 IRP and GIC meetings.  A peer assist event was undertaken involving key stakeholders to provide direction for implementing a streamlined straight to treatment strategy at pace.  The full lifecycle EAC has dropped from £920.1m to £20.7m, as a consequence of pausing SWMRF and commencing SWMTF.  The Lifecycle EAC now includes costs for both projects to end of FY 2025/26 only. Work continues to progress on the Enabling Works ground investigation (a separate project) along with other areas of the enabling works design packs. The Enabling Works have now transitioned to Programme and Project Partner (PPP). Capability and Capacity RAG remains Green. Baseline and DCA RAGs have moved to not applicable due to the strategic pause.</t>
  </si>
  <si>
    <r>
      <rPr>
        <b/>
        <sz val="9"/>
        <rFont val="Arial"/>
        <family val="2"/>
      </rPr>
      <t>Project Lifecycle: Stage 1 'Feasibility'</t>
    </r>
    <r>
      <rPr>
        <sz val="9"/>
        <rFont val="Arial"/>
        <family val="2"/>
      </rPr>
      <t>. The project benefit is the provision of a stable supply. The SRO Delivery Confidence Assessment (DCA) remains Green, representing progress against shortlisting activities. The Strategic Outline Case SPER in August 25, resulted in a red rating, all actions have been Closed Out and the learning transferred to Substation 10. Investment Review Panel is planned for January 2026, with an expected change control this financial year following approval of the business case in February 2026 at NDA Group Investment Committee. The P50 completion has been maintained. The P50 schedule position has been maintained. The Baseline RAG status remains Green. Capability &amp; Capacity RAG status remains Green.</t>
    </r>
  </si>
  <si>
    <r>
      <rPr>
        <b/>
        <sz val="9"/>
        <rFont val="Arial"/>
        <family val="2"/>
      </rPr>
      <t>Project Lifecycle: Stage 1 'Feasibility'</t>
    </r>
    <r>
      <rPr>
        <sz val="9"/>
        <rFont val="Arial"/>
        <family val="2"/>
      </rPr>
      <t>.  The project benefit is the provision of a stable supply.  The SRO Delivery Confidence Assessment (DCA) remains Green, representing progress against shortlisting activities. The P50 completion cost has been maintained. The P50 schedule position has been maintained in period as we are preparing for the Strategic Outline Case. The Strategic Outline Case Single Phase SPER was completed early in the period, a Green rating and 0 critical findings have been confirmed. Investment Review Panel is planned for January 2026, and an expected Change Control this financial year following approval of the business case in February 2026 at NDA Group Investment Committee. The Baseline RAG status remains Green. Capability &amp; Capacity RAG status remains Green.</t>
    </r>
  </si>
  <si>
    <r>
      <rPr>
        <b/>
        <sz val="9"/>
        <rFont val="Arial"/>
        <family val="2"/>
      </rPr>
      <t xml:space="preserve">Project Lifecycle: Stage 2 'Appraise &amp; Select'.  </t>
    </r>
    <r>
      <rPr>
        <sz val="9"/>
        <rFont val="Arial"/>
        <family val="2"/>
      </rPr>
      <t xml:space="preserve">Pipebridge 57 spans the river Calder from East to West of site. The civil structure and services carried across it have been exposed to coastal conditions and are in an advanced state of degradation. The PB57 project exists to provide continuity of Mechanical &amp; Control, Electrical &amp; Instrumentation (CE&amp;I) services currently supplied by PB57 to end users across the site network and to remove risk to the SL &amp; external environment resulting from bridge and support collapse as it reaches end of life. The first project benefit focusses on achievement of the successful diversion of key services from PB57 whilst maintaining continuity of services to end users. The Delivery Confidence Assessment (DCA) remains stable (N/A due to no requirement for Strategic Outline Case (SOC)). The Baseline RAG remains Green due to the review of the stress modelling to underpin and present an optimised solution to mitigate the risk sooner. The project is currently reviewing the delivery strategy inline with these discussions and a Change Control Record (CCR) will follow next financial year in alignment to the Outline Business Case (OBC). The P50 completion cost and the schedule position has been maintained in period. The Capability &amp; Capacity RAG status remains Green. </t>
    </r>
  </si>
  <si>
    <t>This project relates to the manufacture and installation of the Rails supporting Silo Emptying Plant 3 (SEP3) and is prioritised into zones, aligned with installation and retrievals. The first project benefit was delivered on the 6th February 2025 with the installation of the Zone 1 rails, ready for the start of SEP3 installation. The Delivery Confidence Assessment is Amber as full project delivery is now not forecast until after the P80 date of March 2027. The project is currently forecast to be delivered for less than the P80 sanction value of £21.8m, however ongoing supply chain issues are likely to impact this. The Baseline RAG status has been moved to Red, in recognition of the supply chain contractor entering administration. The project and commercial teams are working with the administrator to progress the retrieval of the part-manufactured equipment, secure a medium-term storage facility and identify an alternative supply chain partner to complete the packages, however it is expected that this will impact both schedule and cost, hence the movement to red baseline RAG. It is, however, currently expected that the project can still be delivered within timescales acceptable to the critical path of the Magnox Swarf Storage Silo (MSSS) Programme and will not directly impact Sustained Retrievals as the Zone 3 rails are not a requirement for the installation of the SEP3 machine. Capability &amp; Capacity RAG status is Amber due to the ongoing supply chain issues.</t>
  </si>
  <si>
    <t xml:space="preserve">The Encrypted Communications (EC) project will deliver the ability for the Civil Nuclear Constabulary (CNC), and other emergency responders utilising current Airwave and/or future Emergency Services Network, to clearly communicate with their Command and Control, both during routine patrols and in emergency response, within a number of identified facilities. The Delivery Confidence Assessment remains Red, since the forecast end date is outside of the Business Case P80 date due to the project having been on hold pending a future scope delivery decision by the Security &amp; Resilience (S&amp;R) Programme. The project has now competed the installation and commissioning of the full new communications system installed in SMP, and shown that this is functioning, with coverage signal strength tested and proven to meet design requirements throughout. The decision timeline for further scope delivery was linked to the production by S&amp;R of Facility Security Plans and their associated Physical Security Vulnerability Assessments (PSVA), since this would give the most robust answer (for both the EC project and the PSVA process) in terms of need. The assessment work on Encrypted Comms project is now complete, resulting in a significant reduction in the project scope. The project EAC has therefore been reduced accordingly and formal governance steps completed to down scope the project. The Baseline status is Red, reflective of the current pause. The project has implemented a deferral change control reflecting the impact of the pause to the project; this is within SL delegation and went to the Group Investment Panel (GIC) for noting in late April. Capability and Capacity RAG is Green and it should be noted minimal resource is assigned as the project is on hold. </t>
  </si>
  <si>
    <t xml:space="preserve">In October 2023, the Magnox Swarf Storage Silos (MSSS) Retrievals Programme received re-sanctioning approval, establishing an overall upper funding limit of £1,098m. As part of that endorsement, a revised management framework and sanctioning strategy was introduced to govern the MSSS 2nd Extension (2E) &amp; 3rd Extension (3E) Tranche, as discrete projects. These projects are delivering critical enablers that will facilitate the commencement of waste retrieval operations using Silo Emptying Plant (SEP) 3. They have an upper sanction limit of £200m. The key enablers included are 1) SEP3; Complete design/rectification, installation and commissioning of the machine and associated components. 2) Final manufacture and installation scope for the Nitrogen Inlet system. 3) 2E Liquor Level management system.  4) The remaining Packages required to support full retrievals. The programme has prioritised the OB/FE and as a result the expected specialist resources (e.g. design capability) will not be available to concurrently deliver the SEP3 project (1). Without further action the delivery will take substantially longer, challenging tolerances. To address this SL is pursuing an alternative delivery model with a fully integrated programme partner that will increase effective delivery by enabling access to a different part of the skilled labour market. Confidence in the revised strategy continues to increase through ongoing engagement sessions with the delivery partners, therefore the Delivery Confidence Assessment remains at Amber until completion of the opportunity scoping phase in Qtr 4.The capability and capacity RAG is Red driven by resource constraints and commercial disruption following the administration of a key supply chain partner on the packages project (4). In response, the integrated team is actively working with administrators to recover part-manufactured equipment, having identified secure interim storage, and identified a replacement supplier to complete outstanding packages, with the required contract placements achieved in period to support the removal of equipment.  There remain a number of challenges to removing SL equipment from the administrator including building condition and crane certification, however plans are in place and removal of equipment has commenced this period. This disruption has led to increased in-year expenditure due to associated recovery and transition costs. Nitrogen Inlet project (2) and 2E LLM project (3) continue to deliver within baseline and sanction forecast. Overall, the tranche remains in the early stages of its lifecycle, with only six of the nine 2E/3E projects sanctioned, and a total released value of £66.3m. While future cost and schedule pressures are anticipated, the project is forecasting lifecycle EAC within the sanctioned upper limit of £200m and to timelines that align with the critical path of the Magnox Swarf Storage Silo (MSSS) Programme and as such, no direct impact is expected on sustained retrievals. There has been no change to the EAC during this period. The Baseline RAG status is Amber, reflecting anticipated impacts from ongoing commercial challenges and supply chain, but also in acknowledgement of the recovery plan currently being enacted by the project team to ensure delivery of packages in support of the programme requirements. Given the level of uncertainty but also increasing confidence in the revised strategy for SEP 3 delivery the Forecast project end date is being held at December 2033, and the Delivery Confidence Assessment at Amber, this will be revisited once the project has received a decision on the revised strategy through the delivery plan process specifically in relation to SEP 3 and the packages project scope. </t>
  </si>
  <si>
    <t xml:space="preserve">The Effluent Distribution project provides critical support to the hazard reduction of key plants within Retrievals value streams. It allows effluent to be transferred from First Generation Magnox Storage Pond (FGMSP) and the Magnox Swarf Storage Silos (MSSS) to the downstream effluent treatment facilities. The Delivery Confidence Assessment is currently Green against the P80 cost and schedule detailed within the Full Business Case (FBC). However, the project has experienced some issues in the lead up to the commencement of active commissioning (due to start April 26). This period, we have seen a slippage of 17 days resulting in a forecast mid-September 2027 which is outside of the P50. This has been due to the Effluent Distribution Tanks (EDT) Plant configuration not being understood by operations &amp; maintenance to enable the isolation of Critical Safety Equipment which is preventing the installation of a 4-pole isolator (critical path). The baseline RAG is Amber, which reflects the slippage experienced this period which has resulted in the project completion now forecasting beyond the baseline end date of early Sept 27. Re-sanction approved in August 2023 giving a total P50 sanction of £38.2m and a P80 of £41.7m. The latest EAC forecast is 37.8m which includes £5.5m of spend prior to 2014. Capability and Capacity is Amber due to the availability of Legacy Ponds Maintenance Team to support the project. </t>
  </si>
  <si>
    <t xml:space="preserve">Sludge Handling &amp; Export Plant aims to provide a capability to receive and process sludge from Sludge Packaging Plant 1 (SPP1) and export it to a downstream facility to enable the safe treatment into a suitable waste form/product for interim storage. Delivery Confidence Assessment is Amber, the project is still within its appraise and select phase and uncertainty remains until Outline Business Case (OBC) assurance and governance is complete. This has management oversight and is being worked through accordingly. The down-selected preferred solution (Option 1 -Sludge dewatering in a 500-litre drum in a flask and export to Waste Encapsulation Plant (WEP) for conditioning and interim storage of the resultant waste product in Encapsulated Product Store 3 (EPS3)) is now being further developed in parallel to project planning to support submission of the OBC. Project is trending right, current forecast OBC is July 2026. Output and decisions from Independent review are required. Completion of PPP Intervention points, schedule and estimate build are required to reset Get to Gate assurance plan. The schedule and estimate build is complete, awaiting final assurance. Cumulative sanction released to the project is £30.6m to deliver OBC. SL Investment Review Panel (IRP) are currently holding a further £7.442m bringing the overall sanction to £38.1m. Baseline RAG is Amber to reflect the current forecast OBC date of July 2026 being later than the current baseline. A Change Control Request will be prepared and implemented to update the baseline following OBC Approval.  Capability and Capacity remains amber. Internal project resource challenges remain, however have addressed Construction PM, Commercial Lead and Environmental and Sustainability resources. Further ramp up to support transition to PPP has been put on hold. Additional assurance requirements remain a capacity challenge to balance with delivery. Programme resources have been identified and mobilised to support the ‘get to gate’ plan. </t>
  </si>
  <si>
    <t>The scope of this project is to remove and replace the existing Fuel Handling Plant (FHP) and Site Ion Exchange Effluent Plant (SIXEP) roofs with a new Kalzip Roof. The first project benefit to be realised will be the completion of the SIXEP Roof, enabling them to continue in delivery of their mission through to completion with the same benefit being realised for FHP some years later. The Delivery Confidence Assessment is Green following the approval of the revised OBC at OUSB. The Baseline is Green. The Capability &amp; Capacity RAG has remained at Amber. This will move to green once approval is gained at IRP and the contracts are in place to progress this project through to completion, not expected until Q4 FY 2025/26. The FBC is now scheduled to go to the Investment Review Committee (IRP) in March 2026, as this was the next available slot following completion of the Enhanced Commercial Assurance (ECA). While pressurised, the CCR should still be implemented this FY year as DBD Admin checks etc. are already under way.</t>
  </si>
  <si>
    <t xml:space="preserve">BEPPS-DIF project is essential to remediation of Pile Fuel Cladding Silo (PFCS) and provides capability to receive and store waste from remediation work. PFCS active commissioning is now complete. Project has now received 1 Waste Packaging and Encapsulation Plant (WPEP) package to enable start of WPEP active commissioning. Fault observations (FOBs) and remaining project scope ongoing. Work to repair shield door has now started. Duly Authorised Person (DAP) move to support Advanced Gas Reactor (AGR) / Encapsulated Product Store (EPS) transfers may challenge rectifying subsequent faults in parallel with plant operations. Project resources are substantially redeployed on other scope for Retrievals Operations keeping project spend to a minimum. Endorsement to Operate planned for 31st March 2026. Delivery Confidence Assessment remains Amber. Baseline RAG remains Amber. Capability and Capacity RAG remains Green, project has resource to complete scope. The project completion date remains April 2026, which is aligned with the anticipated Gated Project Oversight Committe (GPOC) date of the Post Investment Appraisal.                                                                                                                                                                                                                                                                                                                                                                                                                                                                                                                                                                                                                                                                                                                                                                                                                                                                                                                                                                                                                                                                                                                                                                                                                                                                                                                                                                                                                                                                                                                                                                                                                                                                                                                                                                                                                                                                                                                                                                                                                                                                                                                                                                                                                                                                                                                                                                                                                                                                                                                                                                                                                                                                                                                                                                                                                                                                                                                                                                                                                                                                                                                                                                                                                                                                                                                                                                                                                                                                         </t>
  </si>
  <si>
    <t>The ILW EZ Phase 1 Excavation Project is a key enabler to allow the future major project Lightly Shielded Store 1 (LSS1) to commence construction and also de-risks LSS1 construction. The delays in issuing the Service Commencement Notification (SCN) and late Pre-Construction Information (PCI) caused a 4-month delay to the beginning of delivery, however the excavation work has now recovered. The first project benefit: This project delivers a number of benefits, both direct as a key enabler for LSS1, and indirect in adopting an Enterprise approach to zonal development. The Baseline remains green and phase 1A activities completed. Meeting held with Superintending Officer, post period end, and Custody Transfer Certificate signed off 07th January 2026. Lifecycle EAC and the forecast date for close out of Phase 1A remain stable. The project lifecycle EAC increase includes an initial assessment of the cost to deliver the 25/26 Phase 1B scope. The end date and the EAC for the remaining Phase 1B scope will be updated once the detailed delivery timeline has been agreed for Phase 1B scope.  This is expected to be during Qtr 4. The Capability and Capacity RAG remains Green.</t>
  </si>
  <si>
    <t>The Sellafield Security Enhancement Programme (SSEP) represents a series of interdependent security enhancement projects, which encompass site-wide improvement initiatives, and some facility-specific asset improvements. The Delivery Confidence Assessment remains Green. The NDA revised Programme Business Case value of £921.8m was released to SL in June 2024, with Department for Energy Security and Net Zero (DESNZ) PIC holding the upper range figure of £929.8m. The SSAU and CNC OU P80 sanction request submissions were approved at the NDA Group Investment Committee (GIC) in September 2024. The assessment work on Encrypted Comms project is complete resulting in a significant reduction in the project scope. The project EAC has previously been reduced accordingly and formal governance steps completed to down scope the project. The programme lifecycle EAC has increased by £0.6m this period due to prolongation on the CNCOU project, as in period the contractor have completed commissioning resequencing workshops due to the previously reported gland issues and strike action compounded by the union imposed weekend working overtime ban, and the output of the workshops has moved the forecast end date. The Programme Ready for Full Operating Capability (FOC), based on the latest SSAU project data, remains forecast as March 2026 due to delays to the progression of the Legacy SMS migrations, which are scheduled to take place after the L1 commissioning of the new boundaries.. This is subject to ongoing reviews of the available operational, engineering and maintenance resources needed to review and sign off the various systems and assets being delivered by the projects to underpin the Custody Transfer Certificate (CTC). The overall outturn project delivery performance remains in line with sanctioned plans. Security Systems Architecture Upgrade (SSAU), Encrypted Comms (EC) &amp; Civil Nuclear Constabulary (CNC) Operational Unit (CNC OU) Projects (all reported as projects in their own right on the MPPR) are, based on the respective projects latest EAC figures, affordable within the released SSEP sanction. The Main Site Command Facility (MSCF) continues to improve its operational capability with Phases 1 &amp; 2 of the revised 3 Phase Capability Delivery Plan now complete. (Phase 1: The High Security Area (HSA)1 Boundary declared operational in March 2024 &amp; Phase 2: The achievement of a Green rating for the complex and challenging Level 1 Regulator Evaluated Demonstration Exercise in November 2024). As a consequence the Regulator confirmed in December 2024, Physical Security no longer needs to be monitored at the “Enhanced Level” and has therefore been returned to “Routine Level” with the Nuclear Site Security Plan (NSSP) and Security Improvement Schedule (SIS) updated accordingly; a significant achievement for the Sellafield Site. Phase 3 will achieve the agreed security outcomes and associated security risk reduction benefits by no later than May 2027 for FOC. The latest programme forecast aligns with the current CNC OU P80 sanction date of 31 July 2026. The programme remains within its sanctioned tolerances.</t>
  </si>
  <si>
    <t>ê</t>
  </si>
  <si>
    <t xml:space="preserve">Within the THORP Receipt and Store (R&amp;S) and Feed pond areas, pond handler machines manoeuvre flasks or skips within the inlet, main and feed ponds, these are the Inlet Pond Handler (IPH); the Main Pond Handler (MPH); the Rack Transfer Machine (RTM). These machines provide the essential material move capability to support fuel reprocessing operations.  Each of these pond handlers is controlled by programmable controller systems installed in the late 1980s, which are now obsolete, and spares are increasingly difficult to source. The Delivery Confidence Assessment remains Red, reflecting the history of the project which has suffered several scope and strategy challenges from programme, preventing progress and impacting the baseline. The project was split into six discrete Work Packages. Via a Change Control Request (CCR), three out of six work packages were closed earlier in financial year 2025/26.  In period, a close out strategy has been agreed for the remaining scope, between the Head of Projects and Head of Operating Unit (OU).  The project forecast cost has significantly reduced this period, reflecting the scope which has stopped with immediate effect, also impacting schedule.  Capability and Capacity RAG remains Green, reflecting the remaining scope of 35/10188. </t>
  </si>
  <si>
    <t>The project has developed and assured a Single Preferred (engineering) Solution (SPS) which will be subjected to an Infrastructure Design Engineering assurance review in January 2026, this has been delayed due to electrical loading details being required and the revised Project Functional Spec not currently being approved by the client. The end of phase date is now deemed to be next financial year and has been affected by the lack of signed off PFS and availability of assurance resource from the Programme and Project Assurance team. The Delivery Confidence Assessment and Baseline RAG remain Green as a new estimate has been developed. Capability and Capacity RAG status has been moved to Amber due to Sellafield Project Execution Review (SPER) resource availability and the PFS maturity. The team are aligning the EAC forecast with the P50 estimate to enable stable forecasting up to the next maturity point.</t>
  </si>
  <si>
    <t>OBC
 (Mar-25)</t>
  </si>
  <si>
    <t>FBC
 (Oct-23)</t>
  </si>
  <si>
    <t>FBC
 (Feb-24)</t>
  </si>
  <si>
    <t>FBC
 (Nov-23)</t>
  </si>
  <si>
    <t>FBC
 (Jan-23)</t>
  </si>
  <si>
    <t>FBC
 (Oct-25)</t>
  </si>
  <si>
    <t>FBC Add.
 (Mar-21)</t>
  </si>
  <si>
    <t>FBC Re.
 (Nov-24)</t>
  </si>
  <si>
    <t>FBC
 (Apr-22)</t>
  </si>
  <si>
    <t>OBC
 (Oct-24)</t>
  </si>
  <si>
    <t>FBC
 (Sep-24)</t>
  </si>
  <si>
    <t>FBC
 (Mar-23)</t>
  </si>
  <si>
    <t>OBC
 (Oct-25)</t>
  </si>
  <si>
    <t>FBC
 (Dec-25)</t>
  </si>
  <si>
    <t>OBC
 (Mar-23)</t>
  </si>
  <si>
    <t>PBC
 (Oct-21)</t>
  </si>
  <si>
    <t>FBC 
(Jun-24)</t>
  </si>
  <si>
    <t>PBC 
(Jun-24)</t>
  </si>
  <si>
    <t>This is a Portfolio of smaller tasks, all of which have been historically sanctioned locally, including Building roof replacement and upgrades to Building services. The first project benefit was realised in support of Magnox Swarf Storage Silo (MSSS) Facility resilience, by delivering numerous building services upgrades, in support of the start of MSSS retrievals in April 2022. The project continues to be impacted by industrial action in the supply chain resulting in productivity losses, key skills unavailable, and constraints on work scope delivery. Impact assessment will be finalised on conclusion of the action with the intent to seek appropriate sanction relief subject to further review.  This is not a dispute directly with Sellafield Ltd; Sellafield is engaged with the Supply Chain and Stakeholders to ensure effective management of the impacts; correct mitigations are in place and to effectively mobilise resources upon return to work. The Delivery Confidence Assessment remains Green as remaining work is low complexity and low cost, however industrial action has meant site works cannot continue in year. The P50 cost and schedule remains within P50 sanction, however, the overall end date has exceeded the Baseline March 2025 date as Change Control Request (CCR)'s were not implemented on previously approved Business Cases recognising this is a portfolio of smaller tasks. The Baseline RAG status has moved to Red as the Project are forecast to deliver within cost but beyond the reported baseline date. The work on this stream has been protracted as it requires interfaces with outages and other tasks, it is generally lower priority against other areas of the MSSS Facility.  In period, the project did not achieve a window to complete Condensate system outage work, nor is it in a position to commence Essential Power Distribution 301 electrical scope. This project is being reviewed in light of the low complexity, remaining scope and the deliverability issues, as such we have held the end date at 30/09/2027 until a way forward is agreed with all stakeholders. Consultation will be carried out with key stakeholders in terms of a project close out strategy in January. Capability and Capacity is Green.</t>
  </si>
  <si>
    <t xml:space="preserve">The Electrical Distribution project is required to replace the aged and obsolete building electrical “Level 2” infrastructure with modern Power Distribution boards which will power the Silo Emptying Plant (SEP) machines throughout waste retrieval operation. The project is in the final stages of construction following energisation of the board and continues with load transfers. The first project benefit was realised in support of Magnox Swarf Storage Silo (MSSS) Facility resilience at the start of retrievals in April 2022. The Delivery Confidence Assessment is Amber with the date unlikely to be recovered but still forecast to complete within the business case P80 sanction (which has now been fully released to the project), with a close out date of March 2027. The Baseline RAG is Red with delivery now beyond the baseline P80 date, however, transfer of all critical systems and power to SEP 1 and 2 have been delivered, ongoing load transfers address obsolescence issues on some existing equipment however not all load transfers will take place ahead of the baseline P80 date. Many of the remaining load transfers require outages and are now aligned with the programme integrated schedule to minimise disruption to plant. The project continues to be impacted by industrial action in the supply chain resulting in productivity losses, key skills unavailable, and constraints on work scope delivery. Impact assessment will be finalised on conclusion of the action with the intent to seek appropriate sanction relief subject to further review.  This is not a dispute directly with Sellafield Ltd; Sellafield is engaged with the Supply Chain and Stakeholders to ensure effective management of the impacts; correct mitigations are in place and to effectively mobilise resources upon return to work. This schedule is, however, being further pressured by the impact from the current industrial action although the project  will mitigate this by adjusting the order of transfers where possible. Note: The Baseline is showing a much lower value than the sanction, as some previous early works were completed under a different project (Sanction transferred, but Baseline not included). Capability &amp; Capacity RAG status is Green.                                                                                                                                                                                                                                                                                                                                                                                                                                                                                </t>
  </si>
  <si>
    <t>The Data Centre Replacement Project is the design and build of a modern onsite data centre followed by the installation and migration of IT services from the legacy data centre.  The First Project Benefit has been realised as all applications and network services have been migrated to the new data centre. Delivery Confidence Assessment is Red as the project has exceeded the P80 completion date of 16th May 2024. Current forecast completion of 10th August 2026 inclusive of Gate 5 SPER April 2026 and Post Investment Appraisal submission. Variations to existing scope reviewed with SPA, schedule updated and estimate awaiting additional information from requests for quotations, which will be followed by submission to ISO Change Board. The P50 cost and schedule; EAC ~£4.6m under P50 Sanction (not inclusive of studies); Latest best estimate funding request submitted for 2026/27 covering scope variations agreed with SPA, to be reflected in sanction position following approval at ISO Change Board. The Baseline RAG status sits at Red as the schedule position is not recoverable. The delays to project completion are derived from handover requirements and lack of pre-ops. Plant Room A re-energised. Plant Room B approaching completion, no issues in period, re-energisation by end of January on track. Installation of plant labelling to re-commence January. Commercial engagement underway for Coalescent filters &amp; Puma operator panel quotes, these will be built into submission to ISO Change Board. Outline solution design and plant modification proposal being prepared for building management system connectivity to allow for remote alarm monitoring within main site command facility. All building systems under planned preventative maintenance arrangements which are underway. Capability &amp; Capacity RAG remains Green. Tri-Party Team (ISO, FM, and the Project) continue to collaborate effectively. AXIOM design resources contract preparing to be closed. The project continues to be impacted by industrial action in the supply chain resulting in productivity losses, key skills unavailable, and constraints on work scope delivery. Impact assessment will be finalised on conclusion of the action with the intent to seek appropriate sanction relief subject to further review.  This is not a dispute directly with Sellafield Ltd; Sellafield is engaged with the Supply Chain and Stakeholders to ensure effective management of the impacts; correct mitigations are in place and to effectively mobilise resources upon return to work. Industrial action risk remains a risk, Morgan Sindall team continue to monitor disruption to isolator scope of work.</t>
  </si>
  <si>
    <t>The Ventilation Extract System Upgrade (VESU) project is required to replace the existing ventilation system in Special Nuclear Materials (SNM), the current system is in a degraded state and requires replacement. The first project benefit is the capability of a new ventilation system that meets all regulations and enables safe operations. Project Lifecycle: Stage 3 - Define stage via continuity funding whilst proceeding through sanction. The Delivery Confidence Assessment remains Green.  An Infrastructure and Projects Authority (IPA) style review took place in May 2025 and achieved an Amber/Green.  The Outline Business Case (OBC) predicted to be at Government Q4 2025/26.  The baseline RAG has improved to Green due to implementation of Change Control request (CCR), the forecast end date has been updated to align with the CCR, resulting in a 79 day improvement and a movement in the Anticipated Final Cost (AFC) . There is a discrepancy of £950k for costs prior to Performance Plan 2014, this is under review by reporting team.  Capability and Capacity is Amber due to not securing ring-fenced resources to support project delivery (Design/Project Controls/Construction and PMP Managers).</t>
  </si>
  <si>
    <t>The overall intent of the LAETP (Low Active Effluent Treatment Plant) Floc (flocculant) Retrieval project is to provide the necessary equipment, documentation, knowledge transfer and training to enable the Alpha Operations teams to safely and effectively remove circa 86m3 of non-adhered (loose) floc from four existing and degrading Holding Tanks located on the Sellafield site. The project benefit is handover of the retrieval’s equipment to the Alpha Remediation Operations team, the project provides the capability to retrieve floc from the four storage tanks. This benefit remains on track to be delivered within the strategic tolerances of the civil tank substantiation and Low-Active Effluent Management Group (LAEMG) downstream plant availability. Delivery Confidence Assessment remains Amber due to the forecast project end date which is now 12 months later than the P80 date in the approved business case and uncertainty around the projects ability to stay within the P80 costs however following a project reset, which included revised delivery strategy and amendments to contract, cost forecast currently remains within the sanction approved by NDA. A Change Control Request (CCR) has now been approved and will be implemented for period 10, allowing reporting aligned to the recently approved P80 drawdown. The Project continually works to improve Contractor performance, Cumbria Nuclear Solutions Limited (CNSL) key focus areas are credible and realistic schedule and estimate, contract management, management of change and design delivery. Output of the updated schedule is now reflected in outward reporting; this reflects the model output which has been assured during a joint SL and NDA project review. The project forecast and subsequent impact on Key Decommissioning Milestone (KDM) Removal of non-adhered Floc by June 2030 is currently being assessed and will be evaluated in the coming periods. The Baseline RAG remains Amber. The project continues to be impacted by industrial action in the supply chain resulting in productivity losses, key skills unavailable, and constraints on work scope delivery. Impact assessment will be finalised on conclusion of the action with the intent to seek appropriate sanction relief subject to further review.  This is not a dispute directly with Sellafield Ltd; Sellafield is engaged with the Supply Chain and Stakeholders to ensure effective management of the impacts; correct mitigations are in place and to effectively mobilise resources upon return to work. The project has implemented a strategic pause of the construction work face, to prevent inefficient working whilst key resources are involved in industrial action and to protect the project sanction position. This has resulted in a minor increase in overall EAC (£117k) due to prolongation of key resources required to maintain momentum on key activities such as the handover of completed systems and ensure an effective restart in January 2026. A mitigated schedule to reduce the impact of absent scaffolding resource has been implemented; to protect key project milestones, this will be monitored closely by the project team. Attention remains on completing detailed design to de-risk the remainder of the construction scope, the design work remains on track to be completed in Q4 in line with the key target milestone date. Issues have been encountered in fabrication of key process modules, timely completion of these final procurements is key to enabling the remainder of the construction work. Capability and Capacity RAG remains Amber, a contract to supplement the SL led commissioning and pre-ops teams has been awarded, mobilisation of these resources is ongoing.</t>
  </si>
  <si>
    <t>Please note; the reduction to the projects lifecycle Estimate At Completion (EAC) is as a result of a reporting error, the true lifecycle forecast is unchanged from the previous period and remains at £148.9m. Pile 1 Chimney Demolition Project Phase 2F, to demolish the chimney contaminated during 1957 fire, is organised into 3 separate sub-projects. The first two, Filter Gallery Demolition and Diffuser Demolition are now complete, and the project is now in its final stage, Barrel Demolition. Barrel Demolition is the removal and disposal of the Barrel section of the chimney, using a unique specifically designed platform for demolition access with lifting operations supported by the existing Tower crane. Delivery Confidence Assessment remains amber based on current forecast completion being beyond Business Case P80 date, the position is supported by an independent project assurance review carried out in September 2025 for which the output also rated the project at Amber. As communicated to Nuclear Decommissioning Authority (NDA)  Board in 2023, the project, following receipt of a conservative tender return for whole of Barrel Demolition that pressured business case tolerances, has adopted a phased approach to ensure learning and opportunities from Integrated Works Testing (IWT) is understood prior to future contract awards for the Installation and Commissioning of the Suspended Platform Incremental Descent developed by ADAPT (SPIDA) and Barrel Demolition scope. Following the recent approval of inflation relief the project’s sanctioned P80 value is now £149.1m. The sanction release request for Installation &amp; Commissioning (£15m P50 escalated) has now been approved and is now within the new sanctioned P50 (£125.5m following inflation relief approval). Recognising that the project’s EAC is close to the revised P80 sanction value, the project will continue with its strategy for a full revision of the existing baseline schedule/cost once IWT (July 2026) is complete, critical learning is obtained (i.e. from demolition demonstration) and future uncertainty is reduced. The first project benefit milestone (based on completion date) is on track. The P50 Delivery date remains April 2033. During key testing on IWT, an issue was identified with respect to the platform maintaining a balanced load across all hangers, particularly during changes in external temperatures. Testing of solutions has been successful so far and is ongoing, however this will lead to a delay in commencement of FAT-18 Demolition Demonstration. P50 completion date for IWT remains June 2026. SPIDA Installation and Commissioning contract award now forecast for February 2026. The Baseline RAG remains Red as the forecast project end date is after the P50 baseline. License instrument submission forecast remains Q4 2025/26 a safety case design review was undertaken this period with minor actions required to close out. The project has been impacted by industrial action in the supply chain resulting in productivity losses, key skills unavailable, and constraints on workscope delivery. Impact assessment will be finalised on conclusion of the action with the intent to seek appropriate sanction relief subject to further review.  This is not a dispute directly with Sellafield Ltd; Sellafield is engaged with the Supply Chain and Stakeholders to ensure effective management of the impacts; correct mitigations are in place and to effectively mobilise resources upon return to work.  Capability and Capacity RAG remains green.</t>
  </si>
  <si>
    <t>The Electrical Distribution Network Upgrade Project (EDNUP) relates to the refurbishment of the Sellafield Site’s electricity network. The project will bolster the emergency power generation capability and improve site resilience which is important particularly in the event of a National Grid failure. The Delivery Confidence Assessment remains at Amber noting that the latest forecast for completion exceeds the current P80. An update paper was acknowledged at NDA GIC in June 2025, which noted that a P80 draw down will be necessary  to enable continuity of project delivery (current forecast required in 2026/27 Qtr 1). The project continues to be impacted by industrial action in the supply chain resulting in productivity losses, key skills unavailable, and constraints on work scope delivery. Impact assessment will be finalised on conclusion of the action with the intent to seek appropriate sanction relief subject to further review.  This is not a dispute directly with Sellafield Ltd; Sellafield is engaged with the Supply Chain and Stakeholders to ensure effective management of the impacts; correct mitigations are in place and to effectively mobilise resources upon return to work.The full lifecycle cost forecast is stable in period although under significant and increasing pressure from strike delay costs,  further realised risks with in-ground conditions and increases in subcontract costs. The further review of the P50 to P80 delta and inflationary impact will be included in the next sanction request. The schedule is stable with no overall movement to the end date in period, although  strike action and realised risk are continuing to reduce available schedule float. The baseline RAG remains Amber as the project completion date is beyond the P50 baseline. The current P50 baseline and approved NDA sanction differs as a result of indexation and historical positive cost variance on the project pre implementation of change control associated with the Full Business Case (FBC) resubmission. The project plan and progress to date indicates a steady recovery of the variance.  Reoccurrences of radiological contamination are affecting interconnector critical path progress impacting construction duration. The first downstream connections from Substation 111 has finally been completed and energised after resolution of unexpected issues with existing cables.  The next downstream connection has encountered different issues with existing cables which is being investigated before connections can be made.  Continued strike impacts and existing asset risks have put the Key Target for downstream changeovers in jeopardy.  Cable route construction is progressing on multiple fronts, including a ringfenced risk mitigation advanced dig team who are discovering a significant number of uncharted services and obstructions.  Strike action continues to impact multiple workfaces including waste movements, scaffolding, electrical installations and daily productivity. The temporary cable installation which will mitigate delays to electrical isolations necessary for excavations near aged buried cables has also been impacted. Management and characterisation of waste from the site continues to be onerous.  The Capability and Capacity RAG remains at Amber in period due to Construction and Protection Engineer resource issues, which are now critical and impacting site delivery, with timescales for backfill still to be determined.</t>
  </si>
  <si>
    <t>The Sellafield Product &amp; Residue Store Retreatment Plant (SRP) project is a key element of the Sellafield Ltd ‘Special Nuclear Materials (SNM) Future State Programme’. The SRP is a complex major project required to provide the capability to receive special nuclear material in existing packages, from existing stores on the Sellafield site, and process the material into a form and package suitable for safe and secure long-term interim storage. The SRO Delivery Confidence Assessment (DCA) remains Amber against the P80 cost and schedule from the Full Business Case (FBC) approved by HMG in July 2021. This is primarily reflective of the previously reported emerging issue relating to legislative changes to Passive Fire Protection standards and the implementation of the changes to the Building Safety Act (2022) following the Grenfell Tower Inquiry. The impact of the changes to the Passive Fire Protection standards will require a significant amount of engineering design rework and additional installation work in the new facility; the key impact is expected to be on the schedule to achieve readiness of the facility for Glove box installation, which has now become the critical path for the project. The schedule and cost impact assessment of the additional work is being carried out and will be complete in Quarter 4 2026, this will include an assessment as to how this issue should be considered in terms of the projects current P80 sanctioned cost and schedule. The project continues to be impacted by industrial action in the supply chain resulting in productivity losses, key skills unavailable, and constraints on work scope delivery. Impact assessment will be finalised on conclusion of the action with the intent to seek appropriate sanction relief subject to further review.  This is not a dispute directly with Sellafield Ltd; Sellafield is engaged with the Supply Chain and Stakeholders to ensure effective management of the impacts; correct mitigations are in place and to effectively mobilise resources upon return to work. Additionally, as previously reported, the project P80 contingency has already been impacted by having to manage extraordinary inflation incurred on the project to date.  To date £128.9m of the P50 – P80 sanctioned contingency for the project has been utilised to absorb the impact of the inflation thereby substantially eroding the remaining contingency available (there is £190m of P50-P80 sanction remaining). This is in the context of an increasing likelihood of a future re-sanction request of additional P50-P80 contingency due to further events arising that potentially impact the remaining P50 – P80 contingency available. The project will be submitting a request to the DESNZ PIC when appropriate to enable these issues to be managed accordingly.   In period: On site, installation of primary steelwork is ongoing, with secondary steel install progressing towards readiness for cladding. Off-site, Integrated Works Testing progressing on Residues and Repackaging glovebox lines, other glovebox line and support systems are completing final assembly and Factory Acceptance Testing. The Capability and Capacity RAG status remains Amber with ongoing challenges in recruitment principally across several disciplines including construction, engineering, commissioning, and quality. Finally, the successful active commissioning and future operations of the SRP facility are contingent upon several dependencies managed within the SNM Future State Programme. A critical dependency is the availability of SNM analytical capability, which is essential to support both commissioning and ongoing operational activities. To address this, a dedicated project is being developed and delivered through the PPP to ensure the required analytical capability is in place. The SNM Future State Programme team is responsible for managing all dependencies associated with SRP, with the overarching goal of ensuring that all necessary capabilities are aligned and available to enable the delivery of SRP outcomes and the realisation of associated benefits.</t>
  </si>
  <si>
    <t>The BEP Project provides the Magnox Swarf Storage Silos (MSSS) Programme the capability to receive, package, inspect, and transfer Intermediate Level Waste to interim stores. At completion, BEP will enable waste retrieval at pace, to maintain an As Low as Reasonably Practicable (ALARP) position, a fundamental requirement of Sellafield Ltd site license conditions.  The first project benefit: Regulatory approval to Start Active Commissioning is now forecast November 2027. First MSSS box into BEP and Active Commissioning of MSSS waste is February 2028, with benefits realisation associated with the start of Operations July 2028. Project Completion including governance is currently forecast as November 2028, within the period of ‘up to 12 months’ after the Start of Active Commissioning defined in the approved Resubmitted Business Case. The Delivery Confidence Assessment (DCA) remains Amber recognising the Project challenges that are being managed, the Baseline RAG remains Amber,  Lifetime EAC is beyond P50 but within P80. P80 Drawdown was presented and endorsed at NDA GIC on 16th December 2025 and sanction released to the project by the NDA on 18th December 2025. The P50 cost and schedule: Lifecycle EAC is £1,475m and Start Active Commissioning is forecast 30th November 2027. The project continues to be impacted by industrial action in the supply chain resulting in productivity losses, key skills unavailable, and constraints on work scope delivery. Impact assessment will be finalised on conclusion of the action with the intent to seek appropriate sanction relief subject to further review.  This is not a dispute directly with Sellafield Ltd; Sellafield is engaged with the Supply Chain and Stakeholders to ensure effective management of the impacts; correct mitigations are in place and to effectively mobilise resources upon return to work. The project acknowledges pressure on the P80 position following cost growth and schedule slippage in the deterministic Joint Venture (JV) cost forecast and programme from the impact of Fault Observations (FOBs), on-going construction delays impacting the handover of Safety Transfer Certificates (STCs) to commissioning and ongoing industrial relations action. Cost impact of delays on the projects strategic decision to target more complex STCs first has been compounded by significant resource load deployed at the same time. Action is being taken to address each of these issues through an executive sponsored BEP Special Delivery Board. Whilst these delays have resulted in deterministic float erosion and with a potential range of (November 2027 to February 2028 and £1,475m to £1,494m) confidence remains in delivering within sanction P80 cost. We note, however, that on-going industrial relations action, since determination of the current range, has significantly impacted the deterministic programme in recent periods and is pressurising the forecast date range and potentially P80 date of April 2028 itself.  Highlights in period are the endorsement of P80 drawdown paper at NDA GIC and confirmation of additional sanction release to the project by NDA.  The Capability and Capacity RAG status remains Green this period as the project continues the transition from Construction to Commissioning, with resource transition plans developed. Sanction protection measures have been put in place to ensure resource redeployment achieves cost reduction targets whilst still maintaining capability and capacity to deliver remaining scope.</t>
  </si>
  <si>
    <t xml:space="preserve">This project enables retrievals in Magnox Swarf Storage Silos (MSSS) Original Building and the 1st Extension. This includes completion of Silo Emptying Plant (SEP) 2 and SEP 1. The first project benefit was completed in 2022, enabling the successful start of Retrievals from SEP 2. The project continues to be impacted by industrial action in the supply chain resulting in productivity losses, key skills unavailable, and constraints on work scope delivery. Impact assessment will be finalised on conclusion of the action with the intent to seek appropriate sanction relief subject to further review.  This is not a dispute directly with Sellafield Ltd; Sellafield is engaged with the Supply Chain and Stakeholders to ensure effective management of the impacts; correct mitigations are in place and to effectively mobilise resources upon return to work. The Delivery Confidence Assessment remains Amber in light of the challenges to the SEP1 commissioning schedule and in delivering the Vent Extract works. In context of the full project, the current site works issues appear resolvable but are resulting in the SEP1 capability date being adversely effected. This period, SEP2 close out made some positive progress, however the SEP1 and Vent elements of the project achieved limited progress as work was halted by industrial action and water ingress issues respectively. This has resulted in the planned first SEP1 skip out date moving to May 2028, and the subsequent deterioration of the project end date to May 2029 challenges the lifecycle cost to remain within P80 values, although the integrated team are working to recover this date. The prolongation has also caused a £1.8m increase in the EAC to £889.7m, and the Baseline RAG now reflects Red. Of the significant negative cost variance between the EAC and Baseline, £64.3m of this was historical (prior to 2022) and although included in the current sanction, is not included in the Baseline. The Capability and Capacity remains Green as resources are being made available to support the prioritised Original Building/1st Extension scope. The Skip Fill Optimisation opportunity and key SEP Retrievals Improvements such as capability to manage large items, deal with pressurised containers and manage waste craters has been integrated into the MSSS capability delivery schedule and the project and programme are working together to minimise the impact of implementation of this scope on the project.  </t>
  </si>
  <si>
    <t>The SSAU project will provide infrastructure and equipment that will provide security and emergency response teams with a significantly improved capability to react to and manage security and/or emergency events on the Sellafield site. The first project benefit is equipment which, once operational in the command centre, will provide a significantly improved capability to react and manage security and/or emergency events on the Sellafield site - thereby complying with the standards, expectations and objectives set by nuclear regulators. The Delivery Confidence Assessment remains stable at Green recognising forecast delivery within the Projects P80 Sanction. The Baseline RAG has remained Red in period, as the Cost forecast remains beyond the P50 baseline. The Project is still however forecasting to deliver within the P80 Sanction released to Sellafield. The project continues to be impacted by industrial action in the supply chain resulting in productivity losses, key skills unavailable, and constraints on work scope delivery. Impact assessment will be finalised on conclusion of the action with the intent to seek appropriate sanction relief subject to further review.  This is not a dispute directly with Sellafield Ltd; Sellafield is engaged with the Supply Chain and Stakeholders to ensure effective management of the impacts; correct mitigations are in place and to effectively mobilise resources upon return to work. In period the Lifecycle EAC has remained stable at £315.1m and within the P80 Sanction. Level 2 commissioning has been successfully completed in the period, which has enabled the script updates to commence, and the Level 1 commissioning to commence in early January, the Completion of Level 1 commissioning Report remains in early March. The Amber rating on the Capability and Capacity RAG recognises that schedule adherence is reliant on skilled resources and the project team is now a very thin layer and any loss of resources would impact delivery as has occurred in this period with sickness and a pass issue.</t>
  </si>
  <si>
    <t>The Civil Nuclear Constabulary (CNC) Operational Unit project will provide one location on site to house all CNC personnel, with space allowance for future uplift of officers, whilst mitigating health and safety risks associated with the current facilities. The Delivery Confidence Assessment (DCA) is stable at Green as the Resubmission Full Business Case (FBC) has received approval from His Majesty’s Treasury (HMT) in June 2024. Bulk Construction was claimed as complete on the 19th of December by CNSL. This milestone has been used to reduce the amount of construction resources on the project, there will be some remaining Construction works ongoing in parallel with the Commissioning works. The project continues to be impacted by industrial action in the supply chain resulting in productivity losses, key skills unavailable, and constraints on work scope delivery. Impact assessment will be finalised on conclusion of the action with the intent to seek appropriate sanction relief subject to further review.  This is not a dispute directly with Sellafield Ltd; Sellafield is engaged with the Supply Chain and Stakeholders to ensure effective management of the impacts; correct mitigations are in place and to effectively mobilise resources upon return to work. The completion of the Level 1 Board rooms was initially impacted by the replacement of the non-complaint glands, yet it has continued to be further impacted by the industrial action as well as slower than anticipated progress of the other works required to be completed and higher level of snagging than anticipated following contractor and client inspections. These delays have been compounded through the loss of opportunity to recover through additional weekend working due the Union imposed overtime ban related to the on-going industrial action. Level 1 boards pre-commissioning is forecast to commence in early January 2026. As reported last period, CNSL were still undertaking commissioning workshops to resequence the planned works and decouple the Level 1 Board commissioning from the critical path. The output of these workshops has been bought into by CNSL executives and was presented to SL in P9 reporting. The impact of this resequencing, in addition to the industrial action impact to date, the loss of opportunity of weekend working and the rework associated with the Level 1 boards, has seen the SL project end date move from 20th April 2026 to the 28th July 2026. However, it is important to note that July 2026 includes an SL risk buffer, and Commissioning is forecasted to complete in April 2026 with Building Handover forecast to take place in May 2026. There remains an opportunity within Commissioning to increase working hours through varied shift patterns and overtime working as these resources are not affected by the industrial action. The change in end date has also seen the EAC increase by £0.6m from £71.3m to £71.9m, this remains below the P50 value of £72.5m. On-site work continues to progress well, civils scope is focused on external works and building finishes, Control, Electrical &amp; Instrumentation (CE&amp;I) works is focused on ensuring the Level 1 boards are ready for commissioning starting in the new year with the Project working closely with Utilities. Heat, Ventilation and Air Conditioning (HVAC) installation works is almost complete. The Capability and Capacity RAG remains Green for the period with no current vacancies.</t>
  </si>
  <si>
    <t xml:space="preserve">The SIXEP Continuity Plant (SCP) is required to deliver a continued site effluent treatment capability in support of radioactive liquid effluent discharge permits, fuel pond management, high hazard reduction projects and the overall NDA mission. This project provides a replacement for the existing SIXEP Sea Discharge Treatment plant and is therefore mission critical to the safe operation of the site.  The SRO DCA RAG currently remains green echoed by National Infrastructure and Service Transformation Authority (NISTA) Green rating received in June 2025.  However, there is a significant risk posed by the impact of extraordinary inflation that has been incurred to date.  This follows the decision made by DESNZ Project Investment Committee (PIC) in Q2 24/25 to not approve the P80 Inflation Sanction relief for SCP.  As an interim measure to mitigate the inflation impact, in December 2024 the NDA released £108.7m sanction to SL from P80, however this substantially erodes the P80 contingency.  The scope driven P80 sanction drawdown, Adjustment Event (AE) for the project has been approved by SL Investment Review Panel (IRP) in November 2025 , This drawdown leaves a net £31m P80 contingency remaining.  The SRO considers that this is likely to be insufficient for the next four years and has submitted a sanction release paper to  DESNZ September 2025.   The paper has now been endorsed by PIC and the Permanent Secretary for onward submission to Treasury Approval Process (TAP) &amp; Chief Secretary to the Treasury (CST), targeting approval in Q4 25/26.  Without this additional sanction the current DCA rating would change from Green to Red, hence this will be kept under review by the SRO.  The Baseline RAG remains Green as the project forecast is within P50 cost and schedule parameters.  A Change Control Request (CCR) was implemented in period to update the baseline as a result of the impact of an agreed AE post-Grenfell for fire safety. The project continues to be impacted by industrial action in the supply chain resulting in productivity losses, key skills unavailable, and constraints on work scope delivery. Impact assessment will be finalised on conclusion of the action with the intent to seek appropriate sanction relief subject to further review.  This is not a dispute directly with Sellafield Ltd; Sellafield is engaged with the Supply Chain and Stakeholders to ensure effective management of the impacts; correct mitigations are in place and to effectively mobilise resources upon return to work.  Fabrication of off-site pipework planned for completion Q4 25/26.  Site pipework, vessel install, and welding of BST rings have been impacted by ongoing Industrial action in both the Effluent Treatment Cell (ETC) and Bulk Storage Tank (BST) cells.  Progress continues across all floors within the Service Building, although the industrial relations impact has hindered productivity and subsequent handover to Mechanical, Electrical, Instrumentation, Control &amp; Automation (MEICA) trades.  Industrial relations issues have impacted delivery on the Project Wide Objectives (PWO) 4 - Handover of BST cell to Commissioning, PWO 5 - Handover Services Building to Commissioning and PWO 6 - Handover of ETC to Commissioning.  Issues in period are there are increasing concerns due to the impact of industrial action between supply chain organisations and their employees impacting projects at Sellafield.  At this time, productivity, efficiency and interim milestones are being affected.  The Capability and Capacity RAG: remains Green with no issues to report.     </t>
  </si>
  <si>
    <t>The Box Encapsulation Plant Product Store 2 (BEPPS2) is a critical enabler for continued high hazard retrievals from the Magnox Swarf Storage Silo (MSSS) and Pile Fuel Cladding Silo (PFCS). It will provide modern, safe and secure long term interim storage for approximately 7,500 packages of Intermediate Level Waste. The strategic requirement has been confirmed. The first project benefit is the ability to receive packages from MSSS and PFCS without constraining hazard reduction programmes. The Senior Responsible Owner (SRO) Delivery Confidence Assessment has been changed to Amber. The Baseline RAG has also changed to amber in line with this decision. Close out of actions this month will enable confirmation that target design maturity has been achieved. Good progress continues in bulk excavation and preparation for construction on the site.  A decision has been made to hold up the placement of the civil substructure sub-contract to allow more time to challenge procurement plans to ensure value for money. The client is also undertaking an independent review of cost and schedule ahead of negotiations on the Major Project Baseline. The OBC sanction hold point release is dependent on these activities being successfully achieved; therefore, a prudent assessment of Amber recognises the potential to impact future key commitments required to progress project delivery.  The project is in the Define Phase, completing the detailed design for transition to civil construction and procurement of long-lead items. The critical path runs through civil construction, mechanical and electrical installation, and commissioning. Engagement with Programme and Project Partnership (PPP) Key Delivery Partners is ongoing to underpin delivery phase planning, cost estimation, and Quantitative Risk Analysis (QRA), informing both the OBC sanction hold point release in Quarter 4 FY2025/26 and the Full Business Case (FBC) submission planned for FY2026/27. The project continues to be impacted by industrial action in the supply chain resulting in productivity losses, key skills unavailable, and constraints on work scope delivery. Impact assessment will be finalised on conclusion of the action with the intent to seek appropriate sanction relief subject to further review.  This is not a dispute directly with Sellafield Ltd; Sellafield is engaged with the Supply Chain and Stakeholders to ensure effective management of the impacts; correct mitigations are in place and to effectively mobilise resources upon return to work. The SPI reflects both historic design delays due to historic resource constraints and the non-utilisation of risk and estimating uncertainty. The forthcoming OBC sanction hold point release will include updates on the lifecycle cost estimates that will be underpinned by an updated QRA and will reflect proactive management of opportunities and realisation of threats during the Define Stage. Capability RAG remains Green.  The reduction in Lifecycle EAC is an error in AIF forecasting that will be rectified next period.</t>
  </si>
  <si>
    <t>The existing site electrical distribution network is expected to be overloaded in c2030. The Product Zone Power Supply Project (PZPSP) exists to improve electrical distribution system reliability through installation of new modular substations and interconnectors that will complete the site end state network upgrades (Substation 78) and provide capacity to feed the new Product Zone areas of site (Substation 48). The first project benefit is enabling the completion of the end state network. Project Lifecycle: Stage 2 'Appraise &amp; Select'. The SRO Delivery Confidence Assessment (DCA) remains Green, representing delivery against the Strategic Outline Case (SOC) approved by the Nuclear Decommissioning Authority (NDA). The P50 completion cost and schedule has been aligned to the revised baseline values / dates in period  following the implementation of the CCR that has transferred the Substation 48 scope from this project to 35/10653 Product  Zone Power Supply (Note the name change of the existing project also from PZPSP to Sub 78 will be in effect from p10). The Baseline RAG status remains Green. An updated Project Functional Specification has been issued to the project to progress the site end state network upgrades scope (Substation 78) and can continue to progress to the Outline Business Case (OBC) preparation, Appraise &amp; Select stage, with a change control to align to the OBC expected to follow in 2026/27. Capability &amp; Capacity are Green as there are no current resource issues on the Project.</t>
  </si>
  <si>
    <t>The scope of the Heat Exchanger (HEx) Deplanting 1 project is the removal and laydown of the first 6 Calder Hall Heat Exchangers, as an enabler for land clearance in preparation for a new Site Ion Exchange Effluent Plant (SIXEP) operating facility; subsequent disposal of these initial 6 Heat Exchangers and the deplanting &amp; disposal of the remaining 10 Heat Exchangers is out-with this project. The Delivery Confidence Assessment and Baseline RAG remain Green. In period, the laydown area detailed design has been through a formal review and received a green rating; the project are pursuing accelerated sanction through IRP to allow for contract placement of the laydown works. The Ops Plan Milestone remains on target with Invitation To Tender (ITT) documents, through Decommissioning and Nuclear Waste Partnership (DNWP), now at an advanced stage. On the main lifting contract the opening up meeting was held and a further design engineering meeting  planned for the new year to confirm project deliverables and schedule. The project continues to be impacted by industrial action in the supply chain resulting in productivity losses, key skills unavailable, and constraints on work scope delivery. Impact assessment will be finalised on conclusion of the action with the intent to seek appropriate sanction relief subject to further review.  This is not a dispute directly with Sellafield Ltd; Sellafield is engaged with the Supply Chain and Stakeholders to ensure effective management of the impacts; correct mitigations are in place and to effectively mobilise resources upon return to work.  Capability and Capacity remains Green with the project now having placed the main HEx1 lifting contract.</t>
  </si>
  <si>
    <t>The scope of the Calder Land Clearance (CLC) project is to demolish 4 major structures on the Calder Hall site to base slab level, to enable new capabilities to be built to support the Site Ion Exchange Effluent Plant (SIXEP). To date, 3 of the 4 major structures have been demolished – Turbine Hall A remains to be done. The Delivery Confidence Assessment remains Red, due to significant Turbine Hall A asbestos removal activities undertaken in FY23/24, 24/25 and 25/26, extending the scheduled completion date past P80 of the original Business Case; as a result, the project benefit – land being available to Sites Ion Exchange Effluent Plant (SIXEP) Waste Management Receipt Facility (SWMRF) Project - is delayed until Summer 2027 (note the project end date is 6 months later due to SL project close out activities). This new date is not currently impinging SWMRF planned work, nor HEX (who will partially set up on the CLC plot). Regular communications between CLC, SWM and HEX projects continues to ensure that if an impact is forecast, mitigations can be developed. To minimise impact the SIXEP programme are now in control of the West Side of the Site which will allow the SIXEP drilling programme to commence. This resulted in two new risks to the CLC project: firstly, the timely transfer of land back to CLC to complete demolition; and, secondly, the land constraints for laydown of waste during de-plant and demolition. These risks are currently not reflected within the CLC schedule. Stakeholder engagement with SIXEP is aiming to avoid an impact for transferring land back at the appropriate time, whilst additional land has been identified for CLC use to mitigate land constraints. The Baseline RAG remains Red due to schedule forecast. This is due to the Turbine Hall A asbestos removal activities extending the scheduled completion date beyond the baseline P50. A Change Control Request (CCR) is approved and will be implemented in period 10 to include this additional asbestos removal scope. It is expected that the delivery confidence assessment, baseline RAG and CPI will go Green. This includes staff retraining and a robust implementation plan which will incorporate new supervision arrangements. The project continues to be impacted by industrial action in the supply chain resulting in productivity losses, key skills unavailable, and constraints on work scope delivery. Impact assessment will be finalised on conclusion of the action with the intent to seek appropriate sanction relief subject to further review.  This is not a dispute directly with Sellafield Ltd; Sellafield is engaged with the Supply Chain and Stakeholders to ensure effective management of the impacts; correct mitigations are in place and to effectively mobilise resources upon return to work. There is an assumption that the scaffolders will return to work at the end of January which is incorporated into the schedule. The Capability and Capacity RAG is Amber due to the trench cleaning issue. Recent engagement with the Contractor’s senior management has led to the development of a Project Improvement Plan, aimed at schedule improvement with the Contractor and is close to finalising the detail, further commentary will be made in P10.</t>
  </si>
  <si>
    <t>The FGOFSP Effluent Route Project (FERP) project is to provide an effluent route between the First-Generation Oxide Storage Pond and the Break Pressure Tank in response to the Segregated Effluent Treatment Plant (SETP) - Enhanced Actinide Removal Plant (EARP) switch. The project is currently in Appraise and Select following sanction at SOC in August 2025 and as such is maturing tactical options to develop a single preferred solution. The Delivery Confidence Assessment in getting to Gate 2 is Green with OBC currently planned for November 2027 (P50) in line with baseline dates and cost remains unchanged. The Baseline RAG status against SL P50 Project Baseline is Green. The project continues to work through the options, from £2.4m - £34.0m, whilst the SL Baseline is based on the most likely value of £31.8m. There has been a minor increase in the EAC this period of £53k due to the correction of a misalignment against the released sanction.  Capability &amp; Capacity RAG status is Green.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</si>
</sst>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164" formatCode="_(* #,##0.00_);_(* \(#,##0.00\);_(* &quot;-&quot;??_);_(@_)"/>
    <numFmt numFmtId="165" formatCode="#,##0.0_ ;\-#,##0.0\ "/>
    <numFmt numFmtId="166" formatCode="#,##0_ ;\-#,##0\ "/>
    <numFmt numFmtId="167" formatCode="0.0%"/>
    <numFmt numFmtId="168" formatCode="0.0;\(0.0\)"/>
    <numFmt numFmtId="169" formatCode="0.0"/>
    <numFmt numFmtId="170" formatCode="[$-10409]mmm\ \-\ yy"/>
    <numFmt numFmtId="171" formatCode="[$-10409]mmm\ \-\ yyyy"/>
    <numFmt numFmtId="172" formatCode="[$-10409]#,##0.0,,;\(#,##0.0,,\);&quot;-&quot;"/>
    <numFmt numFmtId="173" formatCode="[$-10409]#,##0;\-#,##0"/>
    <numFmt numFmtId="174" formatCode="[$-10409]0.00;\(0.00\)"/>
    <numFmt numFmtId="175" formatCode="[$-10409]0.00%"/>
    <numFmt numFmtId="176" formatCode="#,##0.0"/>
    <numFmt numFmtId="177" formatCode="&quot;£&quot;#,##0"/>
    <numFmt numFmtId="178" formatCode="&quot;£&quot;#,##0.00"/>
    <numFmt numFmtId="179" formatCode="0.00000"/>
    <numFmt numFmtId="180" formatCode="0;\-0\ ;&quot;-&quot;"/>
  </numFmts>
  <fonts count="83" x14ac:knownFonts="1">
    <font>
      <sz val="11"/>
      <color theme="1"/>
      <name val="Calibri"/>
      <family val="2"/>
      <scheme val="minor"/>
    </font>
    <font>
      <sz val="11"/>
      <color theme="1"/>
      <name val="Calibri"/>
      <family val="2"/>
      <scheme val="minor"/>
    </font>
    <font>
      <sz val="9"/>
      <color theme="1"/>
      <name val="Arial"/>
      <family val="2"/>
    </font>
    <font>
      <b/>
      <sz val="9"/>
      <color theme="1"/>
      <name val="Arial"/>
      <family val="2"/>
    </font>
    <font>
      <sz val="9"/>
      <color rgb="FFFF0000"/>
      <name val="Arial"/>
      <family val="2"/>
    </font>
    <font>
      <b/>
      <sz val="9"/>
      <color theme="0"/>
      <name val="Arial"/>
      <family val="2"/>
    </font>
    <font>
      <sz val="9"/>
      <name val="Arial"/>
      <family val="2"/>
    </font>
    <font>
      <b/>
      <sz val="11"/>
      <color theme="1"/>
      <name val="Calibri"/>
      <family val="2"/>
      <scheme val="minor"/>
    </font>
    <font>
      <sz val="10"/>
      <color theme="1"/>
      <name val="Arial"/>
      <family val="2"/>
    </font>
    <font>
      <b/>
      <sz val="10"/>
      <color rgb="FF000000"/>
      <name val="Arial"/>
      <family val="2"/>
    </font>
    <font>
      <b/>
      <sz val="10"/>
      <color rgb="FF00B050"/>
      <name val="Arial"/>
      <family val="2"/>
    </font>
    <font>
      <sz val="10"/>
      <color rgb="FF000000"/>
      <name val="Arial"/>
      <family val="2"/>
    </font>
    <font>
      <b/>
      <sz val="10"/>
      <color rgb="FFFFC000"/>
      <name val="Arial"/>
      <family val="2"/>
    </font>
    <font>
      <b/>
      <sz val="10"/>
      <color rgb="FFFF0000"/>
      <name val="Arial"/>
      <family val="2"/>
    </font>
    <font>
      <i/>
      <sz val="9"/>
      <name val="Arial"/>
      <family val="2"/>
    </font>
    <font>
      <b/>
      <sz val="11"/>
      <color theme="0"/>
      <name val="Calibri"/>
      <family val="2"/>
      <scheme val="minor"/>
    </font>
    <font>
      <b/>
      <i/>
      <sz val="9"/>
      <color theme="1"/>
      <name val="Arial"/>
      <family val="2"/>
    </font>
    <font>
      <b/>
      <sz val="9"/>
      <name val="Arial"/>
      <family val="2"/>
    </font>
    <font>
      <sz val="9"/>
      <color theme="0"/>
      <name val="Arial"/>
      <family val="2"/>
    </font>
    <font>
      <sz val="16"/>
      <name val="Wingdings"/>
      <charset val="2"/>
    </font>
    <font>
      <b/>
      <sz val="9"/>
      <color rgb="FFFF0000"/>
      <name val="Arial"/>
      <family val="2"/>
    </font>
    <font>
      <sz val="8"/>
      <name val="Arial"/>
      <family val="2"/>
    </font>
    <font>
      <i/>
      <u/>
      <sz val="9"/>
      <name val="Arial"/>
      <family val="2"/>
    </font>
    <font>
      <b/>
      <sz val="10"/>
      <color theme="1"/>
      <name val="Arial"/>
      <family val="2"/>
    </font>
    <font>
      <b/>
      <sz val="8"/>
      <color rgb="FF000000"/>
      <name val="Arial"/>
      <family val="2"/>
    </font>
    <font>
      <sz val="8"/>
      <color theme="1"/>
      <name val="Arial"/>
      <family val="2"/>
    </font>
    <font>
      <b/>
      <sz val="8"/>
      <name val="Arial"/>
      <family val="2"/>
    </font>
    <font>
      <b/>
      <sz val="8"/>
      <color theme="1"/>
      <name val="Arial"/>
      <family val="2"/>
    </font>
    <font>
      <sz val="8"/>
      <color theme="0"/>
      <name val="Arial"/>
      <family val="2"/>
    </font>
    <font>
      <sz val="8"/>
      <name val="Wingdings"/>
      <charset val="2"/>
    </font>
    <font>
      <sz val="9"/>
      <color rgb="FFFFC000"/>
      <name val="Arial"/>
      <family val="2"/>
    </font>
    <font>
      <sz val="11"/>
      <color rgb="FF000000"/>
      <name val="Calibri"/>
      <family val="2"/>
      <scheme val="minor"/>
    </font>
    <font>
      <sz val="11"/>
      <name val="Calibri"/>
      <family val="2"/>
    </font>
    <font>
      <sz val="10"/>
      <color rgb="FFFFFFFF"/>
      <name val="Arial"/>
      <family val="2"/>
    </font>
    <font>
      <sz val="10"/>
      <color rgb="FFFFFFFF"/>
      <name val="Segoe UI"/>
      <family val="2"/>
    </font>
    <font>
      <b/>
      <sz val="10"/>
      <color rgb="FF000000"/>
      <name val="Segoe UI"/>
      <family val="2"/>
    </font>
    <font>
      <sz val="10"/>
      <color rgb="FF000000"/>
      <name val="Segoe UI"/>
      <family val="2"/>
    </font>
    <font>
      <sz val="10"/>
      <color rgb="FFFF0000"/>
      <name val="Arial"/>
      <family val="2"/>
    </font>
    <font>
      <sz val="10"/>
      <color rgb="FF008000"/>
      <name val="Arial"/>
      <family val="2"/>
    </font>
    <font>
      <sz val="10"/>
      <color rgb="FFFFA500"/>
      <name val="Arial"/>
      <family val="2"/>
    </font>
    <font>
      <b/>
      <sz val="8"/>
      <color theme="0"/>
      <name val="Arial"/>
      <family val="2"/>
    </font>
    <font>
      <sz val="8"/>
      <color theme="1"/>
      <name val="Calibri"/>
      <family val="2"/>
      <scheme val="minor"/>
    </font>
    <font>
      <sz val="12"/>
      <name val="Wingdings"/>
      <charset val="2"/>
    </font>
    <font>
      <sz val="9"/>
      <color theme="1"/>
      <name val="Wingdings"/>
      <charset val="2"/>
    </font>
    <font>
      <sz val="10"/>
      <name val="Arial"/>
      <family val="2"/>
    </font>
    <font>
      <sz val="20"/>
      <name val="Wingdings 3"/>
      <family val="1"/>
      <charset val="2"/>
    </font>
    <font>
      <i/>
      <sz val="9"/>
      <color rgb="FFFF0000"/>
      <name val="Arial"/>
      <family val="2"/>
    </font>
    <font>
      <sz val="8"/>
      <name val="Calibri"/>
      <family val="2"/>
      <scheme val="minor"/>
    </font>
    <font>
      <sz val="9"/>
      <color theme="1"/>
      <name val="Verdana"/>
      <family val="2"/>
    </font>
    <font>
      <b/>
      <u/>
      <sz val="9"/>
      <color rgb="FFFF0000"/>
      <name val="Arial"/>
      <family val="2"/>
    </font>
    <font>
      <sz val="6"/>
      <color theme="1"/>
      <name val="Arial"/>
      <family val="2"/>
    </font>
    <font>
      <i/>
      <sz val="9"/>
      <color theme="1"/>
      <name val="Arial"/>
      <family val="2"/>
    </font>
    <font>
      <sz val="11"/>
      <name val="Calibri"/>
      <family val="2"/>
      <scheme val="minor"/>
    </font>
    <font>
      <sz val="11"/>
      <color rgb="FFFF0000"/>
      <name val="Calibri"/>
      <family val="2"/>
      <scheme val="minor"/>
    </font>
    <font>
      <sz val="14"/>
      <color theme="1"/>
      <name val="Arial"/>
      <family val="2"/>
    </font>
    <font>
      <sz val="8"/>
      <color rgb="FFFF0000"/>
      <name val="Arial"/>
      <family val="2"/>
    </font>
    <font>
      <b/>
      <sz val="20"/>
      <color theme="1"/>
      <name val="Arial"/>
      <family val="2"/>
    </font>
    <font>
      <sz val="20"/>
      <color theme="1"/>
      <name val="Arial"/>
      <family val="2"/>
    </font>
    <font>
      <b/>
      <sz val="12"/>
      <name val="Arial"/>
      <family val="2"/>
    </font>
    <font>
      <b/>
      <u/>
      <sz val="10"/>
      <color theme="1"/>
      <name val="Calibri"/>
      <family val="2"/>
      <scheme val="minor"/>
    </font>
    <font>
      <sz val="10"/>
      <color theme="1"/>
      <name val="Calibri"/>
      <family val="2"/>
      <scheme val="minor"/>
    </font>
    <font>
      <b/>
      <sz val="10"/>
      <color theme="1"/>
      <name val="Calibri"/>
      <family val="2"/>
      <scheme val="minor"/>
    </font>
    <font>
      <b/>
      <sz val="10"/>
      <color theme="0" tint="-0.14999847407452621"/>
      <name val="Calibri"/>
      <family val="2"/>
      <scheme val="minor"/>
    </font>
    <font>
      <sz val="10"/>
      <name val="Calibri"/>
      <family val="2"/>
      <scheme val="minor"/>
    </font>
    <font>
      <sz val="10"/>
      <color rgb="FFFF0000"/>
      <name val="Calibri"/>
      <family val="2"/>
      <scheme val="minor"/>
    </font>
    <font>
      <b/>
      <u/>
      <sz val="14"/>
      <color theme="1"/>
      <name val="Calibri"/>
      <family val="2"/>
      <scheme val="minor"/>
    </font>
    <font>
      <b/>
      <sz val="12"/>
      <color theme="1"/>
      <name val="Calibri"/>
      <family val="2"/>
      <scheme val="minor"/>
    </font>
    <font>
      <b/>
      <sz val="14"/>
      <color theme="1"/>
      <name val="Calibri"/>
      <family val="2"/>
      <scheme val="minor"/>
    </font>
    <font>
      <b/>
      <sz val="8.5"/>
      <color theme="0"/>
      <name val="Arial"/>
      <family val="2"/>
    </font>
    <font>
      <sz val="20"/>
      <color theme="0"/>
      <name val="Arial"/>
      <family val="2"/>
    </font>
    <font>
      <b/>
      <sz val="10"/>
      <color rgb="FFFF0000"/>
      <name val="Calibri"/>
      <family val="2"/>
      <scheme val="minor"/>
    </font>
    <font>
      <b/>
      <u/>
      <sz val="16"/>
      <color rgb="FFFF0000"/>
      <name val="Calibri"/>
      <family val="2"/>
      <scheme val="minor"/>
    </font>
    <font>
      <b/>
      <i/>
      <sz val="16"/>
      <color rgb="FFFF0000"/>
      <name val="Calibri"/>
      <family val="2"/>
      <scheme val="minor"/>
    </font>
    <font>
      <b/>
      <i/>
      <sz val="9"/>
      <name val="Arial"/>
      <family val="2"/>
    </font>
    <font>
      <sz val="6"/>
      <name val="Arial"/>
      <family val="2"/>
    </font>
    <font>
      <sz val="9.3000000000000007"/>
      <color theme="1"/>
      <name val="Calibri"/>
      <family val="2"/>
      <scheme val="minor"/>
    </font>
    <font>
      <b/>
      <sz val="20"/>
      <name val="Arial"/>
      <family val="2"/>
    </font>
    <font>
      <b/>
      <sz val="11"/>
      <color theme="0"/>
      <name val="Calibri"/>
      <family val="2"/>
    </font>
    <font>
      <sz val="9"/>
      <color indexed="81"/>
      <name val="Tahoma"/>
      <family val="2"/>
    </font>
    <font>
      <b/>
      <sz val="9"/>
      <color indexed="81"/>
      <name val="Tahoma"/>
      <family val="2"/>
    </font>
    <font>
      <sz val="9.5"/>
      <color theme="1"/>
      <name val="Arial"/>
      <family val="2"/>
    </font>
    <font>
      <b/>
      <sz val="18"/>
      <name val="Calibri"/>
      <family val="2"/>
    </font>
    <font>
      <sz val="9"/>
      <color rgb="FF00B050"/>
      <name val="Arial"/>
      <family val="2"/>
    </font>
  </fonts>
  <fills count="32">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theme="8" tint="-0.499984740745262"/>
        <bgColor indexed="64"/>
      </patternFill>
    </fill>
    <fill>
      <patternFill patternType="solid">
        <fgColor rgb="FFFFFF00"/>
        <bgColor indexed="64"/>
      </patternFill>
    </fill>
    <fill>
      <patternFill patternType="solid">
        <fgColor rgb="FF1F4E78"/>
        <bgColor indexed="64"/>
      </patternFill>
    </fill>
    <fill>
      <patternFill patternType="solid">
        <fgColor rgb="FF92D050"/>
        <bgColor indexed="64"/>
      </patternFill>
    </fill>
    <fill>
      <patternFill patternType="solid">
        <fgColor theme="0" tint="-0.249977111117893"/>
        <bgColor indexed="64"/>
      </patternFill>
    </fill>
    <fill>
      <patternFill patternType="solid">
        <fgColor rgb="FFCC0000"/>
        <bgColor indexed="64"/>
      </patternFill>
    </fill>
    <fill>
      <patternFill patternType="solid">
        <fgColor rgb="FFFFFFCC"/>
        <bgColor indexed="64"/>
      </patternFill>
    </fill>
    <fill>
      <patternFill patternType="solid">
        <fgColor theme="8" tint="0.79998168889431442"/>
        <bgColor indexed="64"/>
      </patternFill>
    </fill>
    <fill>
      <patternFill patternType="solid">
        <fgColor theme="0" tint="-0.499984740745262"/>
        <bgColor indexed="64"/>
      </patternFill>
    </fill>
    <fill>
      <patternFill patternType="solid">
        <fgColor theme="2" tint="-9.9978637043366805E-2"/>
        <bgColor indexed="64"/>
      </patternFill>
    </fill>
    <fill>
      <patternFill patternType="solid">
        <fgColor rgb="FF00B050"/>
        <bgColor indexed="64"/>
      </patternFill>
    </fill>
    <fill>
      <patternFill patternType="solid">
        <fgColor rgb="FFD0CECE"/>
        <bgColor indexed="64"/>
      </patternFill>
    </fill>
    <fill>
      <patternFill patternType="solid">
        <fgColor theme="1"/>
        <bgColor indexed="64"/>
      </patternFill>
    </fill>
    <fill>
      <patternFill patternType="solid">
        <fgColor theme="0" tint="-0.14999847407452621"/>
        <bgColor indexed="64"/>
      </patternFill>
    </fill>
    <fill>
      <patternFill patternType="solid">
        <fgColor rgb="FF00303C"/>
        <bgColor rgb="FF00303C"/>
      </patternFill>
    </fill>
    <fill>
      <patternFill patternType="solid">
        <fgColor rgb="FFFFA500"/>
        <bgColor rgb="FFFFA500"/>
      </patternFill>
    </fill>
    <fill>
      <patternFill patternType="solid">
        <fgColor rgb="FFFFFFFF"/>
        <bgColor rgb="FFFFFFFF"/>
      </patternFill>
    </fill>
    <fill>
      <patternFill patternType="solid">
        <fgColor rgb="FF008000"/>
        <bgColor rgb="FF008000"/>
      </patternFill>
    </fill>
    <fill>
      <patternFill patternType="solid">
        <fgColor rgb="FFFF0000"/>
        <bgColor rgb="FFFF0000"/>
      </patternFill>
    </fill>
    <fill>
      <patternFill patternType="solid">
        <fgColor theme="5" tint="0.79998168889431442"/>
        <bgColor indexed="64"/>
      </patternFill>
    </fill>
    <fill>
      <patternFill patternType="solid">
        <fgColor theme="4" tint="0.59999389629810485"/>
        <bgColor indexed="64"/>
      </patternFill>
    </fill>
    <fill>
      <patternFill patternType="solid">
        <fgColor theme="7" tint="0.59999389629810485"/>
        <bgColor indexed="64"/>
      </patternFill>
    </fill>
    <fill>
      <patternFill patternType="solid">
        <fgColor theme="9" tint="0.39997558519241921"/>
        <bgColor indexed="64"/>
      </patternFill>
    </fill>
    <fill>
      <patternFill patternType="solid">
        <fgColor rgb="FF00B0F0"/>
        <bgColor indexed="64"/>
      </patternFill>
    </fill>
    <fill>
      <patternFill patternType="solid">
        <fgColor rgb="FFFFCCFF"/>
        <bgColor indexed="64"/>
      </patternFill>
    </fill>
    <fill>
      <patternFill patternType="solid">
        <fgColor theme="4" tint="0.39997558519241921"/>
        <bgColor indexed="64"/>
      </patternFill>
    </fill>
    <fill>
      <patternFill patternType="solid">
        <fgColor rgb="FFFF0000"/>
        <bgColor indexed="64"/>
      </patternFill>
    </fill>
    <fill>
      <patternFill patternType="solid">
        <fgColor rgb="FFFFC000"/>
        <bgColor indexed="64"/>
      </patternFill>
    </fill>
  </fills>
  <borders count="87">
    <border>
      <left/>
      <right/>
      <top/>
      <bottom/>
      <diagonal/>
    </border>
    <border>
      <left/>
      <right style="thin">
        <color theme="0"/>
      </right>
      <top/>
      <bottom/>
      <diagonal/>
    </border>
    <border>
      <left/>
      <right style="thin">
        <color theme="0"/>
      </right>
      <top/>
      <bottom style="thin">
        <color theme="0"/>
      </bottom>
      <diagonal/>
    </border>
    <border>
      <left style="thin">
        <color theme="0"/>
      </left>
      <right style="thin">
        <color theme="0"/>
      </right>
      <top/>
      <bottom style="thin">
        <color theme="0"/>
      </bottom>
      <diagonal/>
    </border>
    <border>
      <left/>
      <right style="thin">
        <color theme="0"/>
      </right>
      <top style="thin">
        <color theme="0"/>
      </top>
      <bottom/>
      <diagonal/>
    </border>
    <border>
      <left style="thin">
        <color theme="0"/>
      </left>
      <right style="thin">
        <color theme="0"/>
      </right>
      <top style="thin">
        <color theme="0"/>
      </top>
      <bottom/>
      <diagonal/>
    </border>
    <border>
      <left style="thin">
        <color theme="0"/>
      </left>
      <right/>
      <top/>
      <bottom style="thin">
        <color theme="0"/>
      </bottom>
      <diagonal/>
    </border>
    <border>
      <left style="thin">
        <color theme="0"/>
      </left>
      <right/>
      <top style="thin">
        <color theme="0"/>
      </top>
      <bottom style="thin">
        <color theme="0"/>
      </bottom>
      <diagonal/>
    </border>
    <border>
      <left style="thin">
        <color theme="0"/>
      </left>
      <right/>
      <top style="thin">
        <color theme="0"/>
      </top>
      <bottom/>
      <diagonal/>
    </border>
    <border>
      <left style="thin">
        <color theme="0"/>
      </left>
      <right style="thin">
        <color theme="0"/>
      </right>
      <top/>
      <bottom/>
      <diagonal/>
    </border>
    <border>
      <left/>
      <right/>
      <top/>
      <bottom style="thin">
        <color theme="0"/>
      </bottom>
      <diagonal/>
    </border>
    <border>
      <left/>
      <right/>
      <top style="thin">
        <color theme="0"/>
      </top>
      <bottom style="thin">
        <color theme="0"/>
      </bottom>
      <diagonal/>
    </border>
    <border>
      <left style="thin">
        <color indexed="64"/>
      </left>
      <right style="thin">
        <color indexed="64"/>
      </right>
      <top style="thin">
        <color indexed="64"/>
      </top>
      <bottom style="thin">
        <color indexed="64"/>
      </bottom>
      <diagonal/>
    </border>
    <border>
      <left/>
      <right/>
      <top style="thin">
        <color theme="0"/>
      </top>
      <bottom/>
      <diagonal/>
    </border>
    <border>
      <left style="thin">
        <color theme="0"/>
      </left>
      <right style="thin">
        <color theme="0"/>
      </right>
      <top style="thin">
        <color theme="0"/>
      </top>
      <bottom style="thin">
        <color theme="0"/>
      </bottom>
      <diagonal/>
    </border>
    <border>
      <left/>
      <right style="thin">
        <color theme="0"/>
      </right>
      <top style="thin">
        <color theme="0"/>
      </top>
      <bottom style="thin">
        <color theme="0"/>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right style="thin">
        <color indexed="64"/>
      </right>
      <top style="medium">
        <color indexed="64"/>
      </top>
      <bottom/>
      <diagonal/>
    </border>
    <border>
      <left/>
      <right style="thin">
        <color indexed="64"/>
      </right>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style="medium">
        <color indexed="64"/>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indexed="64"/>
      </left>
      <right style="medium">
        <color indexed="64"/>
      </right>
      <top style="medium">
        <color indexed="64"/>
      </top>
      <bottom/>
      <diagonal/>
    </border>
    <border>
      <left style="thin">
        <color indexed="64"/>
      </left>
      <right style="medium">
        <color indexed="64"/>
      </right>
      <top/>
      <bottom style="medium">
        <color indexed="64"/>
      </bottom>
      <diagonal/>
    </border>
    <border>
      <left/>
      <right style="medium">
        <color indexed="64"/>
      </right>
      <top/>
      <bottom/>
      <diagonal/>
    </border>
    <border>
      <left style="medium">
        <color indexed="64"/>
      </left>
      <right/>
      <top/>
      <bottom/>
      <diagonal/>
    </border>
    <border>
      <left/>
      <right style="thin">
        <color indexed="64"/>
      </right>
      <top/>
      <bottom/>
      <diagonal/>
    </border>
    <border>
      <left style="thin">
        <color indexed="64"/>
      </left>
      <right style="thin">
        <color indexed="64"/>
      </right>
      <top/>
      <bottom/>
      <diagonal/>
    </border>
    <border>
      <left style="medium">
        <color indexed="64"/>
      </left>
      <right style="thin">
        <color indexed="64"/>
      </right>
      <top/>
      <bottom/>
      <diagonal/>
    </border>
    <border>
      <left/>
      <right/>
      <top style="medium">
        <color indexed="64"/>
      </top>
      <bottom style="medium">
        <color indexed="64"/>
      </bottom>
      <diagonal/>
    </border>
    <border>
      <left style="thin">
        <color theme="0"/>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top style="thin">
        <color auto="1"/>
      </top>
      <bottom/>
      <diagonal/>
    </border>
    <border>
      <left style="thin">
        <color auto="1"/>
      </left>
      <right/>
      <top style="thin">
        <color auto="1"/>
      </top>
      <bottom/>
      <diagonal/>
    </border>
    <border>
      <left style="medium">
        <color indexed="64"/>
      </left>
      <right style="medium">
        <color indexed="64"/>
      </right>
      <top style="medium">
        <color indexed="64"/>
      </top>
      <bottom style="medium">
        <color indexed="64"/>
      </bottom>
      <diagonal/>
    </border>
    <border>
      <left style="thin">
        <color rgb="FFD3D3D3"/>
      </left>
      <right style="thin">
        <color rgb="FFD3D3D3"/>
      </right>
      <top style="thin">
        <color rgb="FFD3D3D3"/>
      </top>
      <bottom/>
      <diagonal/>
    </border>
    <border>
      <left style="thin">
        <color rgb="FFD3D3D3"/>
      </left>
      <right style="thin">
        <color rgb="FFD3D3D3"/>
      </right>
      <top style="thin">
        <color rgb="FFD3D3D3"/>
      </top>
      <bottom style="thin">
        <color rgb="FFD3D3D3"/>
      </bottom>
      <diagonal/>
    </border>
    <border>
      <left/>
      <right/>
      <top style="thin">
        <color rgb="FFD3D3D3"/>
      </top>
      <bottom style="thin">
        <color rgb="FFD3D3D3"/>
      </bottom>
      <diagonal/>
    </border>
    <border>
      <left/>
      <right style="thin">
        <color rgb="FFD3D3D3"/>
      </right>
      <top style="thin">
        <color rgb="FFD3D3D3"/>
      </top>
      <bottom style="thin">
        <color rgb="FFD3D3D3"/>
      </bottom>
      <diagonal/>
    </border>
    <border>
      <left style="thin">
        <color rgb="FFD3D3D3"/>
      </left>
      <right style="thin">
        <color rgb="FFD3D3D3"/>
      </right>
      <top/>
      <bottom/>
      <diagonal/>
    </border>
    <border>
      <left/>
      <right style="thin">
        <color rgb="FFD3D3D3"/>
      </right>
      <top style="thin">
        <color rgb="FFD3D3D3"/>
      </top>
      <bottom/>
      <diagonal/>
    </border>
    <border>
      <left/>
      <right style="thin">
        <color rgb="FFD3D3D3"/>
      </right>
      <top/>
      <bottom/>
      <diagonal/>
    </border>
    <border>
      <left style="thin">
        <color rgb="FFD3D3D3"/>
      </left>
      <right style="thin">
        <color rgb="FFD3D3D3"/>
      </right>
      <top/>
      <bottom style="thin">
        <color rgb="FFD3D3D3"/>
      </bottom>
      <diagonal/>
    </border>
    <border>
      <left/>
      <right style="thin">
        <color rgb="FFD3D3D3"/>
      </right>
      <top/>
      <bottom style="thin">
        <color rgb="FFD3D3D3"/>
      </bottom>
      <diagonal/>
    </border>
    <border>
      <left/>
      <right/>
      <top style="thin">
        <color rgb="FFD3D3D3"/>
      </top>
      <bottom/>
      <diagonal/>
    </border>
    <border>
      <left style="medium">
        <color theme="8" tint="-0.499984740745262"/>
      </left>
      <right/>
      <top style="medium">
        <color theme="8" tint="-0.499984740745262"/>
      </top>
      <bottom style="medium">
        <color theme="8" tint="-0.499984740745262"/>
      </bottom>
      <diagonal/>
    </border>
    <border>
      <left/>
      <right/>
      <top style="medium">
        <color theme="8" tint="-0.499984740745262"/>
      </top>
      <bottom style="medium">
        <color theme="8" tint="-0.499984740745262"/>
      </bottom>
      <diagonal/>
    </border>
    <border>
      <left/>
      <right style="medium">
        <color theme="8" tint="-0.499984740745262"/>
      </right>
      <top style="medium">
        <color theme="8" tint="-0.499984740745262"/>
      </top>
      <bottom style="medium">
        <color theme="8" tint="-0.499984740745262"/>
      </bottom>
      <diagonal/>
    </border>
    <border>
      <left style="thin">
        <color indexed="64"/>
      </left>
      <right/>
      <top/>
      <bottom/>
      <diagonal/>
    </border>
    <border>
      <left style="thin">
        <color indexed="64"/>
      </left>
      <right style="thin">
        <color theme="0"/>
      </right>
      <top style="thin">
        <color indexed="64"/>
      </top>
      <bottom/>
      <diagonal/>
    </border>
    <border>
      <left/>
      <right style="thin">
        <color theme="0"/>
      </right>
      <top style="thin">
        <color indexed="64"/>
      </top>
      <bottom/>
      <diagonal/>
    </border>
    <border>
      <left style="thin">
        <color theme="0"/>
      </left>
      <right/>
      <top style="thin">
        <color indexed="64"/>
      </top>
      <bottom style="thin">
        <color theme="0"/>
      </bottom>
      <diagonal/>
    </border>
    <border>
      <left/>
      <right style="thin">
        <color theme="0"/>
      </right>
      <top style="thin">
        <color indexed="64"/>
      </top>
      <bottom style="thin">
        <color theme="0"/>
      </bottom>
      <diagonal/>
    </border>
    <border>
      <left/>
      <right/>
      <top style="thin">
        <color indexed="64"/>
      </top>
      <bottom style="thin">
        <color theme="0"/>
      </bottom>
      <diagonal/>
    </border>
    <border>
      <left style="thin">
        <color theme="0"/>
      </left>
      <right/>
      <top style="thin">
        <color indexed="64"/>
      </top>
      <bottom/>
      <diagonal/>
    </border>
    <border>
      <left style="thin">
        <color indexed="64"/>
      </left>
      <right style="thin">
        <color theme="0"/>
      </right>
      <top/>
      <bottom/>
      <diagonal/>
    </border>
    <border>
      <left style="thin">
        <color rgb="FFD3D3D3"/>
      </left>
      <right/>
      <top style="thin">
        <color rgb="FFD3D3D3"/>
      </top>
      <bottom/>
      <diagonal/>
    </border>
    <border>
      <left/>
      <right/>
      <top/>
      <bottom style="thin">
        <color indexed="64"/>
      </bottom>
      <diagonal/>
    </border>
    <border>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diagonal/>
    </border>
    <border>
      <left style="medium">
        <color indexed="64"/>
      </left>
      <right/>
      <top/>
      <bottom style="thin">
        <color indexed="64"/>
      </bottom>
      <diagonal/>
    </border>
    <border>
      <left style="mediumDashed">
        <color indexed="64"/>
      </left>
      <right/>
      <top/>
      <bottom/>
      <diagonal/>
    </border>
    <border>
      <left style="mediumDashed">
        <color indexed="64"/>
      </left>
      <right/>
      <top style="mediumDashed">
        <color indexed="64"/>
      </top>
      <bottom/>
      <diagonal/>
    </border>
    <border>
      <left/>
      <right style="mediumDashed">
        <color indexed="64"/>
      </right>
      <top style="mediumDashed">
        <color indexed="64"/>
      </top>
      <bottom/>
      <diagonal/>
    </border>
    <border>
      <left/>
      <right style="mediumDashed">
        <color indexed="64"/>
      </right>
      <top/>
      <bottom/>
      <diagonal/>
    </border>
    <border>
      <left/>
      <right/>
      <top style="mediumDashed">
        <color indexed="64"/>
      </top>
      <bottom/>
      <diagonal/>
    </border>
    <border>
      <left style="mediumDashed">
        <color indexed="64"/>
      </left>
      <right/>
      <top/>
      <bottom style="mediumDashed">
        <color indexed="64"/>
      </bottom>
      <diagonal/>
    </border>
    <border>
      <left/>
      <right style="mediumDashed">
        <color indexed="64"/>
      </right>
      <top/>
      <bottom style="mediumDashed">
        <color indexed="64"/>
      </bottom>
      <diagonal/>
    </border>
    <border>
      <left style="thin">
        <color rgb="FFD3D3D3"/>
      </left>
      <right/>
      <top style="thin">
        <color rgb="FFD3D3D3"/>
      </top>
      <bottom style="thin">
        <color rgb="FFD3D3D3"/>
      </bottom>
      <diagonal/>
    </border>
    <border>
      <left style="thin">
        <color rgb="FFD3D3D3"/>
      </left>
      <right/>
      <top/>
      <bottom style="thin">
        <color rgb="FFD3D3D3"/>
      </bottom>
      <diagonal/>
    </border>
    <border>
      <left style="thin">
        <color theme="0" tint="-0.249977111117893"/>
      </left>
      <right style="thin">
        <color theme="0" tint="-0.249977111117893"/>
      </right>
      <top style="thin">
        <color theme="0" tint="-0.249977111117893"/>
      </top>
      <bottom style="thin">
        <color theme="0" tint="-0.249977111117893"/>
      </bottom>
      <diagonal/>
    </border>
  </borders>
  <cellStyleXfs count="37">
    <xf numFmtId="0" fontId="0" fillId="0" borderId="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0" fontId="31" fillId="0" borderId="0"/>
    <xf numFmtId="9"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0" fontId="48" fillId="0" borderId="0"/>
    <xf numFmtId="0" fontId="1" fillId="0" borderId="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cellStyleXfs>
  <cellXfs count="816">
    <xf numFmtId="0" fontId="0" fillId="0" borderId="0" xfId="0"/>
    <xf numFmtId="0" fontId="2" fillId="2" borderId="0" xfId="0" applyFont="1" applyFill="1" applyAlignment="1">
      <alignment horizontal="center" vertical="center" wrapText="1"/>
    </xf>
    <xf numFmtId="0" fontId="2" fillId="2" borderId="0" xfId="0" applyFont="1" applyFill="1" applyAlignment="1">
      <alignment horizontal="left" vertical="center" wrapText="1" indent="1"/>
    </xf>
    <xf numFmtId="0" fontId="3" fillId="2" borderId="0" xfId="0" applyFont="1" applyFill="1" applyAlignment="1">
      <alignment horizontal="left" vertical="center" wrapText="1" indent="1"/>
    </xf>
    <xf numFmtId="165" fontId="2" fillId="3" borderId="0" xfId="1" applyNumberFormat="1" applyFont="1" applyFill="1" applyBorder="1" applyAlignment="1">
      <alignment horizontal="center" vertical="center" wrapText="1"/>
    </xf>
    <xf numFmtId="165" fontId="6" fillId="2" borderId="0" xfId="1" applyNumberFormat="1" applyFont="1" applyFill="1" applyBorder="1" applyAlignment="1">
      <alignment horizontal="center" vertical="center" wrapText="1"/>
    </xf>
    <xf numFmtId="17" fontId="2" fillId="2" borderId="0" xfId="0" applyNumberFormat="1" applyFont="1" applyFill="1" applyAlignment="1">
      <alignment horizontal="center" vertical="center" wrapText="1"/>
    </xf>
    <xf numFmtId="165" fontId="6" fillId="3" borderId="0" xfId="1" applyNumberFormat="1" applyFont="1" applyFill="1" applyBorder="1" applyAlignment="1">
      <alignment horizontal="center" vertical="center" wrapText="1"/>
    </xf>
    <xf numFmtId="165" fontId="2" fillId="2" borderId="0" xfId="1" applyNumberFormat="1" applyFont="1" applyFill="1" applyBorder="1" applyAlignment="1">
      <alignment horizontal="center" vertical="center" wrapText="1"/>
    </xf>
    <xf numFmtId="0" fontId="8" fillId="2" borderId="0" xfId="0" applyFont="1" applyFill="1"/>
    <xf numFmtId="0" fontId="9" fillId="2" borderId="0" xfId="0" applyFont="1" applyFill="1" applyAlignment="1">
      <alignment horizontal="left" vertical="center" readingOrder="1"/>
    </xf>
    <xf numFmtId="0" fontId="8" fillId="2" borderId="0" xfId="0" applyFont="1" applyFill="1" applyAlignment="1">
      <alignment horizontal="left" vertical="center" indent="1" readingOrder="1"/>
    </xf>
    <xf numFmtId="0" fontId="8" fillId="2" borderId="0" xfId="0" applyFont="1" applyFill="1" applyAlignment="1">
      <alignment horizontal="left" vertical="center" indent="6" readingOrder="1"/>
    </xf>
    <xf numFmtId="17" fontId="4" fillId="2" borderId="0" xfId="0" applyNumberFormat="1" applyFont="1" applyFill="1" applyAlignment="1">
      <alignment horizontal="center" vertical="center" wrapText="1"/>
    </xf>
    <xf numFmtId="165" fontId="4" fillId="2" borderId="0" xfId="1" applyNumberFormat="1" applyFont="1" applyFill="1" applyBorder="1" applyAlignment="1">
      <alignment horizontal="center" vertical="center" wrapText="1"/>
    </xf>
    <xf numFmtId="0" fontId="2" fillId="2" borderId="0" xfId="0" applyFont="1" applyFill="1" applyAlignment="1">
      <alignment vertical="center" wrapText="1"/>
    </xf>
    <xf numFmtId="165" fontId="2" fillId="7" borderId="0" xfId="1" applyNumberFormat="1" applyFont="1" applyFill="1" applyBorder="1" applyAlignment="1">
      <alignment horizontal="center" vertical="center" wrapText="1"/>
    </xf>
    <xf numFmtId="0" fontId="0" fillId="0" borderId="10" xfId="0" applyBorder="1" applyAlignment="1">
      <alignment vertical="center" wrapText="1"/>
    </xf>
    <xf numFmtId="0" fontId="5" fillId="4"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5" fillId="2" borderId="8" xfId="0" applyFont="1" applyFill="1" applyBorder="1" applyAlignment="1">
      <alignment horizontal="center" vertical="center" wrapText="1"/>
    </xf>
    <xf numFmtId="0" fontId="2" fillId="2" borderId="12" xfId="0" applyFont="1" applyFill="1" applyBorder="1" applyAlignment="1">
      <alignment vertical="center" wrapText="1"/>
    </xf>
    <xf numFmtId="17" fontId="2" fillId="2" borderId="12" xfId="0" applyNumberFormat="1" applyFont="1" applyFill="1" applyBorder="1" applyAlignment="1">
      <alignment horizontal="center" vertical="center" wrapText="1"/>
    </xf>
    <xf numFmtId="0" fontId="6" fillId="2" borderId="12" xfId="0" applyFont="1" applyFill="1" applyBorder="1" applyAlignment="1">
      <alignment vertical="center" wrapText="1"/>
    </xf>
    <xf numFmtId="0" fontId="14" fillId="2" borderId="0" xfId="0" applyFont="1" applyFill="1" applyAlignment="1">
      <alignment vertical="center" wrapText="1"/>
    </xf>
    <xf numFmtId="165" fontId="6" fillId="7" borderId="0" xfId="1" applyNumberFormat="1" applyFont="1" applyFill="1" applyBorder="1" applyAlignment="1">
      <alignment horizontal="center" vertical="center" wrapText="1"/>
    </xf>
    <xf numFmtId="14" fontId="2" fillId="2" borderId="0" xfId="0" applyNumberFormat="1" applyFont="1" applyFill="1" applyAlignment="1">
      <alignment vertical="center" wrapText="1"/>
    </xf>
    <xf numFmtId="0" fontId="5" fillId="2" borderId="14" xfId="0" applyFont="1" applyFill="1" applyBorder="1" applyAlignment="1">
      <alignment horizontal="center" vertical="center" wrapText="1"/>
    </xf>
    <xf numFmtId="0" fontId="0" fillId="2" borderId="14" xfId="0" applyFill="1" applyBorder="1" applyAlignment="1">
      <alignment horizontal="center" vertical="center" wrapText="1"/>
    </xf>
    <xf numFmtId="0" fontId="5" fillId="2" borderId="5" xfId="0" applyFont="1" applyFill="1" applyBorder="1" applyAlignment="1">
      <alignment horizontal="center" vertical="center" wrapText="1"/>
    </xf>
    <xf numFmtId="168" fontId="6" fillId="2" borderId="0" xfId="1" applyNumberFormat="1" applyFont="1" applyFill="1" applyBorder="1" applyAlignment="1">
      <alignment horizontal="center" vertical="center" wrapText="1"/>
    </xf>
    <xf numFmtId="168" fontId="20" fillId="2" borderId="0" xfId="1" applyNumberFormat="1" applyFont="1" applyFill="1" applyBorder="1" applyAlignment="1">
      <alignment horizontal="center" vertical="center" wrapText="1"/>
    </xf>
    <xf numFmtId="165" fontId="20" fillId="2" borderId="0" xfId="1" applyNumberFormat="1" applyFont="1" applyFill="1" applyBorder="1" applyAlignment="1">
      <alignment horizontal="center" vertical="center" wrapText="1"/>
    </xf>
    <xf numFmtId="0" fontId="5" fillId="4" borderId="14" xfId="0" applyFont="1" applyFill="1" applyBorder="1" applyAlignment="1">
      <alignment horizontal="center" vertical="center" wrapText="1"/>
    </xf>
    <xf numFmtId="17" fontId="6" fillId="3" borderId="0" xfId="0" applyNumberFormat="1" applyFont="1" applyFill="1" applyAlignment="1">
      <alignment horizontal="center" vertical="center" wrapText="1"/>
    </xf>
    <xf numFmtId="14" fontId="5" fillId="4" borderId="14" xfId="0" applyNumberFormat="1" applyFont="1" applyFill="1" applyBorder="1" applyAlignment="1">
      <alignment horizontal="center" vertical="center" wrapText="1"/>
    </xf>
    <xf numFmtId="14" fontId="5" fillId="4" borderId="5" xfId="0" applyNumberFormat="1" applyFont="1" applyFill="1" applyBorder="1" applyAlignment="1">
      <alignment horizontal="center" vertical="center" wrapText="1"/>
    </xf>
    <xf numFmtId="14" fontId="2" fillId="2" borderId="0" xfId="0" applyNumberFormat="1" applyFont="1" applyFill="1" applyAlignment="1">
      <alignment horizontal="center" vertical="center" wrapText="1"/>
    </xf>
    <xf numFmtId="14" fontId="6" fillId="3" borderId="0" xfId="0" applyNumberFormat="1" applyFont="1" applyFill="1" applyAlignment="1">
      <alignment horizontal="center" vertical="center" wrapText="1"/>
    </xf>
    <xf numFmtId="17" fontId="6" fillId="2" borderId="0" xfId="0" applyNumberFormat="1" applyFont="1" applyFill="1" applyAlignment="1">
      <alignment horizontal="center" vertical="center" wrapText="1"/>
    </xf>
    <xf numFmtId="165" fontId="6" fillId="2" borderId="12" xfId="0" applyNumberFormat="1" applyFont="1" applyFill="1" applyBorder="1" applyAlignment="1">
      <alignment vertical="center" wrapText="1"/>
    </xf>
    <xf numFmtId="0" fontId="2" fillId="5" borderId="0" xfId="0" applyFont="1" applyFill="1" applyAlignment="1">
      <alignment horizontal="center" vertical="center" wrapText="1"/>
    </xf>
    <xf numFmtId="0" fontId="16" fillId="2" borderId="0" xfId="0" applyFont="1" applyFill="1" applyAlignment="1">
      <alignment horizontal="left" vertical="center" wrapText="1"/>
    </xf>
    <xf numFmtId="0" fontId="5" fillId="2" borderId="3" xfId="0" applyFont="1" applyFill="1" applyBorder="1" applyAlignment="1">
      <alignment horizontal="center" vertical="center" wrapText="1"/>
    </xf>
    <xf numFmtId="0" fontId="2" fillId="2" borderId="14" xfId="0" applyFont="1" applyFill="1" applyBorder="1" applyAlignment="1">
      <alignment horizontal="center" vertical="center" wrapText="1"/>
    </xf>
    <xf numFmtId="0" fontId="3" fillId="2" borderId="0" xfId="0" applyFont="1" applyFill="1" applyAlignment="1">
      <alignment horizontal="center" vertical="center" wrapText="1"/>
    </xf>
    <xf numFmtId="0" fontId="2" fillId="2" borderId="5" xfId="0" applyFont="1" applyFill="1" applyBorder="1" applyAlignment="1">
      <alignment horizontal="center" vertical="center" wrapText="1"/>
    </xf>
    <xf numFmtId="165" fontId="2" fillId="3" borderId="17" xfId="1" applyNumberFormat="1" applyFont="1" applyFill="1" applyBorder="1" applyAlignment="1" applyProtection="1">
      <alignment horizontal="center" vertical="center" wrapText="1"/>
    </xf>
    <xf numFmtId="165" fontId="6" fillId="3" borderId="17" xfId="1" applyNumberFormat="1" applyFont="1" applyFill="1" applyBorder="1" applyAlignment="1" applyProtection="1">
      <alignment horizontal="center" vertical="center" wrapText="1"/>
    </xf>
    <xf numFmtId="165" fontId="4" fillId="2" borderId="17" xfId="1" applyNumberFormat="1" applyFont="1" applyFill="1" applyBorder="1" applyAlignment="1" applyProtection="1">
      <alignment horizontal="center" vertical="center" wrapText="1"/>
    </xf>
    <xf numFmtId="166" fontId="6" fillId="3" borderId="17" xfId="1" applyNumberFormat="1" applyFont="1" applyFill="1" applyBorder="1" applyAlignment="1" applyProtection="1">
      <alignment horizontal="center" vertical="center" wrapText="1"/>
    </xf>
    <xf numFmtId="165" fontId="6" fillId="11" borderId="17" xfId="1" applyNumberFormat="1" applyFont="1" applyFill="1" applyBorder="1" applyAlignment="1" applyProtection="1">
      <alignment horizontal="center" vertical="center" wrapText="1"/>
    </xf>
    <xf numFmtId="165" fontId="6" fillId="10" borderId="31" xfId="1" applyNumberFormat="1" applyFont="1" applyFill="1" applyBorder="1" applyAlignment="1" applyProtection="1">
      <alignment horizontal="center" vertical="center" wrapText="1"/>
    </xf>
    <xf numFmtId="0" fontId="0" fillId="2" borderId="0" xfId="0" applyFill="1"/>
    <xf numFmtId="0" fontId="5" fillId="4" borderId="8" xfId="0" applyFont="1" applyFill="1" applyBorder="1" applyAlignment="1">
      <alignment horizontal="center" vertical="center" wrapText="1"/>
    </xf>
    <xf numFmtId="14" fontId="6" fillId="7" borderId="0" xfId="0" applyNumberFormat="1" applyFont="1" applyFill="1" applyAlignment="1">
      <alignment horizontal="center" vertical="center" wrapText="1"/>
    </xf>
    <xf numFmtId="15" fontId="14" fillId="2" borderId="0" xfId="0" applyNumberFormat="1" applyFont="1" applyFill="1" applyAlignment="1">
      <alignment vertical="center" wrapText="1"/>
    </xf>
    <xf numFmtId="15" fontId="2" fillId="2" borderId="0" xfId="0" applyNumberFormat="1" applyFont="1" applyFill="1" applyAlignment="1">
      <alignment vertical="center" wrapText="1"/>
    </xf>
    <xf numFmtId="15" fontId="2" fillId="2" borderId="0" xfId="0" applyNumberFormat="1" applyFont="1" applyFill="1" applyAlignment="1">
      <alignment horizontal="center" vertical="center" wrapText="1"/>
    </xf>
    <xf numFmtId="0" fontId="11" fillId="2" borderId="0" xfId="0" applyFont="1" applyFill="1" applyAlignment="1">
      <alignment horizontal="left" vertical="center" readingOrder="1"/>
    </xf>
    <xf numFmtId="0" fontId="6" fillId="2" borderId="0" xfId="0" applyFont="1" applyFill="1" applyAlignment="1" applyProtection="1">
      <alignment horizontal="left" vertical="center" wrapText="1" indent="1"/>
      <protection locked="0"/>
    </xf>
    <xf numFmtId="17" fontId="2" fillId="3" borderId="0" xfId="0" applyNumberFormat="1" applyFont="1" applyFill="1" applyAlignment="1">
      <alignment horizontal="center" vertical="center" wrapText="1"/>
    </xf>
    <xf numFmtId="15" fontId="2" fillId="3" borderId="0" xfId="0" applyNumberFormat="1" applyFont="1" applyFill="1" applyAlignment="1">
      <alignment horizontal="center" vertical="center" wrapText="1"/>
    </xf>
    <xf numFmtId="0" fontId="5" fillId="4" borderId="9" xfId="0" applyFont="1" applyFill="1" applyBorder="1" applyAlignment="1">
      <alignment horizontal="center" vertical="center" wrapText="1"/>
    </xf>
    <xf numFmtId="0" fontId="5" fillId="4" borderId="3" xfId="0" applyFont="1" applyFill="1" applyBorder="1" applyAlignment="1">
      <alignment horizontal="center" vertical="center" wrapText="1"/>
    </xf>
    <xf numFmtId="0" fontId="5" fillId="4" borderId="6" xfId="0" applyFont="1" applyFill="1" applyBorder="1" applyAlignment="1">
      <alignment horizontal="center" vertical="center" wrapText="1"/>
    </xf>
    <xf numFmtId="0" fontId="5" fillId="4" borderId="43" xfId="0" applyFont="1" applyFill="1" applyBorder="1" applyAlignment="1">
      <alignment horizontal="center" vertical="center" wrapText="1"/>
    </xf>
    <xf numFmtId="17" fontId="6" fillId="2" borderId="12" xfId="0" applyNumberFormat="1" applyFont="1" applyFill="1" applyBorder="1" applyAlignment="1">
      <alignment horizontal="center" vertical="center" wrapText="1"/>
    </xf>
    <xf numFmtId="15" fontId="2" fillId="7" borderId="0" xfId="0" applyNumberFormat="1" applyFont="1" applyFill="1" applyAlignment="1">
      <alignment horizontal="center" vertical="center" wrapText="1"/>
    </xf>
    <xf numFmtId="165" fontId="2" fillId="2" borderId="0" xfId="0" applyNumberFormat="1" applyFont="1" applyFill="1" applyAlignment="1">
      <alignment vertical="center" wrapText="1"/>
    </xf>
    <xf numFmtId="17" fontId="2" fillId="7" borderId="0" xfId="0" applyNumberFormat="1" applyFont="1" applyFill="1" applyAlignment="1">
      <alignment horizontal="center" vertical="center" wrapText="1"/>
    </xf>
    <xf numFmtId="169" fontId="2" fillId="3" borderId="17" xfId="0" applyNumberFormat="1" applyFont="1" applyFill="1" applyBorder="1" applyAlignment="1">
      <alignment horizontal="center" vertical="center" wrapText="1"/>
    </xf>
    <xf numFmtId="0" fontId="6" fillId="2" borderId="42" xfId="0" applyFont="1" applyFill="1" applyBorder="1" applyAlignment="1" applyProtection="1">
      <alignment horizontal="left" vertical="center" wrapText="1" indent="1"/>
      <protection locked="0"/>
    </xf>
    <xf numFmtId="15" fontId="6" fillId="7" borderId="0" xfId="0" applyNumberFormat="1" applyFont="1" applyFill="1" applyAlignment="1">
      <alignment horizontal="center" vertical="center" wrapText="1"/>
    </xf>
    <xf numFmtId="15" fontId="6" fillId="2" borderId="0" xfId="0" applyNumberFormat="1" applyFont="1" applyFill="1" applyAlignment="1">
      <alignment horizontal="center" vertical="center" wrapText="1"/>
    </xf>
    <xf numFmtId="15" fontId="6" fillId="3" borderId="0" xfId="0" applyNumberFormat="1" applyFont="1" applyFill="1" applyAlignment="1">
      <alignment horizontal="center" vertical="center" wrapText="1"/>
    </xf>
    <xf numFmtId="165" fontId="6" fillId="0" borderId="29" xfId="1" applyNumberFormat="1" applyFont="1" applyFill="1" applyBorder="1" applyAlignment="1" applyProtection="1">
      <alignment horizontal="center" vertical="center" wrapText="1"/>
    </xf>
    <xf numFmtId="0" fontId="6" fillId="2" borderId="0" xfId="0" applyFont="1" applyFill="1" applyBorder="1" applyAlignment="1">
      <alignment horizontal="left" vertical="center" wrapText="1" indent="1"/>
    </xf>
    <xf numFmtId="0" fontId="4" fillId="2" borderId="0" xfId="0" applyFont="1" applyFill="1" applyBorder="1" applyAlignment="1">
      <alignment horizontal="left" vertical="center" wrapText="1" indent="1"/>
    </xf>
    <xf numFmtId="0" fontId="2" fillId="2" borderId="0" xfId="0" applyFont="1" applyFill="1" applyBorder="1" applyAlignment="1">
      <alignment horizontal="center" vertical="center" wrapText="1"/>
    </xf>
    <xf numFmtId="0" fontId="2" fillId="2" borderId="0" xfId="0" applyFont="1" applyFill="1" applyBorder="1" applyAlignment="1">
      <alignment vertical="center" wrapText="1"/>
    </xf>
    <xf numFmtId="0" fontId="5" fillId="2" borderId="0" xfId="0" applyFont="1" applyFill="1" applyBorder="1" applyAlignment="1">
      <alignment horizontal="left" vertical="center" wrapText="1" indent="1"/>
    </xf>
    <xf numFmtId="0" fontId="5" fillId="2" borderId="0" xfId="0" applyFont="1" applyFill="1" applyBorder="1" applyAlignment="1">
      <alignment horizontal="center" vertical="center" wrapText="1"/>
    </xf>
    <xf numFmtId="0" fontId="26" fillId="2" borderId="12" xfId="0" applyFont="1" applyFill="1" applyBorder="1" applyAlignment="1">
      <alignment horizontal="left" vertical="center" wrapText="1" indent="1"/>
    </xf>
    <xf numFmtId="165" fontId="28" fillId="9" borderId="12" xfId="1" applyNumberFormat="1" applyFont="1" applyFill="1" applyBorder="1" applyAlignment="1" applyProtection="1">
      <alignment horizontal="center" vertical="center" wrapText="1"/>
      <protection locked="0"/>
    </xf>
    <xf numFmtId="0" fontId="29" fillId="2" borderId="12" xfId="0" applyFont="1" applyFill="1" applyBorder="1" applyAlignment="1" applyProtection="1">
      <alignment horizontal="center" vertical="center" wrapText="1"/>
      <protection locked="0"/>
    </xf>
    <xf numFmtId="2" fontId="21" fillId="2" borderId="12" xfId="0" applyNumberFormat="1" applyFont="1" applyFill="1" applyBorder="1" applyAlignment="1">
      <alignment horizontal="center" vertical="center" wrapText="1"/>
    </xf>
    <xf numFmtId="0" fontId="27" fillId="0" borderId="12" xfId="0" applyFont="1" applyBorder="1" applyAlignment="1">
      <alignment horizontal="left" vertical="center" wrapText="1" indent="1"/>
    </xf>
    <xf numFmtId="0" fontId="27" fillId="2" borderId="12" xfId="0" applyFont="1" applyFill="1" applyBorder="1" applyAlignment="1">
      <alignment horizontal="left" vertical="center" wrapText="1" indent="1"/>
    </xf>
    <xf numFmtId="2" fontId="6" fillId="17" borderId="17" xfId="0" applyNumberFormat="1" applyFont="1" applyFill="1" applyBorder="1" applyAlignment="1">
      <alignment horizontal="center" vertical="center" wrapText="1"/>
    </xf>
    <xf numFmtId="0" fontId="0" fillId="0" borderId="0" xfId="0"/>
    <xf numFmtId="0" fontId="2" fillId="2" borderId="0" xfId="0" applyFont="1" applyFill="1" applyAlignment="1">
      <alignment horizontal="center" vertical="center" wrapText="1"/>
    </xf>
    <xf numFmtId="15" fontId="6" fillId="7" borderId="0" xfId="1" applyNumberFormat="1" applyFont="1" applyFill="1" applyBorder="1" applyAlignment="1">
      <alignment horizontal="center" vertical="center" wrapText="1"/>
    </xf>
    <xf numFmtId="0" fontId="4" fillId="2" borderId="0" xfId="0" applyFont="1" applyFill="1" applyAlignment="1">
      <alignment vertical="center" wrapText="1"/>
    </xf>
    <xf numFmtId="0" fontId="4" fillId="2" borderId="0" xfId="0" applyFont="1" applyFill="1" applyBorder="1" applyAlignment="1" applyProtection="1">
      <alignment horizontal="left" vertical="center" wrapText="1" indent="1"/>
      <protection locked="0"/>
    </xf>
    <xf numFmtId="0" fontId="6" fillId="2" borderId="0" xfId="0" applyFont="1" applyFill="1" applyBorder="1" applyAlignment="1" applyProtection="1">
      <alignment horizontal="left" vertical="center" wrapText="1" indent="1"/>
      <protection locked="0"/>
    </xf>
    <xf numFmtId="0" fontId="3" fillId="0" borderId="16" xfId="0" applyFont="1" applyFill="1" applyBorder="1" applyAlignment="1">
      <alignment horizontal="center" vertical="center" wrapText="1"/>
    </xf>
    <xf numFmtId="2" fontId="30" fillId="3" borderId="17" xfId="0" applyNumberFormat="1" applyFont="1" applyFill="1" applyBorder="1" applyAlignment="1">
      <alignment horizontal="center" vertical="center" wrapText="1"/>
    </xf>
    <xf numFmtId="0" fontId="33" fillId="18" borderId="50" xfId="0" applyFont="1" applyFill="1" applyBorder="1" applyAlignment="1">
      <alignment vertical="top" wrapText="1" readingOrder="1"/>
    </xf>
    <xf numFmtId="0" fontId="11" fillId="18" borderId="50" xfId="0" applyFont="1" applyFill="1" applyBorder="1" applyAlignment="1">
      <alignment horizontal="center" vertical="center" wrapText="1" readingOrder="1"/>
    </xf>
    <xf numFmtId="0" fontId="11" fillId="18" borderId="54" xfId="0" applyFont="1" applyFill="1" applyBorder="1" applyAlignment="1">
      <alignment vertical="top" wrapText="1" readingOrder="1"/>
    </xf>
    <xf numFmtId="0" fontId="11" fillId="18" borderId="54" xfId="0" applyFont="1" applyFill="1" applyBorder="1" applyAlignment="1">
      <alignment horizontal="center" vertical="top" wrapText="1" readingOrder="1"/>
    </xf>
    <xf numFmtId="0" fontId="11" fillId="18" borderId="54" xfId="0" applyFont="1" applyFill="1" applyBorder="1" applyAlignment="1">
      <alignment horizontal="center" vertical="center" wrapText="1" readingOrder="1"/>
    </xf>
    <xf numFmtId="0" fontId="33" fillId="18" borderId="50" xfId="0" applyFont="1" applyFill="1" applyBorder="1" applyAlignment="1">
      <alignment horizontal="center" wrapText="1" readingOrder="1"/>
    </xf>
    <xf numFmtId="0" fontId="33" fillId="18" borderId="57" xfId="0" applyFont="1" applyFill="1" applyBorder="1" applyAlignment="1">
      <alignment horizontal="center" vertical="top" wrapText="1" readingOrder="1"/>
    </xf>
    <xf numFmtId="0" fontId="33" fillId="18" borderId="54" xfId="0" applyFont="1" applyFill="1" applyBorder="1" applyAlignment="1">
      <alignment horizontal="center" vertical="center" wrapText="1" readingOrder="1"/>
    </xf>
    <xf numFmtId="0" fontId="33" fillId="18" borderId="0" xfId="0" applyFont="1" applyFill="1" applyAlignment="1">
      <alignment horizontal="center" vertical="center" wrapText="1" readingOrder="1"/>
    </xf>
    <xf numFmtId="0" fontId="33" fillId="18" borderId="54" xfId="0" applyFont="1" applyFill="1" applyBorder="1" applyAlignment="1">
      <alignment horizontal="center" vertical="top" wrapText="1" readingOrder="1"/>
    </xf>
    <xf numFmtId="0" fontId="33" fillId="18" borderId="57" xfId="0" applyFont="1" applyFill="1" applyBorder="1" applyAlignment="1">
      <alignment horizontal="center" vertical="center" wrapText="1" readingOrder="1"/>
    </xf>
    <xf numFmtId="0" fontId="35" fillId="0" borderId="51" xfId="0" applyFont="1" applyBorder="1" applyAlignment="1">
      <alignment horizontal="left" vertical="top" wrapText="1" readingOrder="1"/>
    </xf>
    <xf numFmtId="0" fontId="11" fillId="19" borderId="51" xfId="0" applyFont="1" applyFill="1" applyBorder="1" applyAlignment="1">
      <alignment horizontal="center" vertical="center" wrapText="1" readingOrder="1"/>
    </xf>
    <xf numFmtId="0" fontId="36" fillId="0" borderId="51" xfId="0" applyFont="1" applyBorder="1" applyAlignment="1">
      <alignment horizontal="center" vertical="center" wrapText="1" readingOrder="1"/>
    </xf>
    <xf numFmtId="170" fontId="36" fillId="0" borderId="51" xfId="0" applyNumberFormat="1" applyFont="1" applyBorder="1" applyAlignment="1">
      <alignment horizontal="center" vertical="center" wrapText="1" readingOrder="1"/>
    </xf>
    <xf numFmtId="170" fontId="11" fillId="0" borderId="51" xfId="0" applyNumberFormat="1" applyFont="1" applyBorder="1" applyAlignment="1">
      <alignment horizontal="center" vertical="center" wrapText="1" readingOrder="1"/>
    </xf>
    <xf numFmtId="0" fontId="11" fillId="0" borderId="51" xfId="0" applyFont="1" applyBorder="1" applyAlignment="1">
      <alignment horizontal="center" vertical="center" wrapText="1" readingOrder="1"/>
    </xf>
    <xf numFmtId="171" fontId="11" fillId="0" borderId="51" xfId="0" applyNumberFormat="1" applyFont="1" applyBorder="1" applyAlignment="1">
      <alignment horizontal="center" vertical="center" wrapText="1" readingOrder="1"/>
    </xf>
    <xf numFmtId="173" fontId="11" fillId="0" borderId="51" xfId="0" applyNumberFormat="1" applyFont="1" applyBorder="1" applyAlignment="1">
      <alignment horizontal="center" vertical="center" wrapText="1" readingOrder="1"/>
    </xf>
    <xf numFmtId="174" fontId="37" fillId="0" borderId="51" xfId="0" applyNumberFormat="1" applyFont="1" applyBorder="1" applyAlignment="1">
      <alignment horizontal="center" vertical="center" wrapText="1" readingOrder="1"/>
    </xf>
    <xf numFmtId="174" fontId="39" fillId="0" borderId="51" xfId="0" applyNumberFormat="1" applyFont="1" applyBorder="1" applyAlignment="1">
      <alignment horizontal="center" vertical="center" wrapText="1" readingOrder="1"/>
    </xf>
    <xf numFmtId="175" fontId="11" fillId="0" borderId="51" xfId="0" applyNumberFormat="1" applyFont="1" applyBorder="1" applyAlignment="1">
      <alignment horizontal="center" vertical="center" wrapText="1" readingOrder="1"/>
    </xf>
    <xf numFmtId="174" fontId="38" fillId="0" borderId="51" xfId="0" applyNumberFormat="1" applyFont="1" applyBorder="1" applyAlignment="1">
      <alignment horizontal="center" vertical="center" wrapText="1" readingOrder="1"/>
    </xf>
    <xf numFmtId="0" fontId="2" fillId="2" borderId="0" xfId="0" applyFont="1" applyFill="1" applyAlignment="1">
      <alignment horizontal="center" vertical="center" wrapText="1"/>
    </xf>
    <xf numFmtId="0" fontId="2" fillId="2" borderId="0" xfId="0" applyFont="1" applyFill="1" applyAlignment="1">
      <alignment horizontal="left" vertical="center" wrapText="1" indent="1"/>
    </xf>
    <xf numFmtId="0" fontId="5" fillId="0" borderId="1" xfId="0" applyFont="1" applyBorder="1" applyAlignment="1">
      <alignment horizontal="left" vertical="center" wrapText="1" indent="1"/>
    </xf>
    <xf numFmtId="0" fontId="2" fillId="0" borderId="0" xfId="0" applyFont="1" applyAlignment="1">
      <alignment horizontal="center" vertical="center" wrapText="1"/>
    </xf>
    <xf numFmtId="0" fontId="5" fillId="0" borderId="0" xfId="0" applyFont="1" applyAlignment="1">
      <alignment horizontal="center" vertical="center" wrapText="1"/>
    </xf>
    <xf numFmtId="0" fontId="5" fillId="0" borderId="1" xfId="0" applyFont="1" applyBorder="1" applyAlignment="1">
      <alignment horizontal="center" vertical="center" wrapText="1"/>
    </xf>
    <xf numFmtId="0" fontId="5" fillId="0" borderId="14" xfId="0" applyFont="1" applyBorder="1" applyAlignment="1">
      <alignment horizontal="center" vertical="center" wrapText="1"/>
    </xf>
    <xf numFmtId="0" fontId="5" fillId="0" borderId="5" xfId="0" applyFont="1" applyBorder="1" applyAlignment="1">
      <alignment horizontal="center" vertical="center" wrapText="1"/>
    </xf>
    <xf numFmtId="0" fontId="5" fillId="0" borderId="8" xfId="0" applyFont="1" applyBorder="1" applyAlignment="1">
      <alignment horizontal="center" vertical="center" wrapText="1"/>
    </xf>
    <xf numFmtId="0" fontId="5" fillId="2" borderId="13" xfId="0" applyFont="1" applyFill="1" applyBorder="1" applyAlignment="1">
      <alignment horizontal="center" vertical="center" wrapText="1"/>
    </xf>
    <xf numFmtId="0" fontId="23" fillId="0" borderId="0" xfId="0" applyFont="1" applyAlignment="1">
      <alignment horizontal="center" vertical="center" wrapText="1"/>
    </xf>
    <xf numFmtId="0" fontId="40" fillId="4" borderId="1" xfId="0" applyFont="1" applyFill="1" applyBorder="1" applyAlignment="1">
      <alignment horizontal="left" vertical="center" wrapText="1" indent="1"/>
    </xf>
    <xf numFmtId="0" fontId="41" fillId="0" borderId="39" xfId="0" applyFont="1" applyBorder="1"/>
    <xf numFmtId="0" fontId="40" fillId="4" borderId="33" xfId="0" applyFont="1" applyFill="1" applyBorder="1" applyAlignment="1">
      <alignment horizontal="center" vertical="center" wrapText="1"/>
    </xf>
    <xf numFmtId="0" fontId="41" fillId="0" borderId="0" xfId="0" applyFont="1"/>
    <xf numFmtId="0" fontId="41" fillId="0" borderId="40" xfId="0" applyFont="1" applyBorder="1"/>
    <xf numFmtId="0" fontId="2" fillId="2" borderId="12" xfId="0" applyFont="1" applyFill="1" applyBorder="1" applyAlignment="1">
      <alignment horizontal="center" vertical="center" wrapText="1"/>
    </xf>
    <xf numFmtId="0" fontId="6" fillId="2" borderId="12" xfId="0" applyFont="1" applyFill="1" applyBorder="1" applyAlignment="1">
      <alignment horizontal="left" vertical="center" wrapText="1" indent="1"/>
    </xf>
    <xf numFmtId="0" fontId="2" fillId="2" borderId="40" xfId="0" applyFont="1" applyFill="1" applyBorder="1" applyAlignment="1">
      <alignment vertical="center" wrapText="1"/>
    </xf>
    <xf numFmtId="165" fontId="18" fillId="9" borderId="12" xfId="1" applyNumberFormat="1" applyFont="1" applyFill="1" applyBorder="1" applyAlignment="1" applyProtection="1">
      <alignment horizontal="center" vertical="center" wrapText="1"/>
      <protection locked="0"/>
    </xf>
    <xf numFmtId="165" fontId="18" fillId="0" borderId="12" xfId="1" applyNumberFormat="1" applyFont="1" applyFill="1" applyBorder="1" applyAlignment="1" applyProtection="1">
      <alignment horizontal="center" vertical="center" wrapText="1"/>
      <protection locked="0"/>
    </xf>
    <xf numFmtId="0" fontId="42" fillId="2" borderId="12" xfId="0" applyFont="1" applyFill="1" applyBorder="1" applyAlignment="1" applyProtection="1">
      <alignment horizontal="center" vertical="center" wrapText="1"/>
      <protection locked="0"/>
    </xf>
    <xf numFmtId="165" fontId="18" fillId="9" borderId="24" xfId="1" applyNumberFormat="1" applyFont="1" applyFill="1" applyBorder="1" applyAlignment="1" applyProtection="1">
      <alignment horizontal="center" vertical="center" wrapText="1"/>
      <protection locked="0"/>
    </xf>
    <xf numFmtId="17" fontId="4" fillId="2" borderId="63" xfId="0" applyNumberFormat="1" applyFont="1" applyFill="1" applyBorder="1" applyAlignment="1">
      <alignment horizontal="center" vertical="center" wrapText="1"/>
    </xf>
    <xf numFmtId="0" fontId="2" fillId="2" borderId="63" xfId="0" applyFont="1" applyFill="1" applyBorder="1" applyAlignment="1">
      <alignment vertical="center" wrapText="1"/>
    </xf>
    <xf numFmtId="0" fontId="2" fillId="0" borderId="12" xfId="0" applyFont="1" applyBorder="1" applyAlignment="1">
      <alignment horizontal="left" vertical="center" wrapText="1" indent="1"/>
    </xf>
    <xf numFmtId="0" fontId="2" fillId="2" borderId="12" xfId="0" applyFont="1" applyFill="1" applyBorder="1" applyAlignment="1">
      <alignment horizontal="left" vertical="center" wrapText="1" indent="1"/>
    </xf>
    <xf numFmtId="165" fontId="18" fillId="0" borderId="0" xfId="1" applyNumberFormat="1" applyFont="1" applyFill="1" applyBorder="1" applyAlignment="1" applyProtection="1">
      <alignment horizontal="center" vertical="center" wrapText="1"/>
      <protection locked="0"/>
    </xf>
    <xf numFmtId="0" fontId="23" fillId="2" borderId="0" xfId="0" applyFont="1" applyFill="1" applyAlignment="1">
      <alignment horizontal="center" vertical="center" wrapText="1"/>
    </xf>
    <xf numFmtId="0" fontId="2" fillId="2" borderId="39" xfId="0" applyFont="1" applyFill="1" applyBorder="1" applyAlignment="1">
      <alignment vertical="center" wrapText="1"/>
    </xf>
    <xf numFmtId="0" fontId="23" fillId="0" borderId="47" xfId="0" applyFont="1" applyBorder="1" applyAlignment="1">
      <alignment vertical="center" wrapText="1"/>
    </xf>
    <xf numFmtId="0" fontId="6" fillId="2" borderId="0" xfId="0" applyFont="1" applyFill="1" applyAlignment="1">
      <alignment vertical="center" wrapText="1"/>
    </xf>
    <xf numFmtId="15" fontId="6" fillId="2" borderId="0" xfId="0" applyNumberFormat="1" applyFont="1" applyFill="1" applyAlignment="1">
      <alignment vertical="center" wrapText="1"/>
    </xf>
    <xf numFmtId="15" fontId="6" fillId="2" borderId="0" xfId="1" applyNumberFormat="1" applyFont="1" applyFill="1" applyBorder="1" applyAlignment="1">
      <alignment horizontal="center" vertical="center" wrapText="1"/>
    </xf>
    <xf numFmtId="0" fontId="0" fillId="0" borderId="0" xfId="0"/>
    <xf numFmtId="0" fontId="43" fillId="2" borderId="12" xfId="0" applyNumberFormat="1" applyFont="1" applyFill="1" applyBorder="1" applyAlignment="1">
      <alignment horizontal="center" vertical="center" wrapText="1"/>
    </xf>
    <xf numFmtId="0" fontId="43" fillId="2" borderId="12" xfId="0" applyFont="1" applyFill="1" applyBorder="1" applyAlignment="1">
      <alignment horizontal="center" vertical="center" wrapText="1"/>
    </xf>
    <xf numFmtId="0" fontId="0" fillId="0" borderId="10" xfId="0" applyBorder="1" applyAlignment="1">
      <alignment vertical="center" wrapText="1"/>
    </xf>
    <xf numFmtId="0" fontId="2" fillId="2" borderId="0" xfId="0" applyFont="1" applyFill="1" applyAlignment="1">
      <alignment horizontal="center" vertical="center" wrapText="1"/>
    </xf>
    <xf numFmtId="0" fontId="2" fillId="2" borderId="0" xfId="0" applyFont="1" applyFill="1" applyAlignment="1">
      <alignment horizontal="left" vertical="center" wrapText="1" indent="1"/>
    </xf>
    <xf numFmtId="169" fontId="6" fillId="3" borderId="17" xfId="0" applyNumberFormat="1" applyFont="1" applyFill="1" applyBorder="1" applyAlignment="1">
      <alignment horizontal="center" vertical="center" wrapText="1"/>
    </xf>
    <xf numFmtId="167" fontId="6" fillId="3" borderId="17" xfId="6" applyNumberFormat="1" applyFont="1" applyFill="1" applyBorder="1" applyAlignment="1" applyProtection="1">
      <alignment horizontal="center" vertical="center" wrapText="1"/>
    </xf>
    <xf numFmtId="2" fontId="6" fillId="5" borderId="17" xfId="0" applyNumberFormat="1" applyFont="1" applyFill="1" applyBorder="1" applyAlignment="1">
      <alignment horizontal="center" vertical="center" wrapText="1"/>
    </xf>
    <xf numFmtId="0" fontId="36" fillId="20" borderId="51" xfId="0" applyFont="1" applyFill="1" applyBorder="1" applyAlignment="1">
      <alignment horizontal="center" vertical="center" wrapText="1" readingOrder="1"/>
    </xf>
    <xf numFmtId="172" fontId="11" fillId="0" borderId="51" xfId="0" applyNumberFormat="1" applyFont="1" applyBorder="1" applyAlignment="1">
      <alignment horizontal="center" vertical="center" wrapText="1" readingOrder="1"/>
    </xf>
    <xf numFmtId="0" fontId="44" fillId="22" borderId="51" xfId="0" applyFont="1" applyFill="1" applyBorder="1" applyAlignment="1">
      <alignment horizontal="center" vertical="center" wrapText="1" readingOrder="1"/>
    </xf>
    <xf numFmtId="0" fontId="36" fillId="20" borderId="51" xfId="0" applyFont="1" applyFill="1" applyBorder="1" applyAlignment="1">
      <alignment vertical="top" wrapText="1" readingOrder="1"/>
    </xf>
    <xf numFmtId="0" fontId="45" fillId="20" borderId="51" xfId="0" applyFont="1" applyFill="1" applyBorder="1" applyAlignment="1">
      <alignment horizontal="center" vertical="center" wrapText="1"/>
    </xf>
    <xf numFmtId="0" fontId="37" fillId="0" borderId="51" xfId="0" applyFont="1" applyBorder="1" applyAlignment="1">
      <alignment horizontal="center" vertical="center" wrapText="1" readingOrder="1"/>
    </xf>
    <xf numFmtId="0" fontId="39" fillId="0" borderId="51" xfId="0" applyFont="1" applyBorder="1" applyAlignment="1">
      <alignment horizontal="center" vertical="center" wrapText="1" readingOrder="1"/>
    </xf>
    <xf numFmtId="0" fontId="44" fillId="21" borderId="51" xfId="0" applyFont="1" applyFill="1" applyBorder="1" applyAlignment="1">
      <alignment horizontal="center" vertical="center" wrapText="1" readingOrder="1"/>
    </xf>
    <xf numFmtId="0" fontId="33" fillId="0" borderId="51" xfId="0" applyFont="1" applyBorder="1" applyAlignment="1">
      <alignment horizontal="center" vertical="center" wrapText="1" readingOrder="1"/>
    </xf>
    <xf numFmtId="0" fontId="44" fillId="0" borderId="51" xfId="0" applyFont="1" applyBorder="1" applyAlignment="1">
      <alignment horizontal="center" vertical="center" wrapText="1" readingOrder="1"/>
    </xf>
    <xf numFmtId="0" fontId="44" fillId="19" borderId="51" xfId="0" applyFont="1" applyFill="1" applyBorder="1" applyAlignment="1">
      <alignment horizontal="center" vertical="center" wrapText="1" readingOrder="1"/>
    </xf>
    <xf numFmtId="0" fontId="38" fillId="0" borderId="51" xfId="0" applyFont="1" applyBorder="1" applyAlignment="1">
      <alignment horizontal="center" vertical="center" wrapText="1" readingOrder="1"/>
    </xf>
    <xf numFmtId="0" fontId="25" fillId="2" borderId="12" xfId="0" applyFont="1" applyFill="1" applyBorder="1" applyAlignment="1">
      <alignment horizontal="center" vertical="center" wrapText="1"/>
    </xf>
    <xf numFmtId="0" fontId="2" fillId="2" borderId="0" xfId="0" applyFont="1" applyFill="1" applyBorder="1" applyAlignment="1">
      <alignment horizontal="left" vertical="center" wrapText="1" indent="1"/>
    </xf>
    <xf numFmtId="0" fontId="5" fillId="2" borderId="63" xfId="0" applyFont="1" applyFill="1" applyBorder="1" applyAlignment="1">
      <alignment horizontal="left" vertical="center" wrapText="1" indent="1"/>
    </xf>
    <xf numFmtId="0" fontId="0" fillId="0" borderId="0" xfId="0" applyFill="1"/>
    <xf numFmtId="0" fontId="40" fillId="0" borderId="0" xfId="0" applyFont="1" applyFill="1" applyBorder="1" applyAlignment="1">
      <alignment horizontal="left" vertical="center" wrapText="1" indent="1"/>
    </xf>
    <xf numFmtId="0" fontId="41" fillId="0" borderId="0" xfId="0" applyFont="1" applyFill="1" applyBorder="1"/>
    <xf numFmtId="0" fontId="40" fillId="0" borderId="0" xfId="0" applyFont="1" applyFill="1" applyBorder="1" applyAlignment="1">
      <alignment horizontal="center" vertical="center" wrapText="1"/>
    </xf>
    <xf numFmtId="0" fontId="41" fillId="0" borderId="0" xfId="0" applyFont="1" applyFill="1"/>
    <xf numFmtId="0" fontId="23"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6" fillId="0" borderId="0" xfId="0" applyFont="1" applyFill="1" applyBorder="1" applyAlignment="1">
      <alignment horizontal="left" vertical="center" wrapText="1" indent="1"/>
    </xf>
    <xf numFmtId="0" fontId="2" fillId="0" borderId="0" xfId="0" applyFont="1" applyFill="1" applyBorder="1" applyAlignment="1">
      <alignment vertical="center" wrapText="1"/>
    </xf>
    <xf numFmtId="0" fontId="42" fillId="0" borderId="0" xfId="0" applyFont="1" applyFill="1" applyBorder="1" applyAlignment="1" applyProtection="1">
      <alignment horizontal="center" vertical="center" wrapText="1"/>
      <protection locked="0"/>
    </xf>
    <xf numFmtId="17" fontId="4" fillId="0" borderId="0" xfId="0" applyNumberFormat="1" applyFont="1" applyFill="1" applyBorder="1" applyAlignment="1">
      <alignment horizontal="center" vertical="center" wrapText="1"/>
    </xf>
    <xf numFmtId="17" fontId="4" fillId="0" borderId="0" xfId="0" applyNumberFormat="1" applyFont="1" applyFill="1" applyAlignment="1">
      <alignment horizontal="center" vertical="center" wrapText="1"/>
    </xf>
    <xf numFmtId="0" fontId="40" fillId="4" borderId="1" xfId="0" applyFont="1" applyFill="1" applyBorder="1" applyAlignment="1">
      <alignment horizontal="center" vertical="center" wrapText="1"/>
    </xf>
    <xf numFmtId="0" fontId="17" fillId="0" borderId="16" xfId="0" applyFont="1" applyFill="1" applyBorder="1" applyAlignment="1">
      <alignment horizontal="center" vertical="center" wrapText="1"/>
    </xf>
    <xf numFmtId="165" fontId="6" fillId="0" borderId="12" xfId="1" applyNumberFormat="1" applyFont="1" applyFill="1" applyBorder="1" applyAlignment="1" applyProtection="1">
      <alignment horizontal="center" vertical="center" wrapText="1"/>
      <protection locked="0"/>
    </xf>
    <xf numFmtId="0" fontId="0" fillId="0" borderId="0" xfId="0"/>
    <xf numFmtId="165" fontId="18" fillId="9" borderId="12" xfId="1" applyNumberFormat="1" applyFont="1" applyFill="1" applyBorder="1" applyAlignment="1" applyProtection="1">
      <alignment horizontal="center" vertical="center" wrapText="1"/>
    </xf>
    <xf numFmtId="175" fontId="44" fillId="0" borderId="51" xfId="0" applyNumberFormat="1" applyFont="1" applyBorder="1" applyAlignment="1">
      <alignment horizontal="center" vertical="center" wrapText="1" readingOrder="1"/>
    </xf>
    <xf numFmtId="165" fontId="6" fillId="0" borderId="17" xfId="1" applyNumberFormat="1" applyFont="1" applyFill="1" applyBorder="1" applyAlignment="1" applyProtection="1">
      <alignment horizontal="center" vertical="center" wrapText="1"/>
    </xf>
    <xf numFmtId="167" fontId="6" fillId="0" borderId="17" xfId="0" applyNumberFormat="1" applyFont="1" applyFill="1" applyBorder="1" applyAlignment="1">
      <alignment horizontal="center" vertical="center" wrapText="1"/>
    </xf>
    <xf numFmtId="0" fontId="32" fillId="0" borderId="0" xfId="0" applyFont="1"/>
    <xf numFmtId="0" fontId="11" fillId="18" borderId="50" xfId="0" applyFont="1" applyFill="1" applyBorder="1" applyAlignment="1">
      <alignment horizontal="center" wrapText="1" readingOrder="1"/>
    </xf>
    <xf numFmtId="0" fontId="33" fillId="18" borderId="51" xfId="0" applyFont="1" applyFill="1" applyBorder="1" applyAlignment="1">
      <alignment horizontal="center" vertical="center" wrapText="1" readingOrder="1"/>
    </xf>
    <xf numFmtId="0" fontId="11" fillId="18" borderId="54" xfId="0" applyFont="1" applyFill="1" applyBorder="1" applyAlignment="1">
      <alignment horizontal="center" wrapText="1" readingOrder="1"/>
    </xf>
    <xf numFmtId="0" fontId="11" fillId="18" borderId="50" xfId="0" applyFont="1" applyFill="1" applyBorder="1" applyAlignment="1">
      <alignment vertical="top" wrapText="1" readingOrder="1"/>
    </xf>
    <xf numFmtId="0" fontId="2" fillId="2" borderId="0" xfId="0" applyFont="1" applyFill="1" applyAlignment="1">
      <alignment horizontal="left" vertical="center" wrapText="1" indent="1"/>
    </xf>
    <xf numFmtId="0" fontId="0" fillId="0" borderId="0" xfId="0"/>
    <xf numFmtId="0" fontId="17" fillId="0" borderId="16" xfId="5" applyFont="1" applyBorder="1" applyAlignment="1">
      <alignment horizontal="center" vertical="center"/>
    </xf>
    <xf numFmtId="17" fontId="4" fillId="2" borderId="0" xfId="0" applyNumberFormat="1" applyFont="1" applyFill="1" applyBorder="1" applyAlignment="1">
      <alignment horizontal="center" vertical="center" wrapText="1"/>
    </xf>
    <xf numFmtId="14" fontId="6" fillId="2" borderId="0" xfId="1" applyNumberFormat="1" applyFont="1" applyFill="1" applyBorder="1" applyAlignment="1">
      <alignment horizontal="center" vertical="center" wrapText="1"/>
    </xf>
    <xf numFmtId="0" fontId="2" fillId="2" borderId="0" xfId="0" applyFont="1" applyFill="1" applyAlignment="1">
      <alignment horizontal="center" vertical="center" wrapText="1"/>
    </xf>
    <xf numFmtId="0" fontId="2" fillId="2" borderId="0" xfId="0" applyFont="1" applyFill="1" applyAlignment="1">
      <alignment horizontal="left" vertical="center" wrapText="1" indent="1"/>
    </xf>
    <xf numFmtId="0" fontId="0" fillId="0" borderId="0" xfId="0"/>
    <xf numFmtId="0" fontId="2" fillId="0" borderId="12" xfId="0" applyFont="1" applyBorder="1" applyAlignment="1">
      <alignment vertical="center" wrapText="1"/>
    </xf>
    <xf numFmtId="169" fontId="2" fillId="3" borderId="17" xfId="1" applyNumberFormat="1" applyFont="1" applyFill="1" applyBorder="1" applyAlignment="1" applyProtection="1">
      <alignment horizontal="center" vertical="center" wrapText="1"/>
    </xf>
    <xf numFmtId="176" fontId="2" fillId="3" borderId="17" xfId="0" applyNumberFormat="1" applyFont="1" applyFill="1" applyBorder="1" applyAlignment="1">
      <alignment horizontal="center" vertical="center" wrapText="1"/>
    </xf>
    <xf numFmtId="165" fontId="18" fillId="9" borderId="17" xfId="1" applyNumberFormat="1" applyFont="1" applyFill="1" applyBorder="1" applyAlignment="1" applyProtection="1">
      <alignment horizontal="center" vertical="center" wrapText="1"/>
    </xf>
    <xf numFmtId="0" fontId="19" fillId="2" borderId="17" xfId="0" applyFont="1" applyFill="1" applyBorder="1" applyAlignment="1" applyProtection="1">
      <alignment horizontal="center" vertical="center" wrapText="1"/>
    </xf>
    <xf numFmtId="0" fontId="19" fillId="3" borderId="17" xfId="0" applyFont="1" applyFill="1" applyBorder="1" applyAlignment="1" applyProtection="1">
      <alignment horizontal="center" vertical="center" wrapText="1"/>
    </xf>
    <xf numFmtId="165" fontId="18" fillId="9" borderId="18" xfId="1" applyNumberFormat="1" applyFont="1" applyFill="1" applyBorder="1" applyAlignment="1" applyProtection="1">
      <alignment horizontal="center" vertical="center" wrapText="1"/>
    </xf>
    <xf numFmtId="0" fontId="17" fillId="0" borderId="16" xfId="0" applyFont="1" applyFill="1" applyBorder="1" applyAlignment="1" applyProtection="1">
      <alignment horizontal="center" vertical="center" wrapText="1"/>
    </xf>
    <xf numFmtId="0" fontId="2" fillId="2" borderId="17" xfId="0" applyFont="1" applyFill="1" applyBorder="1" applyAlignment="1" applyProtection="1">
      <alignment horizontal="center" vertical="center" wrapText="1"/>
    </xf>
    <xf numFmtId="0" fontId="2" fillId="2" borderId="17" xfId="0" applyFont="1" applyFill="1" applyBorder="1" applyAlignment="1" applyProtection="1">
      <alignment vertical="center" wrapText="1"/>
    </xf>
    <xf numFmtId="17" fontId="4" fillId="2" borderId="17" xfId="0" applyNumberFormat="1" applyFont="1" applyFill="1" applyBorder="1" applyAlignment="1" applyProtection="1">
      <alignment horizontal="center" vertical="center" wrapText="1"/>
    </xf>
    <xf numFmtId="17" fontId="2" fillId="3" borderId="17" xfId="0" applyNumberFormat="1" applyFont="1" applyFill="1" applyBorder="1" applyAlignment="1" applyProtection="1">
      <alignment horizontal="center" vertical="center" wrapText="1"/>
    </xf>
    <xf numFmtId="169" fontId="2" fillId="3" borderId="17" xfId="0" applyNumberFormat="1" applyFont="1" applyFill="1" applyBorder="1" applyAlignment="1" applyProtection="1">
      <alignment horizontal="center" vertical="center" wrapText="1"/>
    </xf>
    <xf numFmtId="15" fontId="2" fillId="3" borderId="17" xfId="0" applyNumberFormat="1" applyFont="1" applyFill="1" applyBorder="1" applyAlignment="1" applyProtection="1">
      <alignment horizontal="center" vertical="center" wrapText="1"/>
    </xf>
    <xf numFmtId="17" fontId="6" fillId="3" borderId="17" xfId="0" applyNumberFormat="1" applyFont="1" applyFill="1" applyBorder="1" applyAlignment="1" applyProtection="1">
      <alignment horizontal="center" vertical="center" wrapText="1"/>
    </xf>
    <xf numFmtId="2" fontId="6" fillId="3" borderId="17" xfId="0" applyNumberFormat="1" applyFont="1" applyFill="1" applyBorder="1" applyAlignment="1" applyProtection="1">
      <alignment horizontal="center" vertical="center" wrapText="1"/>
    </xf>
    <xf numFmtId="2" fontId="6" fillId="17" borderId="17" xfId="0" applyNumberFormat="1" applyFont="1" applyFill="1" applyBorder="1" applyAlignment="1" applyProtection="1">
      <alignment horizontal="center" vertical="center" wrapText="1"/>
    </xf>
    <xf numFmtId="167" fontId="6" fillId="3" borderId="17" xfId="0" applyNumberFormat="1" applyFont="1" applyFill="1" applyBorder="1" applyAlignment="1" applyProtection="1">
      <alignment horizontal="center" vertical="center" wrapText="1"/>
    </xf>
    <xf numFmtId="167" fontId="6" fillId="11" borderId="17" xfId="0" applyNumberFormat="1" applyFont="1" applyFill="1" applyBorder="1" applyAlignment="1" applyProtection="1">
      <alignment horizontal="center" vertical="center" wrapText="1"/>
    </xf>
    <xf numFmtId="15" fontId="6" fillId="3" borderId="17" xfId="0" applyNumberFormat="1" applyFont="1" applyFill="1" applyBorder="1" applyAlignment="1" applyProtection="1">
      <alignment horizontal="center" vertical="center" wrapText="1"/>
    </xf>
    <xf numFmtId="0" fontId="3" fillId="0" borderId="16" xfId="0" applyFont="1" applyFill="1" applyBorder="1" applyAlignment="1" applyProtection="1">
      <alignment horizontal="center" vertical="center" wrapText="1"/>
    </xf>
    <xf numFmtId="10" fontId="6" fillId="3" borderId="17" xfId="0" applyNumberFormat="1" applyFont="1" applyFill="1" applyBorder="1" applyAlignment="1" applyProtection="1">
      <alignment horizontal="center" vertical="center" wrapText="1"/>
    </xf>
    <xf numFmtId="17" fontId="46" fillId="2" borderId="17" xfId="0" applyNumberFormat="1" applyFont="1" applyFill="1" applyBorder="1" applyAlignment="1" applyProtection="1">
      <alignment horizontal="center" vertical="center" wrapText="1"/>
    </xf>
    <xf numFmtId="1" fontId="2" fillId="3" borderId="17" xfId="0" applyNumberFormat="1" applyFont="1" applyFill="1" applyBorder="1" applyAlignment="1" applyProtection="1">
      <alignment horizontal="center" vertical="center" wrapText="1"/>
    </xf>
    <xf numFmtId="0" fontId="2" fillId="2" borderId="0" xfId="0" applyFont="1" applyFill="1" applyAlignment="1">
      <alignment horizontal="left" vertical="center" wrapText="1" indent="1"/>
    </xf>
    <xf numFmtId="17" fontId="4" fillId="2" borderId="0" xfId="0" applyNumberFormat="1" applyFont="1" applyFill="1" applyAlignment="1">
      <alignment horizontal="center" vertical="center" wrapText="1"/>
    </xf>
    <xf numFmtId="0" fontId="2" fillId="2" borderId="0" xfId="0" applyFont="1" applyFill="1" applyAlignment="1">
      <alignment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5" fillId="2" borderId="8" xfId="0" applyFont="1" applyFill="1" applyBorder="1" applyAlignment="1">
      <alignment horizontal="center" vertical="center" wrapText="1"/>
    </xf>
    <xf numFmtId="17" fontId="2" fillId="3" borderId="0" xfId="0" applyNumberFormat="1" applyFont="1" applyFill="1" applyAlignment="1">
      <alignment horizontal="center" vertical="center" wrapText="1"/>
    </xf>
    <xf numFmtId="0" fontId="2" fillId="2" borderId="12" xfId="0" applyFont="1" applyFill="1" applyBorder="1" applyAlignment="1">
      <alignment vertical="center" wrapText="1"/>
    </xf>
    <xf numFmtId="17" fontId="2" fillId="2" borderId="12" xfId="0" applyNumberFormat="1" applyFont="1" applyFill="1" applyBorder="1" applyAlignment="1">
      <alignment horizontal="center" vertical="center" wrapText="1"/>
    </xf>
    <xf numFmtId="0" fontId="6" fillId="2" borderId="12" xfId="0" applyFont="1" applyFill="1" applyBorder="1" applyAlignment="1">
      <alignment vertical="center" wrapText="1"/>
    </xf>
    <xf numFmtId="165" fontId="6" fillId="2" borderId="12" xfId="0" applyNumberFormat="1" applyFont="1" applyFill="1" applyBorder="1" applyAlignment="1">
      <alignment vertical="center" wrapText="1"/>
    </xf>
    <xf numFmtId="14" fontId="2" fillId="2" borderId="0" xfId="0" applyNumberFormat="1" applyFont="1" applyFill="1" applyAlignment="1">
      <alignment vertical="center" wrapText="1"/>
    </xf>
    <xf numFmtId="165" fontId="2" fillId="2" borderId="0" xfId="0" applyNumberFormat="1" applyFont="1" applyFill="1" applyAlignment="1">
      <alignment vertical="center" wrapText="1"/>
    </xf>
    <xf numFmtId="17" fontId="6" fillId="2" borderId="12" xfId="0" applyNumberFormat="1" applyFont="1" applyFill="1" applyBorder="1" applyAlignment="1">
      <alignment horizontal="center" vertical="center" wrapText="1"/>
    </xf>
    <xf numFmtId="0" fontId="6" fillId="2" borderId="0" xfId="0" applyFont="1" applyFill="1" applyAlignment="1">
      <alignment vertical="center" wrapText="1"/>
    </xf>
    <xf numFmtId="14" fontId="6" fillId="2" borderId="0" xfId="0" applyNumberFormat="1" applyFont="1" applyFill="1" applyAlignment="1">
      <alignment vertical="center" wrapText="1"/>
    </xf>
    <xf numFmtId="14" fontId="6" fillId="2" borderId="0" xfId="0" applyNumberFormat="1" applyFont="1" applyFill="1" applyAlignment="1">
      <alignment horizontal="center" vertical="center" wrapText="1"/>
    </xf>
    <xf numFmtId="14" fontId="2" fillId="3" borderId="0" xfId="0" applyNumberFormat="1" applyFont="1" applyFill="1" applyAlignment="1">
      <alignment horizontal="center" vertical="center" wrapText="1"/>
    </xf>
    <xf numFmtId="14" fontId="2" fillId="2" borderId="0" xfId="0" applyNumberFormat="1" applyFont="1" applyFill="1" applyAlignment="1">
      <alignment horizontal="center" vertical="center" wrapText="1"/>
    </xf>
    <xf numFmtId="14" fontId="3" fillId="2" borderId="0" xfId="0" applyNumberFormat="1" applyFont="1" applyFill="1" applyAlignment="1">
      <alignment horizontal="left" vertical="center" wrapText="1" indent="1"/>
    </xf>
    <xf numFmtId="14" fontId="6" fillId="3" borderId="0" xfId="0" applyNumberFormat="1" applyFont="1" applyFill="1" applyAlignment="1">
      <alignment horizontal="center" vertical="center" wrapText="1"/>
    </xf>
    <xf numFmtId="0" fontId="2" fillId="5" borderId="12" xfId="0" applyFont="1" applyFill="1" applyBorder="1" applyAlignment="1">
      <alignment vertical="center" wrapText="1"/>
    </xf>
    <xf numFmtId="0" fontId="4" fillId="5" borderId="12" xfId="0" applyFont="1" applyFill="1" applyBorder="1" applyAlignment="1">
      <alignment vertical="center" wrapText="1"/>
    </xf>
    <xf numFmtId="0" fontId="2" fillId="2" borderId="0" xfId="0" applyFont="1" applyFill="1" applyAlignment="1">
      <alignment horizontal="center" vertical="center" wrapText="1"/>
    </xf>
    <xf numFmtId="0" fontId="4" fillId="2" borderId="0" xfId="0" applyFont="1" applyFill="1" applyBorder="1" applyAlignment="1" applyProtection="1">
      <alignment horizontal="left" vertical="center" wrapText="1" indent="1"/>
    </xf>
    <xf numFmtId="0" fontId="17" fillId="0" borderId="16" xfId="5" applyFont="1" applyFill="1" applyBorder="1" applyAlignment="1">
      <alignment horizontal="center" vertical="center"/>
    </xf>
    <xf numFmtId="0" fontId="40" fillId="4" borderId="33" xfId="0" applyFont="1" applyFill="1" applyBorder="1" applyAlignment="1">
      <alignment horizontal="center" vertical="center" wrapText="1"/>
    </xf>
    <xf numFmtId="0" fontId="0" fillId="0" borderId="0" xfId="0"/>
    <xf numFmtId="0" fontId="0" fillId="0" borderId="0" xfId="0"/>
    <xf numFmtId="0" fontId="0" fillId="0" borderId="0" xfId="0"/>
    <xf numFmtId="0" fontId="0" fillId="0" borderId="0" xfId="0"/>
    <xf numFmtId="0" fontId="5" fillId="4" borderId="5" xfId="0" applyFont="1" applyFill="1" applyBorder="1" applyAlignment="1">
      <alignment horizontal="center" vertical="center" wrapText="1"/>
    </xf>
    <xf numFmtId="0" fontId="18" fillId="2" borderId="0" xfId="0" applyFont="1" applyFill="1" applyAlignment="1">
      <alignment vertical="center" wrapText="1"/>
    </xf>
    <xf numFmtId="0" fontId="2" fillId="2" borderId="0" xfId="0" applyFont="1" applyFill="1" applyAlignment="1">
      <alignment horizontal="center" vertical="center" wrapText="1"/>
    </xf>
    <xf numFmtId="0" fontId="57" fillId="2" borderId="0" xfId="0" applyFont="1" applyFill="1" applyAlignment="1">
      <alignment vertical="center" wrapText="1"/>
    </xf>
    <xf numFmtId="0" fontId="2" fillId="2" borderId="0" xfId="0" applyFont="1" applyFill="1" applyAlignment="1">
      <alignment horizontal="left" vertical="center" wrapText="1" indent="1"/>
    </xf>
    <xf numFmtId="0" fontId="3" fillId="2" borderId="0" xfId="0" applyFont="1" applyFill="1" applyAlignment="1">
      <alignment horizontal="left" vertical="center" wrapText="1" indent="1"/>
    </xf>
    <xf numFmtId="17" fontId="2" fillId="2" borderId="0" xfId="0" applyNumberFormat="1" applyFont="1" applyFill="1" applyAlignment="1">
      <alignment horizontal="center" vertical="center" wrapText="1"/>
    </xf>
    <xf numFmtId="17" fontId="4" fillId="2" borderId="0" xfId="0" applyNumberFormat="1" applyFont="1" applyFill="1" applyAlignment="1">
      <alignment horizontal="center" vertical="center" wrapText="1"/>
    </xf>
    <xf numFmtId="0" fontId="2" fillId="2" borderId="0" xfId="0" applyFont="1" applyFill="1" applyAlignment="1">
      <alignment vertical="center" wrapText="1"/>
    </xf>
    <xf numFmtId="0" fontId="33" fillId="18" borderId="50" xfId="0" applyFont="1" applyFill="1" applyBorder="1" applyAlignment="1">
      <alignment vertical="top" wrapText="1" readingOrder="1"/>
    </xf>
    <xf numFmtId="0" fontId="11" fillId="18" borderId="50" xfId="0" applyFont="1" applyFill="1" applyBorder="1" applyAlignment="1">
      <alignment horizontal="center" vertical="center" wrapText="1" readingOrder="1"/>
    </xf>
    <xf numFmtId="0" fontId="11" fillId="18" borderId="54" xfId="0" applyFont="1" applyFill="1" applyBorder="1" applyAlignment="1">
      <alignment vertical="top" wrapText="1" readingOrder="1"/>
    </xf>
    <xf numFmtId="0" fontId="11" fillId="18" borderId="54" xfId="0" applyFont="1" applyFill="1" applyBorder="1" applyAlignment="1">
      <alignment horizontal="center" vertical="top" wrapText="1" readingOrder="1"/>
    </xf>
    <xf numFmtId="0" fontId="11" fillId="18" borderId="54" xfId="0" applyFont="1" applyFill="1" applyBorder="1" applyAlignment="1">
      <alignment horizontal="center" vertical="center" wrapText="1" readingOrder="1"/>
    </xf>
    <xf numFmtId="0" fontId="33" fillId="18" borderId="50" xfId="0" applyFont="1" applyFill="1" applyBorder="1" applyAlignment="1">
      <alignment horizontal="center" wrapText="1" readingOrder="1"/>
    </xf>
    <xf numFmtId="0" fontId="33" fillId="18" borderId="57" xfId="0" applyFont="1" applyFill="1" applyBorder="1" applyAlignment="1">
      <alignment horizontal="center" vertical="top" wrapText="1" readingOrder="1"/>
    </xf>
    <xf numFmtId="0" fontId="33" fillId="18" borderId="54" xfId="0" applyFont="1" applyFill="1" applyBorder="1" applyAlignment="1">
      <alignment horizontal="center" vertical="center" wrapText="1" readingOrder="1"/>
    </xf>
    <xf numFmtId="0" fontId="33" fillId="18" borderId="0" xfId="0" applyFont="1" applyFill="1" applyAlignment="1">
      <alignment horizontal="center" vertical="center" wrapText="1" readingOrder="1"/>
    </xf>
    <xf numFmtId="0" fontId="33" fillId="18" borderId="54" xfId="0" applyFont="1" applyFill="1" applyBorder="1" applyAlignment="1">
      <alignment horizontal="center" vertical="top" wrapText="1" readingOrder="1"/>
    </xf>
    <xf numFmtId="0" fontId="33" fillId="18" borderId="57" xfId="0" applyFont="1" applyFill="1" applyBorder="1" applyAlignment="1">
      <alignment horizontal="center" vertical="center" wrapText="1" readingOrder="1"/>
    </xf>
    <xf numFmtId="175" fontId="11" fillId="0" borderId="51" xfId="0" applyNumberFormat="1" applyFont="1" applyBorder="1" applyAlignment="1">
      <alignment horizontal="center" vertical="center" wrapText="1" readingOrder="1"/>
    </xf>
    <xf numFmtId="0" fontId="35" fillId="0" borderId="51" xfId="0" applyFont="1" applyBorder="1" applyAlignment="1">
      <alignment horizontal="left" vertical="top" wrapText="1" readingOrder="1"/>
    </xf>
    <xf numFmtId="0" fontId="11" fillId="19" borderId="51" xfId="0" applyFont="1" applyFill="1" applyBorder="1" applyAlignment="1">
      <alignment horizontal="center" vertical="center" wrapText="1" readingOrder="1"/>
    </xf>
    <xf numFmtId="0" fontId="36" fillId="20" borderId="51" xfId="0" applyFont="1" applyFill="1" applyBorder="1" applyAlignment="1">
      <alignment horizontal="center" vertical="center" wrapText="1" readingOrder="1"/>
    </xf>
    <xf numFmtId="0" fontId="36" fillId="0" borderId="51" xfId="0" applyFont="1" applyBorder="1" applyAlignment="1">
      <alignment horizontal="center" vertical="center" wrapText="1" readingOrder="1"/>
    </xf>
    <xf numFmtId="170" fontId="36" fillId="0" borderId="51" xfId="0" applyNumberFormat="1" applyFont="1" applyBorder="1" applyAlignment="1">
      <alignment horizontal="center" vertical="center" wrapText="1" readingOrder="1"/>
    </xf>
    <xf numFmtId="172" fontId="11" fillId="0" borderId="51" xfId="0" applyNumberFormat="1" applyFont="1" applyBorder="1" applyAlignment="1">
      <alignment horizontal="center" vertical="center" wrapText="1" readingOrder="1"/>
    </xf>
    <xf numFmtId="170" fontId="11" fillId="0" borderId="51" xfId="0" applyNumberFormat="1" applyFont="1" applyBorder="1" applyAlignment="1">
      <alignment horizontal="center" vertical="center" wrapText="1" readingOrder="1"/>
    </xf>
    <xf numFmtId="0" fontId="44" fillId="22" borderId="51" xfId="0" applyFont="1" applyFill="1" applyBorder="1" applyAlignment="1">
      <alignment horizontal="center" vertical="center" wrapText="1" readingOrder="1"/>
    </xf>
    <xf numFmtId="171" fontId="11" fillId="0" borderId="51" xfId="0" applyNumberFormat="1" applyFont="1" applyBorder="1" applyAlignment="1">
      <alignment horizontal="center" vertical="center" wrapText="1" readingOrder="1"/>
    </xf>
    <xf numFmtId="173" fontId="11" fillId="0" borderId="51" xfId="0" applyNumberFormat="1" applyFont="1" applyBorder="1" applyAlignment="1">
      <alignment horizontal="center" vertical="center" wrapText="1" readingOrder="1"/>
    </xf>
    <xf numFmtId="174" fontId="37" fillId="0" borderId="51" xfId="0" applyNumberFormat="1" applyFont="1" applyBorder="1" applyAlignment="1">
      <alignment horizontal="center" vertical="center" wrapText="1" readingOrder="1"/>
    </xf>
    <xf numFmtId="174" fontId="39" fillId="0" borderId="51" xfId="0" applyNumberFormat="1" applyFont="1" applyBorder="1" applyAlignment="1">
      <alignment horizontal="center" vertical="center" wrapText="1" readingOrder="1"/>
    </xf>
    <xf numFmtId="0" fontId="36" fillId="20" borderId="51" xfId="0" applyFont="1" applyFill="1" applyBorder="1" applyAlignment="1">
      <alignment vertical="top" wrapText="1" readingOrder="1"/>
    </xf>
    <xf numFmtId="0" fontId="45" fillId="20" borderId="51" xfId="0" applyFont="1" applyFill="1" applyBorder="1" applyAlignment="1">
      <alignment horizontal="center" vertical="center" wrapText="1"/>
    </xf>
    <xf numFmtId="0" fontId="11" fillId="0" borderId="51" xfId="0" applyFont="1" applyBorder="1" applyAlignment="1">
      <alignment horizontal="center" vertical="center" wrapText="1" readingOrder="1"/>
    </xf>
    <xf numFmtId="0" fontId="37" fillId="0" borderId="51" xfId="0" applyFont="1" applyBorder="1" applyAlignment="1">
      <alignment horizontal="center" vertical="center" wrapText="1" readingOrder="1"/>
    </xf>
    <xf numFmtId="0" fontId="39" fillId="0" borderId="51" xfId="0" applyFont="1" applyBorder="1" applyAlignment="1">
      <alignment horizontal="center" vertical="center" wrapText="1" readingOrder="1"/>
    </xf>
    <xf numFmtId="0" fontId="44" fillId="19" borderId="51" xfId="0" applyFont="1" applyFill="1" applyBorder="1" applyAlignment="1">
      <alignment horizontal="center" vertical="center" wrapText="1" readingOrder="1"/>
    </xf>
    <xf numFmtId="0" fontId="44" fillId="21" borderId="51" xfId="0" applyFont="1" applyFill="1" applyBorder="1" applyAlignment="1">
      <alignment horizontal="center" vertical="center" wrapText="1" readingOrder="1"/>
    </xf>
    <xf numFmtId="0" fontId="33" fillId="0" borderId="51" xfId="0" applyFont="1" applyBorder="1" applyAlignment="1">
      <alignment horizontal="center" vertical="center" wrapText="1" readingOrder="1"/>
    </xf>
    <xf numFmtId="174" fontId="38" fillId="0" borderId="51" xfId="0" applyNumberFormat="1" applyFont="1" applyBorder="1" applyAlignment="1">
      <alignment horizontal="center" vertical="center" wrapText="1" readingOrder="1"/>
    </xf>
    <xf numFmtId="0" fontId="38" fillId="0" borderId="51" xfId="0" applyFont="1" applyBorder="1" applyAlignment="1">
      <alignment horizontal="center" vertical="center" wrapText="1" readingOrder="1"/>
    </xf>
    <xf numFmtId="0" fontId="44" fillId="0" borderId="51" xfId="0" applyFont="1" applyBorder="1" applyAlignment="1">
      <alignment horizontal="center" vertical="center" wrapText="1" readingOrder="1"/>
    </xf>
    <xf numFmtId="0" fontId="60" fillId="0" borderId="0" xfId="0" applyFont="1"/>
    <xf numFmtId="178" fontId="62" fillId="0" borderId="0" xfId="0" applyNumberFormat="1" applyFont="1" applyAlignment="1">
      <alignment horizontal="center" wrapText="1"/>
    </xf>
    <xf numFmtId="0" fontId="62" fillId="0" borderId="0" xfId="0" applyFont="1" applyAlignment="1">
      <alignment horizontal="left"/>
    </xf>
    <xf numFmtId="0" fontId="59" fillId="0" borderId="0" xfId="0" applyFont="1" applyAlignment="1">
      <alignment horizontal="center" wrapText="1"/>
    </xf>
    <xf numFmtId="0" fontId="60" fillId="0" borderId="0" xfId="0" applyFont="1" applyAlignment="1">
      <alignment vertical="center"/>
    </xf>
    <xf numFmtId="0" fontId="60" fillId="0" borderId="0" xfId="0" applyFont="1" applyAlignment="1">
      <alignment vertical="center" wrapText="1"/>
    </xf>
    <xf numFmtId="0" fontId="7" fillId="0" borderId="44" xfId="0" applyFont="1" applyBorder="1" applyAlignment="1">
      <alignment vertical="center"/>
    </xf>
    <xf numFmtId="0" fontId="7" fillId="0" borderId="42" xfId="0" applyFont="1" applyBorder="1" applyAlignment="1">
      <alignment vertical="center"/>
    </xf>
    <xf numFmtId="0" fontId="7" fillId="0" borderId="45" xfId="0" applyFont="1" applyBorder="1" applyAlignment="1">
      <alignment vertical="center"/>
    </xf>
    <xf numFmtId="0" fontId="7" fillId="0" borderId="20" xfId="0" applyFont="1" applyBorder="1" applyAlignment="1">
      <alignment vertical="center" wrapText="1"/>
    </xf>
    <xf numFmtId="0" fontId="7" fillId="0" borderId="20" xfId="0" applyFont="1" applyBorder="1" applyAlignment="1">
      <alignment vertical="center"/>
    </xf>
    <xf numFmtId="177" fontId="7" fillId="0" borderId="21" xfId="0" applyNumberFormat="1" applyFont="1" applyBorder="1" applyAlignment="1">
      <alignment vertical="center"/>
    </xf>
    <xf numFmtId="0" fontId="7" fillId="0" borderId="42" xfId="0" applyFont="1" applyBorder="1" applyAlignment="1">
      <alignment vertical="center" wrapText="1"/>
    </xf>
    <xf numFmtId="0" fontId="7" fillId="0" borderId="17" xfId="0" applyFont="1" applyBorder="1" applyAlignment="1">
      <alignment vertical="center" wrapText="1"/>
    </xf>
    <xf numFmtId="0" fontId="7" fillId="0" borderId="17" xfId="0" applyFont="1" applyBorder="1" applyAlignment="1">
      <alignment vertical="center"/>
    </xf>
    <xf numFmtId="177" fontId="7" fillId="0" borderId="0" xfId="0" applyNumberFormat="1" applyFont="1" applyAlignment="1">
      <alignment vertical="center"/>
    </xf>
    <xf numFmtId="0" fontId="7" fillId="0" borderId="16" xfId="0" applyFont="1" applyBorder="1" applyAlignment="1">
      <alignment vertical="center"/>
    </xf>
    <xf numFmtId="0" fontId="7" fillId="0" borderId="0" xfId="0" applyFont="1" applyAlignment="1">
      <alignment vertical="center"/>
    </xf>
    <xf numFmtId="177" fontId="7" fillId="0" borderId="0" xfId="0" applyNumberFormat="1" applyFont="1" applyAlignment="1">
      <alignment vertical="center" wrapText="1"/>
    </xf>
    <xf numFmtId="0" fontId="60" fillId="0" borderId="72" xfId="0" applyFont="1" applyBorder="1" applyAlignment="1">
      <alignment vertical="center"/>
    </xf>
    <xf numFmtId="0" fontId="60" fillId="0" borderId="22" xfId="0" applyFont="1" applyBorder="1" applyAlignment="1">
      <alignment vertical="center"/>
    </xf>
    <xf numFmtId="0" fontId="60" fillId="0" borderId="72" xfId="0" applyFont="1" applyBorder="1" applyAlignment="1">
      <alignment vertical="center" wrapText="1"/>
    </xf>
    <xf numFmtId="0" fontId="60" fillId="0" borderId="17" xfId="0" applyFont="1" applyBorder="1" applyAlignment="1">
      <alignment vertical="center" wrapText="1"/>
    </xf>
    <xf numFmtId="0" fontId="60" fillId="0" borderId="27" xfId="0" applyFont="1" applyBorder="1" applyAlignment="1">
      <alignment vertical="center"/>
    </xf>
    <xf numFmtId="0" fontId="60" fillId="0" borderId="17" xfId="0" applyFont="1" applyBorder="1" applyAlignment="1">
      <alignment vertical="center"/>
    </xf>
    <xf numFmtId="0" fontId="60" fillId="0" borderId="28" xfId="0" applyFont="1" applyBorder="1" applyAlignment="1">
      <alignment vertical="center"/>
    </xf>
    <xf numFmtId="0" fontId="60" fillId="0" borderId="73" xfId="0" applyFont="1" applyBorder="1" applyAlignment="1">
      <alignment vertical="center"/>
    </xf>
    <xf numFmtId="0" fontId="60" fillId="0" borderId="39" xfId="0" applyFont="1" applyBorder="1" applyAlignment="1">
      <alignment vertical="center"/>
    </xf>
    <xf numFmtId="0" fontId="60" fillId="0" borderId="74" xfId="0" applyFont="1" applyBorder="1" applyAlignment="1">
      <alignment vertical="center"/>
    </xf>
    <xf numFmtId="0" fontId="0" fillId="0" borderId="20" xfId="0" applyBorder="1" applyAlignment="1">
      <alignment vertical="center"/>
    </xf>
    <xf numFmtId="0" fontId="0" fillId="0" borderId="42" xfId="0" applyBorder="1" applyAlignment="1">
      <alignment vertical="center" wrapText="1"/>
    </xf>
    <xf numFmtId="0" fontId="0" fillId="0" borderId="45" xfId="0" applyBorder="1" applyAlignment="1">
      <alignment vertical="center"/>
    </xf>
    <xf numFmtId="0" fontId="61" fillId="0" borderId="0" xfId="0" applyFont="1" applyAlignment="1">
      <alignment vertical="center"/>
    </xf>
    <xf numFmtId="0" fontId="0" fillId="0" borderId="0" xfId="0" applyAlignment="1">
      <alignment vertical="center"/>
    </xf>
    <xf numFmtId="177" fontId="0" fillId="0" borderId="0" xfId="0" applyNumberFormat="1" applyAlignment="1">
      <alignment vertical="center"/>
    </xf>
    <xf numFmtId="0" fontId="60" fillId="24" borderId="16" xfId="0" applyFont="1" applyFill="1" applyBorder="1" applyAlignment="1">
      <alignment vertical="center"/>
    </xf>
    <xf numFmtId="0" fontId="60" fillId="24" borderId="18" xfId="0" applyFont="1" applyFill="1" applyBorder="1" applyAlignment="1">
      <alignment horizontal="left" vertical="center" wrapText="1"/>
    </xf>
    <xf numFmtId="0" fontId="60" fillId="25" borderId="16" xfId="0" applyFont="1" applyFill="1" applyBorder="1" applyAlignment="1">
      <alignment vertical="center"/>
    </xf>
    <xf numFmtId="0" fontId="60" fillId="25" borderId="18" xfId="0" applyFont="1" applyFill="1" applyBorder="1" applyAlignment="1">
      <alignment horizontal="left" vertical="center" wrapText="1"/>
    </xf>
    <xf numFmtId="0" fontId="60" fillId="26" borderId="16" xfId="0" applyFont="1" applyFill="1" applyBorder="1" applyAlignment="1">
      <alignment vertical="center"/>
    </xf>
    <xf numFmtId="0" fontId="60" fillId="26" borderId="18" xfId="0" applyFont="1" applyFill="1" applyBorder="1" applyAlignment="1">
      <alignment horizontal="left" vertical="center" wrapText="1"/>
    </xf>
    <xf numFmtId="0" fontId="60" fillId="27" borderId="16" xfId="0" applyFont="1" applyFill="1" applyBorder="1" applyAlignment="1">
      <alignment vertical="center"/>
    </xf>
    <xf numFmtId="0" fontId="60" fillId="27" borderId="18" xfId="0" applyFont="1" applyFill="1" applyBorder="1" applyAlignment="1">
      <alignment horizontal="left" vertical="center" wrapText="1"/>
    </xf>
    <xf numFmtId="0" fontId="60" fillId="24" borderId="38" xfId="0" applyFont="1" applyFill="1" applyBorder="1" applyAlignment="1">
      <alignment vertical="center"/>
    </xf>
    <xf numFmtId="0" fontId="60" fillId="24" borderId="37" xfId="0" applyFont="1" applyFill="1" applyBorder="1" applyAlignment="1">
      <alignment horizontal="left" vertical="center" wrapText="1"/>
    </xf>
    <xf numFmtId="0" fontId="60" fillId="25" borderId="38" xfId="0" applyFont="1" applyFill="1" applyBorder="1" applyAlignment="1">
      <alignment vertical="center"/>
    </xf>
    <xf numFmtId="0" fontId="60" fillId="25" borderId="37" xfId="0" applyFont="1" applyFill="1" applyBorder="1" applyAlignment="1">
      <alignment horizontal="left" vertical="center" wrapText="1"/>
    </xf>
    <xf numFmtId="0" fontId="60" fillId="26" borderId="38" xfId="0" applyFont="1" applyFill="1" applyBorder="1" applyAlignment="1">
      <alignment vertical="center"/>
    </xf>
    <xf numFmtId="0" fontId="60" fillId="26" borderId="37" xfId="0" applyFont="1" applyFill="1" applyBorder="1" applyAlignment="1">
      <alignment horizontal="left" vertical="center" wrapText="1"/>
    </xf>
    <xf numFmtId="0" fontId="60" fillId="27" borderId="38" xfId="0" applyFont="1" applyFill="1" applyBorder="1" applyAlignment="1">
      <alignment vertical="center"/>
    </xf>
    <xf numFmtId="0" fontId="60" fillId="27" borderId="37" xfId="0" applyFont="1" applyFill="1" applyBorder="1" applyAlignment="1">
      <alignment horizontal="left" vertical="center" wrapText="1"/>
    </xf>
    <xf numFmtId="0" fontId="60" fillId="0" borderId="63" xfId="0" applyFont="1" applyBorder="1" applyAlignment="1">
      <alignment vertical="center"/>
    </xf>
    <xf numFmtId="0" fontId="63" fillId="24" borderId="38" xfId="0" applyFont="1" applyFill="1" applyBorder="1" applyAlignment="1">
      <alignment vertical="center"/>
    </xf>
    <xf numFmtId="0" fontId="61" fillId="25" borderId="38" xfId="0" applyFont="1" applyFill="1" applyBorder="1" applyAlignment="1">
      <alignment vertical="center"/>
    </xf>
    <xf numFmtId="0" fontId="60" fillId="24" borderId="19" xfId="0" applyFont="1" applyFill="1" applyBorder="1" applyAlignment="1">
      <alignment vertical="center"/>
    </xf>
    <xf numFmtId="177" fontId="60" fillId="24" borderId="21" xfId="0" applyNumberFormat="1" applyFont="1" applyFill="1" applyBorder="1" applyAlignment="1">
      <alignment horizontal="left" vertical="center" wrapText="1"/>
    </xf>
    <xf numFmtId="0" fontId="60" fillId="25" borderId="19" xfId="0" applyFont="1" applyFill="1" applyBorder="1" applyAlignment="1">
      <alignment vertical="center"/>
    </xf>
    <xf numFmtId="177" fontId="60" fillId="25" borderId="21" xfId="0" applyNumberFormat="1" applyFont="1" applyFill="1" applyBorder="1" applyAlignment="1">
      <alignment horizontal="left" vertical="center" wrapText="1"/>
    </xf>
    <xf numFmtId="0" fontId="60" fillId="26" borderId="19" xfId="0" applyFont="1" applyFill="1" applyBorder="1" applyAlignment="1">
      <alignment vertical="center"/>
    </xf>
    <xf numFmtId="177" fontId="60" fillId="26" borderId="21" xfId="0" applyNumberFormat="1" applyFont="1" applyFill="1" applyBorder="1" applyAlignment="1">
      <alignment horizontal="left" vertical="center" wrapText="1"/>
    </xf>
    <xf numFmtId="0" fontId="60" fillId="27" borderId="19" xfId="0" applyFont="1" applyFill="1" applyBorder="1" applyAlignment="1">
      <alignment vertical="center"/>
    </xf>
    <xf numFmtId="177" fontId="60" fillId="27" borderId="21" xfId="0" applyNumberFormat="1" applyFont="1" applyFill="1" applyBorder="1" applyAlignment="1">
      <alignment horizontal="left" vertical="center" wrapText="1"/>
    </xf>
    <xf numFmtId="0" fontId="60" fillId="28" borderId="16" xfId="0" applyFont="1" applyFill="1" applyBorder="1" applyAlignment="1">
      <alignment vertical="center"/>
    </xf>
    <xf numFmtId="0" fontId="60" fillId="28" borderId="18" xfId="0" applyFont="1" applyFill="1" applyBorder="1" applyAlignment="1">
      <alignment horizontal="left" vertical="center" wrapText="1"/>
    </xf>
    <xf numFmtId="0" fontId="60" fillId="28" borderId="38" xfId="0" applyFont="1" applyFill="1" applyBorder="1" applyAlignment="1">
      <alignment vertical="center"/>
    </xf>
    <xf numFmtId="0" fontId="60" fillId="28" borderId="37" xfId="0" applyFont="1" applyFill="1" applyBorder="1" applyAlignment="1">
      <alignment horizontal="left" vertical="center" wrapText="1"/>
    </xf>
    <xf numFmtId="177" fontId="60" fillId="0" borderId="0" xfId="0" applyNumberFormat="1" applyFont="1" applyAlignment="1">
      <alignment horizontal="left" vertical="center" wrapText="1"/>
    </xf>
    <xf numFmtId="0" fontId="61" fillId="26" borderId="38" xfId="0" applyFont="1" applyFill="1" applyBorder="1" applyAlignment="1">
      <alignment vertical="center"/>
    </xf>
    <xf numFmtId="0" fontId="60" fillId="28" borderId="19" xfId="0" applyFont="1" applyFill="1" applyBorder="1" applyAlignment="1">
      <alignment vertical="center"/>
    </xf>
    <xf numFmtId="177" fontId="60" fillId="28" borderId="21" xfId="0" applyNumberFormat="1" applyFont="1" applyFill="1" applyBorder="1" applyAlignment="1">
      <alignment horizontal="left" vertical="center" wrapText="1"/>
    </xf>
    <xf numFmtId="0" fontId="60" fillId="28" borderId="37" xfId="0" applyFont="1" applyFill="1" applyBorder="1" applyAlignment="1">
      <alignment vertical="center"/>
    </xf>
    <xf numFmtId="0" fontId="60" fillId="17" borderId="16" xfId="0" applyFont="1" applyFill="1" applyBorder="1" applyAlignment="1">
      <alignment vertical="center"/>
    </xf>
    <xf numFmtId="0" fontId="60" fillId="17" borderId="18" xfId="0" applyFont="1" applyFill="1" applyBorder="1" applyAlignment="1">
      <alignment horizontal="left" vertical="center" wrapText="1"/>
    </xf>
    <xf numFmtId="0" fontId="60" fillId="17" borderId="38" xfId="0" applyFont="1" applyFill="1" applyBorder="1" applyAlignment="1">
      <alignment vertical="center"/>
    </xf>
    <xf numFmtId="0" fontId="60" fillId="17" borderId="37" xfId="0" applyFont="1" applyFill="1" applyBorder="1" applyAlignment="1">
      <alignment horizontal="left" vertical="center" wrapText="1"/>
    </xf>
    <xf numFmtId="0" fontId="60" fillId="17" borderId="19" xfId="0" applyFont="1" applyFill="1" applyBorder="1" applyAlignment="1">
      <alignment vertical="center"/>
    </xf>
    <xf numFmtId="177" fontId="60" fillId="17" borderId="21" xfId="0" applyNumberFormat="1" applyFont="1" applyFill="1" applyBorder="1" applyAlignment="1">
      <alignment horizontal="left" vertical="center" wrapText="1"/>
    </xf>
    <xf numFmtId="0" fontId="60" fillId="0" borderId="75" xfId="0" applyFont="1" applyBorder="1" applyAlignment="1">
      <alignment vertical="center"/>
    </xf>
    <xf numFmtId="0" fontId="60" fillId="0" borderId="0" xfId="0" applyFont="1" applyAlignment="1">
      <alignment horizontal="left" vertical="center"/>
    </xf>
    <xf numFmtId="0" fontId="60" fillId="0" borderId="41" xfId="0" applyFont="1" applyBorder="1" applyAlignment="1">
      <alignment vertical="center"/>
    </xf>
    <xf numFmtId="177" fontId="60" fillId="24" borderId="49" xfId="0" applyNumberFormat="1" applyFont="1" applyFill="1" applyBorder="1" applyAlignment="1">
      <alignment horizontal="left" vertical="center"/>
    </xf>
    <xf numFmtId="0" fontId="60" fillId="25" borderId="49" xfId="0" applyFont="1" applyFill="1" applyBorder="1" applyAlignment="1">
      <alignment horizontal="left" vertical="center"/>
    </xf>
    <xf numFmtId="0" fontId="60" fillId="26" borderId="49" xfId="0" applyFont="1" applyFill="1" applyBorder="1" applyAlignment="1">
      <alignment vertical="center"/>
    </xf>
    <xf numFmtId="0" fontId="60" fillId="0" borderId="76" xfId="0" applyFont="1" applyBorder="1" applyAlignment="1">
      <alignment vertical="center"/>
    </xf>
    <xf numFmtId="0" fontId="60" fillId="28" borderId="49" xfId="0" applyFont="1" applyFill="1" applyBorder="1" applyAlignment="1">
      <alignment vertical="center"/>
    </xf>
    <xf numFmtId="0" fontId="60" fillId="27" borderId="49" xfId="0" applyFont="1" applyFill="1" applyBorder="1" applyAlignment="1">
      <alignment vertical="center"/>
    </xf>
    <xf numFmtId="0" fontId="60" fillId="0" borderId="77" xfId="0" applyFont="1" applyBorder="1" applyAlignment="1">
      <alignment vertical="center"/>
    </xf>
    <xf numFmtId="0" fontId="64" fillId="0" borderId="0" xfId="0" applyFont="1" applyAlignment="1">
      <alignment vertical="center" wrapText="1"/>
    </xf>
    <xf numFmtId="0" fontId="60" fillId="0" borderId="26" xfId="0" applyFont="1" applyBorder="1" applyAlignment="1">
      <alignment vertical="center"/>
    </xf>
    <xf numFmtId="0" fontId="64" fillId="29" borderId="78" xfId="0" applyFont="1" applyFill="1" applyBorder="1" applyAlignment="1">
      <alignment vertical="center"/>
    </xf>
    <xf numFmtId="0" fontId="64" fillId="29" borderId="79" xfId="0" applyFont="1" applyFill="1" applyBorder="1" applyAlignment="1">
      <alignment horizontal="left" vertical="center" wrapText="1"/>
    </xf>
    <xf numFmtId="0" fontId="64" fillId="29" borderId="77" xfId="0" applyFont="1" applyFill="1" applyBorder="1" applyAlignment="1">
      <alignment vertical="center"/>
    </xf>
    <xf numFmtId="0" fontId="64" fillId="29" borderId="80" xfId="0" applyFont="1" applyFill="1" applyBorder="1" applyAlignment="1">
      <alignment horizontal="left" vertical="center" wrapText="1"/>
    </xf>
    <xf numFmtId="0" fontId="60" fillId="0" borderId="81" xfId="0" applyFont="1" applyBorder="1" applyAlignment="1">
      <alignment vertical="center"/>
    </xf>
    <xf numFmtId="0" fontId="64" fillId="29" borderId="82" xfId="0" applyFont="1" applyFill="1" applyBorder="1" applyAlignment="1">
      <alignment vertical="center"/>
    </xf>
    <xf numFmtId="177" fontId="64" fillId="29" borderId="83" xfId="0" applyNumberFormat="1" applyFont="1" applyFill="1" applyBorder="1" applyAlignment="1">
      <alignment horizontal="left" vertical="center" wrapText="1"/>
    </xf>
    <xf numFmtId="0" fontId="60" fillId="0" borderId="0" xfId="0" applyFont="1" applyAlignment="1">
      <alignment wrapText="1"/>
    </xf>
    <xf numFmtId="0" fontId="64" fillId="0" borderId="0" xfId="0" applyFont="1" applyAlignment="1">
      <alignment vertical="center"/>
    </xf>
    <xf numFmtId="0" fontId="60" fillId="0" borderId="79" xfId="0" applyFont="1" applyBorder="1" applyAlignment="1">
      <alignment vertical="center"/>
    </xf>
    <xf numFmtId="0" fontId="60" fillId="28" borderId="38" xfId="0" applyFont="1" applyFill="1" applyBorder="1" applyAlignment="1">
      <alignment vertical="center" wrapText="1"/>
    </xf>
    <xf numFmtId="0" fontId="60" fillId="0" borderId="80" xfId="0" applyFont="1" applyBorder="1" applyAlignment="1">
      <alignment vertical="center"/>
    </xf>
    <xf numFmtId="0" fontId="0" fillId="0" borderId="0" xfId="0" applyAlignment="1">
      <alignment horizontal="center" vertical="center"/>
    </xf>
    <xf numFmtId="0" fontId="60" fillId="0" borderId="0" xfId="0" applyFont="1" applyAlignment="1">
      <alignment horizontal="left" vertical="center" wrapText="1"/>
    </xf>
    <xf numFmtId="0" fontId="60" fillId="0" borderId="83" xfId="0" applyFont="1" applyBorder="1" applyAlignment="1">
      <alignment vertical="center"/>
    </xf>
    <xf numFmtId="0" fontId="0" fillId="0" borderId="42" xfId="0" applyBorder="1" applyAlignment="1">
      <alignment vertical="center"/>
    </xf>
    <xf numFmtId="0" fontId="65" fillId="0" borderId="0" xfId="0" applyFont="1" applyAlignment="1">
      <alignment horizontal="left" vertical="center"/>
    </xf>
    <xf numFmtId="0" fontId="61" fillId="0" borderId="74" xfId="0" applyFont="1" applyBorder="1" applyAlignment="1">
      <alignment vertical="center"/>
    </xf>
    <xf numFmtId="0" fontId="61" fillId="0" borderId="23" xfId="0" applyFont="1" applyBorder="1" applyAlignment="1">
      <alignment vertical="center"/>
    </xf>
    <xf numFmtId="0" fontId="61" fillId="0" borderId="39" xfId="0" applyFont="1" applyBorder="1" applyAlignment="1">
      <alignment vertical="center"/>
    </xf>
    <xf numFmtId="177" fontId="66" fillId="0" borderId="49" xfId="0" applyNumberFormat="1" applyFont="1" applyBorder="1" applyAlignment="1">
      <alignment horizontal="center" wrapText="1"/>
    </xf>
    <xf numFmtId="177" fontId="66" fillId="0" borderId="21" xfId="0" applyNumberFormat="1" applyFont="1" applyBorder="1" applyAlignment="1">
      <alignment vertical="center"/>
    </xf>
    <xf numFmtId="177" fontId="66" fillId="0" borderId="21" xfId="0" applyNumberFormat="1" applyFont="1" applyBorder="1" applyAlignment="1">
      <alignment vertical="center" wrapText="1"/>
    </xf>
    <xf numFmtId="0" fontId="36" fillId="0" borderId="51" xfId="0" applyFont="1" applyBorder="1" applyAlignment="1">
      <alignment horizontal="left" vertical="top" wrapText="1" readingOrder="1"/>
    </xf>
    <xf numFmtId="0" fontId="32" fillId="0" borderId="52" xfId="0" applyFont="1" applyBorder="1" applyAlignment="1">
      <alignment vertical="top" wrapText="1"/>
    </xf>
    <xf numFmtId="0" fontId="32" fillId="0" borderId="53" xfId="0" applyFont="1" applyBorder="1" applyAlignment="1">
      <alignment vertical="top" wrapText="1"/>
    </xf>
    <xf numFmtId="0" fontId="32" fillId="0" borderId="0" xfId="0" applyFont="1"/>
    <xf numFmtId="0" fontId="11" fillId="18" borderId="50" xfId="0" applyFont="1" applyFill="1" applyBorder="1" applyAlignment="1">
      <alignment horizontal="center" wrapText="1" readingOrder="1"/>
    </xf>
    <xf numFmtId="0" fontId="33" fillId="18" borderId="51" xfId="0" applyFont="1" applyFill="1" applyBorder="1" applyAlignment="1">
      <alignment horizontal="center" vertical="center" wrapText="1" readingOrder="1"/>
    </xf>
    <xf numFmtId="0" fontId="11" fillId="18" borderId="54" xfId="0" applyFont="1" applyFill="1" applyBorder="1" applyAlignment="1">
      <alignment horizontal="center" wrapText="1" readingOrder="1"/>
    </xf>
    <xf numFmtId="0" fontId="11" fillId="18" borderId="50" xfId="0" applyFont="1" applyFill="1" applyBorder="1" applyAlignment="1">
      <alignment vertical="top" wrapText="1" readingOrder="1"/>
    </xf>
    <xf numFmtId="0" fontId="0" fillId="0" borderId="10" xfId="0" applyBorder="1" applyAlignment="1">
      <alignment vertical="center" wrapText="1"/>
    </xf>
    <xf numFmtId="0" fontId="2" fillId="2" borderId="0" xfId="0" applyFont="1" applyFill="1" applyAlignment="1">
      <alignment horizontal="center" vertical="center" wrapText="1"/>
    </xf>
    <xf numFmtId="0" fontId="69" fillId="2" borderId="0" xfId="0" applyFont="1" applyFill="1" applyAlignment="1">
      <alignment vertical="center" wrapText="1"/>
    </xf>
    <xf numFmtId="0" fontId="18" fillId="2" borderId="0" xfId="0" applyFont="1" applyFill="1" applyBorder="1" applyAlignment="1">
      <alignment vertical="center" wrapText="1"/>
    </xf>
    <xf numFmtId="0" fontId="2" fillId="2" borderId="0" xfId="0" applyFont="1" applyFill="1" applyAlignment="1">
      <alignment vertical="center" wrapText="1"/>
    </xf>
    <xf numFmtId="0" fontId="6" fillId="2" borderId="0" xfId="0" applyFont="1" applyFill="1" applyAlignment="1" applyProtection="1">
      <alignment horizontal="left" vertical="center" wrapText="1" indent="1"/>
      <protection locked="0"/>
    </xf>
    <xf numFmtId="0" fontId="2" fillId="2" borderId="0" xfId="0" applyFont="1" applyFill="1" applyAlignment="1">
      <alignment horizontal="center" vertical="center" wrapText="1"/>
    </xf>
    <xf numFmtId="0" fontId="59" fillId="0" borderId="0" xfId="0" applyFont="1" applyAlignment="1">
      <alignment horizontal="center" wrapText="1"/>
    </xf>
    <xf numFmtId="0" fontId="7" fillId="0" borderId="44" xfId="0" applyFont="1" applyBorder="1" applyAlignment="1">
      <alignment horizontal="center" vertical="center"/>
    </xf>
    <xf numFmtId="0" fontId="7" fillId="0" borderId="42" xfId="0" applyFont="1" applyBorder="1" applyAlignment="1">
      <alignment horizontal="center" vertical="center"/>
    </xf>
    <xf numFmtId="0" fontId="7" fillId="0" borderId="45" xfId="0" applyFont="1" applyBorder="1" applyAlignment="1">
      <alignment horizontal="center" vertical="center"/>
    </xf>
    <xf numFmtId="0" fontId="7" fillId="0" borderId="44" xfId="0" applyFont="1" applyBorder="1" applyAlignment="1">
      <alignment horizontal="left" vertical="center"/>
    </xf>
    <xf numFmtId="0" fontId="7" fillId="0" borderId="42" xfId="0" applyFont="1" applyBorder="1" applyAlignment="1">
      <alignment horizontal="left" vertical="center"/>
    </xf>
    <xf numFmtId="17" fontId="2" fillId="3" borderId="17" xfId="0" applyNumberFormat="1" applyFont="1" applyFill="1" applyBorder="1" applyAlignment="1">
      <alignment horizontal="center" wrapText="1"/>
    </xf>
    <xf numFmtId="0" fontId="59" fillId="0" borderId="0" xfId="0" applyFont="1" applyAlignment="1">
      <alignment horizontal="center" vertical="center" wrapText="1"/>
    </xf>
    <xf numFmtId="0" fontId="60" fillId="0" borderId="0" xfId="0" applyFont="1" applyAlignment="1">
      <alignment horizontal="center" vertical="center"/>
    </xf>
    <xf numFmtId="0" fontId="7" fillId="0" borderId="19" xfId="0" applyFont="1" applyBorder="1" applyAlignment="1">
      <alignment vertical="center"/>
    </xf>
    <xf numFmtId="0" fontId="7" fillId="0" borderId="21" xfId="0" applyFont="1" applyBorder="1" applyAlignment="1">
      <alignment vertical="center"/>
    </xf>
    <xf numFmtId="0" fontId="7" fillId="0" borderId="20" xfId="0" applyFont="1" applyBorder="1" applyAlignment="1">
      <alignment horizontal="center" vertical="center"/>
    </xf>
    <xf numFmtId="0" fontId="7" fillId="0" borderId="0" xfId="0" applyFont="1" applyAlignment="1">
      <alignment horizontal="center" vertical="center"/>
    </xf>
    <xf numFmtId="0" fontId="61" fillId="0" borderId="23" xfId="0" applyFont="1" applyBorder="1" applyAlignment="1">
      <alignment horizontal="center" vertical="center"/>
    </xf>
    <xf numFmtId="0" fontId="61" fillId="0" borderId="0" xfId="0" applyFont="1" applyAlignment="1">
      <alignment horizontal="center" vertical="center"/>
    </xf>
    <xf numFmtId="0" fontId="70" fillId="0" borderId="0" xfId="0" applyFont="1" applyAlignment="1">
      <alignment horizontal="center" vertical="center"/>
    </xf>
    <xf numFmtId="0" fontId="71" fillId="0" borderId="0" xfId="0" applyFont="1" applyAlignment="1">
      <alignment vertical="center" wrapText="1"/>
    </xf>
    <xf numFmtId="0" fontId="72" fillId="0" borderId="0" xfId="0" applyFont="1" applyAlignment="1">
      <alignment horizontal="left"/>
    </xf>
    <xf numFmtId="0" fontId="60" fillId="0" borderId="0" xfId="0" applyFont="1" applyAlignment="1">
      <alignment horizontal="center"/>
    </xf>
    <xf numFmtId="0" fontId="60" fillId="0" borderId="0" xfId="0" applyNumberFormat="1" applyFont="1" applyBorder="1" applyAlignment="1"/>
    <xf numFmtId="0" fontId="6" fillId="2" borderId="0" xfId="0" applyFont="1" applyFill="1" applyBorder="1" applyAlignment="1" applyProtection="1">
      <alignment horizontal="left" vertical="center" wrapText="1" indent="1"/>
    </xf>
    <xf numFmtId="0" fontId="73" fillId="2" borderId="0" xfId="0" applyFont="1" applyFill="1" applyAlignment="1">
      <alignment horizontal="left" vertical="center" wrapText="1"/>
    </xf>
    <xf numFmtId="0" fontId="6" fillId="2" borderId="0" xfId="0" applyFont="1" applyFill="1" applyAlignment="1">
      <alignment horizontal="left" vertical="center" wrapText="1" indent="1"/>
    </xf>
    <xf numFmtId="0" fontId="17" fillId="0" borderId="17" xfId="0" applyFont="1" applyBorder="1" applyAlignment="1">
      <alignment vertical="top" wrapText="1"/>
    </xf>
    <xf numFmtId="0" fontId="17" fillId="0" borderId="17" xfId="0" applyFont="1" applyBorder="1" applyAlignment="1">
      <alignment vertical="center" wrapText="1"/>
    </xf>
    <xf numFmtId="0" fontId="17" fillId="0" borderId="17" xfId="0" applyFont="1" applyBorder="1" applyAlignment="1">
      <alignment horizontal="left" vertical="center" wrapText="1"/>
    </xf>
    <xf numFmtId="0" fontId="17" fillId="0" borderId="17" xfId="0" applyFont="1" applyBorder="1" applyAlignment="1" applyProtection="1">
      <alignment horizontal="left" vertical="center" wrapText="1"/>
    </xf>
    <xf numFmtId="0" fontId="32" fillId="0" borderId="0" xfId="0" applyFont="1"/>
    <xf numFmtId="0" fontId="74" fillId="2" borderId="0" xfId="0" applyFont="1" applyFill="1" applyAlignment="1">
      <alignment vertical="center" wrapText="1"/>
    </xf>
    <xf numFmtId="0" fontId="32" fillId="0" borderId="0" xfId="0" applyFont="1" applyAlignment="1">
      <alignment horizontal="center" vertical="top"/>
    </xf>
    <xf numFmtId="0" fontId="0" fillId="0" borderId="0" xfId="0" applyFont="1" applyAlignment="1">
      <alignment horizontal="center" vertical="top" wrapText="1"/>
    </xf>
    <xf numFmtId="14" fontId="2" fillId="2" borderId="0" xfId="0" applyNumberFormat="1" applyFont="1" applyFill="1" applyAlignment="1">
      <alignment vertical="center" wrapText="1"/>
    </xf>
    <xf numFmtId="0" fontId="2" fillId="2" borderId="0" xfId="0" applyFont="1" applyFill="1" applyAlignment="1">
      <alignment horizontal="left" vertical="center" wrapText="1" indent="1"/>
    </xf>
    <xf numFmtId="0" fontId="3" fillId="2" borderId="0" xfId="0" applyFont="1" applyFill="1" applyAlignment="1">
      <alignment horizontal="left" vertical="center" wrapText="1" indent="1"/>
    </xf>
    <xf numFmtId="17" fontId="2" fillId="2" borderId="0" xfId="0" applyNumberFormat="1" applyFont="1" applyFill="1" applyAlignment="1">
      <alignment horizontal="center" vertical="center" wrapText="1"/>
    </xf>
    <xf numFmtId="17" fontId="4" fillId="2" borderId="0" xfId="0" applyNumberFormat="1" applyFont="1" applyFill="1" applyAlignment="1">
      <alignment horizontal="center" vertical="center" wrapText="1"/>
    </xf>
    <xf numFmtId="0" fontId="2" fillId="2" borderId="0" xfId="0" applyFont="1" applyFill="1" applyAlignment="1">
      <alignment vertical="center" wrapText="1"/>
    </xf>
    <xf numFmtId="0" fontId="16" fillId="2" borderId="0" xfId="0" applyFont="1" applyFill="1" applyAlignment="1">
      <alignment horizontal="left" vertical="center" wrapText="1"/>
    </xf>
    <xf numFmtId="0" fontId="5" fillId="2" borderId="3" xfId="0" applyFont="1" applyFill="1" applyBorder="1" applyAlignment="1">
      <alignment horizontal="center" vertical="center" wrapText="1"/>
    </xf>
    <xf numFmtId="0" fontId="5" fillId="2" borderId="14" xfId="0" applyFont="1" applyFill="1" applyBorder="1" applyAlignment="1">
      <alignment horizontal="center" vertical="center" wrapText="1"/>
    </xf>
    <xf numFmtId="0" fontId="2" fillId="2" borderId="14" xfId="0" applyFont="1" applyFill="1" applyBorder="1" applyAlignment="1">
      <alignment horizontal="center" vertical="center" wrapText="1"/>
    </xf>
    <xf numFmtId="0" fontId="3" fillId="2" borderId="0" xfId="0" applyFont="1" applyFill="1" applyAlignment="1">
      <alignment horizontal="center" vertical="center" wrapText="1"/>
    </xf>
    <xf numFmtId="0" fontId="0" fillId="2" borderId="14" xfId="0" applyFill="1" applyBorder="1" applyAlignment="1">
      <alignment horizontal="center" vertical="center" wrapText="1"/>
    </xf>
    <xf numFmtId="0" fontId="5" fillId="2" borderId="5" xfId="0" applyFont="1" applyFill="1" applyBorder="1" applyAlignment="1">
      <alignment horizontal="center" vertical="center" wrapText="1"/>
    </xf>
    <xf numFmtId="0" fontId="2" fillId="2" borderId="5" xfId="0" applyFont="1" applyFill="1" applyBorder="1" applyAlignment="1">
      <alignment horizontal="center" vertical="center" wrapText="1"/>
    </xf>
    <xf numFmtId="0" fontId="17" fillId="5" borderId="34" xfId="0" applyFont="1" applyFill="1" applyBorder="1" applyAlignment="1">
      <alignment horizontal="center" vertical="center" wrapText="1"/>
    </xf>
    <xf numFmtId="0" fontId="19" fillId="2" borderId="0" xfId="0" applyFont="1" applyFill="1" applyAlignment="1">
      <alignment horizontal="center" vertical="center" wrapText="1"/>
    </xf>
    <xf numFmtId="167" fontId="20" fillId="2" borderId="0" xfId="0" applyNumberFormat="1" applyFont="1" applyFill="1" applyAlignment="1">
      <alignment horizontal="center" vertical="center" wrapText="1"/>
    </xf>
    <xf numFmtId="0" fontId="6" fillId="2" borderId="0" xfId="0" applyFont="1" applyFill="1" applyAlignment="1">
      <alignment horizontal="center" vertical="center" wrapText="1"/>
    </xf>
    <xf numFmtId="0" fontId="0" fillId="2" borderId="0" xfId="0" applyFill="1"/>
    <xf numFmtId="9" fontId="17" fillId="2" borderId="0" xfId="0" applyNumberFormat="1" applyFont="1" applyFill="1" applyAlignment="1">
      <alignment horizontal="center" vertical="center" wrapText="1"/>
    </xf>
    <xf numFmtId="0" fontId="17" fillId="5" borderId="26" xfId="0" applyFont="1" applyFill="1" applyBorder="1" applyAlignment="1">
      <alignment horizontal="center" vertical="center" wrapText="1"/>
    </xf>
    <xf numFmtId="14" fontId="17" fillId="5" borderId="25" xfId="0" applyNumberFormat="1" applyFont="1" applyFill="1" applyBorder="1" applyAlignment="1">
      <alignment horizontal="center" vertical="center" wrapText="1"/>
    </xf>
    <xf numFmtId="0" fontId="6" fillId="2" borderId="0" xfId="0" applyFont="1" applyFill="1" applyAlignment="1" applyProtection="1">
      <alignment horizontal="left" vertical="center" wrapText="1" indent="1"/>
      <protection locked="0"/>
    </xf>
    <xf numFmtId="0" fontId="3" fillId="11" borderId="0" xfId="0" applyFont="1" applyFill="1" applyAlignment="1">
      <alignment horizontal="left" vertical="center" wrapText="1" indent="1"/>
    </xf>
    <xf numFmtId="0" fontId="2" fillId="11" borderId="0" xfId="0" applyFont="1" applyFill="1" applyAlignment="1">
      <alignment horizontal="center" vertical="center" wrapText="1"/>
    </xf>
    <xf numFmtId="0" fontId="2" fillId="11" borderId="0" xfId="0" applyFont="1" applyFill="1" applyAlignment="1">
      <alignment vertical="center" wrapText="1"/>
    </xf>
    <xf numFmtId="14" fontId="2" fillId="0" borderId="0" xfId="0" applyNumberFormat="1" applyFont="1" applyAlignment="1">
      <alignment vertical="center" wrapText="1"/>
    </xf>
    <xf numFmtId="0" fontId="5" fillId="6" borderId="8" xfId="0" applyFont="1" applyFill="1" applyBorder="1" applyAlignment="1">
      <alignment horizontal="center" vertical="center" wrapText="1"/>
    </xf>
    <xf numFmtId="0" fontId="25" fillId="2" borderId="34" xfId="0" applyFont="1" applyFill="1" applyBorder="1" applyAlignment="1">
      <alignment vertical="center" wrapText="1"/>
    </xf>
    <xf numFmtId="0" fontId="25" fillId="2" borderId="40" xfId="0" applyFont="1" applyFill="1" applyBorder="1" applyAlignment="1">
      <alignment vertical="center" wrapText="1"/>
    </xf>
    <xf numFmtId="17" fontId="55" fillId="2" borderId="40" xfId="0" applyNumberFormat="1" applyFont="1" applyFill="1" applyBorder="1" applyAlignment="1">
      <alignment horizontal="center" vertical="center" wrapText="1"/>
    </xf>
    <xf numFmtId="17" fontId="55" fillId="2" borderId="33" xfId="0" applyNumberFormat="1" applyFont="1" applyFill="1" applyBorder="1" applyAlignment="1">
      <alignment horizontal="center" vertical="center" wrapText="1"/>
    </xf>
    <xf numFmtId="166" fontId="25" fillId="0" borderId="12" xfId="0" applyNumberFormat="1" applyFont="1" applyBorder="1" applyAlignment="1">
      <alignment vertical="center" wrapText="1"/>
    </xf>
    <xf numFmtId="0" fontId="3" fillId="0" borderId="16" xfId="0" applyFont="1" applyBorder="1" applyAlignment="1">
      <alignment horizontal="left" vertical="center" wrapText="1" indent="1"/>
    </xf>
    <xf numFmtId="0" fontId="2" fillId="2" borderId="17" xfId="0" applyFont="1" applyFill="1" applyBorder="1" applyAlignment="1">
      <alignment vertical="center" wrapText="1"/>
    </xf>
    <xf numFmtId="17" fontId="4" fillId="2" borderId="17" xfId="0" applyNumberFormat="1" applyFont="1" applyFill="1" applyBorder="1" applyAlignment="1">
      <alignment horizontal="center" vertical="center" wrapText="1"/>
    </xf>
    <xf numFmtId="17" fontId="2" fillId="3" borderId="17" xfId="0" applyNumberFormat="1" applyFont="1" applyFill="1" applyBorder="1" applyAlignment="1">
      <alignment horizontal="center" vertical="center" wrapText="1"/>
    </xf>
    <xf numFmtId="15" fontId="2" fillId="3" borderId="17" xfId="0" applyNumberFormat="1" applyFont="1" applyFill="1" applyBorder="1" applyAlignment="1">
      <alignment horizontal="center" vertical="center" wrapText="1"/>
    </xf>
    <xf numFmtId="2" fontId="6" fillId="3" borderId="17" xfId="0" applyNumberFormat="1" applyFont="1" applyFill="1" applyBorder="1" applyAlignment="1">
      <alignment horizontal="center" vertical="center" wrapText="1"/>
    </xf>
    <xf numFmtId="0" fontId="2" fillId="2" borderId="17" xfId="0" applyFont="1" applyFill="1" applyBorder="1" applyAlignment="1">
      <alignment horizontal="center" vertical="center" wrapText="1"/>
    </xf>
    <xf numFmtId="165" fontId="2" fillId="2" borderId="17" xfId="0" applyNumberFormat="1" applyFont="1" applyFill="1" applyBorder="1" applyAlignment="1">
      <alignment horizontal="center" vertical="center" wrapText="1"/>
    </xf>
    <xf numFmtId="0" fontId="2" fillId="2" borderId="18" xfId="0" applyFont="1" applyFill="1" applyBorder="1" applyAlignment="1">
      <alignment horizontal="center" vertical="center" wrapText="1"/>
    </xf>
    <xf numFmtId="15" fontId="2" fillId="10" borderId="17" xfId="0" applyNumberFormat="1" applyFont="1" applyFill="1" applyBorder="1" applyAlignment="1">
      <alignment horizontal="center" vertical="center" wrapText="1"/>
    </xf>
    <xf numFmtId="1" fontId="6" fillId="0" borderId="35" xfId="0" applyNumberFormat="1" applyFont="1" applyBorder="1" applyAlignment="1">
      <alignment horizontal="center" vertical="center" wrapText="1"/>
    </xf>
    <xf numFmtId="0" fontId="2" fillId="2" borderId="20" xfId="0" applyFont="1" applyFill="1" applyBorder="1" applyAlignment="1">
      <alignment horizontal="center" vertical="center" wrapText="1"/>
    </xf>
    <xf numFmtId="0" fontId="2" fillId="2" borderId="20" xfId="0" applyFont="1" applyFill="1" applyBorder="1" applyAlignment="1">
      <alignment vertical="center" wrapText="1"/>
    </xf>
    <xf numFmtId="0" fontId="2" fillId="2" borderId="30" xfId="0" applyFont="1" applyFill="1" applyBorder="1" applyAlignment="1">
      <alignment horizontal="center" vertical="center" wrapText="1"/>
    </xf>
    <xf numFmtId="0" fontId="2" fillId="2" borderId="21" xfId="0" applyFont="1" applyFill="1" applyBorder="1" applyAlignment="1">
      <alignment horizontal="center" vertical="center" wrapText="1"/>
    </xf>
    <xf numFmtId="14" fontId="2" fillId="2" borderId="21" xfId="0" applyNumberFormat="1" applyFont="1" applyFill="1" applyBorder="1" applyAlignment="1">
      <alignment vertical="center" wrapText="1"/>
    </xf>
    <xf numFmtId="14" fontId="2" fillId="0" borderId="36" xfId="0" applyNumberFormat="1" applyFont="1" applyBorder="1" applyAlignment="1">
      <alignment vertical="center" wrapText="1"/>
    </xf>
    <xf numFmtId="0" fontId="3" fillId="2" borderId="16" xfId="0" applyFont="1" applyFill="1" applyBorder="1" applyAlignment="1">
      <alignment horizontal="left" vertical="center" wrapText="1" indent="1"/>
    </xf>
    <xf numFmtId="15" fontId="2" fillId="10" borderId="35" xfId="0" applyNumberFormat="1" applyFont="1" applyFill="1" applyBorder="1" applyAlignment="1">
      <alignment horizontal="center" vertical="center" wrapText="1"/>
    </xf>
    <xf numFmtId="2" fontId="17" fillId="2" borderId="0" xfId="0" applyNumberFormat="1" applyFont="1" applyFill="1" applyAlignment="1">
      <alignment horizontal="center" vertical="center" wrapText="1"/>
    </xf>
    <xf numFmtId="17" fontId="6" fillId="3" borderId="17" xfId="0" applyNumberFormat="1" applyFont="1" applyFill="1" applyBorder="1" applyAlignment="1">
      <alignment horizontal="center" vertical="center" wrapText="1"/>
    </xf>
    <xf numFmtId="15" fontId="6" fillId="3" borderId="17" xfId="0" applyNumberFormat="1" applyFont="1" applyFill="1" applyBorder="1" applyAlignment="1">
      <alignment horizontal="center" vertical="center" wrapText="1"/>
    </xf>
    <xf numFmtId="0" fontId="17" fillId="0" borderId="16" xfId="0" applyFont="1" applyBorder="1" applyAlignment="1">
      <alignment horizontal="left" vertical="center" wrapText="1" indent="1"/>
    </xf>
    <xf numFmtId="172" fontId="2" fillId="2" borderId="0" xfId="0" applyNumberFormat="1" applyFont="1" applyFill="1" applyAlignment="1">
      <alignment horizontal="center" vertical="center" wrapText="1"/>
    </xf>
    <xf numFmtId="176" fontId="25" fillId="0" borderId="12" xfId="0" applyNumberFormat="1" applyFont="1" applyBorder="1" applyAlignment="1">
      <alignment vertical="center" wrapText="1"/>
    </xf>
    <xf numFmtId="0" fontId="52" fillId="0" borderId="0" xfId="0" applyFont="1" applyAlignment="1" applyProtection="1">
      <alignment horizontal="left" vertical="center" wrapText="1" indent="1"/>
      <protection locked="0"/>
    </xf>
    <xf numFmtId="0" fontId="54" fillId="2" borderId="17" xfId="0" applyFont="1" applyFill="1" applyBorder="1" applyAlignment="1">
      <alignment horizontal="center" vertical="center" wrapText="1"/>
    </xf>
    <xf numFmtId="172" fontId="2" fillId="2" borderId="16" xfId="0" applyNumberFormat="1" applyFont="1" applyFill="1" applyBorder="1" applyAlignment="1">
      <alignment horizontal="center" vertical="center" wrapText="1"/>
    </xf>
    <xf numFmtId="172" fontId="2" fillId="2" borderId="27" xfId="0" applyNumberFormat="1" applyFont="1" applyFill="1" applyBorder="1" applyAlignment="1">
      <alignment horizontal="center" vertical="center" wrapText="1"/>
    </xf>
    <xf numFmtId="172" fontId="2" fillId="2" borderId="29" xfId="0" applyNumberFormat="1" applyFont="1" applyFill="1" applyBorder="1" applyAlignment="1">
      <alignment horizontal="center" vertical="center" wrapText="1"/>
    </xf>
    <xf numFmtId="172" fontId="2" fillId="2" borderId="19" xfId="0" applyNumberFormat="1" applyFont="1" applyFill="1" applyBorder="1" applyAlignment="1">
      <alignment horizontal="center" vertical="center" wrapText="1"/>
    </xf>
    <xf numFmtId="172" fontId="2" fillId="2" borderId="28" xfId="0" applyNumberFormat="1" applyFont="1" applyFill="1" applyBorder="1" applyAlignment="1">
      <alignment horizontal="center" vertical="center" wrapText="1"/>
    </xf>
    <xf numFmtId="172" fontId="2" fillId="2" borderId="30" xfId="0" applyNumberFormat="1" applyFont="1" applyFill="1" applyBorder="1" applyAlignment="1">
      <alignment horizontal="center" vertical="center" wrapText="1"/>
    </xf>
    <xf numFmtId="172" fontId="2" fillId="2" borderId="32" xfId="0" applyNumberFormat="1" applyFont="1" applyFill="1" applyBorder="1" applyAlignment="1">
      <alignment horizontal="center" vertical="center" wrapText="1"/>
    </xf>
    <xf numFmtId="172" fontId="2" fillId="0" borderId="30" xfId="0" applyNumberFormat="1" applyFont="1" applyBorder="1" applyAlignment="1">
      <alignment horizontal="center" vertical="center" wrapText="1"/>
    </xf>
    <xf numFmtId="0" fontId="53" fillId="2" borderId="0" xfId="0" applyFont="1" applyFill="1" applyAlignment="1" applyProtection="1">
      <alignment horizontal="left" vertical="center" wrapText="1" indent="1"/>
      <protection locked="0"/>
    </xf>
    <xf numFmtId="172" fontId="2" fillId="0" borderId="0" xfId="0" applyNumberFormat="1" applyFont="1" applyAlignment="1">
      <alignment horizontal="center" vertical="center" wrapText="1"/>
    </xf>
    <xf numFmtId="0" fontId="18" fillId="2" borderId="0" xfId="0" applyFont="1" applyFill="1" applyAlignment="1">
      <alignment horizontal="center" vertical="center" wrapText="1"/>
    </xf>
    <xf numFmtId="2" fontId="6" fillId="2" borderId="0" xfId="0" applyNumberFormat="1" applyFont="1" applyFill="1" applyAlignment="1">
      <alignment horizontal="center" vertical="center" wrapText="1"/>
    </xf>
    <xf numFmtId="167" fontId="6" fillId="2" borderId="0" xfId="0" applyNumberFormat="1" applyFont="1" applyFill="1" applyAlignment="1">
      <alignment horizontal="center" vertical="center" wrapText="1"/>
    </xf>
    <xf numFmtId="167" fontId="6" fillId="11" borderId="17" xfId="0" applyNumberFormat="1" applyFont="1" applyFill="1" applyBorder="1" applyAlignment="1">
      <alignment horizontal="center" vertical="center" wrapText="1"/>
    </xf>
    <xf numFmtId="167" fontId="6" fillId="3" borderId="17" xfId="0" applyNumberFormat="1" applyFont="1" applyFill="1" applyBorder="1" applyAlignment="1">
      <alignment horizontal="center" vertical="center" wrapText="1"/>
    </xf>
    <xf numFmtId="165" fontId="2" fillId="2" borderId="0" xfId="1" applyNumberFormat="1" applyFont="1" applyFill="1" applyBorder="1" applyAlignment="1" applyProtection="1">
      <alignment horizontal="center" vertical="center" wrapText="1"/>
    </xf>
    <xf numFmtId="165" fontId="4" fillId="2" borderId="0" xfId="1" applyNumberFormat="1" applyFont="1" applyFill="1" applyBorder="1" applyAlignment="1" applyProtection="1">
      <alignment horizontal="center" vertical="center" wrapText="1"/>
    </xf>
    <xf numFmtId="165" fontId="6" fillId="2" borderId="0" xfId="1" applyNumberFormat="1" applyFont="1" applyFill="1" applyBorder="1" applyAlignment="1" applyProtection="1">
      <alignment horizontal="center" vertical="center" wrapText="1"/>
    </xf>
    <xf numFmtId="165" fontId="17" fillId="2" borderId="0" xfId="1" applyNumberFormat="1" applyFont="1" applyFill="1" applyBorder="1" applyAlignment="1" applyProtection="1">
      <alignment horizontal="center" vertical="center" wrapText="1"/>
    </xf>
    <xf numFmtId="165" fontId="20" fillId="2" borderId="0" xfId="1" applyNumberFormat="1" applyFont="1" applyFill="1" applyBorder="1" applyAlignment="1" applyProtection="1">
      <alignment horizontal="center" vertical="center" wrapText="1"/>
    </xf>
    <xf numFmtId="168" fontId="6" fillId="2" borderId="0" xfId="1" applyNumberFormat="1" applyFont="1" applyFill="1" applyBorder="1" applyAlignment="1" applyProtection="1">
      <alignment horizontal="center" vertical="center" wrapText="1"/>
    </xf>
    <xf numFmtId="168" fontId="17" fillId="2" borderId="0" xfId="1" applyNumberFormat="1" applyFont="1" applyFill="1" applyBorder="1" applyAlignment="1" applyProtection="1">
      <alignment horizontal="center" vertical="center" wrapText="1"/>
    </xf>
    <xf numFmtId="168" fontId="20" fillId="2" borderId="0" xfId="1" applyNumberFormat="1" applyFont="1" applyFill="1" applyBorder="1" applyAlignment="1" applyProtection="1">
      <alignment horizontal="center" vertical="center" wrapText="1"/>
    </xf>
    <xf numFmtId="0" fontId="0" fillId="0" borderId="0" xfId="0" applyAlignment="1">
      <alignment horizontal="center" vertical="top" wrapText="1"/>
    </xf>
    <xf numFmtId="0" fontId="32" fillId="0" borderId="0" xfId="0" applyFont="1" applyAlignment="1">
      <alignment horizontal="center" vertical="center"/>
    </xf>
    <xf numFmtId="15" fontId="2" fillId="3" borderId="17" xfId="0" applyNumberFormat="1" applyFont="1" applyFill="1" applyBorder="1" applyAlignment="1" applyProtection="1">
      <alignment horizontal="center" vertical="center" wrapText="1"/>
      <protection locked="0"/>
    </xf>
    <xf numFmtId="0" fontId="17" fillId="0" borderId="17" xfId="0" applyFont="1" applyFill="1" applyBorder="1" applyAlignment="1">
      <alignment vertical="center" wrapText="1"/>
    </xf>
    <xf numFmtId="0" fontId="17" fillId="0" borderId="17" xfId="0" applyFont="1" applyFill="1" applyBorder="1" applyAlignment="1" applyProtection="1">
      <alignment vertical="center" wrapText="1"/>
    </xf>
    <xf numFmtId="0" fontId="17" fillId="0" borderId="17" xfId="0" applyFont="1" applyBorder="1" applyAlignment="1" applyProtection="1">
      <alignment vertical="center" wrapText="1"/>
    </xf>
    <xf numFmtId="0" fontId="17" fillId="2" borderId="17" xfId="0" applyFont="1" applyFill="1" applyBorder="1" applyAlignment="1" applyProtection="1">
      <alignment vertical="center" wrapText="1"/>
    </xf>
    <xf numFmtId="172" fontId="2" fillId="3" borderId="17" xfId="1" applyNumberFormat="1" applyFont="1" applyFill="1" applyBorder="1" applyAlignment="1" applyProtection="1">
      <alignment horizontal="center" vertical="center" wrapText="1"/>
    </xf>
    <xf numFmtId="0" fontId="7" fillId="0" borderId="42" xfId="0" applyFont="1" applyBorder="1" applyAlignment="1">
      <alignment horizontal="left" vertical="center"/>
    </xf>
    <xf numFmtId="0" fontId="7" fillId="0" borderId="45" xfId="0" applyFont="1" applyBorder="1" applyAlignment="1">
      <alignment horizontal="left" vertical="center"/>
    </xf>
    <xf numFmtId="0" fontId="60" fillId="0" borderId="0" xfId="0" applyFont="1" applyBorder="1" applyAlignment="1">
      <alignment vertical="center"/>
    </xf>
    <xf numFmtId="0" fontId="7" fillId="0" borderId="0" xfId="0" applyFont="1" applyBorder="1" applyAlignment="1">
      <alignment vertical="center"/>
    </xf>
    <xf numFmtId="0" fontId="0" fillId="0" borderId="0" xfId="0" applyBorder="1" applyAlignment="1">
      <alignment vertical="center" wrapText="1"/>
    </xf>
    <xf numFmtId="0" fontId="75" fillId="27" borderId="37" xfId="0" applyFont="1" applyFill="1" applyBorder="1" applyAlignment="1">
      <alignment horizontal="left" vertical="center" wrapText="1"/>
    </xf>
    <xf numFmtId="0" fontId="32" fillId="0" borderId="0" xfId="0" applyFont="1"/>
    <xf numFmtId="9" fontId="2" fillId="3" borderId="17" xfId="6" applyFont="1" applyFill="1" applyBorder="1" applyAlignment="1" applyProtection="1">
      <alignment horizontal="center" vertical="center" wrapText="1"/>
      <protection locked="0"/>
    </xf>
    <xf numFmtId="0" fontId="2" fillId="2" borderId="0" xfId="0" applyFont="1" applyFill="1" applyAlignment="1">
      <alignment horizontal="center" vertical="center" wrapText="1"/>
    </xf>
    <xf numFmtId="0" fontId="77" fillId="16" borderId="86" xfId="0" applyFont="1" applyFill="1" applyBorder="1" applyAlignment="1">
      <alignment horizontal="center" vertical="center" wrapText="1"/>
    </xf>
    <xf numFmtId="0" fontId="32" fillId="23" borderId="86" xfId="0" applyFont="1" applyFill="1" applyBorder="1" applyAlignment="1">
      <alignment horizontal="center" vertical="center" wrapText="1"/>
    </xf>
    <xf numFmtId="0" fontId="32" fillId="0" borderId="0" xfId="0" applyFont="1" applyFill="1"/>
    <xf numFmtId="0" fontId="77" fillId="16" borderId="0" xfId="0" applyFont="1" applyFill="1" applyAlignment="1">
      <alignment horizontal="center" vertical="center"/>
    </xf>
    <xf numFmtId="15" fontId="2" fillId="2" borderId="0" xfId="0" applyNumberFormat="1" applyFont="1" applyFill="1" applyBorder="1" applyAlignment="1">
      <alignment horizontal="center" vertical="center" wrapText="1"/>
    </xf>
    <xf numFmtId="0" fontId="2" fillId="2" borderId="33" xfId="0" applyFont="1" applyFill="1" applyBorder="1" applyAlignment="1">
      <alignment horizontal="center" vertical="center" wrapText="1"/>
    </xf>
    <xf numFmtId="15" fontId="2" fillId="2" borderId="34" xfId="0" applyNumberFormat="1" applyFont="1" applyFill="1" applyBorder="1" applyAlignment="1">
      <alignment horizontal="center" vertical="center" wrapText="1"/>
    </xf>
    <xf numFmtId="15" fontId="2" fillId="2" borderId="33" xfId="0" applyNumberFormat="1" applyFont="1" applyFill="1" applyBorder="1" applyAlignment="1">
      <alignment horizontal="center" vertical="center" wrapText="1"/>
    </xf>
    <xf numFmtId="169" fontId="2" fillId="0" borderId="0" xfId="0" applyNumberFormat="1" applyFont="1" applyFill="1" applyBorder="1" applyAlignment="1">
      <alignment horizontal="center" vertical="center" wrapText="1"/>
    </xf>
    <xf numFmtId="1" fontId="2" fillId="0" borderId="0" xfId="0" applyNumberFormat="1" applyFont="1" applyFill="1" applyBorder="1" applyAlignment="1">
      <alignment horizontal="center" vertical="center" wrapText="1"/>
    </xf>
    <xf numFmtId="169" fontId="2" fillId="0" borderId="34" xfId="0" applyNumberFormat="1" applyFont="1" applyFill="1" applyBorder="1" applyAlignment="1">
      <alignment horizontal="center" vertical="center" wrapText="1"/>
    </xf>
    <xf numFmtId="169" fontId="2" fillId="0" borderId="33" xfId="0" applyNumberFormat="1" applyFont="1" applyFill="1" applyBorder="1" applyAlignment="1">
      <alignment horizontal="center" vertical="center" wrapText="1"/>
    </xf>
    <xf numFmtId="1" fontId="2" fillId="0" borderId="34" xfId="0" applyNumberFormat="1" applyFont="1" applyFill="1" applyBorder="1" applyAlignment="1">
      <alignment horizontal="center" vertical="center" wrapText="1"/>
    </xf>
    <xf numFmtId="1" fontId="2" fillId="0" borderId="33" xfId="0" applyNumberFormat="1" applyFont="1" applyFill="1" applyBorder="1" applyAlignment="1">
      <alignment horizontal="center" vertical="center" wrapText="1"/>
    </xf>
    <xf numFmtId="0" fontId="8" fillId="2" borderId="12" xfId="0" applyFont="1" applyFill="1" applyBorder="1" applyAlignment="1">
      <alignment horizontal="center" vertical="center" wrapText="1"/>
    </xf>
    <xf numFmtId="176" fontId="8" fillId="0" borderId="12" xfId="0" applyNumberFormat="1" applyFont="1" applyBorder="1" applyAlignment="1">
      <alignment vertical="center" wrapText="1"/>
    </xf>
    <xf numFmtId="166" fontId="8" fillId="0" borderId="12" xfId="0" applyNumberFormat="1" applyFont="1" applyBorder="1" applyAlignment="1">
      <alignment vertical="center" wrapText="1"/>
    </xf>
    <xf numFmtId="0" fontId="8" fillId="2" borderId="12" xfId="0" applyFont="1" applyFill="1" applyBorder="1" applyAlignment="1">
      <alignment vertical="center" wrapText="1"/>
    </xf>
    <xf numFmtId="15" fontId="6" fillId="2" borderId="33" xfId="0" applyNumberFormat="1" applyFont="1" applyFill="1" applyBorder="1" applyAlignment="1">
      <alignment horizontal="center" vertical="center" wrapText="1"/>
    </xf>
    <xf numFmtId="169" fontId="6" fillId="0" borderId="33" xfId="0" applyNumberFormat="1" applyFont="1" applyFill="1" applyBorder="1" applyAlignment="1">
      <alignment horizontal="center" vertical="center" wrapText="1"/>
    </xf>
    <xf numFmtId="1" fontId="6" fillId="0" borderId="33" xfId="0" applyNumberFormat="1" applyFont="1" applyFill="1" applyBorder="1" applyAlignment="1">
      <alignment horizontal="center" vertical="center" wrapText="1"/>
    </xf>
    <xf numFmtId="0" fontId="2" fillId="13" borderId="25" xfId="0" applyFont="1" applyFill="1" applyBorder="1" applyAlignment="1">
      <alignment horizontal="center" vertical="center" wrapText="1"/>
    </xf>
    <xf numFmtId="15" fontId="2" fillId="13" borderId="46" xfId="0" applyNumberFormat="1" applyFont="1" applyFill="1" applyBorder="1" applyAlignment="1">
      <alignment horizontal="center" vertical="center" wrapText="1"/>
    </xf>
    <xf numFmtId="169" fontId="2" fillId="13" borderId="46" xfId="0" applyNumberFormat="1" applyFont="1" applyFill="1" applyBorder="1" applyAlignment="1">
      <alignment horizontal="center" vertical="center" wrapText="1"/>
    </xf>
    <xf numFmtId="1" fontId="2" fillId="13" borderId="24" xfId="0" applyNumberFormat="1" applyFont="1" applyFill="1" applyBorder="1" applyAlignment="1">
      <alignment horizontal="center" vertical="center" wrapText="1"/>
    </xf>
    <xf numFmtId="0" fontId="0" fillId="0" borderId="0" xfId="0" applyFill="1" applyAlignment="1">
      <alignment horizontal="center" vertical="top" wrapText="1"/>
    </xf>
    <xf numFmtId="166" fontId="2" fillId="3" borderId="17" xfId="1" applyNumberFormat="1" applyFont="1" applyFill="1" applyBorder="1" applyAlignment="1" applyProtection="1">
      <alignment horizontal="center" vertical="center" wrapText="1"/>
    </xf>
    <xf numFmtId="0" fontId="81" fillId="0" borderId="0" xfId="0" applyFont="1"/>
    <xf numFmtId="179" fontId="0" fillId="0" borderId="0" xfId="0" applyNumberFormat="1"/>
    <xf numFmtId="0" fontId="2" fillId="2" borderId="0" xfId="0" applyFont="1" applyFill="1" applyAlignment="1">
      <alignment horizontal="center" vertical="center" wrapText="1"/>
    </xf>
    <xf numFmtId="165" fontId="2" fillId="2" borderId="34" xfId="0" applyNumberFormat="1" applyFont="1" applyFill="1" applyBorder="1" applyAlignment="1">
      <alignment horizontal="center" vertical="center" wrapText="1"/>
    </xf>
    <xf numFmtId="0" fontId="80" fillId="2" borderId="12" xfId="0" applyFont="1" applyFill="1" applyBorder="1" applyAlignment="1">
      <alignment vertical="center" wrapText="1"/>
    </xf>
    <xf numFmtId="169" fontId="80" fillId="2" borderId="12" xfId="0" applyNumberFormat="1" applyFont="1" applyFill="1" applyBorder="1" applyAlignment="1">
      <alignment vertical="center" wrapText="1"/>
    </xf>
    <xf numFmtId="1" fontId="80" fillId="2" borderId="12" xfId="0" applyNumberFormat="1" applyFont="1" applyFill="1" applyBorder="1" applyAlignment="1">
      <alignment vertical="center" wrapText="1"/>
    </xf>
    <xf numFmtId="165" fontId="80" fillId="2" borderId="12" xfId="0" applyNumberFormat="1" applyFont="1" applyFill="1" applyBorder="1" applyAlignment="1">
      <alignment vertical="center" wrapText="1"/>
    </xf>
    <xf numFmtId="165" fontId="82" fillId="14" borderId="18" xfId="1" applyNumberFormat="1" applyFont="1" applyFill="1" applyBorder="1" applyAlignment="1" applyProtection="1">
      <alignment horizontal="center" vertical="center" wrapText="1"/>
    </xf>
    <xf numFmtId="0" fontId="2" fillId="6" borderId="10" xfId="0" applyFont="1" applyFill="1" applyBorder="1" applyAlignment="1">
      <alignment horizontal="center" vertical="center" wrapText="1"/>
    </xf>
    <xf numFmtId="0" fontId="2" fillId="5" borderId="12" xfId="0" applyFont="1" applyFill="1" applyBorder="1" applyAlignment="1">
      <alignment horizontal="center" vertical="center" wrapText="1"/>
    </xf>
    <xf numFmtId="0" fontId="2" fillId="2" borderId="0" xfId="0" applyFont="1" applyFill="1" applyAlignment="1">
      <alignment horizontal="center" vertical="center" wrapText="1"/>
    </xf>
    <xf numFmtId="0" fontId="6" fillId="2" borderId="33" xfId="0" applyFont="1" applyFill="1" applyBorder="1" applyAlignment="1">
      <alignment horizontal="center" vertical="center" wrapText="1"/>
    </xf>
    <xf numFmtId="180" fontId="2" fillId="0" borderId="34" xfId="0" applyNumberFormat="1" applyFont="1" applyFill="1" applyBorder="1" applyAlignment="1">
      <alignment horizontal="center" vertical="center" wrapText="1"/>
    </xf>
    <xf numFmtId="15" fontId="2" fillId="0" borderId="0" xfId="0" applyNumberFormat="1" applyFont="1" applyFill="1" applyBorder="1" applyAlignment="1">
      <alignment horizontal="center" vertical="center" wrapText="1"/>
    </xf>
    <xf numFmtId="15" fontId="6" fillId="0" borderId="0" xfId="0" applyNumberFormat="1" applyFont="1" applyFill="1" applyBorder="1" applyAlignment="1">
      <alignment horizontal="center" vertical="center" wrapText="1"/>
    </xf>
    <xf numFmtId="0" fontId="2" fillId="2" borderId="63" xfId="0" applyFont="1" applyFill="1" applyBorder="1" applyAlignment="1">
      <alignment horizontal="center" vertical="center" wrapText="1"/>
    </xf>
    <xf numFmtId="15" fontId="2" fillId="13" borderId="24" xfId="0" applyNumberFormat="1" applyFont="1" applyFill="1" applyBorder="1" applyAlignment="1">
      <alignment horizontal="center" vertical="center" wrapText="1"/>
    </xf>
    <xf numFmtId="15" fontId="2" fillId="2" borderId="39" xfId="0" applyNumberFormat="1" applyFont="1" applyFill="1" applyBorder="1" applyAlignment="1">
      <alignment horizontal="center" vertical="center" wrapText="1"/>
    </xf>
    <xf numFmtId="0" fontId="18" fillId="2" borderId="0" xfId="0" applyFont="1" applyFill="1" applyAlignment="1" applyProtection="1">
      <alignment vertical="center" wrapText="1"/>
    </xf>
    <xf numFmtId="15" fontId="2" fillId="10" borderId="17" xfId="0" quotePrefix="1" applyNumberFormat="1" applyFont="1" applyFill="1" applyBorder="1" applyAlignment="1">
      <alignment horizontal="center" vertical="center" wrapText="1"/>
    </xf>
    <xf numFmtId="0" fontId="33" fillId="18" borderId="51" xfId="0" applyFont="1" applyFill="1" applyBorder="1" applyAlignment="1">
      <alignment horizontal="center" vertical="center" wrapText="1" readingOrder="1"/>
    </xf>
    <xf numFmtId="0" fontId="32" fillId="0" borderId="0" xfId="0" applyFont="1"/>
    <xf numFmtId="0" fontId="11" fillId="18" borderId="50" xfId="0" applyFont="1" applyFill="1" applyBorder="1" applyAlignment="1">
      <alignment horizontal="center" wrapText="1" readingOrder="1"/>
    </xf>
    <xf numFmtId="0" fontId="11" fillId="18" borderId="54" xfId="0" applyFont="1" applyFill="1" applyBorder="1" applyAlignment="1">
      <alignment horizontal="center" wrapText="1" readingOrder="1"/>
    </xf>
    <xf numFmtId="0" fontId="2" fillId="2" borderId="0" xfId="0" applyFont="1" applyFill="1" applyAlignment="1">
      <alignment horizontal="center" vertical="center" wrapText="1"/>
    </xf>
    <xf numFmtId="0" fontId="2" fillId="2" borderId="0" xfId="0" applyFont="1" applyFill="1" applyAlignment="1">
      <alignment horizontal="center" vertical="center" wrapText="1"/>
    </xf>
    <xf numFmtId="0" fontId="25" fillId="2" borderId="12" xfId="0" applyFont="1" applyFill="1" applyBorder="1" applyAlignment="1">
      <alignment horizontal="center" vertical="center" wrapText="1"/>
    </xf>
    <xf numFmtId="0" fontId="40" fillId="4" borderId="33" xfId="0" applyFont="1" applyFill="1" applyBorder="1" applyAlignment="1">
      <alignment horizontal="center" vertical="center" wrapText="1"/>
    </xf>
    <xf numFmtId="0" fontId="36" fillId="20" borderId="52" xfId="0" applyFont="1" applyFill="1" applyBorder="1" applyAlignment="1">
      <alignment vertical="top" wrapText="1" readingOrder="1"/>
    </xf>
    <xf numFmtId="0" fontId="45" fillId="20" borderId="52" xfId="0" applyFont="1" applyFill="1" applyBorder="1" applyAlignment="1">
      <alignment horizontal="center" vertical="center" wrapText="1"/>
    </xf>
    <xf numFmtId="0" fontId="36" fillId="0" borderId="52" xfId="0" applyFont="1" applyBorder="1" applyAlignment="1">
      <alignment horizontal="center" vertical="center" wrapText="1" readingOrder="1"/>
    </xf>
    <xf numFmtId="0" fontId="11" fillId="0" borderId="52" xfId="0" applyFont="1" applyBorder="1" applyAlignment="1">
      <alignment horizontal="center" vertical="center" wrapText="1" readingOrder="1"/>
    </xf>
    <xf numFmtId="0" fontId="37" fillId="0" borderId="52" xfId="0" applyFont="1" applyBorder="1" applyAlignment="1">
      <alignment horizontal="center" vertical="center" wrapText="1" readingOrder="1"/>
    </xf>
    <xf numFmtId="0" fontId="33" fillId="0" borderId="53" xfId="0" applyFont="1" applyBorder="1" applyAlignment="1">
      <alignment horizontal="center" vertical="center" wrapText="1" readingOrder="1"/>
    </xf>
    <xf numFmtId="0" fontId="7" fillId="0" borderId="44" xfId="0" applyFont="1" applyBorder="1" applyAlignment="1">
      <alignment horizontal="left" vertical="center"/>
    </xf>
    <xf numFmtId="0" fontId="7" fillId="0" borderId="42" xfId="0" applyFont="1" applyBorder="1" applyAlignment="1">
      <alignment horizontal="left" vertical="center"/>
    </xf>
    <xf numFmtId="0" fontId="7" fillId="0" borderId="45" xfId="0" applyFont="1" applyBorder="1" applyAlignment="1">
      <alignment horizontal="left" vertical="center"/>
    </xf>
    <xf numFmtId="0" fontId="40" fillId="4" borderId="33" xfId="0" applyFont="1" applyFill="1" applyBorder="1" applyAlignment="1">
      <alignment horizontal="center" vertical="center" wrapText="1"/>
    </xf>
    <xf numFmtId="0" fontId="0" fillId="0" borderId="0" xfId="0"/>
    <xf numFmtId="165" fontId="18" fillId="30" borderId="17" xfId="1" applyNumberFormat="1" applyFont="1" applyFill="1" applyBorder="1" applyAlignment="1" applyProtection="1">
      <alignment horizontal="center" vertical="center" wrapText="1"/>
    </xf>
    <xf numFmtId="165" fontId="18" fillId="31" borderId="18" xfId="1" applyNumberFormat="1" applyFont="1" applyFill="1" applyBorder="1" applyAlignment="1" applyProtection="1">
      <alignment horizontal="center" vertical="center" wrapText="1"/>
    </xf>
    <xf numFmtId="0" fontId="32" fillId="0" borderId="0" xfId="0" applyFont="1"/>
    <xf numFmtId="0" fontId="35" fillId="5" borderId="51" xfId="0" applyFont="1" applyFill="1" applyBorder="1" applyAlignment="1">
      <alignment horizontal="left" vertical="top" wrapText="1" readingOrder="1"/>
    </xf>
    <xf numFmtId="0" fontId="5" fillId="4" borderId="5" xfId="0" applyFont="1" applyFill="1" applyBorder="1" applyAlignment="1">
      <alignment horizontal="center" vertical="center" wrapText="1"/>
    </xf>
    <xf numFmtId="0" fontId="5" fillId="4" borderId="14" xfId="0" applyFont="1" applyFill="1" applyBorder="1" applyAlignment="1">
      <alignment horizontal="center" vertical="center" wrapText="1"/>
    </xf>
    <xf numFmtId="0" fontId="5" fillId="6" borderId="5" xfId="0" applyFont="1" applyFill="1" applyBorder="1" applyAlignment="1">
      <alignment horizontal="center" vertical="center" wrapText="1"/>
    </xf>
    <xf numFmtId="0" fontId="17" fillId="5" borderId="24" xfId="0" applyFont="1" applyFill="1" applyBorder="1" applyAlignment="1">
      <alignment horizontal="center" vertical="center" wrapText="1"/>
    </xf>
    <xf numFmtId="0" fontId="7" fillId="0" borderId="44" xfId="0" applyFont="1" applyBorder="1" applyAlignment="1">
      <alignment horizontal="left" vertical="center"/>
    </xf>
    <xf numFmtId="0" fontId="7" fillId="0" borderId="42" xfId="0" applyFont="1" applyBorder="1" applyAlignment="1">
      <alignment horizontal="left" vertical="center"/>
    </xf>
    <xf numFmtId="0" fontId="7" fillId="0" borderId="45" xfId="0" applyFont="1" applyBorder="1" applyAlignment="1">
      <alignment horizontal="left" vertical="center"/>
    </xf>
    <xf numFmtId="0" fontId="64" fillId="0" borderId="0" xfId="0" applyFont="1" applyAlignment="1">
      <alignment horizontal="left" vertical="center" wrapText="1"/>
    </xf>
    <xf numFmtId="0" fontId="61" fillId="24" borderId="44" xfId="0" applyFont="1" applyFill="1" applyBorder="1" applyAlignment="1">
      <alignment horizontal="center" vertical="center"/>
    </xf>
    <xf numFmtId="0" fontId="61" fillId="24" borderId="45" xfId="0" applyFont="1" applyFill="1" applyBorder="1" applyAlignment="1">
      <alignment horizontal="center" vertical="center"/>
    </xf>
    <xf numFmtId="0" fontId="61" fillId="0" borderId="44" xfId="0" applyFont="1" applyBorder="1" applyAlignment="1">
      <alignment horizontal="center" vertical="center"/>
    </xf>
    <xf numFmtId="0" fontId="61" fillId="0" borderId="45" xfId="0" applyFont="1" applyBorder="1" applyAlignment="1">
      <alignment horizontal="center" vertical="center"/>
    </xf>
    <xf numFmtId="0" fontId="65" fillId="0" borderId="0" xfId="0" applyFont="1" applyAlignment="1">
      <alignment horizontal="center" wrapText="1"/>
    </xf>
    <xf numFmtId="0" fontId="59" fillId="0" borderId="0" xfId="0" applyFont="1" applyAlignment="1">
      <alignment horizontal="center" wrapText="1"/>
    </xf>
    <xf numFmtId="0" fontId="67" fillId="0" borderId="0" xfId="0" applyFont="1" applyAlignment="1">
      <alignment horizontal="left"/>
    </xf>
    <xf numFmtId="0" fontId="67" fillId="0" borderId="37" xfId="0" applyFont="1" applyBorder="1" applyAlignment="1">
      <alignment horizontal="left"/>
    </xf>
    <xf numFmtId="0" fontId="7" fillId="0" borderId="44" xfId="0" applyFont="1" applyBorder="1" applyAlignment="1">
      <alignment horizontal="center" vertical="center"/>
    </xf>
    <xf numFmtId="0" fontId="7" fillId="0" borderId="42" xfId="0" applyFont="1" applyBorder="1" applyAlignment="1">
      <alignment horizontal="center" vertical="center"/>
    </xf>
    <xf numFmtId="0" fontId="7" fillId="0" borderId="45" xfId="0" applyFont="1" applyBorder="1" applyAlignment="1">
      <alignment horizontal="center" vertical="center"/>
    </xf>
    <xf numFmtId="0" fontId="5" fillId="4" borderId="10" xfId="0" applyFont="1" applyFill="1" applyBorder="1" applyAlignment="1">
      <alignment horizontal="center" vertical="center" wrapText="1"/>
    </xf>
    <xf numFmtId="0" fontId="0" fillId="0" borderId="10" xfId="0" applyBorder="1" applyAlignment="1">
      <alignment vertical="center" wrapText="1"/>
    </xf>
    <xf numFmtId="0" fontId="68" fillId="6" borderId="5" xfId="0" applyFont="1" applyFill="1" applyBorder="1" applyAlignment="1">
      <alignment horizontal="center" vertical="center" wrapText="1"/>
    </xf>
    <xf numFmtId="0" fontId="68" fillId="6" borderId="9" xfId="0" applyFont="1" applyFill="1" applyBorder="1" applyAlignment="1">
      <alignment horizontal="center" vertical="center" wrapText="1"/>
    </xf>
    <xf numFmtId="0" fontId="5" fillId="4" borderId="9" xfId="0" applyFont="1" applyFill="1" applyBorder="1" applyAlignment="1">
      <alignment horizontal="center" vertical="center" wrapText="1"/>
    </xf>
    <xf numFmtId="0" fontId="5" fillId="4" borderId="1" xfId="0" applyFont="1" applyFill="1" applyBorder="1" applyAlignment="1">
      <alignment horizontal="left" vertical="center" wrapText="1" indent="1"/>
    </xf>
    <xf numFmtId="0" fontId="68" fillId="6" borderId="4" xfId="0" applyFont="1" applyFill="1" applyBorder="1" applyAlignment="1">
      <alignment horizontal="center" vertical="center" wrapText="1"/>
    </xf>
    <xf numFmtId="0" fontId="68" fillId="6" borderId="1" xfId="0" applyFont="1" applyFill="1" applyBorder="1" applyAlignment="1">
      <alignment horizontal="center" vertical="center" wrapText="1"/>
    </xf>
    <xf numFmtId="0" fontId="5" fillId="6" borderId="0" xfId="0" applyFont="1" applyFill="1" applyAlignment="1">
      <alignment horizontal="center" vertical="center" wrapText="1"/>
    </xf>
    <xf numFmtId="0" fontId="5" fillId="6" borderId="1" xfId="0" applyFont="1" applyFill="1" applyBorder="1" applyAlignment="1">
      <alignment horizontal="center" vertical="center" wrapText="1"/>
    </xf>
    <xf numFmtId="0" fontId="5" fillId="6" borderId="10" xfId="0" applyFont="1" applyFill="1" applyBorder="1" applyAlignment="1">
      <alignment horizontal="center" vertical="center" wrapText="1"/>
    </xf>
    <xf numFmtId="0" fontId="5" fillId="6" borderId="2" xfId="0" applyFont="1" applyFill="1" applyBorder="1" applyAlignment="1">
      <alignment horizontal="center" vertical="center" wrapText="1"/>
    </xf>
    <xf numFmtId="0" fontId="5" fillId="4" borderId="5" xfId="0" applyFont="1" applyFill="1" applyBorder="1" applyAlignment="1">
      <alignment horizontal="center" vertical="center" wrapText="1"/>
    </xf>
    <xf numFmtId="0" fontId="5" fillId="4" borderId="3" xfId="0" applyFont="1" applyFill="1" applyBorder="1" applyAlignment="1">
      <alignment horizontal="center" vertical="center" wrapText="1"/>
    </xf>
    <xf numFmtId="0" fontId="5" fillId="6" borderId="0" xfId="0" applyFont="1" applyFill="1" applyAlignment="1">
      <alignment horizontal="center" vertical="center" textRotation="90" wrapText="1"/>
    </xf>
    <xf numFmtId="0" fontId="5" fillId="4" borderId="14" xfId="0" applyFont="1" applyFill="1" applyBorder="1" applyAlignment="1">
      <alignment horizontal="center" vertical="center" wrapText="1"/>
    </xf>
    <xf numFmtId="0" fontId="5" fillId="4" borderId="7" xfId="0" applyFont="1" applyFill="1" applyBorder="1" applyAlignment="1">
      <alignment horizontal="center" vertical="center" wrapText="1"/>
    </xf>
    <xf numFmtId="0" fontId="5" fillId="4" borderId="6" xfId="0" applyFont="1" applyFill="1" applyBorder="1" applyAlignment="1">
      <alignment horizontal="center" vertical="center" wrapText="1"/>
    </xf>
    <xf numFmtId="0" fontId="5" fillId="6" borderId="15" xfId="0" applyFont="1" applyFill="1" applyBorder="1" applyAlignment="1">
      <alignment horizontal="center" vertical="center" wrapText="1"/>
    </xf>
    <xf numFmtId="0" fontId="5" fillId="6" borderId="7" xfId="0" applyFont="1" applyFill="1" applyBorder="1" applyAlignment="1">
      <alignment horizontal="center" vertical="center" wrapText="1"/>
    </xf>
    <xf numFmtId="0" fontId="0" fillId="0" borderId="11" xfId="0" applyBorder="1" applyAlignment="1">
      <alignment horizontal="center" vertical="center" wrapText="1"/>
    </xf>
    <xf numFmtId="0" fontId="0" fillId="0" borderId="15" xfId="0" applyBorder="1" applyAlignment="1">
      <alignment horizontal="center" vertical="center" wrapText="1"/>
    </xf>
    <xf numFmtId="0" fontId="0" fillId="0" borderId="14" xfId="0" applyBorder="1" applyAlignment="1">
      <alignment horizontal="center" vertical="center" wrapText="1"/>
    </xf>
    <xf numFmtId="0" fontId="5" fillId="6" borderId="13" xfId="0" applyFont="1" applyFill="1" applyBorder="1" applyAlignment="1">
      <alignment horizontal="center" vertical="center" wrapText="1"/>
    </xf>
    <xf numFmtId="0" fontId="5" fillId="6" borderId="4" xfId="0" applyFont="1" applyFill="1" applyBorder="1" applyAlignment="1">
      <alignment horizontal="center" vertical="center" wrapText="1"/>
    </xf>
    <xf numFmtId="0" fontId="56" fillId="13" borderId="44" xfId="0" applyFont="1" applyFill="1" applyBorder="1" applyAlignment="1">
      <alignment horizontal="center" vertical="center" wrapText="1"/>
    </xf>
    <xf numFmtId="0" fontId="56" fillId="13" borderId="42" xfId="0" applyFont="1" applyFill="1" applyBorder="1" applyAlignment="1">
      <alignment horizontal="center" vertical="center" wrapText="1"/>
    </xf>
    <xf numFmtId="0" fontId="56" fillId="13" borderId="45" xfId="0" applyFont="1" applyFill="1" applyBorder="1" applyAlignment="1">
      <alignment horizontal="center" vertical="center" wrapText="1"/>
    </xf>
    <xf numFmtId="0" fontId="58" fillId="2" borderId="44" xfId="0" applyFont="1" applyFill="1" applyBorder="1" applyAlignment="1" applyProtection="1">
      <alignment horizontal="center" vertical="center" wrapText="1"/>
    </xf>
    <xf numFmtId="0" fontId="17" fillId="2" borderId="42" xfId="0" applyFont="1" applyFill="1" applyBorder="1" applyAlignment="1" applyProtection="1">
      <alignment horizontal="center" vertical="center" wrapText="1"/>
    </xf>
    <xf numFmtId="0" fontId="17" fillId="2" borderId="45" xfId="0" applyFont="1" applyFill="1" applyBorder="1" applyAlignment="1" applyProtection="1">
      <alignment horizontal="center" vertical="center" wrapText="1"/>
    </xf>
    <xf numFmtId="0" fontId="2" fillId="2" borderId="19" xfId="0" applyFont="1" applyFill="1" applyBorder="1" applyAlignment="1" applyProtection="1">
      <alignment horizontal="left" vertical="center" wrapText="1" indent="1"/>
      <protection locked="0"/>
    </xf>
    <xf numFmtId="0" fontId="2" fillId="2" borderId="20" xfId="0" applyFont="1" applyFill="1" applyBorder="1" applyAlignment="1" applyProtection="1">
      <alignment horizontal="left" vertical="center" wrapText="1" indent="1"/>
      <protection locked="0"/>
    </xf>
    <xf numFmtId="0" fontId="2" fillId="2" borderId="21" xfId="0" applyFont="1" applyFill="1" applyBorder="1" applyAlignment="1" applyProtection="1">
      <alignment horizontal="left" vertical="center" wrapText="1" indent="1"/>
      <protection locked="0"/>
    </xf>
    <xf numFmtId="0" fontId="6" fillId="2" borderId="19" xfId="0" applyFont="1" applyFill="1" applyBorder="1" applyAlignment="1" applyProtection="1">
      <alignment horizontal="left" vertical="center" wrapText="1" indent="1"/>
      <protection locked="0"/>
    </xf>
    <xf numFmtId="0" fontId="6" fillId="2" borderId="20" xfId="0" applyFont="1" applyFill="1" applyBorder="1" applyAlignment="1" applyProtection="1">
      <alignment horizontal="left" vertical="center" wrapText="1" indent="1"/>
      <protection locked="0"/>
    </xf>
    <xf numFmtId="0" fontId="6" fillId="2" borderId="21" xfId="0" applyFont="1" applyFill="1" applyBorder="1" applyAlignment="1" applyProtection="1">
      <alignment horizontal="left" vertical="center" wrapText="1" indent="1"/>
      <protection locked="0"/>
    </xf>
    <xf numFmtId="0" fontId="4" fillId="2" borderId="20" xfId="0" applyFont="1" applyFill="1" applyBorder="1" applyAlignment="1" applyProtection="1">
      <alignment horizontal="left" vertical="center" wrapText="1" indent="1"/>
      <protection locked="0"/>
    </xf>
    <xf numFmtId="0" fontId="4" fillId="2" borderId="21" xfId="0" applyFont="1" applyFill="1" applyBorder="1" applyAlignment="1" applyProtection="1">
      <alignment horizontal="left" vertical="center" wrapText="1" indent="1"/>
      <protection locked="0"/>
    </xf>
    <xf numFmtId="0" fontId="76" fillId="13" borderId="44" xfId="0" applyFont="1" applyFill="1" applyBorder="1" applyAlignment="1">
      <alignment horizontal="center" vertical="center" wrapText="1"/>
    </xf>
    <xf numFmtId="0" fontId="76" fillId="13" borderId="42" xfId="0" applyFont="1" applyFill="1" applyBorder="1" applyAlignment="1">
      <alignment horizontal="center" vertical="center" wrapText="1"/>
    </xf>
    <xf numFmtId="0" fontId="76" fillId="13" borderId="45" xfId="0" applyFont="1" applyFill="1" applyBorder="1" applyAlignment="1">
      <alignment horizontal="center" vertical="center" wrapText="1"/>
    </xf>
    <xf numFmtId="0" fontId="6" fillId="2" borderId="19" xfId="0" applyFont="1" applyFill="1" applyBorder="1" applyAlignment="1" applyProtection="1">
      <alignment horizontal="left" vertical="center" wrapText="1" indent="1"/>
    </xf>
    <xf numFmtId="0" fontId="6" fillId="2" borderId="20" xfId="0" applyFont="1" applyFill="1" applyBorder="1" applyAlignment="1" applyProtection="1">
      <alignment horizontal="left" vertical="center" wrapText="1" indent="1"/>
    </xf>
    <xf numFmtId="0" fontId="6" fillId="2" borderId="21" xfId="0" applyFont="1" applyFill="1" applyBorder="1" applyAlignment="1" applyProtection="1">
      <alignment horizontal="left" vertical="center" wrapText="1" indent="1"/>
    </xf>
    <xf numFmtId="0" fontId="2" fillId="5" borderId="12" xfId="0" applyFont="1" applyFill="1" applyBorder="1" applyAlignment="1">
      <alignment horizontal="center" vertical="center" wrapText="1"/>
    </xf>
    <xf numFmtId="0" fontId="2" fillId="5" borderId="48" xfId="0" applyFont="1" applyFill="1" applyBorder="1" applyAlignment="1">
      <alignment horizontal="center" vertical="center" wrapText="1"/>
    </xf>
    <xf numFmtId="0" fontId="2" fillId="5" borderId="47" xfId="0" applyFont="1" applyFill="1" applyBorder="1" applyAlignment="1">
      <alignment horizontal="center" vertical="center" wrapText="1"/>
    </xf>
    <xf numFmtId="0" fontId="2" fillId="5" borderId="26" xfId="0" applyFont="1" applyFill="1" applyBorder="1" applyAlignment="1">
      <alignment horizontal="center" vertical="center" wrapText="1"/>
    </xf>
    <xf numFmtId="0" fontId="2" fillId="5" borderId="23" xfId="0" applyFont="1" applyFill="1" applyBorder="1" applyAlignment="1">
      <alignment horizontal="center" vertical="center" wrapText="1"/>
    </xf>
    <xf numFmtId="0" fontId="2" fillId="5" borderId="72" xfId="0" applyFont="1" applyFill="1" applyBorder="1" applyAlignment="1">
      <alignment horizontal="center" vertical="center" wrapText="1"/>
    </xf>
    <xf numFmtId="0" fontId="2" fillId="5" borderId="22" xfId="0" applyFont="1" applyFill="1" applyBorder="1" applyAlignment="1">
      <alignment horizontal="center" vertical="center" wrapText="1"/>
    </xf>
    <xf numFmtId="0" fontId="2" fillId="5" borderId="25" xfId="0" applyFont="1" applyFill="1" applyBorder="1" applyAlignment="1">
      <alignment horizontal="center" vertical="center" wrapText="1"/>
    </xf>
    <xf numFmtId="0" fontId="2" fillId="5" borderId="24" xfId="0" applyFont="1" applyFill="1" applyBorder="1" applyAlignment="1">
      <alignment horizontal="center" vertical="center" wrapText="1"/>
    </xf>
    <xf numFmtId="0" fontId="80" fillId="2" borderId="25" xfId="0" applyFont="1" applyFill="1" applyBorder="1" applyAlignment="1">
      <alignment vertical="center" wrapText="1"/>
    </xf>
    <xf numFmtId="0" fontId="80" fillId="2" borderId="46" xfId="0" applyFont="1" applyFill="1" applyBorder="1" applyAlignment="1">
      <alignment vertical="center" wrapText="1"/>
    </xf>
    <xf numFmtId="0" fontId="80" fillId="2" borderId="24" xfId="0" applyFont="1" applyFill="1" applyBorder="1" applyAlignment="1">
      <alignment vertical="center" wrapText="1"/>
    </xf>
    <xf numFmtId="0" fontId="80" fillId="2" borderId="12" xfId="0" applyFont="1" applyFill="1" applyBorder="1" applyAlignment="1">
      <alignment horizontal="left" vertical="center" wrapText="1"/>
    </xf>
    <xf numFmtId="0" fontId="5" fillId="4" borderId="15" xfId="0" applyFont="1" applyFill="1" applyBorder="1" applyAlignment="1">
      <alignment horizontal="center" vertical="center" wrapText="1"/>
    </xf>
    <xf numFmtId="0" fontId="5" fillId="4" borderId="11" xfId="0" applyFont="1" applyFill="1" applyBorder="1" applyAlignment="1">
      <alignment horizontal="center" vertical="center" wrapText="1"/>
    </xf>
    <xf numFmtId="0" fontId="5" fillId="8" borderId="12" xfId="0" applyFont="1" applyFill="1" applyBorder="1" applyAlignment="1">
      <alignment horizontal="center" vertical="center" wrapText="1"/>
    </xf>
    <xf numFmtId="0" fontId="8" fillId="2" borderId="25" xfId="0" applyFont="1" applyFill="1" applyBorder="1" applyAlignment="1">
      <alignment horizontal="center" vertical="center" wrapText="1"/>
    </xf>
    <xf numFmtId="0" fontId="8" fillId="2" borderId="46" xfId="0" applyFont="1" applyFill="1" applyBorder="1" applyAlignment="1">
      <alignment horizontal="center" vertical="center" wrapText="1"/>
    </xf>
    <xf numFmtId="0" fontId="8" fillId="2" borderId="24" xfId="0" applyFont="1" applyFill="1" applyBorder="1" applyAlignment="1">
      <alignment horizontal="center" vertical="center" wrapText="1"/>
    </xf>
    <xf numFmtId="0" fontId="80" fillId="2" borderId="12" xfId="0" applyFont="1" applyFill="1" applyBorder="1" applyAlignment="1">
      <alignment vertical="center" wrapText="1"/>
    </xf>
    <xf numFmtId="0" fontId="23" fillId="2" borderId="12" xfId="0" applyFont="1" applyFill="1" applyBorder="1" applyAlignment="1">
      <alignment horizontal="center" vertical="center" wrapText="1"/>
    </xf>
    <xf numFmtId="17" fontId="3" fillId="8" borderId="12" xfId="0" applyNumberFormat="1" applyFont="1" applyFill="1" applyBorder="1" applyAlignment="1">
      <alignment horizontal="center" vertical="center" wrapText="1"/>
    </xf>
    <xf numFmtId="17" fontId="7" fillId="8" borderId="12" xfId="0" applyNumberFormat="1" applyFont="1" applyFill="1" applyBorder="1" applyAlignment="1">
      <alignment horizontal="center" vertical="center" wrapText="1"/>
    </xf>
    <xf numFmtId="0" fontId="3" fillId="8" borderId="12" xfId="0" applyFont="1" applyFill="1" applyBorder="1" applyAlignment="1">
      <alignment vertical="center" wrapText="1"/>
    </xf>
    <xf numFmtId="0" fontId="7" fillId="8" borderId="12" xfId="0" applyFont="1" applyFill="1" applyBorder="1" applyAlignment="1">
      <alignment vertical="center" wrapText="1"/>
    </xf>
    <xf numFmtId="0" fontId="5" fillId="6" borderId="5" xfId="0" applyFont="1" applyFill="1" applyBorder="1" applyAlignment="1">
      <alignment horizontal="center" vertical="center" wrapText="1"/>
    </xf>
    <xf numFmtId="0" fontId="5" fillId="6" borderId="9" xfId="0" applyFont="1" applyFill="1" applyBorder="1" applyAlignment="1">
      <alignment horizontal="center" vertical="center" wrapText="1"/>
    </xf>
    <xf numFmtId="0" fontId="15" fillId="6" borderId="10" xfId="0" applyFont="1" applyFill="1" applyBorder="1" applyAlignment="1">
      <alignment horizontal="center" vertical="center" wrapText="1"/>
    </xf>
    <xf numFmtId="14" fontId="5" fillId="6" borderId="4" xfId="0" applyNumberFormat="1" applyFont="1" applyFill="1" applyBorder="1" applyAlignment="1">
      <alignment horizontal="center" vertical="center" wrapText="1"/>
    </xf>
    <xf numFmtId="14" fontId="5" fillId="6" borderId="1" xfId="0" applyNumberFormat="1" applyFont="1" applyFill="1" applyBorder="1" applyAlignment="1">
      <alignment horizontal="center" vertical="center" wrapText="1"/>
    </xf>
    <xf numFmtId="0" fontId="36" fillId="0" borderId="59" xfId="0" applyFont="1" applyBorder="1" applyAlignment="1">
      <alignment horizontal="left" vertical="top" wrapText="1" readingOrder="1"/>
    </xf>
    <xf numFmtId="0" fontId="32" fillId="0" borderId="59" xfId="0" applyFont="1" applyBorder="1" applyAlignment="1">
      <alignment vertical="top" wrapText="1"/>
    </xf>
    <xf numFmtId="0" fontId="36" fillId="0" borderId="51" xfId="0" applyFont="1" applyBorder="1" applyAlignment="1">
      <alignment horizontal="left" vertical="top" wrapText="1" readingOrder="1"/>
    </xf>
    <xf numFmtId="0" fontId="32" fillId="0" borderId="52" xfId="0" applyFont="1" applyBorder="1" applyAlignment="1">
      <alignment vertical="top" wrapText="1"/>
    </xf>
    <xf numFmtId="0" fontId="32" fillId="0" borderId="53" xfId="0" applyFont="1" applyBorder="1" applyAlignment="1">
      <alignment vertical="top" wrapText="1"/>
    </xf>
    <xf numFmtId="0" fontId="36" fillId="0" borderId="84" xfId="0" applyFont="1" applyBorder="1" applyAlignment="1">
      <alignment horizontal="left" vertical="top" wrapText="1" readingOrder="1"/>
    </xf>
    <xf numFmtId="0" fontId="36" fillId="0" borderId="52" xfId="0" applyFont="1" applyBorder="1" applyAlignment="1">
      <alignment horizontal="left" vertical="top" wrapText="1" readingOrder="1"/>
    </xf>
    <xf numFmtId="0" fontId="36" fillId="0" borderId="53" xfId="0" applyFont="1" applyBorder="1" applyAlignment="1">
      <alignment horizontal="left" vertical="top" wrapText="1" readingOrder="1"/>
    </xf>
    <xf numFmtId="0" fontId="34" fillId="18" borderId="57" xfId="0" applyFont="1" applyFill="1" applyBorder="1" applyAlignment="1">
      <alignment horizontal="center" vertical="top" wrapText="1" readingOrder="1"/>
    </xf>
    <xf numFmtId="0" fontId="32" fillId="0" borderId="58" xfId="0" applyFont="1" applyBorder="1" applyAlignment="1">
      <alignment vertical="top" wrapText="1"/>
    </xf>
    <xf numFmtId="0" fontId="33" fillId="18" borderId="0" xfId="0" applyFont="1" applyFill="1" applyAlignment="1">
      <alignment horizontal="center" vertical="top" wrapText="1" readingOrder="1"/>
    </xf>
    <xf numFmtId="0" fontId="32" fillId="0" borderId="0" xfId="0" applyFont="1"/>
    <xf numFmtId="0" fontId="34" fillId="18" borderId="54" xfId="0" applyFont="1" applyFill="1" applyBorder="1" applyAlignment="1">
      <alignment horizontal="center" vertical="top" wrapText="1" readingOrder="1"/>
    </xf>
    <xf numFmtId="0" fontId="32" fillId="0" borderId="56" xfId="0" applyFont="1" applyBorder="1" applyAlignment="1">
      <alignment vertical="top" wrapText="1"/>
    </xf>
    <xf numFmtId="0" fontId="33" fillId="18" borderId="85" xfId="0" applyFont="1" applyFill="1" applyBorder="1" applyAlignment="1">
      <alignment horizontal="center" vertical="top" wrapText="1" readingOrder="1"/>
    </xf>
    <xf numFmtId="0" fontId="33" fillId="18" borderId="58" xfId="0" applyFont="1" applyFill="1" applyBorder="1" applyAlignment="1">
      <alignment horizontal="center" vertical="top" wrapText="1" readingOrder="1"/>
    </xf>
    <xf numFmtId="0" fontId="11" fillId="18" borderId="0" xfId="0" applyFont="1" applyFill="1" applyAlignment="1">
      <alignment horizontal="center" wrapText="1" readingOrder="1"/>
    </xf>
    <xf numFmtId="0" fontId="11" fillId="18" borderId="50" xfId="0" applyFont="1" applyFill="1" applyBorder="1" applyAlignment="1">
      <alignment horizontal="center" wrapText="1" readingOrder="1"/>
    </xf>
    <xf numFmtId="0" fontId="32" fillId="0" borderId="55" xfId="0" applyFont="1" applyBorder="1" applyAlignment="1">
      <alignment vertical="top" wrapText="1"/>
    </xf>
    <xf numFmtId="0" fontId="33" fillId="18" borderId="51" xfId="0" applyFont="1" applyFill="1" applyBorder="1" applyAlignment="1">
      <alignment horizontal="center" vertical="top" wrapText="1" readingOrder="1"/>
    </xf>
    <xf numFmtId="0" fontId="11" fillId="18" borderId="50" xfId="0" applyFont="1" applyFill="1" applyBorder="1" applyAlignment="1">
      <alignment vertical="top" wrapText="1" readingOrder="1"/>
    </xf>
    <xf numFmtId="0" fontId="33" fillId="18" borderId="51" xfId="0" applyFont="1" applyFill="1" applyBorder="1" applyAlignment="1">
      <alignment horizontal="center" vertical="center" wrapText="1" readingOrder="1"/>
    </xf>
    <xf numFmtId="0" fontId="77" fillId="16" borderId="0" xfId="0" applyFont="1" applyFill="1" applyAlignment="1">
      <alignment horizontal="center" vertical="center"/>
    </xf>
    <xf numFmtId="0" fontId="77" fillId="16" borderId="0" xfId="0" applyFont="1" applyFill="1" applyAlignment="1">
      <alignment horizontal="center" vertical="top"/>
    </xf>
    <xf numFmtId="0" fontId="33" fillId="18" borderId="51" xfId="0" applyFont="1" applyFill="1" applyBorder="1" applyAlignment="1">
      <alignment horizontal="center" wrapText="1" readingOrder="1"/>
    </xf>
    <xf numFmtId="0" fontId="11" fillId="18" borderId="54" xfId="0" applyFont="1" applyFill="1" applyBorder="1" applyAlignment="1">
      <alignment horizontal="center" wrapText="1" readingOrder="1"/>
    </xf>
    <xf numFmtId="0" fontId="77" fillId="16" borderId="86" xfId="0" applyFont="1" applyFill="1" applyBorder="1" applyAlignment="1">
      <alignment horizontal="center" vertical="center" wrapText="1"/>
    </xf>
    <xf numFmtId="0" fontId="34" fillId="18" borderId="51" xfId="0" applyFont="1" applyFill="1" applyBorder="1" applyAlignment="1">
      <alignment horizontal="center" vertical="top" wrapText="1" readingOrder="1"/>
    </xf>
    <xf numFmtId="0" fontId="36" fillId="0" borderId="71" xfId="0" applyFont="1" applyBorder="1" applyAlignment="1">
      <alignment horizontal="center" vertical="top" wrapText="1" readingOrder="1"/>
    </xf>
    <xf numFmtId="0" fontId="36" fillId="0" borderId="59" xfId="0" applyFont="1" applyBorder="1" applyAlignment="1">
      <alignment horizontal="center" vertical="top" wrapText="1" readingOrder="1"/>
    </xf>
    <xf numFmtId="0" fontId="5" fillId="6" borderId="69" xfId="0" applyFont="1" applyFill="1" applyBorder="1" applyAlignment="1">
      <alignment horizontal="center" vertical="center" wrapText="1"/>
    </xf>
    <xf numFmtId="0" fontId="5" fillId="6" borderId="26" xfId="0" applyFont="1" applyFill="1" applyBorder="1" applyAlignment="1">
      <alignment horizontal="center" vertical="center" wrapText="1"/>
    </xf>
    <xf numFmtId="0" fontId="5" fillId="6" borderId="43" xfId="0" applyFont="1" applyFill="1" applyBorder="1" applyAlignment="1">
      <alignment horizontal="center" vertical="center" wrapText="1"/>
    </xf>
    <xf numFmtId="0" fontId="5" fillId="6" borderId="39" xfId="0" applyFont="1" applyFill="1" applyBorder="1" applyAlignment="1">
      <alignment horizontal="center" vertical="center" wrapText="1"/>
    </xf>
    <xf numFmtId="0" fontId="24" fillId="15" borderId="63" xfId="0" applyFont="1" applyFill="1" applyBorder="1" applyAlignment="1">
      <alignment horizontal="center" vertical="center" wrapText="1" readingOrder="1"/>
    </xf>
    <xf numFmtId="0" fontId="24" fillId="15" borderId="0" xfId="0" applyFont="1" applyFill="1" applyBorder="1" applyAlignment="1">
      <alignment horizontal="center" vertical="center" wrapText="1" readingOrder="1"/>
    </xf>
    <xf numFmtId="0" fontId="24" fillId="15" borderId="39" xfId="0" applyFont="1" applyFill="1" applyBorder="1" applyAlignment="1">
      <alignment horizontal="center" vertical="center" wrapText="1" readingOrder="1"/>
    </xf>
    <xf numFmtId="0" fontId="5" fillId="6" borderId="0" xfId="0" applyFont="1" applyFill="1" applyBorder="1" applyAlignment="1">
      <alignment horizontal="center" vertical="center" wrapText="1"/>
    </xf>
    <xf numFmtId="0" fontId="5" fillId="4" borderId="64" xfId="0" applyFont="1" applyFill="1" applyBorder="1" applyAlignment="1">
      <alignment horizontal="left" vertical="center" wrapText="1" indent="1"/>
    </xf>
    <xf numFmtId="0" fontId="5" fillId="4" borderId="70" xfId="0" applyFont="1" applyFill="1" applyBorder="1" applyAlignment="1">
      <alignment horizontal="left" vertical="center" wrapText="1" indent="1"/>
    </xf>
    <xf numFmtId="0" fontId="5" fillId="4" borderId="65" xfId="0" applyFont="1" applyFill="1" applyBorder="1" applyAlignment="1">
      <alignment horizontal="left" vertical="center" wrapText="1" indent="1"/>
    </xf>
    <xf numFmtId="0" fontId="5" fillId="4" borderId="66" xfId="0" applyFont="1" applyFill="1" applyBorder="1" applyAlignment="1">
      <alignment horizontal="center" vertical="center" wrapText="1"/>
    </xf>
    <xf numFmtId="0" fontId="0" fillId="0" borderId="67" xfId="0" applyBorder="1" applyAlignment="1">
      <alignment vertical="center" wrapText="1"/>
    </xf>
    <xf numFmtId="0" fontId="5" fillId="6" borderId="66" xfId="0" applyFont="1" applyFill="1" applyBorder="1" applyAlignment="1">
      <alignment horizontal="center" vertical="center" wrapText="1"/>
    </xf>
    <xf numFmtId="0" fontId="5" fillId="6" borderId="68" xfId="0" applyFont="1" applyFill="1" applyBorder="1" applyAlignment="1">
      <alignment horizontal="center" vertical="center" wrapText="1"/>
    </xf>
    <xf numFmtId="0" fontId="5" fillId="6" borderId="67" xfId="0" applyFont="1" applyFill="1" applyBorder="1" applyAlignment="1">
      <alignment horizontal="center" vertical="center" wrapText="1"/>
    </xf>
    <xf numFmtId="0" fontId="5" fillId="6" borderId="3" xfId="0" applyFont="1" applyFill="1" applyBorder="1" applyAlignment="1">
      <alignment horizontal="center" vertical="center" wrapText="1"/>
    </xf>
    <xf numFmtId="0" fontId="25" fillId="2" borderId="12" xfId="0" applyFont="1" applyFill="1" applyBorder="1" applyAlignment="1">
      <alignment horizontal="left" vertical="center" wrapText="1"/>
    </xf>
    <xf numFmtId="0" fontId="5" fillId="12" borderId="15" xfId="0" applyFont="1" applyFill="1" applyBorder="1" applyAlignment="1">
      <alignment horizontal="center" vertical="center" wrapText="1"/>
    </xf>
    <xf numFmtId="0" fontId="5" fillId="12" borderId="4" xfId="0" applyFont="1" applyFill="1" applyBorder="1" applyAlignment="1">
      <alignment horizontal="center" vertical="center" wrapText="1"/>
    </xf>
    <xf numFmtId="0" fontId="5" fillId="12" borderId="2" xfId="0" applyFont="1" applyFill="1" applyBorder="1" applyAlignment="1">
      <alignment horizontal="center" vertical="center" wrapText="1"/>
    </xf>
    <xf numFmtId="0" fontId="5" fillId="12" borderId="3" xfId="0" applyFont="1" applyFill="1" applyBorder="1" applyAlignment="1">
      <alignment horizontal="center" vertical="center" wrapText="1"/>
    </xf>
    <xf numFmtId="0" fontId="5" fillId="12" borderId="6" xfId="0" applyFont="1" applyFill="1" applyBorder="1" applyAlignment="1">
      <alignment horizontal="center" vertical="center" wrapText="1"/>
    </xf>
    <xf numFmtId="0" fontId="5" fillId="12" borderId="14" xfId="0" applyFont="1" applyFill="1" applyBorder="1" applyAlignment="1">
      <alignment horizontal="center" vertical="center" wrapText="1"/>
    </xf>
    <xf numFmtId="0" fontId="5" fillId="12" borderId="7" xfId="0" applyFont="1" applyFill="1" applyBorder="1" applyAlignment="1">
      <alignment horizontal="center" vertical="center" wrapText="1"/>
    </xf>
    <xf numFmtId="0" fontId="3" fillId="5" borderId="22" xfId="0" applyFont="1" applyFill="1" applyBorder="1" applyAlignment="1">
      <alignment horizontal="center" vertical="center" wrapText="1"/>
    </xf>
    <xf numFmtId="0" fontId="3" fillId="5" borderId="23" xfId="0" applyFont="1" applyFill="1" applyBorder="1" applyAlignment="1">
      <alignment horizontal="center" vertical="center" wrapText="1"/>
    </xf>
    <xf numFmtId="0" fontId="3" fillId="5" borderId="24" xfId="0" applyFont="1" applyFill="1" applyBorder="1" applyAlignment="1">
      <alignment horizontal="center" vertical="center" wrapText="1"/>
    </xf>
    <xf numFmtId="0" fontId="3" fillId="5" borderId="25" xfId="0" applyFont="1" applyFill="1" applyBorder="1" applyAlignment="1">
      <alignment horizontal="center" vertical="center" wrapText="1"/>
    </xf>
    <xf numFmtId="0" fontId="3" fillId="5" borderId="33" xfId="0" applyFont="1" applyFill="1" applyBorder="1" applyAlignment="1">
      <alignment horizontal="center" vertical="center" wrapText="1"/>
    </xf>
    <xf numFmtId="0" fontId="3" fillId="5" borderId="12" xfId="0" applyFont="1" applyFill="1" applyBorder="1" applyAlignment="1">
      <alignment horizontal="center" vertical="center" wrapText="1"/>
    </xf>
    <xf numFmtId="0" fontId="5" fillId="6" borderId="11" xfId="0" applyFont="1" applyFill="1" applyBorder="1" applyAlignment="1">
      <alignment horizontal="center" vertical="center" wrapText="1"/>
    </xf>
    <xf numFmtId="0" fontId="17" fillId="5" borderId="24" xfId="0" applyFont="1" applyFill="1" applyBorder="1" applyAlignment="1">
      <alignment horizontal="center" vertical="center" wrapText="1"/>
    </xf>
    <xf numFmtId="0" fontId="0" fillId="0" borderId="12" xfId="0" applyBorder="1" applyAlignment="1">
      <alignment horizontal="center" vertical="center" wrapText="1"/>
    </xf>
    <xf numFmtId="0" fontId="17" fillId="5" borderId="12" xfId="0" applyFont="1" applyFill="1" applyBorder="1" applyAlignment="1">
      <alignment horizontal="center" vertical="center" wrapText="1"/>
    </xf>
    <xf numFmtId="0" fontId="0" fillId="0" borderId="25" xfId="0" applyBorder="1" applyAlignment="1">
      <alignment horizontal="center" vertical="center" wrapText="1"/>
    </xf>
    <xf numFmtId="0" fontId="5" fillId="12" borderId="5" xfId="0" applyFont="1" applyFill="1" applyBorder="1" applyAlignment="1">
      <alignment horizontal="center" vertical="center" wrapText="1"/>
    </xf>
    <xf numFmtId="0" fontId="5" fillId="12" borderId="8"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5" fillId="4" borderId="7" xfId="0" applyFont="1" applyFill="1" applyBorder="1" applyAlignment="1">
      <alignment horizontal="center" vertical="center"/>
    </xf>
    <xf numFmtId="0" fontId="5" fillId="4" borderId="15" xfId="0" applyFont="1" applyFill="1" applyBorder="1" applyAlignment="1">
      <alignment horizontal="center" vertical="center"/>
    </xf>
    <xf numFmtId="0" fontId="3" fillId="2" borderId="12" xfId="0" applyFont="1" applyFill="1" applyBorder="1" applyAlignment="1">
      <alignment horizontal="center" vertical="center" wrapText="1"/>
    </xf>
    <xf numFmtId="0" fontId="25" fillId="2" borderId="25" xfId="0" applyFont="1" applyFill="1" applyBorder="1" applyAlignment="1">
      <alignment horizontal="center" vertical="center" wrapText="1"/>
    </xf>
    <xf numFmtId="0" fontId="25" fillId="2" borderId="46" xfId="0" applyFont="1" applyFill="1" applyBorder="1" applyAlignment="1">
      <alignment horizontal="center" vertical="center" wrapText="1"/>
    </xf>
    <xf numFmtId="0" fontId="25" fillId="2" borderId="24" xfId="0" applyFont="1" applyFill="1" applyBorder="1" applyAlignment="1">
      <alignment horizontal="center" vertical="center" wrapText="1"/>
    </xf>
    <xf numFmtId="0" fontId="23" fillId="13" borderId="44" xfId="0" applyFont="1" applyFill="1" applyBorder="1" applyAlignment="1">
      <alignment horizontal="center" vertical="center" wrapText="1"/>
    </xf>
    <xf numFmtId="0" fontId="23" fillId="13" borderId="42" xfId="0" applyFont="1" applyFill="1" applyBorder="1" applyAlignment="1">
      <alignment horizontal="center" vertical="center" wrapText="1"/>
    </xf>
    <xf numFmtId="0" fontId="23" fillId="13" borderId="45" xfId="0" applyFont="1" applyFill="1" applyBorder="1" applyAlignment="1">
      <alignment horizontal="center" vertical="center" wrapText="1"/>
    </xf>
    <xf numFmtId="0" fontId="5" fillId="6" borderId="60" xfId="0" applyFont="1" applyFill="1" applyBorder="1" applyAlignment="1">
      <alignment horizontal="center" vertical="center" wrapText="1"/>
    </xf>
    <xf numFmtId="0" fontId="5" fillId="6" borderId="61" xfId="0" applyFont="1" applyFill="1" applyBorder="1" applyAlignment="1">
      <alignment horizontal="center" vertical="center" wrapText="1"/>
    </xf>
    <xf numFmtId="0" fontId="5" fillId="6" borderId="62" xfId="0" applyFont="1" applyFill="1" applyBorder="1" applyAlignment="1">
      <alignment horizontal="center" vertical="center" wrapText="1"/>
    </xf>
  </cellXfs>
  <cellStyles count="37">
    <cellStyle name="Comma" xfId="1" builtinId="3"/>
    <cellStyle name="Comma 116" xfId="17" xr:uid="{E9EA4B67-A1D2-4B87-8769-BF08A5BB7E85}"/>
    <cellStyle name="Comma 116 2" xfId="23" xr:uid="{C05DC98B-6CE2-48BC-AD02-5DF69CF22287}"/>
    <cellStyle name="Comma 116 3" xfId="29" xr:uid="{39672D8A-5410-4245-AE52-EE1D1DBC4476}"/>
    <cellStyle name="Comma 116 4" xfId="35" xr:uid="{F28ECA9C-C190-4EF3-944E-8F87BC6B15CF}"/>
    <cellStyle name="Comma 2" xfId="2" xr:uid="{18A1189D-944F-4D9C-8A6C-2064ED3D7439}"/>
    <cellStyle name="Comma 2 2" xfId="4" xr:uid="{073C9B23-202B-4923-80B5-F3398ED86583}"/>
    <cellStyle name="Comma 2 2 2" xfId="9" xr:uid="{19D6D3A3-3056-461B-8E9E-1CFC7D5F18B2}"/>
    <cellStyle name="Comma 2 2 3" xfId="15" xr:uid="{E8AB9DA0-106E-43DD-B6B7-9BC449ACC915}"/>
    <cellStyle name="Comma 2 2 4" xfId="21" xr:uid="{A284DEF6-65B1-46F1-9807-2156473A4C7C}"/>
    <cellStyle name="Comma 2 2 5" xfId="27" xr:uid="{DDCFC646-1769-4DC6-9AC7-7E24B8AD15E8}"/>
    <cellStyle name="Comma 2 2 6" xfId="33" xr:uid="{38693E3A-FD6C-4597-97BC-368A51F542FF}"/>
    <cellStyle name="Comma 2 3" xfId="12" xr:uid="{A098D041-CEB1-449B-89E9-95F4DE8B277F}"/>
    <cellStyle name="Comma 2 3 2" xfId="16" xr:uid="{BF46D1E1-0A39-4EE2-9309-71F3F8FF30F4}"/>
    <cellStyle name="Comma 2 3 3" xfId="22" xr:uid="{18109F74-9011-48EB-80D0-9CE2F1C38C2A}"/>
    <cellStyle name="Comma 2 3 4" xfId="28" xr:uid="{E8B73A17-2ECA-4A88-9158-F63CFC20E61B}"/>
    <cellStyle name="Comma 2 3 5" xfId="34" xr:uid="{5970495C-3B75-440E-89E2-722F1A274259}"/>
    <cellStyle name="Comma 2 4" xfId="8" xr:uid="{27C73C91-784F-461D-9AB7-FA39E3851290}"/>
    <cellStyle name="Comma 2 5" xfId="14" xr:uid="{60A46574-DF5C-4D89-A169-BD83B0FBFAAF}"/>
    <cellStyle name="Comma 2 6" xfId="20" xr:uid="{64E9CCDA-9594-4E69-B7AE-173CB5B9690B}"/>
    <cellStyle name="Comma 2 7" xfId="26" xr:uid="{12A7D857-DD64-4E93-A096-B0FF2DC6245C}"/>
    <cellStyle name="Comma 2 8" xfId="32" xr:uid="{892076EC-7702-415E-BD2B-7816EEA9FC7B}"/>
    <cellStyle name="Comma 2 9" xfId="18" xr:uid="{ED309E70-16CE-4AA7-A59A-687CFB841594}"/>
    <cellStyle name="Comma 2 9 2" xfId="24" xr:uid="{89C76B09-763F-4252-B3DE-ADDFDA8441C2}"/>
    <cellStyle name="Comma 2 9 3" xfId="30" xr:uid="{67B7F050-6EFE-4B29-AA99-148EDD70FBA6}"/>
    <cellStyle name="Comma 2 9 4" xfId="36" xr:uid="{13FE2F0D-4A2E-4B40-BA90-7335C37AC5C6}"/>
    <cellStyle name="Comma 3" xfId="3" xr:uid="{63BAE357-D0FC-44C0-AD20-085AC13C6560}"/>
    <cellStyle name="Comma 4" xfId="7" xr:uid="{3EC6903E-40C3-423B-B6D1-B5131FF1F0F4}"/>
    <cellStyle name="Comma 5" xfId="13" xr:uid="{93EE9064-3851-407B-84EE-8AB2BE715285}"/>
    <cellStyle name="Comma 6" xfId="19" xr:uid="{BCBECC8F-5126-401C-965D-7EC8F67F910B}"/>
    <cellStyle name="Comma 7" xfId="25" xr:uid="{C6FC0F9E-F4C7-4BFC-BECE-0B2058642E41}"/>
    <cellStyle name="Comma 8" xfId="31" xr:uid="{2E545DE4-101F-402D-8451-B8E4BC7C943C}"/>
    <cellStyle name="Normal" xfId="0" builtinId="0"/>
    <cellStyle name="Normal 2" xfId="5" xr:uid="{1C56AF44-A6A3-4CFF-882C-B3AA274D73B4}"/>
    <cellStyle name="Normal 2 2" xfId="11" xr:uid="{70FD8AC3-AE00-49B6-9754-019FC404C99F}"/>
    <cellStyle name="Normal 3" xfId="10" xr:uid="{79F243BC-96CD-483D-B101-E3B401D9D172}"/>
    <cellStyle name="Percent" xfId="6" builtinId="5"/>
  </cellStyles>
  <dxfs count="1350">
    <dxf>
      <font>
        <color theme="1"/>
      </font>
      <fill>
        <patternFill>
          <bgColor rgb="FFFFC000"/>
        </patternFill>
      </fill>
    </dxf>
    <dxf>
      <font>
        <color theme="0"/>
      </font>
      <fill>
        <patternFill>
          <bgColor rgb="FF00B050"/>
        </patternFill>
      </fill>
    </dxf>
    <dxf>
      <font>
        <color theme="0"/>
      </font>
      <fill>
        <patternFill>
          <bgColor rgb="FFCC0000"/>
        </patternFill>
      </fill>
    </dxf>
    <dxf>
      <font>
        <color theme="1"/>
      </font>
      <fill>
        <patternFill>
          <bgColor theme="0" tint="-4.9989318521683403E-2"/>
        </patternFill>
      </fill>
    </dxf>
    <dxf>
      <font>
        <color theme="0"/>
      </font>
      <fill>
        <patternFill>
          <bgColor rgb="FF00B050"/>
        </patternFill>
      </fill>
    </dxf>
    <dxf>
      <font>
        <color theme="0"/>
      </font>
      <fill>
        <patternFill>
          <bgColor rgb="FFCC0000"/>
        </patternFill>
      </fill>
    </dxf>
    <dxf>
      <font>
        <color theme="1"/>
      </font>
      <fill>
        <patternFill>
          <bgColor theme="0" tint="-4.9989318521683403E-2"/>
        </patternFill>
      </fill>
    </dxf>
    <dxf>
      <font>
        <color theme="1"/>
      </font>
      <fill>
        <patternFill>
          <bgColor rgb="FFFFC000"/>
        </patternFill>
      </fill>
    </dxf>
    <dxf>
      <font>
        <color theme="1"/>
      </font>
      <fill>
        <patternFill>
          <bgColor theme="0" tint="-4.9989318521683403E-2"/>
        </patternFill>
      </fill>
    </dxf>
    <dxf>
      <font>
        <color theme="0"/>
      </font>
      <fill>
        <patternFill>
          <bgColor rgb="FF00B050"/>
        </patternFill>
      </fill>
    </dxf>
    <dxf>
      <font>
        <color theme="1"/>
      </font>
      <fill>
        <patternFill>
          <bgColor rgb="FFFFC000"/>
        </patternFill>
      </fill>
    </dxf>
    <dxf>
      <font>
        <color theme="0"/>
      </font>
      <fill>
        <patternFill>
          <bgColor rgb="FFCC0000"/>
        </patternFill>
      </fill>
    </dxf>
    <dxf>
      <font>
        <color theme="0"/>
      </font>
      <fill>
        <patternFill>
          <bgColor rgb="FFCC0000"/>
        </patternFill>
      </fill>
    </dxf>
    <dxf>
      <font>
        <color theme="1"/>
      </font>
      <fill>
        <patternFill>
          <bgColor rgb="FFFFC000"/>
        </patternFill>
      </fill>
    </dxf>
    <dxf>
      <font>
        <color theme="0"/>
      </font>
      <fill>
        <patternFill>
          <bgColor rgb="FF00B050"/>
        </patternFill>
      </fill>
    </dxf>
    <dxf>
      <font>
        <color theme="1"/>
      </font>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ont>
        <color theme="1"/>
      </font>
      <fill>
        <patternFill>
          <bgColor theme="0" tint="-4.9989318521683403E-2"/>
        </patternFill>
      </fill>
    </dxf>
    <dxf>
      <font>
        <color theme="0"/>
      </font>
      <fill>
        <patternFill>
          <bgColor rgb="FF00B050"/>
        </patternFill>
      </fill>
    </dxf>
    <dxf>
      <font>
        <color theme="1"/>
      </font>
      <fill>
        <patternFill>
          <bgColor rgb="FFFFC000"/>
        </patternFill>
      </fill>
    </dxf>
    <dxf>
      <font>
        <color theme="0"/>
      </font>
      <fill>
        <patternFill>
          <bgColor rgb="FFCC0000"/>
        </patternFill>
      </fill>
    </dxf>
    <dxf>
      <fill>
        <patternFill>
          <bgColor theme="0" tint="-4.9989318521683403E-2"/>
        </patternFill>
      </fill>
    </dxf>
    <dxf>
      <fill>
        <patternFill>
          <bgColor theme="0" tint="-4.9989318521683403E-2"/>
        </patternFill>
      </fill>
    </dxf>
    <dxf>
      <font>
        <color theme="1"/>
      </font>
      <fill>
        <patternFill>
          <bgColor theme="0" tint="-4.9989318521683403E-2"/>
        </patternFill>
      </fill>
    </dxf>
    <dxf>
      <font>
        <color theme="1"/>
      </font>
      <fill>
        <patternFill>
          <bgColor rgb="FFFFC000"/>
        </patternFill>
      </fill>
    </dxf>
    <dxf>
      <font>
        <color theme="0"/>
      </font>
      <fill>
        <patternFill>
          <bgColor rgb="FFCC0000"/>
        </patternFill>
      </fill>
    </dxf>
    <dxf>
      <font>
        <color theme="0"/>
      </font>
      <fill>
        <patternFill>
          <bgColor rgb="FF00B050"/>
        </patternFill>
      </fill>
    </dxf>
    <dxf>
      <fill>
        <patternFill>
          <bgColor theme="0" tint="-4.9989318521683403E-2"/>
        </patternFill>
      </fill>
    </dxf>
    <dxf>
      <font>
        <color theme="1"/>
      </font>
      <fill>
        <patternFill>
          <bgColor theme="0" tint="-4.9989318521683403E-2"/>
        </patternFill>
      </fill>
    </dxf>
    <dxf>
      <font>
        <color theme="0"/>
      </font>
      <fill>
        <patternFill>
          <bgColor rgb="FF00B050"/>
        </patternFill>
      </fill>
    </dxf>
    <dxf>
      <font>
        <color theme="1"/>
      </font>
      <fill>
        <patternFill>
          <bgColor rgb="FFFFC000"/>
        </patternFill>
      </fill>
    </dxf>
    <dxf>
      <font>
        <color theme="0"/>
      </font>
      <fill>
        <patternFill>
          <bgColor rgb="FFCC0000"/>
        </patternFill>
      </fill>
    </dxf>
    <dxf>
      <font>
        <color theme="0"/>
      </font>
      <fill>
        <patternFill>
          <bgColor rgb="FF00B050"/>
        </patternFill>
      </fill>
    </dxf>
    <dxf>
      <font>
        <color theme="1"/>
      </font>
      <fill>
        <patternFill>
          <bgColor theme="0" tint="-4.9989318521683403E-2"/>
        </patternFill>
      </fill>
    </dxf>
    <dxf>
      <fill>
        <patternFill>
          <bgColor theme="0" tint="-4.9989318521683403E-2"/>
        </patternFill>
      </fill>
    </dxf>
    <dxf>
      <font>
        <color theme="1"/>
      </font>
      <fill>
        <patternFill>
          <bgColor rgb="FFFFC000"/>
        </patternFill>
      </fill>
    </dxf>
    <dxf>
      <font>
        <color theme="0"/>
      </font>
      <fill>
        <patternFill>
          <bgColor rgb="FFCC0000"/>
        </patternFill>
      </fill>
    </dxf>
    <dxf>
      <font>
        <color theme="1"/>
      </font>
      <fill>
        <patternFill>
          <bgColor rgb="FFFFC000"/>
        </patternFill>
      </fill>
    </dxf>
    <dxf>
      <font>
        <color theme="0"/>
      </font>
      <fill>
        <patternFill>
          <bgColor rgb="FF00B050"/>
        </patternFill>
      </fill>
    </dxf>
    <dxf>
      <fill>
        <patternFill>
          <bgColor theme="0" tint="-4.9989318521683403E-2"/>
        </patternFill>
      </fill>
    </dxf>
    <dxf>
      <font>
        <color theme="1"/>
      </font>
      <fill>
        <patternFill>
          <bgColor theme="0" tint="-4.9989318521683403E-2"/>
        </patternFill>
      </fill>
    </dxf>
    <dxf>
      <font>
        <color theme="0"/>
      </font>
      <fill>
        <patternFill>
          <bgColor rgb="FFCC0000"/>
        </patternFill>
      </fill>
    </dxf>
    <dxf>
      <fill>
        <patternFill>
          <bgColor theme="0" tint="-4.9989318521683403E-2"/>
        </patternFill>
      </fill>
    </dxf>
    <dxf>
      <fill>
        <patternFill>
          <bgColor theme="0" tint="-4.9989318521683403E-2"/>
        </patternFill>
      </fill>
    </dxf>
    <dxf>
      <font>
        <color theme="0"/>
      </font>
      <fill>
        <patternFill>
          <bgColor rgb="FF00B050"/>
        </patternFill>
      </fill>
    </dxf>
    <dxf>
      <font>
        <color theme="1"/>
      </font>
      <fill>
        <patternFill>
          <bgColor rgb="FFFFC000"/>
        </patternFill>
      </fill>
    </dxf>
    <dxf>
      <font>
        <color theme="0"/>
      </font>
      <fill>
        <patternFill>
          <bgColor rgb="FFCC0000"/>
        </patternFill>
      </fill>
    </dxf>
    <dxf>
      <font>
        <color theme="1"/>
      </font>
      <fill>
        <patternFill>
          <bgColor theme="0" tint="-4.9989318521683403E-2"/>
        </patternFill>
      </fill>
    </dxf>
    <dxf>
      <fill>
        <patternFill>
          <bgColor theme="0" tint="-4.9989318521683403E-2"/>
        </patternFill>
      </fill>
    </dxf>
    <dxf>
      <font>
        <color theme="1"/>
      </font>
      <fill>
        <patternFill>
          <bgColor rgb="FFFFC000"/>
        </patternFill>
      </fill>
    </dxf>
    <dxf>
      <font>
        <color theme="0"/>
      </font>
      <fill>
        <patternFill>
          <bgColor rgb="FF00B050"/>
        </patternFill>
      </fill>
    </dxf>
    <dxf>
      <font>
        <color theme="0"/>
      </font>
      <fill>
        <patternFill>
          <bgColor rgb="FFCC0000"/>
        </patternFill>
      </fill>
    </dxf>
    <dxf>
      <fill>
        <patternFill>
          <bgColor theme="0" tint="-4.9989318521683403E-2"/>
        </patternFill>
      </fill>
    </dxf>
    <dxf>
      <font>
        <color theme="1"/>
      </font>
      <fill>
        <patternFill>
          <bgColor theme="0" tint="-4.9989318521683403E-2"/>
        </patternFill>
      </fill>
    </dxf>
    <dxf>
      <font>
        <color theme="1"/>
      </font>
      <fill>
        <patternFill>
          <bgColor rgb="FFFFC000"/>
        </patternFill>
      </fill>
    </dxf>
    <dxf>
      <font>
        <color theme="0"/>
      </font>
      <fill>
        <patternFill>
          <bgColor rgb="FFCC0000"/>
        </patternFill>
      </fill>
    </dxf>
    <dxf>
      <font>
        <color theme="0"/>
      </font>
      <fill>
        <patternFill>
          <bgColor rgb="FF00B050"/>
        </patternFill>
      </fill>
    </dxf>
    <dxf>
      <fill>
        <patternFill>
          <bgColor theme="0" tint="-4.9989318521683403E-2"/>
        </patternFill>
      </fill>
    </dxf>
    <dxf>
      <font>
        <color theme="1"/>
      </font>
      <fill>
        <patternFill>
          <bgColor theme="0" tint="-4.9989318521683403E-2"/>
        </patternFill>
      </fill>
    </dxf>
    <dxf>
      <font>
        <color theme="0"/>
      </font>
      <fill>
        <patternFill>
          <bgColor rgb="FF00B050"/>
        </patternFill>
      </fill>
    </dxf>
    <dxf>
      <font>
        <color theme="0"/>
      </font>
      <fill>
        <patternFill>
          <bgColor rgb="FFCC0000"/>
        </patternFill>
      </fill>
    </dxf>
    <dxf>
      <font>
        <color theme="1"/>
      </font>
      <fill>
        <patternFill>
          <bgColor rgb="FFFFC000"/>
        </patternFill>
      </fill>
    </dxf>
    <dxf>
      <font>
        <color theme="1"/>
      </font>
      <fill>
        <patternFill>
          <bgColor theme="0" tint="-4.9989318521683403E-2"/>
        </patternFill>
      </fill>
    </dxf>
    <dxf>
      <font>
        <color theme="0"/>
      </font>
      <fill>
        <patternFill>
          <bgColor rgb="FFCC0000"/>
        </patternFill>
      </fill>
    </dxf>
    <dxf>
      <fill>
        <patternFill>
          <bgColor theme="0" tint="-4.9989318521683403E-2"/>
        </patternFill>
      </fill>
    </dxf>
    <dxf>
      <font>
        <color theme="1"/>
      </font>
      <fill>
        <patternFill>
          <bgColor theme="0" tint="-4.9989318521683403E-2"/>
        </patternFill>
      </fill>
    </dxf>
    <dxf>
      <font>
        <color theme="0"/>
      </font>
      <fill>
        <patternFill>
          <bgColor rgb="FF00B050"/>
        </patternFill>
      </fill>
    </dxf>
    <dxf>
      <font>
        <color theme="1"/>
      </font>
      <fill>
        <patternFill>
          <bgColor rgb="FFFFC000"/>
        </patternFill>
      </fill>
    </dxf>
    <dxf>
      <font>
        <color theme="0"/>
      </font>
      <fill>
        <patternFill>
          <bgColor rgb="FFCC0000"/>
        </patternFill>
      </fill>
    </dxf>
    <dxf>
      <font>
        <color theme="1"/>
      </font>
      <fill>
        <patternFill>
          <bgColor rgb="FFFFC000"/>
        </patternFill>
      </fill>
    </dxf>
    <dxf>
      <font>
        <color theme="0"/>
      </font>
      <fill>
        <patternFill>
          <bgColor rgb="FF00B050"/>
        </patternFill>
      </fill>
    </dxf>
    <dxf>
      <font>
        <color theme="1"/>
      </font>
      <fill>
        <patternFill>
          <bgColor theme="0" tint="-4.9989318521683403E-2"/>
        </patternFill>
      </fill>
    </dxf>
    <dxf>
      <fill>
        <patternFill>
          <bgColor theme="0" tint="-4.9989318521683403E-2"/>
        </patternFill>
      </fill>
    </dxf>
    <dxf>
      <font>
        <color theme="0"/>
      </font>
      <fill>
        <patternFill>
          <bgColor rgb="FFCC0000"/>
        </patternFill>
      </fill>
    </dxf>
    <dxf>
      <font>
        <color theme="1"/>
      </font>
      <fill>
        <patternFill>
          <bgColor theme="0" tint="-4.9989318521683403E-2"/>
        </patternFill>
      </fill>
    </dxf>
    <dxf>
      <font>
        <color theme="0"/>
      </font>
      <fill>
        <patternFill>
          <bgColor rgb="FF00B050"/>
        </patternFill>
      </fill>
    </dxf>
    <dxf>
      <font>
        <color theme="1"/>
      </font>
      <fill>
        <patternFill>
          <bgColor rgb="FFFFC000"/>
        </patternFill>
      </fill>
    </dxf>
    <dxf>
      <font>
        <color theme="0"/>
      </font>
      <fill>
        <patternFill>
          <bgColor rgb="FF00B050"/>
        </patternFill>
      </fill>
    </dxf>
    <dxf>
      <font>
        <color theme="0"/>
      </font>
      <fill>
        <patternFill>
          <bgColor rgb="FFCC0000"/>
        </patternFill>
      </fill>
    </dxf>
    <dxf>
      <font>
        <color theme="1"/>
      </font>
      <fill>
        <patternFill>
          <bgColor theme="0" tint="-4.9989318521683403E-2"/>
        </patternFill>
      </fill>
    </dxf>
    <dxf>
      <font>
        <color theme="1"/>
      </font>
      <fill>
        <patternFill>
          <bgColor rgb="FFFFC000"/>
        </patternFill>
      </fill>
    </dxf>
    <dxf>
      <font>
        <color theme="0"/>
      </font>
      <fill>
        <patternFill>
          <bgColor rgb="FFCC0000"/>
        </patternFill>
      </fill>
    </dxf>
    <dxf>
      <font>
        <color theme="0"/>
      </font>
      <fill>
        <patternFill>
          <bgColor rgb="FF00B050"/>
        </patternFill>
      </fill>
    </dxf>
    <dxf>
      <font>
        <color theme="1"/>
      </font>
      <fill>
        <patternFill>
          <bgColor rgb="FFFFC000"/>
        </patternFill>
      </fill>
    </dxf>
    <dxf>
      <font>
        <color theme="1"/>
      </font>
      <fill>
        <patternFill>
          <bgColor theme="0" tint="-4.9989318521683403E-2"/>
        </patternFill>
      </fill>
    </dxf>
    <dxf>
      <font>
        <color theme="0"/>
      </font>
      <fill>
        <patternFill>
          <bgColor rgb="FF00B050"/>
        </patternFill>
      </fill>
    </dxf>
    <dxf>
      <font>
        <color theme="1"/>
      </font>
      <fill>
        <patternFill>
          <bgColor rgb="FFFFC000"/>
        </patternFill>
      </fill>
    </dxf>
    <dxf>
      <font>
        <color theme="0"/>
      </font>
      <fill>
        <patternFill>
          <bgColor rgb="FFCC0000"/>
        </patternFill>
      </fill>
    </dxf>
    <dxf>
      <font>
        <color theme="1"/>
      </font>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ont>
        <color theme="1"/>
      </font>
      <fill>
        <patternFill>
          <bgColor rgb="FFFFC000"/>
        </patternFill>
      </fill>
    </dxf>
    <dxf>
      <font>
        <color theme="0"/>
      </font>
      <fill>
        <patternFill>
          <bgColor rgb="FFCC0000"/>
        </patternFill>
      </fill>
    </dxf>
    <dxf>
      <font>
        <color theme="0"/>
      </font>
      <fill>
        <patternFill>
          <bgColor rgb="FF00B050"/>
        </patternFill>
      </fill>
    </dxf>
    <dxf>
      <font>
        <color theme="1"/>
      </font>
      <fill>
        <patternFill>
          <bgColor theme="0" tint="-4.9989318521683403E-2"/>
        </patternFill>
      </fill>
    </dxf>
    <dxf>
      <font>
        <color theme="1"/>
      </font>
      <fill>
        <patternFill>
          <bgColor theme="0" tint="-4.9989318521683403E-2"/>
        </patternFill>
      </fill>
    </dxf>
    <dxf>
      <font>
        <color theme="0"/>
      </font>
      <fill>
        <patternFill>
          <bgColor rgb="FF00B050"/>
        </patternFill>
      </fill>
    </dxf>
    <dxf>
      <font>
        <color theme="1"/>
      </font>
      <fill>
        <patternFill>
          <bgColor rgb="FFFFC000"/>
        </patternFill>
      </fill>
    </dxf>
    <dxf>
      <font>
        <color theme="0"/>
      </font>
      <fill>
        <patternFill>
          <bgColor rgb="FFCC0000"/>
        </patternFill>
      </fill>
    </dxf>
    <dxf>
      <fill>
        <patternFill>
          <bgColor theme="0" tint="-4.9989318521683403E-2"/>
        </patternFill>
      </fill>
    </dxf>
    <dxf>
      <font>
        <color theme="1"/>
      </font>
      <fill>
        <patternFill>
          <bgColor rgb="FFFFC000"/>
        </patternFill>
      </fill>
    </dxf>
    <dxf>
      <font>
        <color theme="0"/>
      </font>
      <fill>
        <patternFill>
          <bgColor rgb="FFCC0000"/>
        </patternFill>
      </fill>
    </dxf>
    <dxf>
      <fill>
        <patternFill>
          <bgColor theme="0" tint="-4.9989318521683403E-2"/>
        </patternFill>
      </fill>
    </dxf>
    <dxf>
      <font>
        <color theme="1"/>
      </font>
      <fill>
        <patternFill>
          <bgColor theme="0" tint="-4.9989318521683403E-2"/>
        </patternFill>
      </fill>
    </dxf>
    <dxf>
      <font>
        <color theme="0"/>
      </font>
      <fill>
        <patternFill>
          <bgColor rgb="FF00B050"/>
        </patternFill>
      </fill>
    </dxf>
    <dxf>
      <font>
        <color theme="1"/>
      </font>
      <fill>
        <patternFill>
          <bgColor rgb="FFFFC000"/>
        </patternFill>
      </fill>
    </dxf>
    <dxf>
      <font>
        <color theme="0"/>
      </font>
      <fill>
        <patternFill>
          <bgColor rgb="FFCC0000"/>
        </patternFill>
      </fill>
    </dxf>
    <dxf>
      <font>
        <color theme="0"/>
      </font>
      <fill>
        <patternFill>
          <bgColor rgb="FF00B050"/>
        </patternFill>
      </fill>
    </dxf>
    <dxf>
      <font>
        <color theme="1"/>
      </font>
      <fill>
        <patternFill>
          <bgColor theme="0" tint="-4.9989318521683403E-2"/>
        </patternFill>
      </fill>
    </dxf>
    <dxf>
      <font>
        <color theme="0"/>
      </font>
      <fill>
        <patternFill>
          <bgColor rgb="FFCC0000"/>
        </patternFill>
      </fill>
    </dxf>
    <dxf>
      <font>
        <color theme="1"/>
      </font>
      <fill>
        <patternFill>
          <bgColor rgb="FFFFC000"/>
        </patternFill>
      </fill>
    </dxf>
    <dxf>
      <font>
        <color theme="0"/>
      </font>
      <fill>
        <patternFill>
          <bgColor rgb="FF00B050"/>
        </patternFill>
      </fill>
    </dxf>
    <dxf>
      <font>
        <color theme="1"/>
      </font>
      <fill>
        <patternFill>
          <bgColor theme="0" tint="-4.9989318521683403E-2"/>
        </patternFill>
      </fill>
    </dxf>
    <dxf>
      <font>
        <color theme="1"/>
      </font>
      <fill>
        <patternFill>
          <bgColor rgb="FFFFC000"/>
        </patternFill>
      </fill>
    </dxf>
    <dxf>
      <font>
        <color theme="0"/>
      </font>
      <fill>
        <patternFill>
          <bgColor rgb="FF00B050"/>
        </patternFill>
      </fill>
    </dxf>
    <dxf>
      <font>
        <color theme="1"/>
      </font>
      <fill>
        <patternFill>
          <bgColor theme="0" tint="-4.9989318521683403E-2"/>
        </patternFill>
      </fill>
    </dxf>
    <dxf>
      <font>
        <color theme="0"/>
      </font>
      <fill>
        <patternFill>
          <bgColor rgb="FFCC0000"/>
        </patternFill>
      </fill>
    </dxf>
    <dxf>
      <font>
        <color theme="1"/>
      </font>
      <fill>
        <patternFill>
          <bgColor theme="0" tint="-4.9989318521683403E-2"/>
        </patternFill>
      </fill>
    </dxf>
    <dxf>
      <font>
        <color theme="0"/>
      </font>
      <fill>
        <patternFill>
          <bgColor rgb="FF00B050"/>
        </patternFill>
      </fill>
    </dxf>
    <dxf>
      <font>
        <color theme="1"/>
      </font>
      <fill>
        <patternFill>
          <bgColor rgb="FFFFC000"/>
        </patternFill>
      </fill>
    </dxf>
    <dxf>
      <font>
        <color theme="0"/>
      </font>
      <fill>
        <patternFill>
          <bgColor rgb="FFCC0000"/>
        </patternFill>
      </fill>
    </dxf>
    <dxf>
      <font>
        <color theme="0"/>
      </font>
      <fill>
        <patternFill>
          <bgColor rgb="FF00B050"/>
        </patternFill>
      </fill>
    </dxf>
    <dxf>
      <font>
        <color theme="1"/>
      </font>
      <fill>
        <patternFill>
          <bgColor theme="0" tint="-4.9989318521683403E-2"/>
        </patternFill>
      </fill>
    </dxf>
    <dxf>
      <font>
        <color theme="1"/>
      </font>
      <fill>
        <patternFill>
          <bgColor rgb="FFFFC000"/>
        </patternFill>
      </fill>
    </dxf>
    <dxf>
      <font>
        <color theme="0"/>
      </font>
      <fill>
        <patternFill>
          <bgColor rgb="FFCC0000"/>
        </patternFill>
      </fill>
    </dxf>
    <dxf>
      <font>
        <color theme="1"/>
      </font>
      <fill>
        <patternFill>
          <bgColor theme="0" tint="-4.9989318521683403E-2"/>
        </patternFill>
      </fill>
    </dxf>
    <dxf>
      <font>
        <color theme="0"/>
      </font>
      <fill>
        <patternFill>
          <bgColor rgb="FFCC0000"/>
        </patternFill>
      </fill>
    </dxf>
    <dxf>
      <font>
        <color theme="1"/>
      </font>
      <fill>
        <patternFill>
          <bgColor rgb="FFFFC000"/>
        </patternFill>
      </fill>
    </dxf>
    <dxf>
      <font>
        <color theme="0"/>
      </font>
      <fill>
        <patternFill>
          <bgColor rgb="FF00B050"/>
        </patternFill>
      </fill>
    </dxf>
    <dxf>
      <font>
        <color theme="0"/>
      </font>
      <fill>
        <patternFill>
          <bgColor rgb="FFCC0000"/>
        </patternFill>
      </fill>
    </dxf>
    <dxf>
      <font>
        <color theme="1"/>
      </font>
      <fill>
        <patternFill>
          <bgColor rgb="FFFFC000"/>
        </patternFill>
      </fill>
    </dxf>
    <dxf>
      <font>
        <color theme="1"/>
      </font>
      <fill>
        <patternFill>
          <bgColor theme="0" tint="-4.9989318521683403E-2"/>
        </patternFill>
      </fill>
    </dxf>
    <dxf>
      <font>
        <color theme="0"/>
      </font>
      <fill>
        <patternFill>
          <bgColor rgb="FF00B050"/>
        </patternFill>
      </fill>
    </dxf>
    <dxf>
      <font>
        <color theme="0"/>
      </font>
      <fill>
        <patternFill>
          <bgColor rgb="FFCC0000"/>
        </patternFill>
      </fill>
    </dxf>
    <dxf>
      <font>
        <color theme="1"/>
      </font>
      <fill>
        <patternFill>
          <bgColor rgb="FFFFC000"/>
        </patternFill>
      </fill>
    </dxf>
    <dxf>
      <font>
        <color theme="0"/>
      </font>
      <fill>
        <patternFill>
          <bgColor rgb="FF00B050"/>
        </patternFill>
      </fill>
    </dxf>
    <dxf>
      <font>
        <color theme="1"/>
      </font>
      <fill>
        <patternFill>
          <bgColor theme="0" tint="-4.9989318521683403E-2"/>
        </patternFill>
      </fill>
    </dxf>
    <dxf>
      <font>
        <color theme="1"/>
      </font>
      <fill>
        <patternFill>
          <bgColor rgb="FFFFC000"/>
        </patternFill>
      </fill>
    </dxf>
    <dxf>
      <font>
        <color theme="1"/>
      </font>
      <fill>
        <patternFill>
          <bgColor theme="0" tint="-4.9989318521683403E-2"/>
        </patternFill>
      </fill>
    </dxf>
    <dxf>
      <font>
        <color theme="0"/>
      </font>
      <fill>
        <patternFill>
          <bgColor rgb="FFCC0000"/>
        </patternFill>
      </fill>
    </dxf>
    <dxf>
      <font>
        <color theme="0"/>
      </font>
      <fill>
        <patternFill>
          <bgColor rgb="FF00B050"/>
        </patternFill>
      </fill>
    </dxf>
    <dxf>
      <font>
        <color theme="0"/>
      </font>
      <fill>
        <patternFill>
          <bgColor rgb="FFCC0000"/>
        </patternFill>
      </fill>
    </dxf>
    <dxf>
      <font>
        <color theme="1"/>
      </font>
      <fill>
        <patternFill>
          <bgColor rgb="FFFFC000"/>
        </patternFill>
      </fill>
    </dxf>
    <dxf>
      <font>
        <color theme="0"/>
      </font>
      <fill>
        <patternFill>
          <bgColor rgb="FF00B050"/>
        </patternFill>
      </fill>
    </dxf>
    <dxf>
      <font>
        <color theme="1"/>
      </font>
      <fill>
        <patternFill>
          <bgColor theme="0" tint="-4.9989318521683403E-2"/>
        </patternFill>
      </fill>
    </dxf>
    <dxf>
      <font>
        <color theme="0"/>
      </font>
      <fill>
        <patternFill>
          <bgColor rgb="FFCC0000"/>
        </patternFill>
      </fill>
    </dxf>
    <dxf>
      <font>
        <color theme="0"/>
      </font>
      <fill>
        <patternFill>
          <bgColor rgb="FF00B050"/>
        </patternFill>
      </fill>
    </dxf>
    <dxf>
      <font>
        <color theme="1"/>
      </font>
      <fill>
        <patternFill>
          <bgColor rgb="FFFFC000"/>
        </patternFill>
      </fill>
    </dxf>
    <dxf>
      <font>
        <color theme="1"/>
      </font>
      <fill>
        <patternFill>
          <bgColor theme="0" tint="-4.9989318521683403E-2"/>
        </patternFill>
      </fill>
    </dxf>
    <dxf>
      <font>
        <color rgb="FFFF0000"/>
      </font>
    </dxf>
    <dxf>
      <font>
        <color rgb="FF00B050"/>
      </font>
    </dxf>
    <dxf>
      <font>
        <color rgb="FF00B050"/>
      </font>
    </dxf>
    <dxf>
      <font>
        <color rgb="FFFF0000"/>
      </font>
    </dxf>
    <dxf>
      <font>
        <color rgb="FFFF0000"/>
      </font>
    </dxf>
    <dxf>
      <font>
        <color rgb="FF00B050"/>
      </font>
    </dxf>
    <dxf>
      <font>
        <color rgb="FFFF0000"/>
      </font>
    </dxf>
    <dxf>
      <font>
        <color rgb="FF00B050"/>
      </font>
    </dxf>
    <dxf>
      <font>
        <color rgb="FF00B050"/>
      </font>
    </dxf>
    <dxf>
      <font>
        <color rgb="FFFF0000"/>
      </font>
    </dxf>
    <dxf>
      <font>
        <color rgb="FFFF0000"/>
      </font>
    </dxf>
    <dxf>
      <font>
        <color rgb="FF00B050"/>
      </font>
    </dxf>
    <dxf>
      <font>
        <color rgb="FF00B050"/>
      </font>
    </dxf>
    <dxf>
      <font>
        <color rgb="FFFF0000"/>
      </font>
    </dxf>
    <dxf>
      <font>
        <color rgb="FF00B050"/>
      </font>
    </dxf>
    <dxf>
      <font>
        <color rgb="FFFF0000"/>
      </font>
    </dxf>
    <dxf>
      <font>
        <color rgb="FF00B050"/>
      </font>
    </dxf>
    <dxf>
      <font>
        <color rgb="FFFF0000"/>
      </font>
    </dxf>
    <dxf>
      <font>
        <color rgb="FFFF0000"/>
      </font>
    </dxf>
    <dxf>
      <font>
        <color rgb="FF00B050"/>
      </font>
    </dxf>
    <dxf>
      <font>
        <color rgb="FF00B050"/>
      </font>
    </dxf>
    <dxf>
      <font>
        <color rgb="FFFF0000"/>
      </font>
    </dxf>
    <dxf>
      <font>
        <color rgb="FFFF0000"/>
      </font>
    </dxf>
    <dxf>
      <font>
        <color rgb="FF00B050"/>
      </font>
    </dxf>
    <dxf>
      <font>
        <color rgb="FF00B050"/>
      </font>
    </dxf>
    <dxf>
      <font>
        <color rgb="FFFF0000"/>
      </font>
    </dxf>
    <dxf>
      <font>
        <color rgb="FF00B050"/>
      </font>
    </dxf>
    <dxf>
      <font>
        <color rgb="FFFF0000"/>
      </font>
    </dxf>
    <dxf>
      <font>
        <color rgb="FF00B050"/>
      </font>
    </dxf>
    <dxf>
      <font>
        <color rgb="FFFF0000"/>
      </font>
    </dxf>
    <dxf>
      <font>
        <color rgb="FFFF0000"/>
      </font>
    </dxf>
    <dxf>
      <font>
        <color rgb="FF00B050"/>
      </font>
    </dxf>
    <dxf>
      <font>
        <color rgb="FFFFFF00"/>
      </font>
      <fill>
        <patternFill>
          <bgColor rgb="FFFF0000"/>
        </patternFill>
      </fill>
    </dxf>
    <dxf>
      <font>
        <color rgb="FFFFFF00"/>
      </font>
      <fill>
        <patternFill>
          <bgColor rgb="FFFF0000"/>
        </patternFill>
      </fill>
    </dxf>
    <dxf>
      <font>
        <color rgb="FFFFFF00"/>
      </font>
      <fill>
        <patternFill>
          <bgColor rgb="FFFF0000"/>
        </patternFill>
      </fill>
    </dxf>
    <dxf>
      <font>
        <color rgb="FFFFFF00"/>
      </font>
      <fill>
        <patternFill>
          <bgColor rgb="FFFF0000"/>
        </patternFill>
      </fill>
    </dxf>
    <dxf>
      <font>
        <color rgb="FFFFFF00"/>
      </font>
      <fill>
        <patternFill>
          <bgColor rgb="FFFF0000"/>
        </patternFill>
      </fill>
    </dxf>
    <dxf>
      <font>
        <color rgb="FFFFFF00"/>
      </font>
      <fill>
        <patternFill>
          <bgColor rgb="FFFF0000"/>
        </patternFill>
      </fill>
    </dxf>
    <dxf>
      <font>
        <color rgb="FFFFFF00"/>
      </font>
      <fill>
        <patternFill>
          <bgColor rgb="FFFF0000"/>
        </patternFill>
      </fill>
    </dxf>
    <dxf>
      <font>
        <color rgb="FFFFFF00"/>
      </font>
      <fill>
        <patternFill>
          <bgColor rgb="FFFF0000"/>
        </patternFill>
      </fill>
    </dxf>
    <dxf>
      <font>
        <color rgb="FFFFFF00"/>
      </font>
      <fill>
        <patternFill>
          <bgColor rgb="FFFF0000"/>
        </patternFill>
      </fill>
    </dxf>
    <dxf>
      <font>
        <color rgb="FFFFFF00"/>
      </font>
      <fill>
        <patternFill>
          <bgColor rgb="FFFF0000"/>
        </patternFill>
      </fill>
    </dxf>
    <dxf>
      <font>
        <color rgb="FFFFFF00"/>
      </font>
      <fill>
        <patternFill>
          <bgColor rgb="FFFF0000"/>
        </patternFill>
      </fill>
    </dxf>
    <dxf>
      <font>
        <color rgb="FFFFFF00"/>
      </font>
      <fill>
        <patternFill>
          <bgColor rgb="FFFF0000"/>
        </patternFill>
      </fill>
    </dxf>
    <dxf>
      <font>
        <color rgb="FFFFFF00"/>
      </font>
      <fill>
        <patternFill>
          <bgColor rgb="FFFF0000"/>
        </patternFill>
      </fill>
    </dxf>
    <dxf>
      <font>
        <color rgb="FFFFFF00"/>
      </font>
      <fill>
        <patternFill>
          <bgColor rgb="FFFF0000"/>
        </patternFill>
      </fill>
    </dxf>
    <dxf>
      <font>
        <color rgb="FFFFFF00"/>
      </font>
      <fill>
        <patternFill>
          <bgColor rgb="FFFF0000"/>
        </patternFill>
      </fill>
    </dxf>
    <dxf>
      <font>
        <color rgb="FFFFFF00"/>
      </font>
      <fill>
        <patternFill>
          <bgColor rgb="FFFF0000"/>
        </patternFill>
      </fill>
    </dxf>
    <dxf>
      <font>
        <color theme="0"/>
      </font>
      <fill>
        <patternFill>
          <bgColor rgb="FF00B050"/>
        </patternFill>
      </fill>
    </dxf>
    <dxf>
      <font>
        <color theme="1"/>
      </font>
      <fill>
        <patternFill>
          <bgColor rgb="FFFFC000"/>
        </patternFill>
      </fill>
    </dxf>
    <dxf>
      <font>
        <color theme="0"/>
      </font>
      <fill>
        <patternFill>
          <bgColor rgb="FFCC0000"/>
        </patternFill>
      </fill>
    </dxf>
    <dxf>
      <fill>
        <patternFill>
          <bgColor theme="0" tint="-4.9989318521683403E-2"/>
        </patternFill>
      </fill>
    </dxf>
    <dxf>
      <font>
        <color theme="1"/>
      </font>
      <fill>
        <patternFill>
          <bgColor theme="0" tint="-4.9989318521683403E-2"/>
        </patternFill>
      </fill>
    </dxf>
    <dxf>
      <font>
        <color theme="0"/>
      </font>
      <fill>
        <patternFill>
          <bgColor rgb="FFCC0000"/>
        </patternFill>
      </fill>
    </dxf>
    <dxf>
      <font>
        <color theme="1"/>
      </font>
      <fill>
        <patternFill>
          <bgColor rgb="FFFFC000"/>
        </patternFill>
      </fill>
    </dxf>
    <dxf>
      <fill>
        <patternFill>
          <bgColor theme="0" tint="-4.9989318521683403E-2"/>
        </patternFill>
      </fill>
    </dxf>
    <dxf>
      <font>
        <color theme="1"/>
      </font>
      <fill>
        <patternFill>
          <bgColor theme="0" tint="-4.9989318521683403E-2"/>
        </patternFill>
      </fill>
    </dxf>
    <dxf>
      <font>
        <color theme="0"/>
      </font>
      <fill>
        <patternFill>
          <bgColor rgb="FF00B050"/>
        </patternFill>
      </fill>
    </dxf>
    <dxf>
      <font>
        <color theme="0"/>
      </font>
      <fill>
        <patternFill>
          <bgColor rgb="FFCC0000"/>
        </patternFill>
      </fill>
    </dxf>
    <dxf>
      <font>
        <color theme="1"/>
      </font>
      <fill>
        <patternFill>
          <bgColor rgb="FFFFC000"/>
        </patternFill>
      </fill>
    </dxf>
    <dxf>
      <fill>
        <patternFill>
          <bgColor theme="0" tint="-4.9989318521683403E-2"/>
        </patternFill>
      </fill>
    </dxf>
    <dxf>
      <font>
        <color theme="0"/>
      </font>
      <fill>
        <patternFill>
          <bgColor rgb="FF00B050"/>
        </patternFill>
      </fill>
    </dxf>
    <dxf>
      <font>
        <color theme="1"/>
      </font>
      <fill>
        <patternFill>
          <bgColor theme="0" tint="-4.9989318521683403E-2"/>
        </patternFill>
      </fill>
    </dxf>
    <dxf>
      <font>
        <color theme="1"/>
      </font>
      <fill>
        <patternFill>
          <bgColor rgb="FFFFC000"/>
        </patternFill>
      </fill>
    </dxf>
    <dxf>
      <font>
        <color theme="0"/>
      </font>
      <fill>
        <patternFill>
          <bgColor rgb="FF00B050"/>
        </patternFill>
      </fill>
    </dxf>
    <dxf>
      <font>
        <color theme="1"/>
      </font>
      <fill>
        <patternFill>
          <bgColor theme="0" tint="-4.9989318521683403E-2"/>
        </patternFill>
      </fill>
    </dxf>
    <dxf>
      <fill>
        <patternFill>
          <bgColor theme="0" tint="-4.9989318521683403E-2"/>
        </patternFill>
      </fill>
    </dxf>
    <dxf>
      <font>
        <color theme="0"/>
      </font>
      <fill>
        <patternFill>
          <bgColor rgb="FFCC0000"/>
        </patternFill>
      </fill>
    </dxf>
    <dxf>
      <font>
        <color theme="0"/>
      </font>
      <fill>
        <patternFill>
          <bgColor rgb="FF00B050"/>
        </patternFill>
      </fill>
    </dxf>
    <dxf>
      <font>
        <color theme="1"/>
      </font>
      <fill>
        <patternFill>
          <bgColor theme="0" tint="-4.9989318521683403E-2"/>
        </patternFill>
      </fill>
    </dxf>
    <dxf>
      <fill>
        <patternFill>
          <bgColor theme="0" tint="-4.9989318521683403E-2"/>
        </patternFill>
      </fill>
    </dxf>
    <dxf>
      <font>
        <color theme="1"/>
      </font>
      <fill>
        <patternFill>
          <bgColor rgb="FFFFC000"/>
        </patternFill>
      </fill>
    </dxf>
    <dxf>
      <font>
        <color theme="0"/>
      </font>
      <fill>
        <patternFill>
          <bgColor rgb="FFCC0000"/>
        </patternFill>
      </fill>
    </dxf>
    <dxf>
      <font>
        <color theme="0"/>
      </font>
      <fill>
        <patternFill>
          <bgColor rgb="FFCC0000"/>
        </patternFill>
      </fill>
    </dxf>
    <dxf>
      <fill>
        <patternFill>
          <bgColor theme="0" tint="-4.9989318521683403E-2"/>
        </patternFill>
      </fill>
    </dxf>
    <dxf>
      <font>
        <color theme="1"/>
      </font>
      <fill>
        <patternFill>
          <bgColor theme="0" tint="-4.9989318521683403E-2"/>
        </patternFill>
      </fill>
    </dxf>
    <dxf>
      <font>
        <color theme="0"/>
      </font>
      <fill>
        <patternFill>
          <bgColor rgb="FF00B050"/>
        </patternFill>
      </fill>
    </dxf>
    <dxf>
      <font>
        <color theme="1"/>
      </font>
      <fill>
        <patternFill>
          <bgColor rgb="FFFFC000"/>
        </patternFill>
      </fill>
    </dxf>
    <dxf>
      <fill>
        <patternFill>
          <bgColor theme="0" tint="-4.9989318521683403E-2"/>
        </patternFill>
      </fill>
    </dxf>
    <dxf>
      <font>
        <color theme="1"/>
      </font>
      <fill>
        <patternFill>
          <bgColor theme="0" tint="-4.9989318521683403E-2"/>
        </patternFill>
      </fill>
    </dxf>
    <dxf>
      <font>
        <color theme="0"/>
      </font>
      <fill>
        <patternFill>
          <bgColor rgb="FFCC0000"/>
        </patternFill>
      </fill>
    </dxf>
    <dxf>
      <font>
        <color theme="0"/>
      </font>
      <fill>
        <patternFill>
          <bgColor rgb="FF00B050"/>
        </patternFill>
      </fill>
    </dxf>
    <dxf>
      <font>
        <color theme="1"/>
      </font>
      <fill>
        <patternFill>
          <bgColor rgb="FFFFC000"/>
        </patternFill>
      </fill>
    </dxf>
    <dxf>
      <fill>
        <patternFill>
          <bgColor theme="0" tint="-4.9989318521683403E-2"/>
        </patternFill>
      </fill>
    </dxf>
    <dxf>
      <font>
        <color theme="0"/>
      </font>
      <fill>
        <patternFill>
          <bgColor rgb="FFCC0000"/>
        </patternFill>
      </fill>
    </dxf>
    <dxf>
      <font>
        <color theme="1"/>
      </font>
      <fill>
        <patternFill>
          <bgColor rgb="FFFFC000"/>
        </patternFill>
      </fill>
    </dxf>
    <dxf>
      <font>
        <color theme="0"/>
      </font>
      <fill>
        <patternFill>
          <bgColor rgb="FF00B050"/>
        </patternFill>
      </fill>
    </dxf>
    <dxf>
      <font>
        <color theme="1"/>
      </font>
      <fill>
        <patternFill>
          <bgColor theme="0" tint="-4.9989318521683403E-2"/>
        </patternFill>
      </fill>
    </dxf>
    <dxf>
      <font>
        <color theme="1"/>
      </font>
      <fill>
        <patternFill>
          <bgColor theme="0" tint="-4.9989318521683403E-2"/>
        </patternFill>
      </fill>
    </dxf>
    <dxf>
      <fill>
        <patternFill>
          <bgColor theme="0" tint="-4.9989318521683403E-2"/>
        </patternFill>
      </fill>
    </dxf>
    <dxf>
      <font>
        <color theme="0"/>
      </font>
      <fill>
        <patternFill>
          <bgColor rgb="FFCC0000"/>
        </patternFill>
      </fill>
    </dxf>
    <dxf>
      <font>
        <color theme="1"/>
      </font>
      <fill>
        <patternFill>
          <bgColor rgb="FFFFC000"/>
        </patternFill>
      </fill>
    </dxf>
    <dxf>
      <font>
        <color theme="0"/>
      </font>
      <fill>
        <patternFill>
          <bgColor rgb="FF00B050"/>
        </patternFill>
      </fill>
    </dxf>
    <dxf>
      <font>
        <color theme="0"/>
      </font>
      <fill>
        <patternFill>
          <bgColor rgb="FFCC0000"/>
        </patternFill>
      </fill>
    </dxf>
    <dxf>
      <font>
        <color theme="1"/>
      </font>
      <fill>
        <patternFill>
          <bgColor rgb="FFFFC000"/>
        </patternFill>
      </fill>
    </dxf>
    <dxf>
      <font>
        <color theme="0"/>
      </font>
      <fill>
        <patternFill>
          <bgColor rgb="FF00B050"/>
        </patternFill>
      </fill>
    </dxf>
    <dxf>
      <font>
        <color theme="1"/>
      </font>
      <fill>
        <patternFill>
          <bgColor theme="0" tint="-4.9989318521683403E-2"/>
        </patternFill>
      </fill>
    </dxf>
    <dxf>
      <fill>
        <patternFill>
          <bgColor theme="0" tint="-4.9989318521683403E-2"/>
        </patternFill>
      </fill>
    </dxf>
    <dxf>
      <font>
        <color theme="1"/>
      </font>
      <fill>
        <patternFill>
          <bgColor rgb="FFFFC000"/>
        </patternFill>
      </fill>
    </dxf>
    <dxf>
      <fill>
        <patternFill>
          <bgColor theme="0" tint="-4.9989318521683403E-2"/>
        </patternFill>
      </fill>
    </dxf>
    <dxf>
      <font>
        <color theme="0"/>
      </font>
      <fill>
        <patternFill>
          <bgColor rgb="FF00B050"/>
        </patternFill>
      </fill>
    </dxf>
    <dxf>
      <font>
        <color theme="0"/>
      </font>
      <fill>
        <patternFill>
          <bgColor rgb="FFCC0000"/>
        </patternFill>
      </fill>
    </dxf>
    <dxf>
      <font>
        <color theme="1"/>
      </font>
      <fill>
        <patternFill>
          <bgColor theme="0" tint="-4.9989318521683403E-2"/>
        </patternFill>
      </fill>
    </dxf>
    <dxf>
      <font>
        <color theme="1"/>
      </font>
      <fill>
        <patternFill>
          <bgColor theme="0" tint="-4.9989318521683403E-2"/>
        </patternFill>
      </fill>
    </dxf>
    <dxf>
      <fill>
        <patternFill>
          <bgColor theme="0" tint="-4.9989318521683403E-2"/>
        </patternFill>
      </fill>
    </dxf>
    <dxf>
      <font>
        <color theme="0"/>
      </font>
      <fill>
        <patternFill>
          <bgColor rgb="FFCC0000"/>
        </patternFill>
      </fill>
    </dxf>
    <dxf>
      <font>
        <color theme="1"/>
      </font>
      <fill>
        <patternFill>
          <bgColor rgb="FFFFC000"/>
        </patternFill>
      </fill>
    </dxf>
    <dxf>
      <font>
        <color theme="0"/>
      </font>
      <fill>
        <patternFill>
          <bgColor rgb="FF00B050"/>
        </patternFill>
      </fill>
    </dxf>
    <dxf>
      <font>
        <color theme="0"/>
      </font>
      <fill>
        <patternFill>
          <bgColor rgb="FFCC0000"/>
        </patternFill>
      </fill>
    </dxf>
    <dxf>
      <font>
        <color theme="1"/>
      </font>
      <fill>
        <patternFill>
          <bgColor rgb="FFFFC000"/>
        </patternFill>
      </fill>
    </dxf>
    <dxf>
      <fill>
        <patternFill>
          <bgColor theme="0" tint="-4.9989318521683403E-2"/>
        </patternFill>
      </fill>
    </dxf>
    <dxf>
      <font>
        <color theme="1"/>
      </font>
      <fill>
        <patternFill>
          <bgColor theme="0" tint="-4.9989318521683403E-2"/>
        </patternFill>
      </fill>
    </dxf>
    <dxf>
      <font>
        <color theme="0"/>
      </font>
      <fill>
        <patternFill>
          <bgColor rgb="FF00B050"/>
        </patternFill>
      </fill>
    </dxf>
    <dxf>
      <font>
        <color theme="0"/>
      </font>
      <fill>
        <patternFill>
          <bgColor rgb="FFCC0000"/>
        </patternFill>
      </fill>
    </dxf>
    <dxf>
      <font>
        <color theme="1"/>
      </font>
      <fill>
        <patternFill>
          <bgColor rgb="FFFFC000"/>
        </patternFill>
      </fill>
    </dxf>
    <dxf>
      <font>
        <color theme="0"/>
      </font>
      <fill>
        <patternFill>
          <bgColor rgb="FF00B050"/>
        </patternFill>
      </fill>
    </dxf>
    <dxf>
      <font>
        <color theme="1"/>
      </font>
      <fill>
        <patternFill>
          <bgColor theme="0" tint="-4.9989318521683403E-2"/>
        </patternFill>
      </fill>
    </dxf>
    <dxf>
      <fill>
        <patternFill>
          <bgColor theme="0" tint="-4.9989318521683403E-2"/>
        </patternFill>
      </fill>
    </dxf>
    <dxf>
      <font>
        <color theme="0"/>
      </font>
      <fill>
        <patternFill>
          <bgColor rgb="FF00B050"/>
        </patternFill>
      </fill>
    </dxf>
    <dxf>
      <font>
        <color theme="1"/>
      </font>
      <fill>
        <patternFill>
          <bgColor theme="0" tint="-4.9989318521683403E-2"/>
        </patternFill>
      </fill>
    </dxf>
    <dxf>
      <fill>
        <patternFill>
          <bgColor theme="0" tint="-4.9989318521683403E-2"/>
        </patternFill>
      </fill>
    </dxf>
    <dxf>
      <font>
        <color theme="0"/>
      </font>
      <fill>
        <patternFill>
          <bgColor rgb="FFCC0000"/>
        </patternFill>
      </fill>
    </dxf>
    <dxf>
      <font>
        <color theme="1"/>
      </font>
      <fill>
        <patternFill>
          <bgColor rgb="FFFFC000"/>
        </patternFill>
      </fill>
    </dxf>
    <dxf>
      <font>
        <color theme="0"/>
      </font>
      <fill>
        <patternFill>
          <bgColor rgb="FF00B050"/>
        </patternFill>
      </fill>
    </dxf>
    <dxf>
      <font>
        <color theme="1"/>
      </font>
      <fill>
        <patternFill>
          <bgColor rgb="FFFFC000"/>
        </patternFill>
      </fill>
    </dxf>
    <dxf>
      <font>
        <color theme="0"/>
      </font>
      <fill>
        <patternFill>
          <bgColor rgb="FFCC0000"/>
        </patternFill>
      </fill>
    </dxf>
    <dxf>
      <fill>
        <patternFill>
          <bgColor theme="0" tint="-4.9989318521683403E-2"/>
        </patternFill>
      </fill>
    </dxf>
    <dxf>
      <font>
        <color theme="1"/>
      </font>
      <fill>
        <patternFill>
          <bgColor theme="0" tint="-4.9989318521683403E-2"/>
        </patternFill>
      </fill>
    </dxf>
    <dxf>
      <font>
        <color rgb="FFCC0000"/>
      </font>
      <fill>
        <patternFill>
          <bgColor theme="0" tint="-4.9989318521683403E-2"/>
        </patternFill>
      </fill>
    </dxf>
    <dxf>
      <font>
        <color rgb="FFFFC000"/>
      </font>
      <fill>
        <patternFill>
          <bgColor theme="0" tint="-4.9989318521683403E-2"/>
        </patternFill>
      </fill>
    </dxf>
    <dxf>
      <font>
        <color rgb="FF00B050"/>
      </font>
      <fill>
        <patternFill>
          <bgColor theme="0" tint="-4.9989318521683403E-2"/>
        </patternFill>
      </fill>
    </dxf>
    <dxf>
      <font>
        <color rgb="FF00B050"/>
      </font>
      <fill>
        <patternFill>
          <bgColor theme="0" tint="-4.9989318521683403E-2"/>
        </patternFill>
      </fill>
    </dxf>
    <dxf>
      <font>
        <color rgb="FFCC0000"/>
      </font>
      <fill>
        <patternFill>
          <bgColor theme="0" tint="-4.9989318521683403E-2"/>
        </patternFill>
      </fill>
    </dxf>
    <dxf>
      <font>
        <color rgb="FFFFC000"/>
      </font>
      <fill>
        <patternFill>
          <bgColor theme="0" tint="-4.9989318521683403E-2"/>
        </patternFill>
      </fill>
    </dxf>
    <dxf>
      <font>
        <color rgb="FFFFC000"/>
      </font>
      <fill>
        <patternFill>
          <bgColor theme="0" tint="-4.9989318521683403E-2"/>
        </patternFill>
      </fill>
    </dxf>
    <dxf>
      <font>
        <color rgb="FF00B050"/>
      </font>
      <fill>
        <patternFill>
          <bgColor theme="0" tint="-4.9989318521683403E-2"/>
        </patternFill>
      </fill>
    </dxf>
    <dxf>
      <font>
        <color rgb="FFCC0000"/>
      </font>
      <fill>
        <patternFill>
          <bgColor theme="0" tint="-4.9989318521683403E-2"/>
        </patternFill>
      </fill>
    </dxf>
    <dxf>
      <font>
        <color rgb="FFFFC000"/>
      </font>
      <fill>
        <patternFill>
          <bgColor theme="0" tint="-4.9989318521683403E-2"/>
        </patternFill>
      </fill>
    </dxf>
    <dxf>
      <font>
        <color rgb="FFCC0000"/>
      </font>
      <fill>
        <patternFill>
          <bgColor theme="0" tint="-4.9989318521683403E-2"/>
        </patternFill>
      </fill>
    </dxf>
    <dxf>
      <font>
        <color rgb="FF00B050"/>
      </font>
      <fill>
        <patternFill>
          <bgColor theme="0" tint="-4.9989318521683403E-2"/>
        </patternFill>
      </fill>
    </dxf>
    <dxf>
      <font>
        <color rgb="FFCC0000"/>
      </font>
      <fill>
        <patternFill>
          <bgColor theme="0" tint="-4.9989318521683403E-2"/>
        </patternFill>
      </fill>
    </dxf>
    <dxf>
      <font>
        <color rgb="FFFFC000"/>
      </font>
      <fill>
        <patternFill>
          <bgColor theme="0" tint="-4.9989318521683403E-2"/>
        </patternFill>
      </fill>
    </dxf>
    <dxf>
      <font>
        <color rgb="FF00B050"/>
      </font>
      <fill>
        <patternFill>
          <bgColor theme="0" tint="-4.9989318521683403E-2"/>
        </patternFill>
      </fill>
    </dxf>
    <dxf>
      <font>
        <color rgb="FFFFC000"/>
      </font>
      <fill>
        <patternFill>
          <bgColor theme="0" tint="-4.9989318521683403E-2"/>
        </patternFill>
      </fill>
    </dxf>
    <dxf>
      <font>
        <color rgb="FFCC0000"/>
      </font>
      <fill>
        <patternFill>
          <bgColor theme="0" tint="-4.9989318521683403E-2"/>
        </patternFill>
      </fill>
    </dxf>
    <dxf>
      <font>
        <color rgb="FF00B050"/>
      </font>
      <fill>
        <patternFill>
          <bgColor theme="0" tint="-4.9989318521683403E-2"/>
        </patternFill>
      </fill>
    </dxf>
    <dxf>
      <font>
        <color rgb="FFCC0000"/>
      </font>
      <fill>
        <patternFill>
          <bgColor theme="0" tint="-4.9989318521683403E-2"/>
        </patternFill>
      </fill>
    </dxf>
    <dxf>
      <font>
        <color rgb="FFFFC000"/>
      </font>
      <fill>
        <patternFill>
          <bgColor theme="0" tint="-4.9989318521683403E-2"/>
        </patternFill>
      </fill>
    </dxf>
    <dxf>
      <font>
        <color rgb="FF00B050"/>
      </font>
      <fill>
        <patternFill>
          <bgColor theme="0" tint="-4.9989318521683403E-2"/>
        </patternFill>
      </fill>
    </dxf>
    <dxf>
      <font>
        <color rgb="FFFFC000"/>
      </font>
      <fill>
        <patternFill>
          <bgColor theme="0" tint="-4.9989318521683403E-2"/>
        </patternFill>
      </fill>
    </dxf>
    <dxf>
      <font>
        <color rgb="FFCC0000"/>
      </font>
      <fill>
        <patternFill>
          <bgColor theme="0" tint="-4.9989318521683403E-2"/>
        </patternFill>
      </fill>
    </dxf>
    <dxf>
      <font>
        <color rgb="FF00B050"/>
      </font>
      <fill>
        <patternFill>
          <bgColor theme="0" tint="-4.9989318521683403E-2"/>
        </patternFill>
      </fill>
    </dxf>
    <dxf>
      <font>
        <color rgb="FF00B050"/>
      </font>
      <fill>
        <patternFill>
          <bgColor theme="0" tint="-4.9989318521683403E-2"/>
        </patternFill>
      </fill>
    </dxf>
    <dxf>
      <font>
        <color rgb="FFFFC000"/>
      </font>
      <fill>
        <patternFill>
          <bgColor theme="0" tint="-4.9989318521683403E-2"/>
        </patternFill>
      </fill>
    </dxf>
    <dxf>
      <font>
        <color rgb="FFCC0000"/>
      </font>
      <fill>
        <patternFill>
          <bgColor theme="0" tint="-4.9989318521683403E-2"/>
        </patternFill>
      </fill>
    </dxf>
    <dxf>
      <font>
        <color rgb="FFFFC000"/>
      </font>
      <fill>
        <patternFill>
          <bgColor theme="0" tint="-4.9989318521683403E-2"/>
        </patternFill>
      </fill>
    </dxf>
    <dxf>
      <font>
        <color rgb="FF00B050"/>
      </font>
      <fill>
        <patternFill>
          <bgColor theme="0" tint="-4.9989318521683403E-2"/>
        </patternFill>
      </fill>
    </dxf>
    <dxf>
      <font>
        <color rgb="FFCC0000"/>
      </font>
      <fill>
        <patternFill>
          <bgColor theme="0" tint="-4.9989318521683403E-2"/>
        </patternFill>
      </fill>
    </dxf>
    <dxf>
      <font>
        <color rgb="FFFFC000"/>
      </font>
      <fill>
        <patternFill>
          <bgColor theme="0" tint="-4.9989318521683403E-2"/>
        </patternFill>
      </fill>
    </dxf>
    <dxf>
      <font>
        <color rgb="FFCC0000"/>
      </font>
      <fill>
        <patternFill>
          <bgColor theme="0" tint="-4.9989318521683403E-2"/>
        </patternFill>
      </fill>
    </dxf>
    <dxf>
      <font>
        <color rgb="FF00B050"/>
      </font>
      <fill>
        <patternFill>
          <bgColor theme="0" tint="-4.9989318521683403E-2"/>
        </patternFill>
      </fill>
    </dxf>
    <dxf>
      <font>
        <color rgb="FF00B050"/>
      </font>
      <fill>
        <patternFill>
          <bgColor theme="0" tint="-4.9989318521683403E-2"/>
        </patternFill>
      </fill>
    </dxf>
    <dxf>
      <font>
        <color rgb="FFFFC000"/>
      </font>
      <fill>
        <patternFill>
          <bgColor theme="0" tint="-4.9989318521683403E-2"/>
        </patternFill>
      </fill>
    </dxf>
    <dxf>
      <font>
        <color rgb="FFCC0000"/>
      </font>
      <fill>
        <patternFill>
          <bgColor theme="0" tint="-4.9989318521683403E-2"/>
        </patternFill>
      </fill>
    </dxf>
    <dxf>
      <font>
        <color rgb="FF00B050"/>
      </font>
      <fill>
        <patternFill>
          <bgColor theme="0" tint="-4.9989318521683403E-2"/>
        </patternFill>
      </fill>
    </dxf>
    <dxf>
      <font>
        <color rgb="FFCC0000"/>
      </font>
      <fill>
        <patternFill>
          <bgColor theme="0" tint="-4.9989318521683403E-2"/>
        </patternFill>
      </fill>
    </dxf>
    <dxf>
      <font>
        <color rgb="FFFFC000"/>
      </font>
      <fill>
        <patternFill>
          <bgColor theme="0" tint="-4.9989318521683403E-2"/>
        </patternFill>
      </fill>
    </dxf>
    <dxf>
      <font>
        <color rgb="FFCC0000"/>
      </font>
      <fill>
        <patternFill>
          <bgColor theme="0" tint="-4.9989318521683403E-2"/>
        </patternFill>
      </fill>
    </dxf>
    <dxf>
      <font>
        <color rgb="FF00B050"/>
      </font>
      <fill>
        <patternFill>
          <bgColor theme="0" tint="-4.9989318521683403E-2"/>
        </patternFill>
      </fill>
    </dxf>
    <dxf>
      <font>
        <color rgb="FFFFC000"/>
      </font>
      <fill>
        <patternFill>
          <bgColor theme="0" tint="-4.9989318521683403E-2"/>
        </patternFill>
      </fill>
    </dxf>
    <dxf>
      <font>
        <color rgb="FF00B050"/>
      </font>
      <fill>
        <patternFill>
          <bgColor theme="0" tint="-4.9989318521683403E-2"/>
        </patternFill>
      </fill>
    </dxf>
    <dxf>
      <font>
        <color rgb="FFCC0000"/>
      </font>
      <fill>
        <patternFill>
          <bgColor theme="0" tint="-4.9989318521683403E-2"/>
        </patternFill>
      </fill>
    </dxf>
    <dxf>
      <font>
        <color rgb="FFFFC000"/>
      </font>
      <fill>
        <patternFill>
          <bgColor theme="0" tint="-4.9989318521683403E-2"/>
        </patternFill>
      </fill>
    </dxf>
    <dxf>
      <font>
        <color rgb="FFCC0000"/>
      </font>
      <fill>
        <patternFill>
          <bgColor theme="0" tint="-4.9989318521683403E-2"/>
        </patternFill>
      </fill>
    </dxf>
    <dxf>
      <font>
        <color rgb="FF00B050"/>
      </font>
      <fill>
        <patternFill>
          <bgColor theme="0" tint="-4.9989318521683403E-2"/>
        </patternFill>
      </fill>
    </dxf>
    <dxf>
      <font>
        <color rgb="FFFFC000"/>
      </font>
      <fill>
        <patternFill>
          <bgColor theme="0" tint="-4.9989318521683403E-2"/>
        </patternFill>
      </fill>
    </dxf>
    <dxf>
      <font>
        <color theme="1"/>
      </font>
      <fill>
        <patternFill>
          <bgColor rgb="FFFFC000"/>
        </patternFill>
      </fill>
    </dxf>
    <dxf>
      <font>
        <color theme="0"/>
      </font>
      <fill>
        <patternFill>
          <bgColor rgb="FF00B050"/>
        </patternFill>
      </fill>
    </dxf>
    <dxf>
      <font>
        <color theme="1"/>
      </font>
      <fill>
        <patternFill>
          <bgColor theme="0" tint="-4.9989318521683403E-2"/>
        </patternFill>
      </fill>
    </dxf>
    <dxf>
      <fill>
        <patternFill>
          <bgColor theme="0" tint="-4.9989318521683403E-2"/>
        </patternFill>
      </fill>
    </dxf>
    <dxf>
      <font>
        <color theme="0"/>
      </font>
      <fill>
        <patternFill>
          <bgColor rgb="FFCC0000"/>
        </patternFill>
      </fill>
    </dxf>
    <dxf>
      <font>
        <color theme="0"/>
      </font>
      <fill>
        <patternFill>
          <bgColor rgb="FFCC0000"/>
        </patternFill>
      </fill>
    </dxf>
    <dxf>
      <font>
        <color theme="1"/>
      </font>
      <fill>
        <patternFill>
          <bgColor rgb="FFFFC000"/>
        </patternFill>
      </fill>
    </dxf>
    <dxf>
      <font>
        <color theme="0"/>
      </font>
      <fill>
        <patternFill>
          <bgColor rgb="FF00B050"/>
        </patternFill>
      </fill>
    </dxf>
    <dxf>
      <font>
        <color theme="1"/>
      </font>
      <fill>
        <patternFill>
          <bgColor theme="0" tint="-4.9989318521683403E-2"/>
        </patternFill>
      </fill>
    </dxf>
    <dxf>
      <fill>
        <patternFill>
          <bgColor theme="0" tint="-4.9989318521683403E-2"/>
        </patternFill>
      </fill>
    </dxf>
    <dxf>
      <font>
        <color theme="1"/>
      </font>
      <fill>
        <patternFill>
          <bgColor theme="0" tint="-4.9989318521683403E-2"/>
        </patternFill>
      </fill>
    </dxf>
    <dxf>
      <font>
        <color theme="0"/>
      </font>
      <fill>
        <patternFill>
          <bgColor rgb="FF00B050"/>
        </patternFill>
      </fill>
    </dxf>
    <dxf>
      <font>
        <color theme="1"/>
      </font>
      <fill>
        <patternFill>
          <bgColor rgb="FFFFC000"/>
        </patternFill>
      </fill>
    </dxf>
    <dxf>
      <fill>
        <patternFill>
          <bgColor theme="0" tint="-4.9989318521683403E-2"/>
        </patternFill>
      </fill>
    </dxf>
    <dxf>
      <font>
        <color theme="0"/>
      </font>
      <fill>
        <patternFill>
          <bgColor rgb="FFCC0000"/>
        </patternFill>
      </fill>
    </dxf>
    <dxf>
      <fill>
        <patternFill>
          <bgColor theme="0" tint="-4.9989318521683403E-2"/>
        </patternFill>
      </fill>
    </dxf>
    <dxf>
      <font>
        <color theme="1"/>
      </font>
      <fill>
        <patternFill>
          <bgColor theme="0" tint="-4.9989318521683403E-2"/>
        </patternFill>
      </fill>
    </dxf>
    <dxf>
      <font>
        <color theme="0"/>
      </font>
      <fill>
        <patternFill>
          <bgColor rgb="FFCC0000"/>
        </patternFill>
      </fill>
    </dxf>
    <dxf>
      <font>
        <color theme="0"/>
      </font>
      <fill>
        <patternFill>
          <bgColor rgb="FF00B050"/>
        </patternFill>
      </fill>
    </dxf>
    <dxf>
      <font>
        <color theme="1"/>
      </font>
      <fill>
        <patternFill>
          <bgColor rgb="FFFFC000"/>
        </patternFill>
      </fill>
    </dxf>
    <dxf>
      <fill>
        <patternFill>
          <bgColor theme="0" tint="-4.9989318521683403E-2"/>
        </patternFill>
      </fill>
    </dxf>
    <dxf>
      <font>
        <color theme="1"/>
      </font>
      <fill>
        <patternFill>
          <bgColor theme="0" tint="-4.9989318521683403E-2"/>
        </patternFill>
      </fill>
    </dxf>
    <dxf>
      <font>
        <color theme="0"/>
      </font>
      <fill>
        <patternFill>
          <bgColor rgb="FF00B050"/>
        </patternFill>
      </fill>
    </dxf>
    <dxf>
      <font>
        <color theme="1"/>
      </font>
      <fill>
        <patternFill>
          <bgColor rgb="FFFFC000"/>
        </patternFill>
      </fill>
    </dxf>
    <dxf>
      <font>
        <color theme="0"/>
      </font>
      <fill>
        <patternFill>
          <bgColor rgb="FFCC0000"/>
        </patternFill>
      </fill>
    </dxf>
    <dxf>
      <font>
        <color theme="0"/>
      </font>
      <fill>
        <patternFill>
          <bgColor rgb="FFCC0000"/>
        </patternFill>
      </fill>
    </dxf>
    <dxf>
      <font>
        <color theme="0"/>
      </font>
      <fill>
        <patternFill>
          <bgColor rgb="FF00B050"/>
        </patternFill>
      </fill>
    </dxf>
    <dxf>
      <font>
        <color theme="1"/>
      </font>
      <fill>
        <patternFill>
          <bgColor theme="0" tint="-4.9989318521683403E-2"/>
        </patternFill>
      </fill>
    </dxf>
    <dxf>
      <fill>
        <patternFill>
          <bgColor theme="0" tint="-4.9989318521683403E-2"/>
        </patternFill>
      </fill>
    </dxf>
    <dxf>
      <font>
        <color theme="1"/>
      </font>
      <fill>
        <patternFill>
          <bgColor rgb="FFFFC000"/>
        </patternFill>
      </fill>
    </dxf>
    <dxf>
      <font>
        <color theme="0"/>
      </font>
      <fill>
        <patternFill>
          <bgColor rgb="FF00B050"/>
        </patternFill>
      </fill>
    </dxf>
    <dxf>
      <font>
        <color theme="1"/>
      </font>
      <fill>
        <patternFill>
          <bgColor theme="0" tint="-4.9989318521683403E-2"/>
        </patternFill>
      </fill>
    </dxf>
    <dxf>
      <fill>
        <patternFill>
          <bgColor theme="0" tint="-4.9989318521683403E-2"/>
        </patternFill>
      </fill>
    </dxf>
    <dxf>
      <font>
        <color theme="0"/>
      </font>
      <fill>
        <patternFill>
          <bgColor rgb="FFCC0000"/>
        </patternFill>
      </fill>
    </dxf>
    <dxf>
      <font>
        <color theme="1"/>
      </font>
      <fill>
        <patternFill>
          <bgColor rgb="FFFFC000"/>
        </patternFill>
      </fill>
    </dxf>
    <dxf>
      <font>
        <color theme="1"/>
      </font>
      <fill>
        <patternFill>
          <bgColor rgb="FFFFC000"/>
        </patternFill>
      </fill>
    </dxf>
    <dxf>
      <font>
        <color theme="0"/>
      </font>
      <fill>
        <patternFill>
          <bgColor rgb="FF00B050"/>
        </patternFill>
      </fill>
    </dxf>
    <dxf>
      <font>
        <color theme="0"/>
      </font>
      <fill>
        <patternFill>
          <bgColor rgb="FFCC0000"/>
        </patternFill>
      </fill>
    </dxf>
    <dxf>
      <fill>
        <patternFill>
          <bgColor theme="0" tint="-4.9989318521683403E-2"/>
        </patternFill>
      </fill>
    </dxf>
    <dxf>
      <font>
        <color theme="1"/>
      </font>
      <fill>
        <patternFill>
          <bgColor theme="0" tint="-4.9989318521683403E-2"/>
        </patternFill>
      </fill>
    </dxf>
    <dxf>
      <font>
        <color theme="1"/>
      </font>
      <fill>
        <patternFill>
          <bgColor theme="0" tint="-4.9989318521683403E-2"/>
        </patternFill>
      </fill>
    </dxf>
    <dxf>
      <font>
        <color theme="0"/>
      </font>
      <fill>
        <patternFill>
          <bgColor rgb="FF00B050"/>
        </patternFill>
      </fill>
    </dxf>
    <dxf>
      <font>
        <color theme="1"/>
      </font>
      <fill>
        <patternFill>
          <bgColor rgb="FFFFC000"/>
        </patternFill>
      </fill>
    </dxf>
    <dxf>
      <font>
        <color theme="0"/>
      </font>
      <fill>
        <patternFill>
          <bgColor rgb="FFCC0000"/>
        </patternFill>
      </fill>
    </dxf>
    <dxf>
      <fill>
        <patternFill>
          <bgColor theme="0" tint="-4.9989318521683403E-2"/>
        </patternFill>
      </fill>
    </dxf>
    <dxf>
      <font>
        <color theme="0"/>
      </font>
      <fill>
        <patternFill>
          <bgColor rgb="FFCC0000"/>
        </patternFill>
      </fill>
    </dxf>
    <dxf>
      <font>
        <color theme="1"/>
      </font>
      <fill>
        <patternFill>
          <bgColor rgb="FFFFC000"/>
        </patternFill>
      </fill>
    </dxf>
    <dxf>
      <font>
        <color theme="0"/>
      </font>
      <fill>
        <patternFill>
          <bgColor rgb="FF00B050"/>
        </patternFill>
      </fill>
    </dxf>
    <dxf>
      <fill>
        <patternFill>
          <bgColor theme="0" tint="-4.9989318521683403E-2"/>
        </patternFill>
      </fill>
    </dxf>
    <dxf>
      <font>
        <color theme="1"/>
      </font>
      <fill>
        <patternFill>
          <bgColor theme="0" tint="-4.9989318521683403E-2"/>
        </patternFill>
      </fill>
    </dxf>
    <dxf>
      <fill>
        <patternFill>
          <bgColor theme="0" tint="-4.9989318521683403E-2"/>
        </patternFill>
      </fill>
    </dxf>
    <dxf>
      <font>
        <color theme="1"/>
      </font>
      <fill>
        <patternFill>
          <bgColor theme="0" tint="-4.9989318521683403E-2"/>
        </patternFill>
      </fill>
    </dxf>
    <dxf>
      <font>
        <color theme="0"/>
      </font>
      <fill>
        <patternFill>
          <bgColor rgb="FFCC0000"/>
        </patternFill>
      </fill>
    </dxf>
    <dxf>
      <font>
        <color theme="1"/>
      </font>
      <fill>
        <patternFill>
          <bgColor rgb="FFFFC000"/>
        </patternFill>
      </fill>
    </dxf>
    <dxf>
      <font>
        <color theme="0"/>
      </font>
      <fill>
        <patternFill>
          <bgColor rgb="FF00B050"/>
        </patternFill>
      </fill>
    </dxf>
    <dxf>
      <font>
        <color theme="1"/>
      </font>
      <fill>
        <patternFill>
          <bgColor theme="0" tint="-4.9989318521683403E-2"/>
        </patternFill>
      </fill>
    </dxf>
    <dxf>
      <fill>
        <patternFill>
          <bgColor theme="0" tint="-4.9989318521683403E-2"/>
        </patternFill>
      </fill>
    </dxf>
    <dxf>
      <font>
        <color theme="0"/>
      </font>
      <fill>
        <patternFill>
          <bgColor rgb="FFCC0000"/>
        </patternFill>
      </fill>
    </dxf>
    <dxf>
      <font>
        <color theme="0"/>
      </font>
      <fill>
        <patternFill>
          <bgColor rgb="FF00B050"/>
        </patternFill>
      </fill>
    </dxf>
    <dxf>
      <font>
        <color theme="1"/>
      </font>
      <fill>
        <patternFill>
          <bgColor rgb="FFFFC000"/>
        </patternFill>
      </fill>
    </dxf>
    <dxf>
      <font>
        <color theme="1"/>
      </font>
      <fill>
        <patternFill>
          <bgColor theme="0" tint="-4.9989318521683403E-2"/>
        </patternFill>
      </fill>
    </dxf>
    <dxf>
      <font>
        <color theme="0"/>
      </font>
      <fill>
        <patternFill>
          <bgColor rgb="FF00B050"/>
        </patternFill>
      </fill>
    </dxf>
    <dxf>
      <font>
        <color theme="1"/>
      </font>
      <fill>
        <patternFill>
          <bgColor rgb="FFFFC000"/>
        </patternFill>
      </fill>
    </dxf>
    <dxf>
      <font>
        <color theme="0"/>
      </font>
      <fill>
        <patternFill>
          <bgColor rgb="FFCC0000"/>
        </patternFill>
      </fill>
    </dxf>
    <dxf>
      <fill>
        <patternFill>
          <bgColor theme="0" tint="-4.9989318521683403E-2"/>
        </patternFill>
      </fill>
    </dxf>
    <dxf>
      <font>
        <color theme="0"/>
      </font>
      <fill>
        <patternFill>
          <bgColor rgb="FF00B050"/>
        </patternFill>
      </fill>
    </dxf>
    <dxf>
      <font>
        <color theme="0"/>
      </font>
      <fill>
        <patternFill>
          <bgColor rgb="FFCC0000"/>
        </patternFill>
      </fill>
    </dxf>
    <dxf>
      <font>
        <color theme="1"/>
      </font>
      <fill>
        <patternFill>
          <bgColor rgb="FFFFC000"/>
        </patternFill>
      </fill>
    </dxf>
    <dxf>
      <font>
        <color theme="1"/>
      </font>
      <fill>
        <patternFill>
          <bgColor theme="0" tint="-4.9989318521683403E-2"/>
        </patternFill>
      </fill>
    </dxf>
    <dxf>
      <fill>
        <patternFill>
          <bgColor theme="0" tint="-4.9989318521683403E-2"/>
        </patternFill>
      </fill>
    </dxf>
    <dxf>
      <font>
        <color theme="1"/>
      </font>
      <fill>
        <patternFill>
          <bgColor rgb="FFFFC000"/>
        </patternFill>
      </fill>
    </dxf>
    <dxf>
      <fill>
        <patternFill>
          <bgColor theme="0" tint="-4.9989318521683403E-2"/>
        </patternFill>
      </fill>
    </dxf>
    <dxf>
      <font>
        <color theme="1"/>
      </font>
      <fill>
        <patternFill>
          <bgColor theme="0" tint="-4.9989318521683403E-2"/>
        </patternFill>
      </fill>
    </dxf>
    <dxf>
      <font>
        <color theme="0"/>
      </font>
      <fill>
        <patternFill>
          <bgColor rgb="FF00B050"/>
        </patternFill>
      </fill>
    </dxf>
    <dxf>
      <font>
        <color theme="0"/>
      </font>
      <fill>
        <patternFill>
          <bgColor rgb="FFCC0000"/>
        </patternFill>
      </fill>
    </dxf>
    <dxf>
      <font>
        <color theme="1"/>
      </font>
      <fill>
        <patternFill>
          <bgColor theme="0" tint="-4.9989318521683403E-2"/>
        </patternFill>
      </fill>
    </dxf>
    <dxf>
      <fill>
        <patternFill>
          <bgColor theme="0" tint="-4.9989318521683403E-2"/>
        </patternFill>
      </fill>
    </dxf>
    <dxf>
      <font>
        <color theme="0"/>
      </font>
      <fill>
        <patternFill>
          <bgColor rgb="FF00B050"/>
        </patternFill>
      </fill>
    </dxf>
    <dxf>
      <font>
        <color theme="1"/>
      </font>
      <fill>
        <patternFill>
          <bgColor rgb="FFFFC000"/>
        </patternFill>
      </fill>
    </dxf>
    <dxf>
      <font>
        <color theme="0"/>
      </font>
      <fill>
        <patternFill>
          <bgColor rgb="FFCC0000"/>
        </patternFill>
      </fill>
    </dxf>
    <dxf>
      <fill>
        <patternFill>
          <bgColor theme="7" tint="0.79998168889431442"/>
        </patternFill>
      </fill>
    </dxf>
    <dxf>
      <font>
        <color theme="1"/>
      </font>
      <fill>
        <patternFill>
          <bgColor theme="0" tint="-4.9989318521683403E-2"/>
        </patternFill>
      </fill>
    </dxf>
    <dxf>
      <font>
        <color theme="0"/>
      </font>
      <fill>
        <patternFill>
          <bgColor rgb="FFCC0000"/>
        </patternFill>
      </fill>
    </dxf>
    <dxf>
      <font>
        <color theme="1"/>
      </font>
      <fill>
        <patternFill>
          <bgColor rgb="FFFFC000"/>
        </patternFill>
      </fill>
    </dxf>
    <dxf>
      <font>
        <color theme="0"/>
      </font>
      <fill>
        <patternFill>
          <bgColor rgb="FF00B050"/>
        </patternFill>
      </fill>
    </dxf>
    <dxf>
      <font>
        <color theme="1"/>
      </font>
      <fill>
        <patternFill>
          <bgColor theme="0" tint="-4.9989318521683403E-2"/>
        </patternFill>
      </fill>
    </dxf>
    <dxf>
      <font>
        <color theme="0"/>
      </font>
      <fill>
        <patternFill>
          <bgColor rgb="FFCC0000"/>
        </patternFill>
      </fill>
    </dxf>
    <dxf>
      <font>
        <color theme="1"/>
      </font>
      <fill>
        <patternFill>
          <bgColor rgb="FFFFC000"/>
        </patternFill>
      </fill>
    </dxf>
    <dxf>
      <font>
        <color theme="0"/>
      </font>
      <fill>
        <patternFill>
          <bgColor rgb="FF00B050"/>
        </patternFill>
      </fill>
    </dxf>
    <dxf>
      <font>
        <color theme="1"/>
      </font>
      <fill>
        <patternFill>
          <bgColor theme="0" tint="-4.9989318521683403E-2"/>
        </patternFill>
      </fill>
    </dxf>
    <dxf>
      <font>
        <color theme="0"/>
      </font>
      <fill>
        <patternFill>
          <bgColor rgb="FFCC0000"/>
        </patternFill>
      </fill>
    </dxf>
    <dxf>
      <font>
        <color theme="1"/>
      </font>
      <fill>
        <patternFill>
          <bgColor rgb="FFFFC000"/>
        </patternFill>
      </fill>
    </dxf>
    <dxf>
      <font>
        <color theme="0"/>
      </font>
      <fill>
        <patternFill>
          <bgColor rgb="FF00B050"/>
        </patternFill>
      </fill>
    </dxf>
    <dxf>
      <font>
        <color theme="0"/>
      </font>
      <fill>
        <patternFill>
          <bgColor rgb="FFCC0000"/>
        </patternFill>
      </fill>
    </dxf>
    <dxf>
      <font>
        <color theme="1"/>
      </font>
      <fill>
        <patternFill>
          <bgColor rgb="FFFFC000"/>
        </patternFill>
      </fill>
    </dxf>
    <dxf>
      <font>
        <color theme="1"/>
      </font>
      <fill>
        <patternFill>
          <bgColor theme="0" tint="-4.9989318521683403E-2"/>
        </patternFill>
      </fill>
    </dxf>
    <dxf>
      <font>
        <color theme="0"/>
      </font>
      <fill>
        <patternFill>
          <bgColor rgb="FF00B050"/>
        </patternFill>
      </fill>
    </dxf>
    <dxf>
      <font>
        <color theme="0"/>
      </font>
      <fill>
        <patternFill>
          <bgColor rgb="FFCC0000"/>
        </patternFill>
      </fill>
    </dxf>
    <dxf>
      <font>
        <color theme="1"/>
      </font>
      <fill>
        <patternFill>
          <bgColor theme="0" tint="-4.9989318521683403E-2"/>
        </patternFill>
      </fill>
    </dxf>
    <dxf>
      <font>
        <color theme="1"/>
      </font>
      <fill>
        <patternFill>
          <bgColor rgb="FFFFC000"/>
        </patternFill>
      </fill>
    </dxf>
    <dxf>
      <font>
        <color theme="0"/>
      </font>
      <fill>
        <patternFill>
          <bgColor rgb="FF00B050"/>
        </patternFill>
      </fill>
    </dxf>
    <dxf>
      <font>
        <color theme="1"/>
      </font>
      <fill>
        <patternFill>
          <bgColor theme="0" tint="-4.9989318521683403E-2"/>
        </patternFill>
      </fill>
    </dxf>
    <dxf>
      <font>
        <color theme="0"/>
      </font>
      <fill>
        <patternFill>
          <bgColor rgb="FF00B050"/>
        </patternFill>
      </fill>
    </dxf>
    <dxf>
      <font>
        <color theme="1"/>
      </font>
      <fill>
        <patternFill>
          <bgColor rgb="FFFFC000"/>
        </patternFill>
      </fill>
    </dxf>
    <dxf>
      <font>
        <color theme="0"/>
      </font>
      <fill>
        <patternFill>
          <bgColor rgb="FFCC0000"/>
        </patternFill>
      </fill>
    </dxf>
    <dxf>
      <font>
        <color theme="1"/>
      </font>
      <fill>
        <patternFill>
          <bgColor rgb="FFFFC000"/>
        </patternFill>
      </fill>
    </dxf>
    <dxf>
      <font>
        <color theme="0"/>
      </font>
      <fill>
        <patternFill>
          <bgColor rgb="FF00B050"/>
        </patternFill>
      </fill>
    </dxf>
    <dxf>
      <font>
        <color theme="1"/>
      </font>
      <fill>
        <patternFill>
          <bgColor theme="0" tint="-4.9989318521683403E-2"/>
        </patternFill>
      </fill>
    </dxf>
    <dxf>
      <font>
        <color theme="0"/>
      </font>
      <fill>
        <patternFill>
          <bgColor rgb="FFCC0000"/>
        </patternFill>
      </fill>
    </dxf>
    <dxf>
      <font>
        <color theme="1"/>
      </font>
      <fill>
        <patternFill>
          <bgColor theme="0" tint="-4.9989318521683403E-2"/>
        </patternFill>
      </fill>
    </dxf>
    <dxf>
      <font>
        <color theme="0"/>
      </font>
      <fill>
        <patternFill>
          <bgColor rgb="FF00B050"/>
        </patternFill>
      </fill>
    </dxf>
    <dxf>
      <font>
        <color theme="1"/>
      </font>
      <fill>
        <patternFill>
          <bgColor rgb="FFFFC000"/>
        </patternFill>
      </fill>
    </dxf>
    <dxf>
      <font>
        <color theme="0"/>
      </font>
      <fill>
        <patternFill>
          <bgColor rgb="FFCC0000"/>
        </patternFill>
      </fill>
    </dxf>
    <dxf>
      <font>
        <color theme="0"/>
      </font>
      <fill>
        <patternFill>
          <bgColor rgb="FFCC0000"/>
        </patternFill>
      </fill>
    </dxf>
    <dxf>
      <font>
        <color theme="1"/>
      </font>
      <fill>
        <patternFill>
          <bgColor rgb="FFFFC000"/>
        </patternFill>
      </fill>
    </dxf>
    <dxf>
      <font>
        <color theme="1"/>
      </font>
      <fill>
        <patternFill>
          <bgColor theme="0" tint="-4.9989318521683403E-2"/>
        </patternFill>
      </fill>
    </dxf>
    <dxf>
      <font>
        <color theme="0"/>
      </font>
      <fill>
        <patternFill>
          <bgColor rgb="FF00B050"/>
        </patternFill>
      </fill>
    </dxf>
    <dxf>
      <font>
        <color theme="1"/>
      </font>
      <fill>
        <patternFill>
          <bgColor theme="0" tint="-4.9989318521683403E-2"/>
        </patternFill>
      </fill>
    </dxf>
    <dxf>
      <font>
        <color theme="0"/>
      </font>
      <fill>
        <patternFill>
          <bgColor rgb="FF00B050"/>
        </patternFill>
      </fill>
    </dxf>
    <dxf>
      <font>
        <color theme="1"/>
      </font>
      <fill>
        <patternFill>
          <bgColor rgb="FFFFC000"/>
        </patternFill>
      </fill>
    </dxf>
    <dxf>
      <font>
        <color theme="0"/>
      </font>
      <fill>
        <patternFill>
          <bgColor rgb="FFCC0000"/>
        </patternFill>
      </fill>
    </dxf>
    <dxf>
      <font>
        <color theme="0"/>
      </font>
      <fill>
        <patternFill>
          <bgColor rgb="FFCC0000"/>
        </patternFill>
      </fill>
    </dxf>
    <dxf>
      <font>
        <color theme="1"/>
      </font>
      <fill>
        <patternFill>
          <bgColor rgb="FFFFC000"/>
        </patternFill>
      </fill>
    </dxf>
    <dxf>
      <font>
        <color theme="0"/>
      </font>
      <fill>
        <patternFill>
          <bgColor rgb="FF00B050"/>
        </patternFill>
      </fill>
    </dxf>
    <dxf>
      <font>
        <color theme="1"/>
      </font>
      <fill>
        <patternFill>
          <bgColor theme="0" tint="-4.9989318521683403E-2"/>
        </patternFill>
      </fill>
    </dxf>
    <dxf>
      <font>
        <color theme="0"/>
      </font>
      <fill>
        <patternFill>
          <bgColor rgb="FFCC0000"/>
        </patternFill>
      </fill>
    </dxf>
    <dxf>
      <font>
        <color theme="1"/>
      </font>
      <fill>
        <patternFill>
          <bgColor rgb="FFFFC000"/>
        </patternFill>
      </fill>
    </dxf>
    <dxf>
      <font>
        <color theme="1"/>
      </font>
      <fill>
        <patternFill>
          <bgColor theme="0" tint="-4.9989318521683403E-2"/>
        </patternFill>
      </fill>
    </dxf>
    <dxf>
      <font>
        <color theme="0"/>
      </font>
      <fill>
        <patternFill>
          <bgColor rgb="FF00B050"/>
        </patternFill>
      </fill>
    </dxf>
    <dxf>
      <font>
        <color theme="0"/>
      </font>
      <fill>
        <patternFill>
          <bgColor rgb="FFCC0000"/>
        </patternFill>
      </fill>
    </dxf>
    <dxf>
      <font>
        <color theme="1"/>
      </font>
      <fill>
        <patternFill>
          <bgColor rgb="FFFFC000"/>
        </patternFill>
      </fill>
    </dxf>
    <dxf>
      <font>
        <color theme="0"/>
      </font>
      <fill>
        <patternFill>
          <bgColor rgb="FF00B050"/>
        </patternFill>
      </fill>
    </dxf>
    <dxf>
      <font>
        <color theme="1"/>
      </font>
      <fill>
        <patternFill>
          <bgColor theme="0" tint="-4.9989318521683403E-2"/>
        </patternFill>
      </fill>
    </dxf>
    <dxf>
      <font>
        <color theme="1"/>
      </font>
      <fill>
        <patternFill>
          <bgColor rgb="FFFFC000"/>
        </patternFill>
      </fill>
    </dxf>
    <dxf>
      <font>
        <color theme="0"/>
      </font>
      <fill>
        <patternFill>
          <bgColor rgb="FFCC0000"/>
        </patternFill>
      </fill>
    </dxf>
    <dxf>
      <font>
        <color theme="0"/>
      </font>
      <fill>
        <patternFill>
          <bgColor rgb="FF00B050"/>
        </patternFill>
      </fill>
    </dxf>
    <dxf>
      <font>
        <color theme="1"/>
      </font>
      <fill>
        <patternFill>
          <bgColor theme="0" tint="-4.9989318521683403E-2"/>
        </patternFill>
      </fill>
    </dxf>
    <dxf>
      <font>
        <color theme="1"/>
      </font>
      <fill>
        <patternFill>
          <bgColor rgb="FFFFC000"/>
        </patternFill>
      </fill>
    </dxf>
    <dxf>
      <font>
        <color theme="0"/>
      </font>
      <fill>
        <patternFill>
          <bgColor rgb="FF00B050"/>
        </patternFill>
      </fill>
    </dxf>
    <dxf>
      <font>
        <color theme="1"/>
      </font>
      <fill>
        <patternFill>
          <bgColor theme="0" tint="-4.9989318521683403E-2"/>
        </patternFill>
      </fill>
    </dxf>
    <dxf>
      <font>
        <color theme="0"/>
      </font>
      <fill>
        <patternFill>
          <bgColor rgb="FFCC0000"/>
        </patternFill>
      </fill>
    </dxf>
    <dxf>
      <font>
        <color theme="1"/>
      </font>
      <fill>
        <patternFill>
          <bgColor rgb="FFFFC000"/>
        </patternFill>
      </fill>
    </dxf>
    <dxf>
      <font>
        <color theme="1"/>
      </font>
      <fill>
        <patternFill>
          <bgColor theme="0" tint="-4.9989318521683403E-2"/>
        </patternFill>
      </fill>
    </dxf>
    <dxf>
      <font>
        <color theme="0"/>
      </font>
      <fill>
        <patternFill>
          <bgColor rgb="FFCC0000"/>
        </patternFill>
      </fill>
    </dxf>
    <dxf>
      <font>
        <color theme="0"/>
      </font>
      <fill>
        <patternFill>
          <bgColor rgb="FF00B050"/>
        </patternFill>
      </fill>
    </dxf>
    <dxf>
      <font>
        <color theme="0"/>
      </font>
      <fill>
        <patternFill>
          <bgColor rgb="FFCC0000"/>
        </patternFill>
      </fill>
    </dxf>
    <dxf>
      <font>
        <color theme="1"/>
      </font>
      <fill>
        <patternFill>
          <bgColor rgb="FFFFC000"/>
        </patternFill>
      </fill>
    </dxf>
    <dxf>
      <font>
        <color theme="0"/>
      </font>
      <fill>
        <patternFill>
          <bgColor rgb="FF00B050"/>
        </patternFill>
      </fill>
    </dxf>
    <dxf>
      <font>
        <color theme="1"/>
      </font>
      <fill>
        <patternFill>
          <bgColor theme="0" tint="-4.9989318521683403E-2"/>
        </patternFill>
      </fill>
    </dxf>
    <dxf>
      <fill>
        <patternFill>
          <bgColor theme="0" tint="-4.9989318521683403E-2"/>
        </patternFill>
      </fill>
    </dxf>
    <dxf>
      <font>
        <color rgb="FFFFC000"/>
      </font>
      <fill>
        <patternFill>
          <bgColor theme="0"/>
        </patternFill>
      </fill>
    </dxf>
    <dxf>
      <font>
        <color rgb="FFC00000"/>
      </font>
      <fill>
        <patternFill>
          <bgColor theme="0"/>
        </patternFill>
      </fill>
    </dxf>
    <dxf>
      <font>
        <color rgb="FF00B050"/>
      </font>
      <fill>
        <patternFill>
          <bgColor theme="0"/>
        </patternFill>
      </fill>
    </dxf>
    <dxf>
      <font>
        <color theme="0"/>
      </font>
      <fill>
        <patternFill>
          <bgColor rgb="FFCC0000"/>
        </patternFill>
      </fill>
    </dxf>
    <dxf>
      <font>
        <color theme="1"/>
      </font>
      <fill>
        <patternFill>
          <bgColor rgb="FFFFC000"/>
        </patternFill>
      </fill>
    </dxf>
    <dxf>
      <font>
        <color theme="0"/>
      </font>
      <fill>
        <patternFill>
          <bgColor rgb="FF00B050"/>
        </patternFill>
      </fill>
    </dxf>
    <dxf>
      <font>
        <color theme="1"/>
      </font>
      <fill>
        <patternFill>
          <bgColor theme="0" tint="-4.9989318521683403E-2"/>
        </patternFill>
      </fill>
    </dxf>
    <dxf>
      <fill>
        <patternFill>
          <bgColor theme="0" tint="-4.9989318521683403E-2"/>
        </patternFill>
      </fill>
    </dxf>
    <dxf>
      <font>
        <color theme="0"/>
      </font>
      <fill>
        <patternFill>
          <bgColor rgb="FFCC0000"/>
        </patternFill>
      </fill>
    </dxf>
    <dxf>
      <font>
        <color theme="1"/>
      </font>
      <fill>
        <patternFill>
          <bgColor rgb="FFFFC000"/>
        </patternFill>
      </fill>
    </dxf>
    <dxf>
      <font>
        <color theme="0"/>
      </font>
      <fill>
        <patternFill>
          <bgColor rgb="FF00B050"/>
        </patternFill>
      </fill>
    </dxf>
    <dxf>
      <font>
        <color theme="1"/>
      </font>
      <fill>
        <patternFill>
          <bgColor theme="0" tint="-4.9989318521683403E-2"/>
        </patternFill>
      </fill>
    </dxf>
    <dxf>
      <fill>
        <patternFill>
          <bgColor rgb="FF00B050"/>
        </patternFill>
      </fill>
    </dxf>
    <dxf>
      <fill>
        <patternFill>
          <bgColor rgb="FFFF0000"/>
        </patternFill>
      </fill>
    </dxf>
    <dxf>
      <font>
        <color rgb="FFFFC000"/>
      </font>
    </dxf>
    <dxf>
      <font>
        <color rgb="FF00B050"/>
      </font>
    </dxf>
    <dxf>
      <font>
        <color rgb="FFFF0000"/>
      </font>
    </dxf>
    <dxf>
      <font>
        <color rgb="FFFF0000"/>
      </font>
    </dxf>
    <dxf>
      <font>
        <color rgb="FFFFC000"/>
      </font>
    </dxf>
    <dxf>
      <font>
        <color rgb="FF00B050"/>
      </font>
    </dxf>
    <dxf>
      <font>
        <color rgb="FFFFC000"/>
      </font>
    </dxf>
    <dxf>
      <font>
        <color rgb="FFFF0000"/>
      </font>
    </dxf>
    <dxf>
      <font>
        <color rgb="FF00B050"/>
      </font>
    </dxf>
    <dxf>
      <font>
        <color rgb="FFFF0000"/>
      </font>
    </dxf>
    <dxf>
      <font>
        <color rgb="FF00B050"/>
      </font>
    </dxf>
    <dxf>
      <font>
        <color rgb="FFFFC000"/>
      </font>
    </dxf>
    <dxf>
      <font>
        <color rgb="FF00B050"/>
      </font>
    </dxf>
    <dxf>
      <font>
        <color rgb="FFFFC000"/>
      </font>
    </dxf>
    <dxf>
      <font>
        <color rgb="FFFF0000"/>
      </font>
    </dxf>
    <dxf>
      <font>
        <color rgb="FFFF0000"/>
      </font>
    </dxf>
    <dxf>
      <font>
        <color rgb="FF00B050"/>
      </font>
    </dxf>
    <dxf>
      <font>
        <color rgb="FFFFC000"/>
      </font>
    </dxf>
    <dxf>
      <font>
        <color rgb="FF00B050"/>
      </font>
    </dxf>
    <dxf>
      <font>
        <color rgb="FFFFC000"/>
      </font>
    </dxf>
    <dxf>
      <font>
        <color rgb="FFFF0000"/>
      </font>
    </dxf>
    <dxf>
      <fill>
        <patternFill>
          <bgColor rgb="FFFFC000"/>
        </patternFill>
      </fill>
    </dxf>
    <dxf>
      <fill>
        <patternFill>
          <bgColor rgb="FFFFC000"/>
        </patternFill>
      </fill>
    </dxf>
    <dxf>
      <fill>
        <patternFill>
          <bgColor rgb="FFFFC000"/>
        </patternFill>
      </fill>
    </dxf>
    <dxf>
      <fill>
        <patternFill>
          <bgColor rgb="FF00B050"/>
        </patternFill>
      </fill>
    </dxf>
    <dxf>
      <fill>
        <patternFill>
          <bgColor rgb="FFFFC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C00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rgb="FF00B050"/>
      </font>
    </dxf>
    <dxf>
      <font>
        <color rgb="FFFFC000"/>
      </font>
    </dxf>
    <dxf>
      <font>
        <color rgb="FFFF0000"/>
      </font>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ont>
        <color rgb="FF00B050"/>
      </font>
    </dxf>
    <dxf>
      <font>
        <color rgb="FFFFC000"/>
      </font>
    </dxf>
    <dxf>
      <font>
        <color rgb="FFFF0000"/>
      </font>
    </dxf>
    <dxf>
      <font>
        <color rgb="FF00B050"/>
      </font>
    </dxf>
    <dxf>
      <font>
        <color rgb="FFFFC000"/>
      </font>
    </dxf>
    <dxf>
      <font>
        <color rgb="FFFF0000"/>
      </font>
    </dxf>
    <dxf>
      <font>
        <color rgb="FF00B050"/>
      </font>
    </dxf>
    <dxf>
      <font>
        <color rgb="FFFFC000"/>
      </font>
    </dxf>
    <dxf>
      <font>
        <color rgb="FFFF0000"/>
      </font>
    </dxf>
    <dxf>
      <fill>
        <patternFill>
          <bgColor rgb="FFFFC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C00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FFC000"/>
        </patternFill>
      </fill>
    </dxf>
    <dxf>
      <fill>
        <patternFill>
          <bgColor rgb="FF00B050"/>
        </patternFill>
      </fill>
    </dxf>
    <dxf>
      <fill>
        <patternFill>
          <bgColor rgb="FF00B050"/>
        </patternFill>
      </fill>
    </dxf>
    <dxf>
      <fill>
        <patternFill>
          <bgColor rgb="FFFF0000"/>
        </patternFill>
      </fill>
    </dxf>
    <dxf>
      <fill>
        <patternFill>
          <bgColor rgb="FFFFC000"/>
        </patternFill>
      </fill>
    </dxf>
    <dxf>
      <fill>
        <patternFill>
          <bgColor rgb="FFFFC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C000"/>
        </patternFill>
      </fill>
    </dxf>
    <dxf>
      <fill>
        <patternFill>
          <bgColor rgb="FFFF0000"/>
        </patternFill>
      </fill>
    </dxf>
    <dxf>
      <fill>
        <patternFill>
          <bgColor rgb="FFFFC000"/>
        </patternFill>
      </fill>
    </dxf>
    <dxf>
      <fill>
        <patternFill>
          <bgColor rgb="FF00B05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FFC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FF0000"/>
        </patternFill>
      </fill>
    </dxf>
    <dxf>
      <fill>
        <patternFill>
          <bgColor rgb="FFFFC000"/>
        </patternFill>
      </fill>
    </dxf>
    <dxf>
      <fill>
        <patternFill>
          <bgColor rgb="FF00B050"/>
        </patternFill>
      </fill>
    </dxf>
    <dxf>
      <fill>
        <patternFill>
          <bgColor rgb="FF00B050"/>
        </patternFill>
      </fill>
    </dxf>
    <dxf>
      <fill>
        <patternFill>
          <bgColor rgb="FFFF0000"/>
        </patternFill>
      </fill>
    </dxf>
    <dxf>
      <fill>
        <patternFill>
          <bgColor rgb="FFFFC000"/>
        </patternFill>
      </fill>
    </dxf>
    <dxf>
      <fill>
        <patternFill>
          <bgColor rgb="FFFF0000"/>
        </patternFill>
      </fill>
    </dxf>
    <dxf>
      <fill>
        <patternFill>
          <bgColor rgb="FFFFC000"/>
        </patternFill>
      </fill>
    </dxf>
    <dxf>
      <fill>
        <patternFill>
          <bgColor rgb="FF00B050"/>
        </patternFill>
      </fill>
    </dxf>
    <dxf>
      <font>
        <color rgb="FFFF0000"/>
      </font>
    </dxf>
    <dxf>
      <font>
        <color rgb="FFFFC000"/>
      </font>
    </dxf>
    <dxf>
      <font>
        <color rgb="FF00B050"/>
      </font>
    </dxf>
    <dxf>
      <font>
        <color rgb="FFFFC000"/>
      </font>
    </dxf>
    <dxf>
      <font>
        <color rgb="FF00B050"/>
      </font>
    </dxf>
    <dxf>
      <font>
        <color rgb="FFFF0000"/>
      </font>
    </dxf>
    <dxf>
      <font>
        <color rgb="FFFF0000"/>
      </font>
    </dxf>
    <dxf>
      <font>
        <color rgb="FF00B050"/>
      </font>
    </dxf>
    <dxf>
      <font>
        <color rgb="FFFFC000"/>
      </font>
    </dxf>
    <dxf>
      <font>
        <color rgb="FFFFC000"/>
      </font>
    </dxf>
    <dxf>
      <font>
        <color rgb="FFFF0000"/>
      </font>
    </dxf>
    <dxf>
      <font>
        <color rgb="FF00B050"/>
      </font>
    </dxf>
    <dxf>
      <font>
        <color rgb="FFFF0000"/>
      </font>
    </dxf>
    <dxf>
      <font>
        <color rgb="FFFFC000"/>
      </font>
    </dxf>
    <dxf>
      <font>
        <color rgb="FF00B050"/>
      </font>
    </dxf>
    <dxf>
      <font>
        <color rgb="FFFF0000"/>
      </font>
    </dxf>
    <dxf>
      <font>
        <color rgb="FFFFC000"/>
      </font>
    </dxf>
    <dxf>
      <font>
        <color rgb="FF00B050"/>
      </font>
    </dxf>
    <dxf>
      <font>
        <color rgb="FF00B050"/>
      </font>
    </dxf>
    <dxf>
      <font>
        <color rgb="FFFF0000"/>
      </font>
    </dxf>
    <dxf>
      <font>
        <color rgb="FFFFC000"/>
      </font>
    </dxf>
    <dxf>
      <font>
        <color rgb="FFFFC000"/>
      </font>
    </dxf>
    <dxf>
      <font>
        <color rgb="FFFF0000"/>
      </font>
    </dxf>
    <dxf>
      <font>
        <color rgb="FF00B050"/>
      </font>
    </dxf>
    <dxf>
      <font>
        <color rgb="FFFFC000"/>
      </font>
    </dxf>
    <dxf>
      <font>
        <color rgb="FFFF0000"/>
      </font>
    </dxf>
    <dxf>
      <font>
        <color rgb="FF00B050"/>
      </font>
    </dxf>
    <dxf>
      <font>
        <color rgb="FF00B050"/>
      </font>
    </dxf>
    <dxf>
      <font>
        <color rgb="FFFF0000"/>
      </font>
    </dxf>
    <dxf>
      <font>
        <color rgb="FFFFC000"/>
      </font>
    </dxf>
    <dxf>
      <font>
        <color rgb="FF00B050"/>
      </font>
    </dxf>
    <dxf>
      <font>
        <color rgb="FFFFC000"/>
      </font>
    </dxf>
    <dxf>
      <font>
        <color rgb="FFFF0000"/>
      </font>
    </dxf>
    <dxf>
      <font>
        <color rgb="FFFFC000"/>
      </font>
    </dxf>
    <dxf>
      <font>
        <color rgb="FF00B050"/>
      </font>
    </dxf>
    <dxf>
      <font>
        <color rgb="FFFF0000"/>
      </font>
    </dxf>
    <dxf>
      <font>
        <color rgb="FF00B050"/>
      </font>
    </dxf>
    <dxf>
      <font>
        <color rgb="FFFFC000"/>
      </font>
    </dxf>
    <dxf>
      <font>
        <color rgb="FFFF0000"/>
      </font>
    </dxf>
    <dxf>
      <fill>
        <patternFill>
          <bgColor rgb="FFFF0000"/>
        </patternFill>
      </fill>
    </dxf>
    <dxf>
      <fill>
        <patternFill>
          <bgColor rgb="FFFFC000"/>
        </patternFill>
      </fill>
    </dxf>
    <dxf>
      <fill>
        <patternFill>
          <bgColor rgb="FF00B050"/>
        </patternFill>
      </fill>
    </dxf>
    <dxf>
      <fill>
        <patternFill>
          <bgColor rgb="FF00B050"/>
        </patternFill>
      </fill>
    </dxf>
    <dxf>
      <fill>
        <patternFill>
          <bgColor rgb="FFFFC000"/>
        </patternFill>
      </fill>
    </dxf>
    <dxf>
      <fill>
        <patternFill>
          <bgColor rgb="FFFF0000"/>
        </patternFill>
      </fill>
    </dxf>
    <dxf>
      <fill>
        <patternFill>
          <bgColor rgb="FFFFC000"/>
        </patternFill>
      </fill>
    </dxf>
    <dxf>
      <fill>
        <patternFill>
          <bgColor rgb="FFFF000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FF0000"/>
        </patternFill>
      </fill>
    </dxf>
    <dxf>
      <fill>
        <patternFill>
          <bgColor rgb="FFFFC000"/>
        </patternFill>
      </fill>
    </dxf>
    <dxf>
      <fill>
        <patternFill>
          <bgColor rgb="FF00B05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C000"/>
        </patternFill>
      </fill>
    </dxf>
    <dxf>
      <fill>
        <patternFill>
          <bgColor rgb="FFFF0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FFC000"/>
        </patternFill>
      </fill>
    </dxf>
    <dxf>
      <fill>
        <patternFill>
          <bgColor rgb="FF00B05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FFC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C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00B050"/>
        </patternFill>
      </fill>
    </dxf>
    <dxf>
      <fill>
        <patternFill>
          <bgColor rgb="FFFF0000"/>
        </patternFill>
      </fill>
    </dxf>
    <dxf>
      <fill>
        <patternFill>
          <bgColor rgb="FFFFC000"/>
        </patternFill>
      </fill>
    </dxf>
    <dxf>
      <fill>
        <patternFill>
          <bgColor rgb="FFFFC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00B05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C000"/>
        </patternFill>
      </fill>
    </dxf>
    <dxf>
      <fill>
        <patternFill>
          <bgColor rgb="FFFF0000"/>
        </patternFill>
      </fill>
    </dxf>
    <dxf>
      <font>
        <color theme="0"/>
      </font>
      <fill>
        <patternFill>
          <bgColor rgb="FF00B050"/>
        </patternFill>
      </fill>
    </dxf>
    <dxf>
      <font>
        <color theme="1"/>
      </font>
      <fill>
        <patternFill>
          <bgColor rgb="FFFFC000"/>
        </patternFill>
      </fill>
    </dxf>
    <dxf>
      <font>
        <color theme="0"/>
      </font>
      <fill>
        <patternFill>
          <bgColor rgb="FFCC0000"/>
        </patternFill>
      </fill>
    </dxf>
    <dxf>
      <font>
        <color theme="1"/>
      </font>
      <fill>
        <patternFill>
          <bgColor theme="0" tint="-4.9989318521683403E-2"/>
        </patternFill>
      </fill>
    </dxf>
    <dxf>
      <font>
        <color theme="0"/>
      </font>
      <fill>
        <patternFill>
          <bgColor rgb="FFCC0000"/>
        </patternFill>
      </fill>
    </dxf>
    <dxf>
      <font>
        <color theme="1"/>
      </font>
      <fill>
        <patternFill>
          <bgColor theme="0" tint="-4.9989318521683403E-2"/>
        </patternFill>
      </fill>
    </dxf>
    <dxf>
      <font>
        <color theme="0"/>
      </font>
      <fill>
        <patternFill>
          <bgColor rgb="FF00B050"/>
        </patternFill>
      </fill>
    </dxf>
    <dxf>
      <font>
        <color theme="1"/>
      </font>
      <fill>
        <patternFill>
          <bgColor rgb="FFFFC000"/>
        </patternFill>
      </fill>
    </dxf>
    <dxf>
      <font>
        <color theme="1"/>
      </font>
      <fill>
        <patternFill>
          <bgColor rgb="FFFFC000"/>
        </patternFill>
      </fill>
    </dxf>
    <dxf>
      <font>
        <color theme="0"/>
      </font>
      <fill>
        <patternFill>
          <bgColor rgb="FF00B050"/>
        </patternFill>
      </fill>
    </dxf>
    <dxf>
      <font>
        <color theme="1"/>
      </font>
      <fill>
        <patternFill>
          <bgColor theme="0" tint="-4.9989318521683403E-2"/>
        </patternFill>
      </fill>
    </dxf>
    <dxf>
      <font>
        <color theme="0"/>
      </font>
      <fill>
        <patternFill>
          <bgColor rgb="FFCC0000"/>
        </patternFill>
      </fill>
    </dxf>
    <dxf>
      <font>
        <color theme="1"/>
      </font>
      <fill>
        <patternFill>
          <bgColor rgb="FFFFC000"/>
        </patternFill>
      </fill>
    </dxf>
    <dxf>
      <font>
        <color theme="0"/>
      </font>
      <fill>
        <patternFill>
          <bgColor rgb="FF00B050"/>
        </patternFill>
      </fill>
    </dxf>
    <dxf>
      <font>
        <color theme="0"/>
      </font>
      <fill>
        <patternFill>
          <bgColor rgb="FFCC0000"/>
        </patternFill>
      </fill>
    </dxf>
    <dxf>
      <font>
        <color theme="1"/>
      </font>
      <fill>
        <patternFill>
          <bgColor theme="0" tint="-4.9989318521683403E-2"/>
        </patternFill>
      </fill>
    </dxf>
    <dxf>
      <font>
        <color theme="1"/>
      </font>
      <fill>
        <patternFill>
          <bgColor theme="0" tint="-4.9989318521683403E-2"/>
        </patternFill>
      </fill>
    </dxf>
    <dxf>
      <font>
        <color theme="0"/>
      </font>
      <fill>
        <patternFill>
          <bgColor rgb="FF00B050"/>
        </patternFill>
      </fill>
    </dxf>
    <dxf>
      <font>
        <color theme="0"/>
      </font>
      <fill>
        <patternFill>
          <bgColor rgb="FFCC0000"/>
        </patternFill>
      </fill>
    </dxf>
    <dxf>
      <font>
        <color theme="1"/>
      </font>
      <fill>
        <patternFill>
          <bgColor rgb="FFFFC000"/>
        </patternFill>
      </fill>
    </dxf>
    <dxf>
      <font>
        <color theme="0"/>
      </font>
      <fill>
        <patternFill>
          <bgColor rgb="FF00B050"/>
        </patternFill>
      </fill>
    </dxf>
    <dxf>
      <font>
        <color theme="1"/>
      </font>
      <fill>
        <patternFill>
          <bgColor rgb="FFFFC000"/>
        </patternFill>
      </fill>
    </dxf>
    <dxf>
      <font>
        <color theme="1"/>
      </font>
      <fill>
        <patternFill>
          <bgColor theme="0" tint="-4.9989318521683403E-2"/>
        </patternFill>
      </fill>
    </dxf>
    <dxf>
      <font>
        <color theme="0"/>
      </font>
      <fill>
        <patternFill>
          <bgColor rgb="FFCC0000"/>
        </patternFill>
      </fill>
    </dxf>
    <dxf>
      <font>
        <color theme="1"/>
      </font>
      <fill>
        <patternFill>
          <bgColor rgb="FFFFC000"/>
        </patternFill>
      </fill>
    </dxf>
    <dxf>
      <font>
        <color theme="0"/>
      </font>
      <fill>
        <patternFill>
          <bgColor rgb="FF00B050"/>
        </patternFill>
      </fill>
    </dxf>
    <dxf>
      <font>
        <color theme="1"/>
      </font>
      <fill>
        <patternFill>
          <bgColor theme="0" tint="-4.9989318521683403E-2"/>
        </patternFill>
      </fill>
    </dxf>
    <dxf>
      <font>
        <color theme="0"/>
      </font>
      <fill>
        <patternFill>
          <bgColor rgb="FFCC0000"/>
        </patternFill>
      </fill>
    </dxf>
    <dxf>
      <font>
        <color theme="0"/>
      </font>
      <fill>
        <patternFill>
          <bgColor rgb="FFCC0000"/>
        </patternFill>
      </fill>
    </dxf>
    <dxf>
      <font>
        <color theme="0"/>
      </font>
      <fill>
        <patternFill>
          <bgColor rgb="FF00B050"/>
        </patternFill>
      </fill>
    </dxf>
    <dxf>
      <font>
        <color theme="1"/>
      </font>
      <fill>
        <patternFill>
          <bgColor rgb="FFFFC000"/>
        </patternFill>
      </fill>
    </dxf>
    <dxf>
      <font>
        <color theme="1"/>
      </font>
      <fill>
        <patternFill>
          <bgColor theme="0" tint="-4.9989318521683403E-2"/>
        </patternFill>
      </fill>
    </dxf>
    <dxf>
      <font>
        <color theme="1"/>
      </font>
      <fill>
        <patternFill>
          <bgColor theme="0" tint="-4.9989318521683403E-2"/>
        </patternFill>
      </fill>
    </dxf>
    <dxf>
      <font>
        <color theme="0"/>
      </font>
      <fill>
        <patternFill>
          <bgColor rgb="FF00B050"/>
        </patternFill>
      </fill>
    </dxf>
    <dxf>
      <font>
        <color theme="1"/>
      </font>
      <fill>
        <patternFill>
          <bgColor rgb="FFFFC000"/>
        </patternFill>
      </fill>
    </dxf>
    <dxf>
      <font>
        <color theme="0"/>
      </font>
      <fill>
        <patternFill>
          <bgColor rgb="FFCC0000"/>
        </patternFill>
      </fill>
    </dxf>
    <dxf>
      <font>
        <color theme="1"/>
      </font>
      <fill>
        <patternFill>
          <bgColor rgb="FFFFC000"/>
        </patternFill>
      </fill>
    </dxf>
    <dxf>
      <font>
        <color theme="0"/>
      </font>
      <fill>
        <patternFill>
          <bgColor rgb="FF00B050"/>
        </patternFill>
      </fill>
    </dxf>
    <dxf>
      <font>
        <color theme="1"/>
      </font>
      <fill>
        <patternFill>
          <bgColor theme="0" tint="-4.9989318521683403E-2"/>
        </patternFill>
      </fill>
    </dxf>
    <dxf>
      <font>
        <color theme="0"/>
      </font>
      <fill>
        <patternFill>
          <bgColor rgb="FFCC0000"/>
        </patternFill>
      </fill>
    </dxf>
    <dxf>
      <font>
        <color theme="0"/>
      </font>
      <fill>
        <patternFill>
          <bgColor rgb="FFCC0000"/>
        </patternFill>
      </fill>
    </dxf>
    <dxf>
      <font>
        <color theme="1"/>
      </font>
      <fill>
        <patternFill>
          <bgColor theme="0" tint="-4.9989318521683403E-2"/>
        </patternFill>
      </fill>
    </dxf>
    <dxf>
      <font>
        <color theme="0"/>
      </font>
      <fill>
        <patternFill>
          <bgColor rgb="FF00B050"/>
        </patternFill>
      </fill>
    </dxf>
    <dxf>
      <font>
        <color theme="1"/>
      </font>
      <fill>
        <patternFill>
          <bgColor rgb="FFFFC000"/>
        </patternFill>
      </fill>
    </dxf>
    <dxf>
      <font>
        <color theme="0"/>
      </font>
      <fill>
        <patternFill>
          <bgColor rgb="FF00B050"/>
        </patternFill>
      </fill>
    </dxf>
    <dxf>
      <font>
        <color theme="1"/>
      </font>
      <fill>
        <patternFill>
          <bgColor rgb="FFFFC000"/>
        </patternFill>
      </fill>
    </dxf>
    <dxf>
      <font>
        <color theme="0"/>
      </font>
      <fill>
        <patternFill>
          <bgColor rgb="FFCC0000"/>
        </patternFill>
      </fill>
    </dxf>
    <dxf>
      <font>
        <color theme="1"/>
      </font>
      <fill>
        <patternFill>
          <bgColor theme="0" tint="-4.9989318521683403E-2"/>
        </patternFill>
      </fill>
    </dxf>
    <dxf>
      <font>
        <color theme="1"/>
      </font>
      <fill>
        <patternFill>
          <bgColor theme="0" tint="-4.9989318521683403E-2"/>
        </patternFill>
      </fill>
    </dxf>
    <dxf>
      <font>
        <color theme="0"/>
      </font>
      <fill>
        <patternFill>
          <bgColor rgb="FF00B050"/>
        </patternFill>
      </fill>
    </dxf>
    <dxf>
      <font>
        <color theme="1"/>
      </font>
      <fill>
        <patternFill>
          <bgColor rgb="FFFFC000"/>
        </patternFill>
      </fill>
    </dxf>
    <dxf>
      <font>
        <color theme="0"/>
      </font>
      <fill>
        <patternFill>
          <bgColor rgb="FFCC0000"/>
        </patternFill>
      </fill>
    </dxf>
    <dxf>
      <font>
        <color theme="0"/>
      </font>
      <fill>
        <patternFill>
          <bgColor rgb="FFCC0000"/>
        </patternFill>
      </fill>
    </dxf>
    <dxf>
      <font>
        <color theme="1"/>
      </font>
      <fill>
        <patternFill>
          <bgColor theme="0" tint="-4.9989318521683403E-2"/>
        </patternFill>
      </fill>
    </dxf>
    <dxf>
      <font>
        <color theme="0"/>
      </font>
      <fill>
        <patternFill>
          <bgColor rgb="FF00B050"/>
        </patternFill>
      </fill>
    </dxf>
    <dxf>
      <font>
        <color theme="1"/>
      </font>
      <fill>
        <patternFill>
          <bgColor rgb="FFFFC000"/>
        </patternFill>
      </fill>
    </dxf>
    <dxf>
      <font>
        <color theme="0"/>
      </font>
      <fill>
        <patternFill>
          <bgColor rgb="FFCC0000"/>
        </patternFill>
      </fill>
    </dxf>
    <dxf>
      <font>
        <color theme="1"/>
      </font>
      <fill>
        <patternFill>
          <bgColor rgb="FFFFC000"/>
        </patternFill>
      </fill>
    </dxf>
    <dxf>
      <font>
        <color theme="0"/>
      </font>
      <fill>
        <patternFill>
          <bgColor rgb="FF00B050"/>
        </patternFill>
      </fill>
    </dxf>
    <dxf>
      <font>
        <color theme="1"/>
      </font>
      <fill>
        <patternFill>
          <bgColor theme="0" tint="-4.9989318521683403E-2"/>
        </patternFill>
      </fill>
    </dxf>
    <dxf>
      <font>
        <color theme="1"/>
      </font>
      <fill>
        <patternFill>
          <bgColor theme="0" tint="-4.9989318521683403E-2"/>
        </patternFill>
      </fill>
    </dxf>
    <dxf>
      <font>
        <color theme="0"/>
      </font>
      <fill>
        <patternFill>
          <bgColor rgb="FF00B050"/>
        </patternFill>
      </fill>
    </dxf>
    <dxf>
      <font>
        <color theme="1"/>
      </font>
      <fill>
        <patternFill>
          <bgColor rgb="FFFFC000"/>
        </patternFill>
      </fill>
    </dxf>
    <dxf>
      <font>
        <color theme="0"/>
      </font>
      <fill>
        <patternFill>
          <bgColor rgb="FFCC0000"/>
        </patternFill>
      </fill>
    </dxf>
    <dxf>
      <font>
        <color theme="0"/>
      </font>
      <fill>
        <patternFill>
          <bgColor rgb="FF00B050"/>
        </patternFill>
      </fill>
    </dxf>
    <dxf>
      <font>
        <color theme="1"/>
      </font>
      <fill>
        <patternFill>
          <bgColor theme="0" tint="-4.9989318521683403E-2"/>
        </patternFill>
      </fill>
    </dxf>
    <dxf>
      <font>
        <color theme="0"/>
      </font>
      <fill>
        <patternFill>
          <bgColor rgb="FFCC0000"/>
        </patternFill>
      </fill>
    </dxf>
    <dxf>
      <font>
        <color theme="1"/>
      </font>
      <fill>
        <patternFill>
          <bgColor rgb="FFFFC000"/>
        </patternFill>
      </fill>
    </dxf>
    <dxf>
      <font>
        <color theme="0"/>
      </font>
      <fill>
        <patternFill>
          <bgColor rgb="FFCC0000"/>
        </patternFill>
      </fill>
    </dxf>
    <dxf>
      <font>
        <color theme="1"/>
      </font>
      <fill>
        <patternFill>
          <bgColor rgb="FFFFC000"/>
        </patternFill>
      </fill>
    </dxf>
    <dxf>
      <font>
        <color theme="0"/>
      </font>
      <fill>
        <patternFill>
          <bgColor rgb="FF00B050"/>
        </patternFill>
      </fill>
    </dxf>
    <dxf>
      <font>
        <color theme="1"/>
      </font>
      <fill>
        <patternFill>
          <bgColor theme="0" tint="-4.9989318521683403E-2"/>
        </patternFill>
      </fill>
    </dxf>
    <dxf>
      <font>
        <color theme="0"/>
      </font>
      <fill>
        <patternFill>
          <bgColor rgb="FF00B050"/>
        </patternFill>
      </fill>
    </dxf>
    <dxf>
      <font>
        <color theme="1"/>
      </font>
      <fill>
        <patternFill>
          <bgColor rgb="FFFFC000"/>
        </patternFill>
      </fill>
    </dxf>
    <dxf>
      <font>
        <color theme="0"/>
      </font>
      <fill>
        <patternFill>
          <bgColor rgb="FFCC0000"/>
        </patternFill>
      </fill>
    </dxf>
    <dxf>
      <font>
        <color theme="1"/>
      </font>
      <fill>
        <patternFill>
          <bgColor theme="0" tint="-4.9989318521683403E-2"/>
        </patternFill>
      </fill>
    </dxf>
    <dxf>
      <font>
        <color theme="0"/>
      </font>
      <fill>
        <patternFill>
          <bgColor rgb="FF00B050"/>
        </patternFill>
      </fill>
    </dxf>
    <dxf>
      <font>
        <color theme="0"/>
      </font>
      <fill>
        <patternFill>
          <bgColor rgb="FFCC0000"/>
        </patternFill>
      </fill>
    </dxf>
    <dxf>
      <font>
        <color theme="1"/>
      </font>
      <fill>
        <patternFill>
          <bgColor rgb="FFFFC000"/>
        </patternFill>
      </fill>
    </dxf>
    <dxf>
      <font>
        <color theme="1"/>
      </font>
      <fill>
        <patternFill>
          <bgColor theme="0" tint="-4.9989318521683403E-2"/>
        </patternFill>
      </fill>
    </dxf>
    <dxf>
      <font>
        <color theme="1"/>
      </font>
      <fill>
        <patternFill>
          <bgColor rgb="FFFFC000"/>
        </patternFill>
      </fill>
    </dxf>
    <dxf>
      <font>
        <color theme="0"/>
      </font>
      <fill>
        <patternFill>
          <bgColor rgb="FFCC0000"/>
        </patternFill>
      </fill>
    </dxf>
    <dxf>
      <font>
        <color theme="1"/>
      </font>
      <fill>
        <patternFill>
          <bgColor theme="0" tint="-4.9989318521683403E-2"/>
        </patternFill>
      </fill>
    </dxf>
    <dxf>
      <font>
        <color theme="0"/>
      </font>
      <fill>
        <patternFill>
          <bgColor rgb="FF00B050"/>
        </patternFill>
      </fill>
    </dxf>
    <dxf>
      <font>
        <color theme="0"/>
      </font>
      <fill>
        <patternFill>
          <bgColor rgb="FFCC0000"/>
        </patternFill>
      </fill>
    </dxf>
    <dxf>
      <font>
        <color theme="1"/>
      </font>
      <fill>
        <patternFill>
          <bgColor rgb="FFFFC000"/>
        </patternFill>
      </fill>
    </dxf>
    <dxf>
      <font>
        <color theme="0"/>
      </font>
      <fill>
        <patternFill>
          <bgColor rgb="FF00B050"/>
        </patternFill>
      </fill>
    </dxf>
    <dxf>
      <font>
        <color theme="1"/>
      </font>
      <fill>
        <patternFill>
          <bgColor theme="0" tint="-4.9989318521683403E-2"/>
        </patternFill>
      </fill>
    </dxf>
    <dxf>
      <font>
        <color theme="1"/>
      </font>
      <fill>
        <patternFill>
          <bgColor theme="0" tint="-4.9989318521683403E-2"/>
        </patternFill>
      </fill>
    </dxf>
    <dxf>
      <font>
        <color theme="0"/>
      </font>
      <fill>
        <patternFill>
          <bgColor rgb="FFCC0000"/>
        </patternFill>
      </fill>
    </dxf>
    <dxf>
      <font>
        <color theme="1"/>
      </font>
      <fill>
        <patternFill>
          <bgColor rgb="FFFFC000"/>
        </patternFill>
      </fill>
    </dxf>
    <dxf>
      <font>
        <color theme="0"/>
      </font>
      <fill>
        <patternFill>
          <bgColor rgb="FF00B050"/>
        </patternFill>
      </fill>
    </dxf>
    <dxf>
      <font>
        <color theme="0"/>
      </font>
      <fill>
        <patternFill>
          <bgColor rgb="FF00B050"/>
        </patternFill>
      </fill>
    </dxf>
    <dxf>
      <font>
        <color theme="1"/>
      </font>
      <fill>
        <patternFill>
          <bgColor rgb="FFFFC000"/>
        </patternFill>
      </fill>
    </dxf>
    <dxf>
      <font>
        <color theme="0"/>
      </font>
      <fill>
        <patternFill>
          <bgColor rgb="FFCC0000"/>
        </patternFill>
      </fill>
    </dxf>
    <dxf>
      <font>
        <color theme="1"/>
      </font>
      <fill>
        <patternFill>
          <bgColor theme="0" tint="-4.9989318521683403E-2"/>
        </patternFill>
      </fill>
    </dxf>
    <dxf>
      <font>
        <color theme="1"/>
      </font>
      <fill>
        <patternFill>
          <bgColor rgb="FFFFC000"/>
        </patternFill>
      </fill>
    </dxf>
    <dxf>
      <font>
        <color theme="1"/>
      </font>
      <fill>
        <patternFill>
          <bgColor theme="0" tint="-4.9989318521683403E-2"/>
        </patternFill>
      </fill>
    </dxf>
    <dxf>
      <font>
        <color theme="0"/>
      </font>
      <fill>
        <patternFill>
          <bgColor rgb="FF00B050"/>
        </patternFill>
      </fill>
    </dxf>
    <dxf>
      <font>
        <color theme="0"/>
      </font>
      <fill>
        <patternFill>
          <bgColor rgb="FFCC0000"/>
        </patternFill>
      </fill>
    </dxf>
    <dxf>
      <font>
        <color theme="0"/>
      </font>
      <fill>
        <patternFill>
          <bgColor rgb="FFCC0000"/>
        </patternFill>
      </fill>
    </dxf>
    <dxf>
      <font>
        <color theme="1"/>
      </font>
      <fill>
        <patternFill>
          <bgColor theme="0" tint="-4.9989318521683403E-2"/>
        </patternFill>
      </fill>
    </dxf>
    <dxf>
      <font>
        <color theme="0"/>
      </font>
      <fill>
        <patternFill>
          <bgColor rgb="FF00B050"/>
        </patternFill>
      </fill>
    </dxf>
    <dxf>
      <font>
        <color theme="1"/>
      </font>
      <fill>
        <patternFill>
          <bgColor rgb="FFFFC000"/>
        </patternFill>
      </fill>
    </dxf>
    <dxf>
      <font>
        <color theme="1"/>
      </font>
      <fill>
        <patternFill>
          <bgColor theme="0" tint="-4.9989318521683403E-2"/>
        </patternFill>
      </fill>
    </dxf>
    <dxf>
      <font>
        <color theme="0"/>
      </font>
      <fill>
        <patternFill>
          <bgColor rgb="FF00B050"/>
        </patternFill>
      </fill>
    </dxf>
    <dxf>
      <font>
        <color theme="1"/>
      </font>
      <fill>
        <patternFill>
          <bgColor rgb="FFFFC000"/>
        </patternFill>
      </fill>
    </dxf>
    <dxf>
      <font>
        <color theme="0"/>
      </font>
      <fill>
        <patternFill>
          <bgColor rgb="FFCC0000"/>
        </patternFill>
      </fill>
    </dxf>
    <dxf>
      <font>
        <color theme="1"/>
      </font>
      <fill>
        <patternFill>
          <bgColor rgb="FFFFC000"/>
        </patternFill>
      </fill>
    </dxf>
    <dxf>
      <font>
        <color theme="0"/>
      </font>
      <fill>
        <patternFill>
          <bgColor rgb="FFCC0000"/>
        </patternFill>
      </fill>
    </dxf>
    <dxf>
      <font>
        <color theme="1"/>
      </font>
      <fill>
        <patternFill>
          <bgColor theme="0" tint="-4.9989318521683403E-2"/>
        </patternFill>
      </fill>
    </dxf>
    <dxf>
      <font>
        <color theme="0"/>
      </font>
      <fill>
        <patternFill>
          <bgColor rgb="FF00B050"/>
        </patternFill>
      </fill>
    </dxf>
    <dxf>
      <font>
        <color theme="1"/>
      </font>
      <fill>
        <patternFill>
          <bgColor theme="0" tint="-4.9989318521683403E-2"/>
        </patternFill>
      </fill>
    </dxf>
    <dxf>
      <font>
        <color theme="0"/>
      </font>
      <fill>
        <patternFill>
          <bgColor rgb="FFCC0000"/>
        </patternFill>
      </fill>
    </dxf>
    <dxf>
      <font>
        <color theme="0"/>
      </font>
      <fill>
        <patternFill>
          <bgColor rgb="FF00B050"/>
        </patternFill>
      </fill>
    </dxf>
    <dxf>
      <font>
        <color theme="1"/>
      </font>
      <fill>
        <patternFill>
          <bgColor rgb="FFFFC000"/>
        </patternFill>
      </fill>
    </dxf>
    <dxf>
      <font>
        <color theme="1"/>
      </font>
      <fill>
        <patternFill>
          <bgColor rgb="FFFFC000"/>
        </patternFill>
      </fill>
    </dxf>
    <dxf>
      <font>
        <color theme="0"/>
      </font>
      <fill>
        <patternFill>
          <bgColor rgb="FFCC0000"/>
        </patternFill>
      </fill>
    </dxf>
    <dxf>
      <font>
        <color theme="0"/>
      </font>
      <fill>
        <patternFill>
          <bgColor rgb="FF00B050"/>
        </patternFill>
      </fill>
    </dxf>
    <dxf>
      <font>
        <color theme="1"/>
      </font>
      <fill>
        <patternFill>
          <bgColor theme="0" tint="-4.9989318521683403E-2"/>
        </patternFill>
      </fill>
    </dxf>
    <dxf>
      <font>
        <color theme="1"/>
      </font>
      <fill>
        <patternFill>
          <bgColor theme="0" tint="-4.9989318521683403E-2"/>
        </patternFill>
      </fill>
    </dxf>
    <dxf>
      <font>
        <color theme="0"/>
      </font>
      <fill>
        <patternFill>
          <bgColor rgb="FFCC0000"/>
        </patternFill>
      </fill>
    </dxf>
    <dxf>
      <font>
        <color theme="1"/>
      </font>
      <fill>
        <patternFill>
          <bgColor rgb="FFFFC000"/>
        </patternFill>
      </fill>
    </dxf>
    <dxf>
      <font>
        <color theme="0"/>
      </font>
      <fill>
        <patternFill>
          <bgColor rgb="FF00B050"/>
        </patternFill>
      </fill>
    </dxf>
    <dxf>
      <font>
        <color theme="0"/>
      </font>
      <fill>
        <patternFill>
          <bgColor rgb="FF00B050"/>
        </patternFill>
      </fill>
    </dxf>
    <dxf>
      <font>
        <color theme="1"/>
      </font>
      <fill>
        <patternFill>
          <bgColor rgb="FFFFC000"/>
        </patternFill>
      </fill>
    </dxf>
    <dxf>
      <font>
        <color theme="0"/>
      </font>
      <fill>
        <patternFill>
          <bgColor rgb="FFCC0000"/>
        </patternFill>
      </fill>
    </dxf>
    <dxf>
      <font>
        <color theme="1"/>
      </font>
      <fill>
        <patternFill>
          <bgColor theme="0" tint="-4.9989318521683403E-2"/>
        </patternFill>
      </fill>
    </dxf>
    <dxf>
      <font>
        <color theme="0"/>
      </font>
      <fill>
        <patternFill>
          <bgColor rgb="FF00B050"/>
        </patternFill>
      </fill>
    </dxf>
    <dxf>
      <font>
        <color theme="1"/>
      </font>
      <fill>
        <patternFill>
          <bgColor rgb="FFFFC000"/>
        </patternFill>
      </fill>
    </dxf>
    <dxf>
      <font>
        <color theme="0"/>
      </font>
      <fill>
        <patternFill>
          <bgColor rgb="FFCC0000"/>
        </patternFill>
      </fill>
    </dxf>
    <dxf>
      <font>
        <color theme="1"/>
      </font>
      <fill>
        <patternFill>
          <bgColor theme="0" tint="-4.9989318521683403E-2"/>
        </patternFill>
      </fill>
    </dxf>
    <dxf>
      <font>
        <color theme="1"/>
      </font>
      <fill>
        <patternFill>
          <bgColor theme="0" tint="-4.9989318521683403E-2"/>
        </patternFill>
      </fill>
    </dxf>
    <dxf>
      <font>
        <color theme="0"/>
      </font>
      <fill>
        <patternFill>
          <bgColor rgb="FF00B050"/>
        </patternFill>
      </fill>
    </dxf>
    <dxf>
      <font>
        <color theme="1"/>
      </font>
      <fill>
        <patternFill>
          <bgColor rgb="FFFFC000"/>
        </patternFill>
      </fill>
    </dxf>
    <dxf>
      <font>
        <color theme="0"/>
      </font>
      <fill>
        <patternFill>
          <bgColor rgb="FFCC0000"/>
        </patternFill>
      </fill>
    </dxf>
    <dxf>
      <font>
        <color theme="0"/>
      </font>
      <fill>
        <patternFill>
          <bgColor rgb="FFCC0000"/>
        </patternFill>
      </fill>
    </dxf>
    <dxf>
      <font>
        <color theme="1"/>
      </font>
      <fill>
        <patternFill>
          <bgColor rgb="FFFFC000"/>
        </patternFill>
      </fill>
    </dxf>
    <dxf>
      <font>
        <color theme="0"/>
      </font>
      <fill>
        <patternFill>
          <bgColor rgb="FF00B050"/>
        </patternFill>
      </fill>
    </dxf>
    <dxf>
      <font>
        <color theme="1"/>
      </font>
      <fill>
        <patternFill>
          <bgColor theme="0" tint="-4.9989318521683403E-2"/>
        </patternFill>
      </fill>
    </dxf>
    <dxf>
      <font>
        <color theme="1"/>
      </font>
      <fill>
        <patternFill>
          <bgColor theme="0" tint="-4.9989318521683403E-2"/>
        </patternFill>
      </fill>
    </dxf>
    <dxf>
      <font>
        <color theme="0"/>
      </font>
      <fill>
        <patternFill>
          <bgColor rgb="FF00B050"/>
        </patternFill>
      </fill>
    </dxf>
    <dxf>
      <font>
        <color theme="1"/>
      </font>
      <fill>
        <patternFill>
          <bgColor rgb="FFFFC000"/>
        </patternFill>
      </fill>
    </dxf>
    <dxf>
      <font>
        <color theme="0"/>
      </font>
      <fill>
        <patternFill>
          <bgColor rgb="FFCC0000"/>
        </patternFill>
      </fill>
    </dxf>
    <dxf>
      <font>
        <color rgb="FFFFC000"/>
      </font>
      <fill>
        <patternFill>
          <bgColor theme="0" tint="-4.9989318521683403E-2"/>
        </patternFill>
      </fill>
    </dxf>
    <dxf>
      <font>
        <color rgb="FFCC0000"/>
      </font>
      <fill>
        <patternFill>
          <bgColor theme="0" tint="-4.9989318521683403E-2"/>
        </patternFill>
      </fill>
    </dxf>
    <dxf>
      <font>
        <color rgb="FFCC0000"/>
      </font>
      <fill>
        <patternFill>
          <bgColor theme="0" tint="-4.9989318521683403E-2"/>
        </patternFill>
      </fill>
    </dxf>
    <dxf>
      <font>
        <color rgb="FFFFC000"/>
      </font>
      <fill>
        <patternFill>
          <bgColor theme="0" tint="-4.9989318521683403E-2"/>
        </patternFill>
      </fill>
    </dxf>
    <dxf>
      <font>
        <color rgb="FFFFC000"/>
      </font>
      <fill>
        <patternFill>
          <bgColor theme="0" tint="-4.9989318521683403E-2"/>
        </patternFill>
      </fill>
    </dxf>
    <dxf>
      <font>
        <color rgb="FFFFC000"/>
      </font>
      <fill>
        <patternFill patternType="solid">
          <bgColor theme="0" tint="-4.9989318521683403E-2"/>
        </patternFill>
      </fill>
    </dxf>
    <dxf>
      <font>
        <color rgb="FFCC0000"/>
      </font>
      <fill>
        <patternFill patternType="solid">
          <bgColor theme="0" tint="-4.9989318521683403E-2"/>
        </patternFill>
      </fill>
    </dxf>
    <dxf>
      <font>
        <color rgb="FF00B050"/>
      </font>
      <fill>
        <patternFill patternType="solid">
          <bgColor theme="0" tint="-4.9989318521683403E-2"/>
        </patternFill>
      </fill>
    </dxf>
    <dxf>
      <font>
        <color rgb="FFCC0000"/>
      </font>
      <fill>
        <patternFill patternType="solid">
          <bgColor theme="0" tint="-4.9989318521683403E-2"/>
        </patternFill>
      </fill>
    </dxf>
    <dxf>
      <font>
        <color rgb="FFFFC000"/>
      </font>
      <fill>
        <patternFill patternType="solid">
          <bgColor theme="0" tint="-4.9989318521683403E-2"/>
        </patternFill>
      </fill>
    </dxf>
    <dxf>
      <font>
        <color rgb="FF00B050"/>
      </font>
      <fill>
        <patternFill patternType="solid">
          <bgColor theme="0" tint="-4.9989318521683403E-2"/>
        </patternFill>
      </fill>
    </dxf>
    <dxf>
      <font>
        <color rgb="FF00B050"/>
      </font>
      <fill>
        <patternFill patternType="solid">
          <bgColor theme="0" tint="-4.9989318521683403E-2"/>
        </patternFill>
      </fill>
    </dxf>
    <dxf>
      <font>
        <color rgb="FFCC0000"/>
      </font>
      <fill>
        <patternFill patternType="solid">
          <bgColor theme="0" tint="-4.9989318521683403E-2"/>
        </patternFill>
      </fill>
    </dxf>
    <dxf>
      <font>
        <color rgb="FFFFC000"/>
      </font>
      <fill>
        <patternFill patternType="solid">
          <bgColor theme="0" tint="-4.9989318521683403E-2"/>
        </patternFill>
      </fill>
    </dxf>
    <dxf>
      <font>
        <color rgb="FFCC0000"/>
      </font>
      <fill>
        <patternFill patternType="solid">
          <bgColor theme="0" tint="-4.9989318521683403E-2"/>
        </patternFill>
      </fill>
    </dxf>
    <dxf>
      <font>
        <color rgb="FFFFC000"/>
      </font>
      <fill>
        <patternFill patternType="solid">
          <bgColor theme="0" tint="-4.9989318521683403E-2"/>
        </patternFill>
      </fill>
    </dxf>
    <dxf>
      <font>
        <color rgb="FF00B050"/>
      </font>
      <fill>
        <patternFill patternType="solid">
          <bgColor theme="0" tint="-4.9989318521683403E-2"/>
        </patternFill>
      </fill>
    </dxf>
    <dxf>
      <font>
        <color rgb="FFCC0000"/>
      </font>
      <fill>
        <patternFill patternType="solid">
          <bgColor theme="0" tint="-4.9989318521683403E-2"/>
        </patternFill>
      </fill>
    </dxf>
    <dxf>
      <font>
        <color rgb="FF00B050"/>
      </font>
      <fill>
        <patternFill patternType="solid">
          <bgColor theme="0" tint="-4.9989318521683403E-2"/>
        </patternFill>
      </fill>
    </dxf>
    <dxf>
      <font>
        <color rgb="FFFFC000"/>
      </font>
      <fill>
        <patternFill patternType="solid">
          <bgColor theme="0" tint="-4.9989318521683403E-2"/>
        </patternFill>
      </fill>
    </dxf>
    <dxf>
      <font>
        <color rgb="FF00B050"/>
      </font>
      <fill>
        <patternFill>
          <bgColor theme="0" tint="-4.9989318521683403E-2"/>
        </patternFill>
      </fill>
    </dxf>
    <dxf>
      <font>
        <color rgb="FFCC0000"/>
      </font>
      <fill>
        <patternFill>
          <bgColor theme="0" tint="-4.9989318521683403E-2"/>
        </patternFill>
      </fill>
    </dxf>
    <dxf>
      <font>
        <color rgb="FFFFC000"/>
      </font>
      <fill>
        <patternFill>
          <bgColor theme="0" tint="-4.9989318521683403E-2"/>
        </patternFill>
      </fill>
    </dxf>
    <dxf>
      <font>
        <color rgb="FF00B050"/>
      </font>
      <fill>
        <patternFill>
          <bgColor theme="0" tint="-4.9989318521683403E-2"/>
        </patternFill>
      </fill>
    </dxf>
    <dxf>
      <font>
        <color rgb="FFCC0000"/>
      </font>
      <fill>
        <patternFill>
          <bgColor theme="0" tint="-4.9989318521683403E-2"/>
        </patternFill>
      </fill>
    </dxf>
    <dxf>
      <font>
        <color rgb="FF00B050"/>
      </font>
      <fill>
        <patternFill>
          <bgColor theme="0" tint="-4.9989318521683403E-2"/>
        </patternFill>
      </fill>
    </dxf>
    <dxf>
      <font>
        <color rgb="FFCC0000"/>
      </font>
      <fill>
        <patternFill>
          <bgColor theme="0" tint="-4.9989318521683403E-2"/>
        </patternFill>
      </fill>
    </dxf>
    <dxf>
      <font>
        <color rgb="FFFFC000"/>
      </font>
      <fill>
        <patternFill>
          <bgColor theme="0" tint="-4.9989318521683403E-2"/>
        </patternFill>
      </fill>
    </dxf>
    <dxf>
      <font>
        <color rgb="FFFFC000"/>
      </font>
      <fill>
        <patternFill>
          <bgColor theme="0" tint="-4.9989318521683403E-2"/>
        </patternFill>
      </fill>
    </dxf>
    <dxf>
      <font>
        <color rgb="FFCC0000"/>
      </font>
      <fill>
        <patternFill>
          <bgColor theme="0" tint="-4.9989318521683403E-2"/>
        </patternFill>
      </fill>
    </dxf>
    <dxf>
      <font>
        <color rgb="FF00B050"/>
      </font>
      <fill>
        <patternFill>
          <bgColor theme="0" tint="-4.9989318521683403E-2"/>
        </patternFill>
      </fill>
    </dxf>
    <dxf>
      <font>
        <color rgb="FF00B050"/>
      </font>
      <fill>
        <patternFill>
          <bgColor theme="0" tint="-4.9989318521683403E-2"/>
        </patternFill>
      </fill>
    </dxf>
    <dxf>
      <font>
        <color rgb="FFCC0000"/>
      </font>
      <fill>
        <patternFill>
          <bgColor theme="0" tint="-4.9989318521683403E-2"/>
        </patternFill>
      </fill>
    </dxf>
    <dxf>
      <font>
        <color rgb="FFFFC000"/>
      </font>
      <fill>
        <patternFill>
          <bgColor theme="0" tint="-4.9989318521683403E-2"/>
        </patternFill>
      </fill>
    </dxf>
    <dxf>
      <font>
        <color rgb="FF00B050"/>
      </font>
      <fill>
        <patternFill>
          <bgColor theme="0" tint="-4.9989318521683403E-2"/>
        </patternFill>
      </fill>
    </dxf>
    <dxf>
      <font>
        <color rgb="FFFFC000"/>
      </font>
      <fill>
        <patternFill>
          <bgColor theme="0" tint="-4.9989318521683403E-2"/>
        </patternFill>
      </fill>
    </dxf>
    <dxf>
      <font>
        <color rgb="FFCC0000"/>
      </font>
      <fill>
        <patternFill>
          <bgColor theme="0" tint="-4.9989318521683403E-2"/>
        </patternFill>
      </fill>
    </dxf>
    <dxf>
      <font>
        <color rgb="FF00B050"/>
      </font>
      <fill>
        <patternFill>
          <bgColor theme="0" tint="-4.9989318521683403E-2"/>
        </patternFill>
      </fill>
    </dxf>
    <dxf>
      <font>
        <color rgb="FFFFC000"/>
      </font>
      <fill>
        <patternFill>
          <bgColor theme="0" tint="-4.9989318521683403E-2"/>
        </patternFill>
      </fill>
    </dxf>
    <dxf>
      <font>
        <color rgb="FFCC0000"/>
      </font>
      <fill>
        <patternFill>
          <bgColor theme="0" tint="-4.9989318521683403E-2"/>
        </patternFill>
      </fill>
    </dxf>
    <dxf>
      <font>
        <color rgb="FFFFC000"/>
      </font>
      <fill>
        <patternFill>
          <bgColor theme="0" tint="-4.9989318521683403E-2"/>
        </patternFill>
      </fill>
    </dxf>
    <dxf>
      <font>
        <color rgb="FF00B050"/>
      </font>
      <fill>
        <patternFill>
          <bgColor theme="0" tint="-4.9989318521683403E-2"/>
        </patternFill>
      </fill>
    </dxf>
    <dxf>
      <font>
        <color rgb="FFCC0000"/>
      </font>
      <fill>
        <patternFill>
          <bgColor theme="0" tint="-4.9989318521683403E-2"/>
        </patternFill>
      </fill>
    </dxf>
    <dxf>
      <font>
        <color rgb="FFCC0000"/>
      </font>
      <fill>
        <patternFill>
          <bgColor theme="0" tint="-4.9989318521683403E-2"/>
        </patternFill>
      </fill>
    </dxf>
    <dxf>
      <font>
        <color rgb="FFFFC000"/>
      </font>
      <fill>
        <patternFill>
          <bgColor theme="0" tint="-4.9989318521683403E-2"/>
        </patternFill>
      </fill>
    </dxf>
    <dxf>
      <font>
        <color rgb="FF00B050"/>
      </font>
      <fill>
        <patternFill>
          <bgColor theme="0" tint="-4.9989318521683403E-2"/>
        </patternFill>
      </fill>
    </dxf>
    <dxf>
      <font>
        <color rgb="FFCC0000"/>
      </font>
      <fill>
        <patternFill>
          <bgColor theme="0" tint="-4.9989318521683403E-2"/>
        </patternFill>
      </fill>
    </dxf>
    <dxf>
      <font>
        <color rgb="FFFFC000"/>
      </font>
      <fill>
        <patternFill>
          <bgColor theme="0" tint="-4.9989318521683403E-2"/>
        </patternFill>
      </fill>
    </dxf>
    <dxf>
      <font>
        <color rgb="FF00B050"/>
      </font>
      <fill>
        <patternFill>
          <bgColor theme="0" tint="-4.9989318521683403E-2"/>
        </patternFill>
      </fill>
    </dxf>
    <dxf>
      <font>
        <color rgb="FFFFC000"/>
      </font>
      <fill>
        <patternFill>
          <bgColor theme="0" tint="-4.9989318521683403E-2"/>
        </patternFill>
      </fill>
    </dxf>
    <dxf>
      <font>
        <color rgb="FFCC0000"/>
      </font>
      <fill>
        <patternFill>
          <bgColor theme="0" tint="-4.9989318521683403E-2"/>
        </patternFill>
      </fill>
    </dxf>
    <dxf>
      <font>
        <color rgb="FF00B050"/>
      </font>
      <fill>
        <patternFill>
          <bgColor theme="0" tint="-4.9989318521683403E-2"/>
        </patternFill>
      </fill>
    </dxf>
    <dxf>
      <font>
        <color rgb="FFFFC000"/>
      </font>
      <fill>
        <patternFill>
          <bgColor theme="0" tint="-4.9989318521683403E-2"/>
        </patternFill>
      </fill>
    </dxf>
    <dxf>
      <font>
        <color rgb="FFCC0000"/>
      </font>
      <fill>
        <patternFill>
          <bgColor theme="0" tint="-4.9989318521683403E-2"/>
        </patternFill>
      </fill>
    </dxf>
    <dxf>
      <font>
        <color rgb="FF00B050"/>
      </font>
      <fill>
        <patternFill>
          <bgColor theme="0" tint="-4.9989318521683403E-2"/>
        </patternFill>
      </fill>
    </dxf>
    <dxf>
      <font>
        <color rgb="FFCC0000"/>
      </font>
      <fill>
        <patternFill>
          <bgColor theme="0" tint="-4.9989318521683403E-2"/>
        </patternFill>
      </fill>
    </dxf>
    <dxf>
      <font>
        <color rgb="FFFFC000"/>
      </font>
      <fill>
        <patternFill>
          <bgColor theme="0" tint="-4.9989318521683403E-2"/>
        </patternFill>
      </fill>
    </dxf>
    <dxf>
      <font>
        <color rgb="FF00B050"/>
      </font>
      <fill>
        <patternFill>
          <bgColor theme="0" tint="-4.9989318521683403E-2"/>
        </patternFill>
      </fill>
    </dxf>
    <dxf>
      <font>
        <color rgb="FF00B050"/>
      </font>
      <fill>
        <patternFill>
          <bgColor theme="0" tint="-4.9989318521683403E-2"/>
        </patternFill>
      </fill>
    </dxf>
    <dxf>
      <font>
        <color rgb="FFCC0000"/>
      </font>
      <fill>
        <patternFill>
          <bgColor theme="0" tint="-4.9989318521683403E-2"/>
        </patternFill>
      </fill>
    </dxf>
    <dxf>
      <font>
        <color rgb="FFFFC000"/>
      </font>
      <fill>
        <patternFill>
          <bgColor theme="0" tint="-4.9989318521683403E-2"/>
        </patternFill>
      </fill>
    </dxf>
    <dxf>
      <font>
        <color rgb="FFCC0000"/>
      </font>
      <fill>
        <patternFill>
          <bgColor theme="0" tint="-4.9989318521683403E-2"/>
        </patternFill>
      </fill>
    </dxf>
    <dxf>
      <font>
        <color rgb="FFFFC000"/>
      </font>
      <fill>
        <patternFill>
          <bgColor theme="0" tint="-4.9989318521683403E-2"/>
        </patternFill>
      </fill>
    </dxf>
    <dxf>
      <font>
        <color rgb="FF00B050"/>
      </font>
      <fill>
        <patternFill>
          <bgColor theme="0" tint="-4.9989318521683403E-2"/>
        </patternFill>
      </fill>
    </dxf>
    <dxf>
      <font>
        <color rgb="FFCC0000"/>
      </font>
      <fill>
        <patternFill>
          <bgColor theme="0" tint="-4.9989318521683403E-2"/>
        </patternFill>
      </fill>
    </dxf>
    <dxf>
      <font>
        <color rgb="FF00B050"/>
      </font>
      <fill>
        <patternFill>
          <bgColor theme="0" tint="-4.9989318521683403E-2"/>
        </patternFill>
      </fill>
    </dxf>
    <dxf>
      <font>
        <color rgb="FFFFC000"/>
      </font>
      <fill>
        <patternFill>
          <bgColor theme="0" tint="-4.9989318521683403E-2"/>
        </patternFill>
      </fill>
    </dxf>
    <dxf>
      <font>
        <color rgb="FFCC0000"/>
      </font>
      <fill>
        <patternFill>
          <bgColor theme="0" tint="-4.9989318521683403E-2"/>
        </patternFill>
      </fill>
    </dxf>
    <dxf>
      <font>
        <color rgb="FF00B050"/>
      </font>
      <fill>
        <patternFill>
          <bgColor theme="0" tint="-4.9989318521683403E-2"/>
        </patternFill>
      </fill>
    </dxf>
    <dxf>
      <font>
        <color rgb="FFFFC000"/>
      </font>
      <fill>
        <patternFill>
          <bgColor theme="0" tint="-4.9989318521683403E-2"/>
        </patternFill>
      </fill>
    </dxf>
    <dxf>
      <font>
        <color rgb="FF00B050"/>
      </font>
      <fill>
        <patternFill>
          <bgColor theme="0" tint="-4.9989318521683403E-2"/>
        </patternFill>
      </fill>
    </dxf>
    <dxf>
      <font>
        <color rgb="FFFFC000"/>
      </font>
      <fill>
        <patternFill>
          <bgColor theme="0" tint="-4.9989318521683403E-2"/>
        </patternFill>
      </fill>
    </dxf>
    <dxf>
      <font>
        <color rgb="FFCC0000"/>
      </font>
      <fill>
        <patternFill>
          <bgColor theme="0" tint="-4.9989318521683403E-2"/>
        </patternFill>
      </fill>
    </dxf>
    <dxf>
      <font>
        <color rgb="FFCC0000"/>
      </font>
      <fill>
        <patternFill>
          <bgColor theme="0" tint="-4.9989318521683403E-2"/>
        </patternFill>
      </fill>
    </dxf>
    <dxf>
      <font>
        <color rgb="FFFFC000"/>
      </font>
      <fill>
        <patternFill>
          <bgColor theme="0" tint="-4.9989318521683403E-2"/>
        </patternFill>
      </fill>
    </dxf>
    <dxf>
      <font>
        <color rgb="FF00B050"/>
      </font>
      <fill>
        <patternFill>
          <bgColor theme="0" tint="-4.9989318521683403E-2"/>
        </patternFill>
      </fill>
    </dxf>
    <dxf>
      <font>
        <color rgb="FFFFC000"/>
      </font>
      <fill>
        <patternFill>
          <bgColor theme="0" tint="-4.9989318521683403E-2"/>
        </patternFill>
      </fill>
    </dxf>
    <dxf>
      <font>
        <color rgb="FFCC0000"/>
      </font>
      <fill>
        <patternFill>
          <bgColor theme="0" tint="-4.9989318521683403E-2"/>
        </patternFill>
      </fill>
    </dxf>
    <dxf>
      <font>
        <color rgb="FF00B050"/>
      </font>
      <fill>
        <patternFill>
          <bgColor theme="0" tint="-4.9989318521683403E-2"/>
        </patternFill>
      </fill>
    </dxf>
    <dxf>
      <font>
        <color rgb="FFCC0000"/>
      </font>
      <fill>
        <patternFill>
          <bgColor theme="0" tint="-4.9989318521683403E-2"/>
        </patternFill>
      </fill>
    </dxf>
    <dxf>
      <font>
        <color rgb="FFFFC000"/>
      </font>
      <fill>
        <patternFill>
          <bgColor theme="0" tint="-4.9989318521683403E-2"/>
        </patternFill>
      </fill>
    </dxf>
    <dxf>
      <font>
        <color rgb="FF00B050"/>
      </font>
      <fill>
        <patternFill>
          <bgColor theme="0" tint="-4.9989318521683403E-2"/>
        </patternFill>
      </fill>
    </dxf>
    <dxf>
      <font>
        <color rgb="FFFFC000"/>
      </font>
      <fill>
        <patternFill>
          <bgColor theme="0" tint="-4.9989318521683403E-2"/>
        </patternFill>
      </fill>
    </dxf>
    <dxf>
      <font>
        <color rgb="FFCC0000"/>
      </font>
      <fill>
        <patternFill>
          <bgColor theme="0" tint="-4.9989318521683403E-2"/>
        </patternFill>
      </fill>
    </dxf>
    <dxf>
      <font>
        <color rgb="FF00B050"/>
      </font>
      <fill>
        <patternFill>
          <bgColor theme="0" tint="-4.9989318521683403E-2"/>
        </patternFill>
      </fill>
    </dxf>
    <dxf>
      <font>
        <color rgb="FFFFC000"/>
      </font>
      <fill>
        <patternFill>
          <bgColor theme="0" tint="-4.9989318521683403E-2"/>
        </patternFill>
      </fill>
    </dxf>
    <dxf>
      <font>
        <color rgb="FFCC0000"/>
      </font>
      <fill>
        <patternFill>
          <bgColor theme="0" tint="-4.9989318521683403E-2"/>
        </patternFill>
      </fill>
    </dxf>
    <dxf>
      <font>
        <color rgb="FF00B050"/>
      </font>
      <fill>
        <patternFill>
          <bgColor theme="0" tint="-4.9989318521683403E-2"/>
        </patternFill>
      </fill>
    </dxf>
    <dxf>
      <font>
        <color rgb="FF00B050"/>
      </font>
      <fill>
        <patternFill>
          <bgColor theme="0" tint="-4.9989318521683403E-2"/>
        </patternFill>
      </fill>
    </dxf>
    <dxf>
      <font>
        <color rgb="FFCC0000"/>
      </font>
      <fill>
        <patternFill>
          <bgColor theme="0" tint="-4.9989318521683403E-2"/>
        </patternFill>
      </fill>
    </dxf>
    <dxf>
      <font>
        <color rgb="FFFFC000"/>
      </font>
      <fill>
        <patternFill>
          <bgColor theme="0" tint="-4.9989318521683403E-2"/>
        </patternFill>
      </fill>
    </dxf>
    <dxf>
      <font>
        <color rgb="FFFFC000"/>
      </font>
      <fill>
        <patternFill>
          <bgColor theme="0" tint="-4.9989318521683403E-2"/>
        </patternFill>
      </fill>
    </dxf>
    <dxf>
      <font>
        <color rgb="FFCC0000"/>
      </font>
      <fill>
        <patternFill>
          <bgColor theme="0" tint="-4.9989318521683403E-2"/>
        </patternFill>
      </fill>
    </dxf>
    <dxf>
      <font>
        <color rgb="FF00B050"/>
      </font>
      <fill>
        <patternFill>
          <bgColor theme="0" tint="-4.9989318521683403E-2"/>
        </patternFill>
      </fill>
    </dxf>
    <dxf>
      <font>
        <color rgb="FFFFC000"/>
      </font>
      <fill>
        <patternFill>
          <bgColor theme="0" tint="-4.9989318521683403E-2"/>
        </patternFill>
      </fill>
    </dxf>
    <dxf>
      <font>
        <color rgb="FFCC0000"/>
      </font>
      <fill>
        <patternFill>
          <bgColor theme="0" tint="-4.9989318521683403E-2"/>
        </patternFill>
      </fill>
    </dxf>
    <dxf>
      <font>
        <color rgb="FF00B050"/>
      </font>
      <fill>
        <patternFill>
          <bgColor theme="0" tint="-4.9989318521683403E-2"/>
        </patternFill>
      </fill>
    </dxf>
    <dxf>
      <font>
        <color rgb="FF00B050"/>
      </font>
      <fill>
        <patternFill>
          <bgColor theme="0" tint="-4.9989318521683403E-2"/>
        </patternFill>
      </fill>
    </dxf>
    <dxf>
      <font>
        <color rgb="FFCC0000"/>
      </font>
      <fill>
        <patternFill>
          <bgColor theme="0" tint="-4.9989318521683403E-2"/>
        </patternFill>
      </fill>
    </dxf>
    <dxf>
      <font>
        <color rgb="FFFFC000"/>
      </font>
      <fill>
        <patternFill>
          <bgColor theme="0" tint="-4.9989318521683403E-2"/>
        </patternFill>
      </fill>
    </dxf>
    <dxf>
      <font>
        <color rgb="FFCC0000"/>
      </font>
      <fill>
        <patternFill>
          <bgColor theme="0" tint="-4.9989318521683403E-2"/>
        </patternFill>
      </fill>
    </dxf>
    <dxf>
      <font>
        <color rgb="FF00B050"/>
      </font>
      <fill>
        <patternFill>
          <bgColor theme="0" tint="-4.9989318521683403E-2"/>
        </patternFill>
      </fill>
    </dxf>
    <dxf>
      <font>
        <color rgb="FFFFC000"/>
      </font>
      <fill>
        <patternFill>
          <bgColor theme="0" tint="-4.9989318521683403E-2"/>
        </patternFill>
      </fill>
    </dxf>
    <dxf>
      <font>
        <color rgb="FF00B050"/>
      </font>
      <fill>
        <patternFill>
          <bgColor theme="0" tint="-4.9989318521683403E-2"/>
        </patternFill>
      </fill>
    </dxf>
    <dxf>
      <font>
        <color rgb="FFCC0000"/>
      </font>
      <fill>
        <patternFill>
          <bgColor theme="0" tint="-4.9989318521683403E-2"/>
        </patternFill>
      </fill>
    </dxf>
    <dxf>
      <font>
        <color rgb="FFFFC000"/>
      </font>
      <fill>
        <patternFill>
          <bgColor theme="0" tint="-4.9989318521683403E-2"/>
        </patternFill>
      </fill>
    </dxf>
    <dxf>
      <font>
        <color rgb="FFFFC000"/>
      </font>
      <fill>
        <patternFill>
          <bgColor theme="0" tint="-4.9989318521683403E-2"/>
        </patternFill>
      </fill>
    </dxf>
    <dxf>
      <font>
        <color rgb="FFCC0000"/>
      </font>
      <fill>
        <patternFill>
          <bgColor theme="0" tint="-4.9989318521683403E-2"/>
        </patternFill>
      </fill>
    </dxf>
    <dxf>
      <font>
        <color rgb="FF00B050"/>
      </font>
      <fill>
        <patternFill>
          <bgColor theme="0" tint="-4.9989318521683403E-2"/>
        </patternFill>
      </fill>
    </dxf>
    <dxf>
      <font>
        <color rgb="FFFFC000"/>
      </font>
      <fill>
        <patternFill>
          <bgColor theme="0" tint="-4.9989318521683403E-2"/>
        </patternFill>
      </fill>
    </dxf>
    <dxf>
      <font>
        <color rgb="FFFFC000"/>
      </font>
      <fill>
        <patternFill>
          <bgColor theme="0" tint="-4.9989318521683403E-2"/>
        </patternFill>
      </fill>
    </dxf>
    <dxf>
      <font>
        <color rgb="FF00B050"/>
      </font>
      <fill>
        <patternFill>
          <bgColor theme="0" tint="-4.9989318521683403E-2"/>
        </patternFill>
      </fill>
    </dxf>
    <dxf>
      <font>
        <color rgb="FFCC0000"/>
      </font>
      <fill>
        <patternFill>
          <bgColor theme="0" tint="-4.9989318521683403E-2"/>
        </patternFill>
      </fill>
    </dxf>
    <dxf>
      <font>
        <color rgb="FFFFC000"/>
      </font>
      <fill>
        <patternFill>
          <bgColor theme="0" tint="-4.9989318521683403E-2"/>
        </patternFill>
      </fill>
    </dxf>
    <dxf>
      <font>
        <color rgb="FFCC0000"/>
      </font>
      <fill>
        <patternFill>
          <bgColor theme="0" tint="-4.9989318521683403E-2"/>
        </patternFill>
      </fill>
    </dxf>
    <dxf>
      <font>
        <color rgb="FF00B050"/>
      </font>
      <fill>
        <patternFill>
          <bgColor theme="0" tint="-4.9989318521683403E-2"/>
        </patternFill>
      </fill>
    </dxf>
    <dxf>
      <font>
        <color rgb="FFFFC000"/>
      </font>
      <fill>
        <patternFill>
          <bgColor theme="0" tint="-4.9989318521683403E-2"/>
        </patternFill>
      </fill>
    </dxf>
    <dxf>
      <font>
        <color rgb="FF00B050"/>
      </font>
      <fill>
        <patternFill>
          <bgColor theme="0" tint="-4.9989318521683403E-2"/>
        </patternFill>
      </fill>
    </dxf>
    <dxf>
      <font>
        <color rgb="FFCC0000"/>
      </font>
      <fill>
        <patternFill>
          <bgColor theme="0" tint="-4.9989318521683403E-2"/>
        </patternFill>
      </fill>
    </dxf>
    <dxf>
      <font>
        <color rgb="FFFFC000"/>
      </font>
      <fill>
        <patternFill>
          <bgColor theme="0" tint="-4.9989318521683403E-2"/>
        </patternFill>
      </fill>
    </dxf>
    <dxf>
      <font>
        <color rgb="FFCC0000"/>
      </font>
      <fill>
        <patternFill>
          <bgColor theme="0" tint="-4.9989318521683403E-2"/>
        </patternFill>
      </fill>
    </dxf>
    <dxf>
      <font>
        <color rgb="FF00B050"/>
      </font>
      <fill>
        <patternFill>
          <bgColor theme="0" tint="-4.9989318521683403E-2"/>
        </patternFill>
      </fill>
    </dxf>
    <dxf>
      <font>
        <color rgb="FF00B050"/>
      </font>
      <fill>
        <patternFill>
          <bgColor theme="0" tint="-4.9989318521683403E-2"/>
        </patternFill>
      </fill>
    </dxf>
    <dxf>
      <font>
        <color rgb="FFFFC000"/>
      </font>
      <fill>
        <patternFill>
          <bgColor theme="0" tint="-4.9989318521683403E-2"/>
        </patternFill>
      </fill>
    </dxf>
    <dxf>
      <font>
        <color rgb="FFCC0000"/>
      </font>
      <fill>
        <patternFill>
          <bgColor theme="0" tint="-4.9989318521683403E-2"/>
        </patternFill>
      </fill>
    </dxf>
    <dxf>
      <font>
        <color theme="0"/>
      </font>
      <fill>
        <patternFill>
          <bgColor rgb="FF00B050"/>
        </patternFill>
      </fill>
    </dxf>
    <dxf>
      <font>
        <color theme="1"/>
      </font>
      <fill>
        <patternFill>
          <bgColor theme="0" tint="-4.9989318521683403E-2"/>
        </patternFill>
      </fill>
    </dxf>
    <dxf>
      <font>
        <color theme="1"/>
      </font>
      <fill>
        <patternFill>
          <bgColor rgb="FFFFC000"/>
        </patternFill>
      </fill>
    </dxf>
    <dxf>
      <font>
        <color theme="0"/>
      </font>
      <fill>
        <patternFill>
          <bgColor rgb="FFCC0000"/>
        </patternFill>
      </fill>
    </dxf>
    <dxf>
      <font>
        <color theme="1"/>
      </font>
      <fill>
        <patternFill>
          <bgColor theme="0" tint="-4.9989318521683403E-2"/>
        </patternFill>
      </fill>
    </dxf>
    <dxf>
      <font>
        <color theme="0"/>
      </font>
      <fill>
        <patternFill>
          <bgColor rgb="FF00B050"/>
        </patternFill>
      </fill>
    </dxf>
    <dxf>
      <font>
        <color theme="1"/>
      </font>
      <fill>
        <patternFill>
          <bgColor rgb="FFFFC000"/>
        </patternFill>
      </fill>
    </dxf>
    <dxf>
      <font>
        <color theme="0"/>
      </font>
      <fill>
        <patternFill>
          <bgColor rgb="FFCC0000"/>
        </patternFill>
      </fill>
    </dxf>
    <dxf>
      <font>
        <color theme="1"/>
      </font>
      <fill>
        <patternFill>
          <bgColor theme="0" tint="-4.9989318521683403E-2"/>
        </patternFill>
      </fill>
    </dxf>
    <dxf>
      <font>
        <color theme="0"/>
      </font>
      <fill>
        <patternFill>
          <bgColor rgb="FF00B050"/>
        </patternFill>
      </fill>
    </dxf>
    <dxf>
      <font>
        <color theme="1"/>
      </font>
      <fill>
        <patternFill>
          <bgColor rgb="FFFFC000"/>
        </patternFill>
      </fill>
    </dxf>
    <dxf>
      <font>
        <color theme="0"/>
      </font>
      <fill>
        <patternFill>
          <bgColor rgb="FFCC0000"/>
        </patternFill>
      </fill>
    </dxf>
    <dxf>
      <font>
        <color theme="1"/>
      </font>
      <fill>
        <patternFill>
          <bgColor theme="0" tint="-4.9989318521683403E-2"/>
        </patternFill>
      </fill>
    </dxf>
    <dxf>
      <font>
        <color theme="0"/>
      </font>
      <fill>
        <patternFill>
          <bgColor rgb="FF00B050"/>
        </patternFill>
      </fill>
    </dxf>
    <dxf>
      <font>
        <color theme="1"/>
      </font>
      <fill>
        <patternFill>
          <bgColor rgb="FFFFC000"/>
        </patternFill>
      </fill>
    </dxf>
    <dxf>
      <font>
        <color theme="0"/>
      </font>
      <fill>
        <patternFill>
          <bgColor rgb="FFCC0000"/>
        </patternFill>
      </fill>
    </dxf>
    <dxf>
      <font>
        <color theme="0"/>
      </font>
      <fill>
        <patternFill>
          <bgColor rgb="FFCC0000"/>
        </patternFill>
      </fill>
    </dxf>
    <dxf>
      <font>
        <color theme="1"/>
      </font>
      <fill>
        <patternFill>
          <bgColor rgb="FFFFC000"/>
        </patternFill>
      </fill>
    </dxf>
    <dxf>
      <font>
        <color theme="0"/>
      </font>
      <fill>
        <patternFill>
          <bgColor rgb="FF00B050"/>
        </patternFill>
      </fill>
    </dxf>
    <dxf>
      <font>
        <color theme="1"/>
      </font>
      <fill>
        <patternFill>
          <bgColor theme="0" tint="-4.9989318521683403E-2"/>
        </patternFill>
      </fill>
    </dxf>
    <dxf>
      <font>
        <color theme="0"/>
      </font>
      <fill>
        <patternFill>
          <bgColor rgb="FFCC0000"/>
        </patternFill>
      </fill>
    </dxf>
    <dxf>
      <font>
        <color theme="1"/>
      </font>
      <fill>
        <patternFill>
          <bgColor rgb="FFFFC000"/>
        </patternFill>
      </fill>
    </dxf>
    <dxf>
      <font>
        <color theme="0"/>
      </font>
      <fill>
        <patternFill>
          <bgColor rgb="FF00B050"/>
        </patternFill>
      </fill>
    </dxf>
    <dxf>
      <font>
        <color theme="1"/>
      </font>
      <fill>
        <patternFill>
          <bgColor theme="0" tint="-4.9989318521683403E-2"/>
        </patternFill>
      </fill>
    </dxf>
    <dxf>
      <font>
        <color theme="1"/>
      </font>
      <fill>
        <patternFill>
          <bgColor theme="0" tint="-4.9989318521683403E-2"/>
        </patternFill>
      </fill>
    </dxf>
    <dxf>
      <font>
        <color theme="1"/>
      </font>
      <fill>
        <patternFill>
          <bgColor rgb="FFFFC000"/>
        </patternFill>
      </fill>
    </dxf>
    <dxf>
      <font>
        <color theme="0"/>
      </font>
      <fill>
        <patternFill>
          <bgColor rgb="FFCC0000"/>
        </patternFill>
      </fill>
    </dxf>
    <dxf>
      <font>
        <color theme="0"/>
      </font>
      <fill>
        <patternFill>
          <bgColor rgb="FF00B050"/>
        </patternFill>
      </fill>
    </dxf>
    <dxf>
      <font>
        <color theme="1"/>
      </font>
      <fill>
        <patternFill>
          <bgColor rgb="FFFFC000"/>
        </patternFill>
      </fill>
    </dxf>
    <dxf>
      <font>
        <color theme="1"/>
      </font>
      <fill>
        <patternFill>
          <bgColor theme="0" tint="-4.9989318521683403E-2"/>
        </patternFill>
      </fill>
    </dxf>
    <dxf>
      <font>
        <color theme="0"/>
      </font>
      <fill>
        <patternFill>
          <bgColor rgb="FFCC0000"/>
        </patternFill>
      </fill>
    </dxf>
    <dxf>
      <font>
        <color theme="0"/>
      </font>
      <fill>
        <patternFill>
          <bgColor rgb="FF00B050"/>
        </patternFill>
      </fill>
    </dxf>
    <dxf>
      <font>
        <color theme="1"/>
      </font>
      <fill>
        <patternFill>
          <bgColor theme="0" tint="-4.9989318521683403E-2"/>
        </patternFill>
      </fill>
    </dxf>
    <dxf>
      <font>
        <color theme="0"/>
      </font>
      <fill>
        <patternFill>
          <bgColor rgb="FFCC0000"/>
        </patternFill>
      </fill>
    </dxf>
    <dxf>
      <font>
        <color theme="1"/>
      </font>
      <fill>
        <patternFill>
          <bgColor rgb="FFFFC000"/>
        </patternFill>
      </fill>
    </dxf>
    <dxf>
      <font>
        <color theme="0"/>
      </font>
      <fill>
        <patternFill>
          <bgColor rgb="FF00B050"/>
        </patternFill>
      </fill>
    </dxf>
    <dxf>
      <font>
        <color theme="1"/>
      </font>
      <fill>
        <patternFill>
          <bgColor theme="0" tint="-4.9989318521683403E-2"/>
        </patternFill>
      </fill>
    </dxf>
    <dxf>
      <font>
        <color theme="0"/>
      </font>
      <fill>
        <patternFill>
          <bgColor rgb="FF00B050"/>
        </patternFill>
      </fill>
    </dxf>
    <dxf>
      <font>
        <color theme="1"/>
      </font>
      <fill>
        <patternFill>
          <bgColor rgb="FFFFC000"/>
        </patternFill>
      </fill>
    </dxf>
    <dxf>
      <font>
        <color theme="0"/>
      </font>
      <fill>
        <patternFill>
          <bgColor rgb="FFCC0000"/>
        </patternFill>
      </fill>
    </dxf>
    <dxf>
      <font>
        <color theme="0"/>
      </font>
      <fill>
        <patternFill>
          <bgColor rgb="FFCC0000"/>
        </patternFill>
      </fill>
    </dxf>
    <dxf>
      <font>
        <color theme="1"/>
      </font>
      <fill>
        <patternFill>
          <bgColor rgb="FFFFC000"/>
        </patternFill>
      </fill>
    </dxf>
    <dxf>
      <font>
        <color theme="1"/>
      </font>
      <fill>
        <patternFill>
          <bgColor theme="0" tint="-4.9989318521683403E-2"/>
        </patternFill>
      </fill>
    </dxf>
    <dxf>
      <font>
        <color theme="0"/>
      </font>
      <fill>
        <patternFill>
          <bgColor rgb="FF00B050"/>
        </patternFill>
      </fill>
    </dxf>
    <dxf>
      <font>
        <color theme="0"/>
      </font>
      <fill>
        <patternFill>
          <bgColor rgb="FFCC0000"/>
        </patternFill>
      </fill>
    </dxf>
    <dxf>
      <font>
        <color theme="1"/>
      </font>
      <fill>
        <patternFill>
          <bgColor rgb="FFFFC000"/>
        </patternFill>
      </fill>
    </dxf>
    <dxf>
      <font>
        <color theme="0"/>
      </font>
      <fill>
        <patternFill>
          <bgColor rgb="FF00B050"/>
        </patternFill>
      </fill>
    </dxf>
    <dxf>
      <font>
        <color theme="1"/>
      </font>
      <fill>
        <patternFill>
          <bgColor theme="0" tint="-4.9989318521683403E-2"/>
        </patternFill>
      </fill>
    </dxf>
    <dxf>
      <font>
        <color theme="0"/>
      </font>
      <fill>
        <patternFill>
          <bgColor rgb="FFCC0000"/>
        </patternFill>
      </fill>
    </dxf>
    <dxf>
      <font>
        <color theme="1"/>
      </font>
      <fill>
        <patternFill>
          <bgColor rgb="FFFFC000"/>
        </patternFill>
      </fill>
    </dxf>
    <dxf>
      <font>
        <color theme="0"/>
      </font>
      <fill>
        <patternFill>
          <bgColor rgb="FF00B050"/>
        </patternFill>
      </fill>
    </dxf>
    <dxf>
      <font>
        <color theme="1"/>
      </font>
      <fill>
        <patternFill>
          <bgColor theme="0" tint="-4.9989318521683403E-2"/>
        </patternFill>
      </fill>
    </dxf>
    <dxf>
      <font>
        <color theme="1"/>
      </font>
      <fill>
        <patternFill>
          <bgColor rgb="FFFFC000"/>
        </patternFill>
      </fill>
    </dxf>
    <dxf>
      <font>
        <color theme="0"/>
      </font>
      <fill>
        <patternFill>
          <bgColor rgb="FF00B050"/>
        </patternFill>
      </fill>
    </dxf>
    <dxf>
      <font>
        <color theme="1"/>
      </font>
      <fill>
        <patternFill>
          <bgColor theme="0" tint="-4.9989318521683403E-2"/>
        </patternFill>
      </fill>
    </dxf>
    <dxf>
      <font>
        <color theme="0"/>
      </font>
      <fill>
        <patternFill>
          <bgColor rgb="FFCC0000"/>
        </patternFill>
      </fill>
    </dxf>
    <dxf>
      <font>
        <color theme="1"/>
      </font>
      <fill>
        <patternFill>
          <bgColor rgb="FFFFC000"/>
        </patternFill>
      </fill>
    </dxf>
    <dxf>
      <font>
        <color theme="1"/>
      </font>
      <fill>
        <patternFill>
          <bgColor theme="0" tint="-4.9989318521683403E-2"/>
        </patternFill>
      </fill>
    </dxf>
    <dxf>
      <font>
        <color theme="0"/>
      </font>
      <fill>
        <patternFill>
          <bgColor rgb="FF00B050"/>
        </patternFill>
      </fill>
    </dxf>
    <dxf>
      <font>
        <color theme="0"/>
      </font>
      <fill>
        <patternFill>
          <bgColor rgb="FFCC0000"/>
        </patternFill>
      </fill>
    </dxf>
    <dxf>
      <font>
        <color theme="0"/>
      </font>
      <fill>
        <patternFill>
          <bgColor rgb="FFCC0000"/>
        </patternFill>
      </fill>
    </dxf>
    <dxf>
      <font>
        <color theme="0"/>
      </font>
      <fill>
        <patternFill>
          <bgColor rgb="FF00B050"/>
        </patternFill>
      </fill>
    </dxf>
    <dxf>
      <font>
        <color theme="1"/>
      </font>
      <fill>
        <patternFill>
          <bgColor theme="0" tint="-4.9989318521683403E-2"/>
        </patternFill>
      </fill>
    </dxf>
    <dxf>
      <font>
        <color theme="1"/>
      </font>
      <fill>
        <patternFill>
          <bgColor rgb="FFFFC000"/>
        </patternFill>
      </fill>
    </dxf>
    <dxf>
      <font>
        <color theme="1"/>
      </font>
      <fill>
        <patternFill>
          <bgColor theme="0" tint="-4.9989318521683403E-2"/>
        </patternFill>
      </fill>
    </dxf>
    <dxf>
      <font>
        <color theme="0"/>
      </font>
      <fill>
        <patternFill>
          <bgColor rgb="FF00B050"/>
        </patternFill>
      </fill>
    </dxf>
    <dxf>
      <font>
        <color theme="1"/>
      </font>
      <fill>
        <patternFill>
          <bgColor rgb="FFFFC000"/>
        </patternFill>
      </fill>
    </dxf>
    <dxf>
      <font>
        <color theme="0"/>
      </font>
      <fill>
        <patternFill>
          <bgColor rgb="FFCC0000"/>
        </patternFill>
      </fill>
    </dxf>
    <dxf>
      <font>
        <color theme="0"/>
      </font>
      <fill>
        <patternFill>
          <bgColor rgb="FFCC0000"/>
        </patternFill>
      </fill>
    </dxf>
    <dxf>
      <font>
        <color theme="1"/>
      </font>
      <fill>
        <patternFill>
          <bgColor rgb="FFFFC000"/>
        </patternFill>
      </fill>
    </dxf>
    <dxf>
      <font>
        <color theme="0"/>
      </font>
      <fill>
        <patternFill>
          <bgColor rgb="FF00B050"/>
        </patternFill>
      </fill>
    </dxf>
    <dxf>
      <font>
        <color theme="1"/>
      </font>
      <fill>
        <patternFill>
          <bgColor theme="0" tint="-4.9989318521683403E-2"/>
        </patternFill>
      </fill>
    </dxf>
    <dxf>
      <font>
        <color theme="0"/>
      </font>
      <fill>
        <patternFill>
          <bgColor rgb="FF00B050"/>
        </patternFill>
      </fill>
    </dxf>
    <dxf>
      <font>
        <color theme="1"/>
      </font>
      <fill>
        <patternFill>
          <bgColor theme="0" tint="-4.9989318521683403E-2"/>
        </patternFill>
      </fill>
    </dxf>
    <dxf>
      <font>
        <color theme="1"/>
      </font>
      <fill>
        <patternFill>
          <bgColor rgb="FFFFC000"/>
        </patternFill>
      </fill>
    </dxf>
    <dxf>
      <font>
        <color theme="0"/>
      </font>
      <fill>
        <patternFill>
          <bgColor rgb="FFCC0000"/>
        </patternFill>
      </fill>
    </dxf>
    <dxf>
      <font>
        <color theme="0"/>
      </font>
      <fill>
        <patternFill>
          <bgColor rgb="FF00B050"/>
        </patternFill>
      </fill>
    </dxf>
    <dxf>
      <font>
        <color theme="1"/>
      </font>
      <fill>
        <patternFill>
          <bgColor rgb="FFFFC000"/>
        </patternFill>
      </fill>
    </dxf>
    <dxf>
      <font>
        <color theme="0"/>
      </font>
      <fill>
        <patternFill>
          <bgColor rgb="FFCC0000"/>
        </patternFill>
      </fill>
    </dxf>
    <dxf>
      <font>
        <color theme="1"/>
      </font>
      <fill>
        <patternFill>
          <bgColor theme="0" tint="-4.9989318521683403E-2"/>
        </patternFill>
      </fill>
    </dxf>
    <dxf>
      <font>
        <color theme="0"/>
      </font>
      <fill>
        <patternFill>
          <bgColor rgb="FFCC0000"/>
        </patternFill>
      </fill>
    </dxf>
    <dxf>
      <font>
        <color theme="1"/>
      </font>
      <fill>
        <patternFill>
          <bgColor rgb="FFFFC000"/>
        </patternFill>
      </fill>
    </dxf>
    <dxf>
      <font>
        <color theme="0"/>
      </font>
      <fill>
        <patternFill>
          <bgColor rgb="FF00B050"/>
        </patternFill>
      </fill>
    </dxf>
    <dxf>
      <font>
        <color theme="1"/>
      </font>
      <fill>
        <patternFill>
          <bgColor theme="0" tint="-4.9989318521683403E-2"/>
        </patternFill>
      </fill>
    </dxf>
    <dxf>
      <font>
        <color theme="0"/>
      </font>
      <fill>
        <patternFill>
          <bgColor rgb="FFCC0000"/>
        </patternFill>
      </fill>
    </dxf>
    <dxf>
      <font>
        <color theme="1"/>
      </font>
      <fill>
        <patternFill>
          <bgColor rgb="FFFFC000"/>
        </patternFill>
      </fill>
    </dxf>
    <dxf>
      <font>
        <color theme="1"/>
      </font>
      <fill>
        <patternFill>
          <bgColor theme="0" tint="-4.9989318521683403E-2"/>
        </patternFill>
      </fill>
    </dxf>
    <dxf>
      <font>
        <color theme="0"/>
      </font>
      <fill>
        <patternFill>
          <bgColor rgb="FF00B050"/>
        </patternFill>
      </fill>
    </dxf>
    <dxf>
      <font>
        <color theme="0"/>
      </font>
      <fill>
        <patternFill>
          <bgColor rgb="FF00B050"/>
        </patternFill>
      </fill>
    </dxf>
    <dxf>
      <font>
        <color theme="1"/>
      </font>
      <fill>
        <patternFill>
          <bgColor rgb="FFFFC000"/>
        </patternFill>
      </fill>
    </dxf>
    <dxf>
      <font>
        <color theme="1"/>
      </font>
      <fill>
        <patternFill>
          <bgColor theme="0" tint="-4.9989318521683403E-2"/>
        </patternFill>
      </fill>
    </dxf>
    <dxf>
      <font>
        <color theme="0"/>
      </font>
      <fill>
        <patternFill>
          <bgColor rgb="FFCC0000"/>
        </patternFill>
      </fill>
    </dxf>
    <dxf>
      <font>
        <color theme="1"/>
      </font>
      <fill>
        <patternFill>
          <bgColor rgb="FFFFC000"/>
        </patternFill>
      </fill>
    </dxf>
    <dxf>
      <font>
        <color theme="0"/>
      </font>
      <fill>
        <patternFill>
          <bgColor rgb="FF00B050"/>
        </patternFill>
      </fill>
    </dxf>
    <dxf>
      <font>
        <color theme="1"/>
      </font>
      <fill>
        <patternFill>
          <bgColor theme="0" tint="-4.9989318521683403E-2"/>
        </patternFill>
      </fill>
    </dxf>
    <dxf>
      <font>
        <color theme="0"/>
      </font>
      <fill>
        <patternFill>
          <bgColor rgb="FFCC0000"/>
        </patternFill>
      </fill>
    </dxf>
    <dxf>
      <font>
        <color theme="1"/>
      </font>
      <fill>
        <patternFill>
          <bgColor rgb="FFFFC000"/>
        </patternFill>
      </fill>
    </dxf>
    <dxf>
      <font>
        <color theme="0"/>
      </font>
      <fill>
        <patternFill>
          <bgColor rgb="FF00B050"/>
        </patternFill>
      </fill>
    </dxf>
    <dxf>
      <font>
        <color theme="1"/>
      </font>
      <fill>
        <patternFill>
          <bgColor theme="0" tint="-4.9989318521683403E-2"/>
        </patternFill>
      </fill>
    </dxf>
    <dxf>
      <font>
        <color theme="0"/>
      </font>
      <fill>
        <patternFill>
          <bgColor rgb="FFCC0000"/>
        </patternFill>
      </fill>
    </dxf>
    <dxf>
      <font>
        <color theme="0"/>
      </font>
      <fill>
        <patternFill>
          <bgColor rgb="FF00B050"/>
        </patternFill>
      </fill>
    </dxf>
    <dxf>
      <font>
        <color theme="1"/>
      </font>
      <fill>
        <patternFill>
          <bgColor rgb="FFFFC000"/>
        </patternFill>
      </fill>
    </dxf>
    <dxf>
      <font>
        <color theme="0"/>
      </font>
      <fill>
        <patternFill>
          <bgColor rgb="FFCC0000"/>
        </patternFill>
      </fill>
    </dxf>
    <dxf>
      <font>
        <color theme="1"/>
      </font>
      <fill>
        <patternFill>
          <bgColor theme="0" tint="-4.9989318521683403E-2"/>
        </patternFill>
      </fill>
    </dxf>
    <dxf>
      <font>
        <color theme="1"/>
      </font>
      <fill>
        <patternFill>
          <bgColor rgb="FFFFC000"/>
        </patternFill>
      </fill>
    </dxf>
    <dxf>
      <font>
        <color theme="0"/>
      </font>
      <fill>
        <patternFill>
          <bgColor rgb="FFCC0000"/>
        </patternFill>
      </fill>
    </dxf>
    <dxf>
      <font>
        <color theme="0"/>
      </font>
      <fill>
        <patternFill>
          <bgColor rgb="FF00B050"/>
        </patternFill>
      </fill>
    </dxf>
    <dxf>
      <font>
        <color theme="1"/>
      </font>
      <fill>
        <patternFill>
          <bgColor theme="0" tint="-4.9989318521683403E-2"/>
        </patternFill>
      </fill>
    </dxf>
    <dxf>
      <font>
        <color theme="1"/>
      </font>
      <fill>
        <patternFill>
          <bgColor theme="0" tint="-4.9989318521683403E-2"/>
        </patternFill>
      </fill>
    </dxf>
    <dxf>
      <font>
        <color theme="0"/>
      </font>
      <fill>
        <patternFill>
          <bgColor rgb="FF00B050"/>
        </patternFill>
      </fill>
    </dxf>
    <dxf>
      <font>
        <color theme="1"/>
      </font>
      <fill>
        <patternFill>
          <bgColor rgb="FFFFC000"/>
        </patternFill>
      </fill>
    </dxf>
    <dxf>
      <font>
        <color theme="0"/>
      </font>
      <fill>
        <patternFill>
          <bgColor rgb="FFCC0000"/>
        </patternFill>
      </fill>
    </dxf>
    <dxf>
      <font>
        <color theme="1"/>
      </font>
      <fill>
        <patternFill>
          <bgColor theme="0" tint="-4.9989318521683403E-2"/>
        </patternFill>
      </fill>
    </dxf>
    <dxf>
      <font>
        <color theme="0"/>
      </font>
      <fill>
        <patternFill>
          <bgColor rgb="FF00B050"/>
        </patternFill>
      </fill>
    </dxf>
    <dxf>
      <font>
        <color theme="1"/>
      </font>
      <fill>
        <patternFill>
          <bgColor rgb="FFFFC000"/>
        </patternFill>
      </fill>
    </dxf>
    <dxf>
      <font>
        <color theme="0"/>
      </font>
      <fill>
        <patternFill>
          <bgColor rgb="FFCC0000"/>
        </patternFill>
      </fill>
    </dxf>
    <dxf>
      <font>
        <color theme="0"/>
      </font>
      <fill>
        <patternFill>
          <bgColor rgb="FFCC0000"/>
        </patternFill>
      </fill>
    </dxf>
    <dxf>
      <font>
        <color theme="1"/>
      </font>
      <fill>
        <patternFill>
          <bgColor theme="0" tint="-4.9989318521683403E-2"/>
        </patternFill>
      </fill>
    </dxf>
    <dxf>
      <font>
        <color theme="0"/>
      </font>
      <fill>
        <patternFill>
          <bgColor rgb="FF00B050"/>
        </patternFill>
      </fill>
    </dxf>
    <dxf>
      <font>
        <color theme="1"/>
      </font>
      <fill>
        <patternFill>
          <bgColor rgb="FFFFC000"/>
        </patternFill>
      </fill>
    </dxf>
    <dxf>
      <font>
        <color theme="0"/>
      </font>
      <fill>
        <patternFill>
          <bgColor rgb="FFCC0000"/>
        </patternFill>
      </fill>
    </dxf>
    <dxf>
      <font>
        <color theme="0"/>
      </font>
      <fill>
        <patternFill>
          <bgColor rgb="FF00B050"/>
        </patternFill>
      </fill>
    </dxf>
    <dxf>
      <font>
        <color theme="1"/>
      </font>
      <fill>
        <patternFill>
          <bgColor theme="0" tint="-4.9989318521683403E-2"/>
        </patternFill>
      </fill>
    </dxf>
    <dxf>
      <font>
        <color theme="1"/>
      </font>
      <fill>
        <patternFill>
          <bgColor rgb="FFFFC000"/>
        </patternFill>
      </fill>
    </dxf>
    <dxf>
      <font>
        <color theme="1"/>
      </font>
      <fill>
        <patternFill>
          <bgColor theme="0" tint="-4.9989318521683403E-2"/>
        </patternFill>
      </fill>
    </dxf>
    <dxf>
      <font>
        <color theme="0"/>
      </font>
      <fill>
        <patternFill>
          <bgColor rgb="FF00B050"/>
        </patternFill>
      </fill>
    </dxf>
    <dxf>
      <font>
        <color theme="1"/>
      </font>
      <fill>
        <patternFill>
          <bgColor rgb="FFFFC000"/>
        </patternFill>
      </fill>
    </dxf>
    <dxf>
      <font>
        <color theme="0"/>
      </font>
      <fill>
        <patternFill>
          <bgColor rgb="FFCC0000"/>
        </patternFill>
      </fill>
    </dxf>
    <dxf>
      <font>
        <color theme="1"/>
      </font>
      <fill>
        <patternFill>
          <bgColor theme="0" tint="-4.9989318521683403E-2"/>
        </patternFill>
      </fill>
    </dxf>
    <dxf>
      <font>
        <color theme="1"/>
      </font>
      <fill>
        <patternFill>
          <bgColor rgb="FFFFC000"/>
        </patternFill>
      </fill>
    </dxf>
    <dxf>
      <font>
        <color theme="0"/>
      </font>
      <fill>
        <patternFill>
          <bgColor rgb="FFCC0000"/>
        </patternFill>
      </fill>
    </dxf>
    <dxf>
      <font>
        <color theme="0"/>
      </font>
      <fill>
        <patternFill>
          <bgColor rgb="FF00B050"/>
        </patternFill>
      </fill>
    </dxf>
    <dxf>
      <font>
        <color theme="1"/>
      </font>
      <fill>
        <patternFill>
          <bgColor theme="0" tint="-4.9989318521683403E-2"/>
        </patternFill>
      </fill>
    </dxf>
    <dxf>
      <font>
        <color theme="0"/>
      </font>
      <fill>
        <patternFill>
          <bgColor rgb="FF00B050"/>
        </patternFill>
      </fill>
    </dxf>
    <dxf>
      <font>
        <color theme="1"/>
      </font>
      <fill>
        <patternFill>
          <bgColor rgb="FFFFC000"/>
        </patternFill>
      </fill>
    </dxf>
    <dxf>
      <font>
        <color theme="0"/>
      </font>
      <fill>
        <patternFill>
          <bgColor rgb="FFCC0000"/>
        </patternFill>
      </fill>
    </dxf>
    <dxf>
      <font>
        <color theme="1"/>
      </font>
      <fill>
        <patternFill>
          <bgColor theme="0" tint="-4.9989318521683403E-2"/>
        </patternFill>
      </fill>
    </dxf>
    <dxf>
      <font>
        <color theme="0"/>
      </font>
      <fill>
        <patternFill>
          <bgColor rgb="FF00B050"/>
        </patternFill>
      </fill>
    </dxf>
    <dxf>
      <font>
        <color theme="1"/>
      </font>
      <fill>
        <patternFill>
          <bgColor rgb="FFFFC000"/>
        </patternFill>
      </fill>
    </dxf>
    <dxf>
      <font>
        <color theme="0"/>
      </font>
      <fill>
        <patternFill>
          <bgColor rgb="FFCC0000"/>
        </patternFill>
      </fill>
    </dxf>
    <dxf>
      <font>
        <color theme="0"/>
      </font>
      <fill>
        <patternFill>
          <bgColor rgb="FFCC0000"/>
        </patternFill>
      </fill>
    </dxf>
    <dxf>
      <font>
        <color theme="1"/>
      </font>
      <fill>
        <patternFill>
          <bgColor rgb="FFFFC000"/>
        </patternFill>
      </fill>
    </dxf>
    <dxf>
      <font>
        <color theme="1"/>
      </font>
      <fill>
        <patternFill>
          <bgColor theme="0" tint="-4.9989318521683403E-2"/>
        </patternFill>
      </fill>
    </dxf>
    <dxf>
      <font>
        <color theme="0"/>
      </font>
      <fill>
        <patternFill>
          <bgColor rgb="FF00B050"/>
        </patternFill>
      </fill>
    </dxf>
    <dxf>
      <fill>
        <patternFill>
          <bgColor theme="7" tint="0.79998168889431442"/>
        </patternFill>
      </fill>
    </dxf>
    <dxf>
      <font>
        <color theme="0"/>
      </font>
      <fill>
        <patternFill>
          <bgColor rgb="FF00B050"/>
        </patternFill>
      </fill>
    </dxf>
    <dxf>
      <font>
        <color theme="1"/>
      </font>
      <fill>
        <patternFill>
          <bgColor theme="0" tint="-4.9989318521683403E-2"/>
        </patternFill>
      </fill>
    </dxf>
    <dxf>
      <font>
        <color theme="1"/>
      </font>
      <fill>
        <patternFill>
          <bgColor rgb="FFFFC000"/>
        </patternFill>
      </fill>
    </dxf>
    <dxf>
      <font>
        <color theme="0"/>
      </font>
      <fill>
        <patternFill>
          <bgColor rgb="FFCC0000"/>
        </patternFill>
      </fill>
    </dxf>
    <dxf>
      <font>
        <color theme="1"/>
      </font>
      <fill>
        <patternFill>
          <bgColor theme="0" tint="-4.9989318521683403E-2"/>
        </patternFill>
      </fill>
    </dxf>
    <dxf>
      <font>
        <color theme="1"/>
      </font>
      <fill>
        <patternFill>
          <bgColor rgb="FFFFC000"/>
        </patternFill>
      </fill>
    </dxf>
    <dxf>
      <font>
        <color theme="0"/>
      </font>
      <fill>
        <patternFill>
          <bgColor rgb="FFCC0000"/>
        </patternFill>
      </fill>
    </dxf>
    <dxf>
      <font>
        <color theme="0"/>
      </font>
      <fill>
        <patternFill>
          <bgColor rgb="FF00B050"/>
        </patternFill>
      </fill>
    </dxf>
    <dxf>
      <font>
        <color theme="1"/>
      </font>
      <fill>
        <patternFill>
          <bgColor theme="0" tint="-4.9989318521683403E-2"/>
        </patternFill>
      </fill>
    </dxf>
    <dxf>
      <font>
        <color theme="0"/>
      </font>
      <fill>
        <patternFill>
          <bgColor rgb="FF00B050"/>
        </patternFill>
      </fill>
    </dxf>
    <dxf>
      <font>
        <color theme="1"/>
      </font>
      <fill>
        <patternFill>
          <bgColor rgb="FFFFC000"/>
        </patternFill>
      </fill>
    </dxf>
    <dxf>
      <font>
        <color theme="0"/>
      </font>
      <fill>
        <patternFill>
          <bgColor rgb="FFCC0000"/>
        </patternFill>
      </fill>
    </dxf>
    <dxf>
      <font>
        <color theme="0"/>
      </font>
      <fill>
        <patternFill>
          <bgColor rgb="FF00B050"/>
        </patternFill>
      </fill>
    </dxf>
    <dxf>
      <font>
        <color theme="1"/>
      </font>
      <fill>
        <patternFill>
          <bgColor rgb="FFFFC000"/>
        </patternFill>
      </fill>
    </dxf>
    <dxf>
      <font>
        <color theme="0"/>
      </font>
      <fill>
        <patternFill>
          <bgColor rgb="FFCC0000"/>
        </patternFill>
      </fill>
    </dxf>
    <dxf>
      <font>
        <color theme="1"/>
      </font>
      <fill>
        <patternFill>
          <bgColor theme="0" tint="-4.9989318521683403E-2"/>
        </patternFill>
      </fill>
    </dxf>
    <dxf>
      <font>
        <color theme="0"/>
      </font>
      <fill>
        <patternFill>
          <bgColor rgb="FF00B050"/>
        </patternFill>
      </fill>
    </dxf>
    <dxf>
      <font>
        <color theme="0"/>
      </font>
      <fill>
        <patternFill>
          <bgColor rgb="FFCC0000"/>
        </patternFill>
      </fill>
    </dxf>
    <dxf>
      <font>
        <color theme="1"/>
      </font>
      <fill>
        <patternFill>
          <bgColor rgb="FFFFC000"/>
        </patternFill>
      </fill>
    </dxf>
    <dxf>
      <font>
        <color theme="1"/>
      </font>
      <fill>
        <patternFill>
          <bgColor theme="0" tint="-4.9989318521683403E-2"/>
        </patternFill>
      </fill>
    </dxf>
    <dxf>
      <font>
        <color theme="0"/>
      </font>
      <fill>
        <patternFill>
          <bgColor rgb="FF00B050"/>
        </patternFill>
      </fill>
    </dxf>
    <dxf>
      <font>
        <color theme="1"/>
      </font>
      <fill>
        <patternFill>
          <bgColor theme="0" tint="-4.9989318521683403E-2"/>
        </patternFill>
      </fill>
    </dxf>
    <dxf>
      <font>
        <color theme="0"/>
      </font>
      <fill>
        <patternFill>
          <bgColor rgb="FFCC0000"/>
        </patternFill>
      </fill>
    </dxf>
    <dxf>
      <font>
        <color theme="1"/>
      </font>
      <fill>
        <patternFill>
          <bgColor rgb="FFFFC000"/>
        </patternFill>
      </fill>
    </dxf>
    <dxf>
      <font>
        <color theme="0"/>
      </font>
      <fill>
        <patternFill>
          <bgColor rgb="FFCC0000"/>
        </patternFill>
      </fill>
    </dxf>
    <dxf>
      <font>
        <color theme="0"/>
      </font>
      <fill>
        <patternFill>
          <bgColor rgb="FF00B050"/>
        </patternFill>
      </fill>
    </dxf>
    <dxf>
      <font>
        <color theme="1"/>
      </font>
      <fill>
        <patternFill>
          <bgColor theme="0" tint="-4.9989318521683403E-2"/>
        </patternFill>
      </fill>
    </dxf>
    <dxf>
      <font>
        <color theme="1"/>
      </font>
      <fill>
        <patternFill>
          <bgColor rgb="FFFFC000"/>
        </patternFill>
      </fill>
    </dxf>
    <dxf>
      <font>
        <color theme="0"/>
      </font>
      <fill>
        <patternFill>
          <bgColor rgb="FFCC0000"/>
        </patternFill>
      </fill>
    </dxf>
    <dxf>
      <font>
        <color theme="1"/>
      </font>
      <fill>
        <patternFill>
          <bgColor theme="0" tint="-4.9989318521683403E-2"/>
        </patternFill>
      </fill>
    </dxf>
    <dxf>
      <font>
        <color theme="0"/>
      </font>
      <fill>
        <patternFill>
          <bgColor rgb="FF00B050"/>
        </patternFill>
      </fill>
    </dxf>
    <dxf>
      <font>
        <color theme="1"/>
      </font>
      <fill>
        <patternFill>
          <bgColor rgb="FFFFC000"/>
        </patternFill>
      </fill>
    </dxf>
    <dxf>
      <font>
        <color theme="1"/>
      </font>
      <fill>
        <patternFill>
          <bgColor theme="0" tint="-4.9989318521683403E-2"/>
        </patternFill>
      </fill>
    </dxf>
    <dxf>
      <font>
        <color theme="0"/>
      </font>
      <fill>
        <patternFill>
          <bgColor rgb="FFCC0000"/>
        </patternFill>
      </fill>
    </dxf>
    <dxf>
      <font>
        <color theme="1"/>
      </font>
      <fill>
        <patternFill>
          <bgColor rgb="FFFFC000"/>
        </patternFill>
      </fill>
    </dxf>
    <dxf>
      <font>
        <color theme="0"/>
      </font>
      <fill>
        <patternFill>
          <bgColor rgb="FF00B050"/>
        </patternFill>
      </fill>
    </dxf>
    <dxf>
      <font>
        <color theme="1"/>
      </font>
      <fill>
        <patternFill>
          <bgColor theme="0" tint="-4.9989318521683403E-2"/>
        </patternFill>
      </fill>
    </dxf>
    <dxf>
      <font>
        <color theme="0"/>
      </font>
      <fill>
        <patternFill>
          <bgColor rgb="FF00B050"/>
        </patternFill>
      </fill>
    </dxf>
    <dxf>
      <font>
        <color theme="1"/>
      </font>
      <fill>
        <patternFill>
          <bgColor rgb="FFFFC000"/>
        </patternFill>
      </fill>
    </dxf>
    <dxf>
      <font>
        <color theme="0"/>
      </font>
      <fill>
        <patternFill>
          <bgColor rgb="FFCC0000"/>
        </patternFill>
      </fill>
    </dxf>
    <dxf>
      <font>
        <color theme="0"/>
      </font>
      <fill>
        <patternFill>
          <bgColor rgb="FFCC0000"/>
        </patternFill>
      </fill>
    </dxf>
    <dxf>
      <font>
        <color theme="1"/>
      </font>
      <fill>
        <patternFill>
          <bgColor rgb="FFFFC000"/>
        </patternFill>
      </fill>
    </dxf>
    <dxf>
      <font>
        <color theme="0"/>
      </font>
      <fill>
        <patternFill>
          <bgColor rgb="FF00B050"/>
        </patternFill>
      </fill>
    </dxf>
    <dxf>
      <font>
        <color theme="1"/>
      </font>
      <fill>
        <patternFill>
          <bgColor theme="0" tint="-4.9989318521683403E-2"/>
        </patternFill>
      </fill>
    </dxf>
    <dxf>
      <font>
        <color theme="1"/>
      </font>
      <fill>
        <patternFill>
          <bgColor rgb="FFFFC000"/>
        </patternFill>
      </fill>
    </dxf>
    <dxf>
      <font>
        <color theme="0"/>
      </font>
      <fill>
        <patternFill>
          <bgColor rgb="FFCC0000"/>
        </patternFill>
      </fill>
    </dxf>
    <dxf>
      <font>
        <color theme="1"/>
      </font>
      <fill>
        <patternFill>
          <bgColor theme="0" tint="-4.9989318521683403E-2"/>
        </patternFill>
      </fill>
    </dxf>
    <dxf>
      <font>
        <color theme="0"/>
      </font>
      <fill>
        <patternFill>
          <bgColor rgb="FF00B050"/>
        </patternFill>
      </fill>
    </dxf>
    <dxf>
      <font>
        <color theme="0"/>
      </font>
      <fill>
        <patternFill>
          <bgColor rgb="FF00B050"/>
        </patternFill>
      </fill>
    </dxf>
    <dxf>
      <font>
        <color theme="1"/>
      </font>
      <fill>
        <patternFill>
          <bgColor theme="0" tint="-4.9989318521683403E-2"/>
        </patternFill>
      </fill>
    </dxf>
    <dxf>
      <font>
        <color theme="1"/>
      </font>
      <fill>
        <patternFill>
          <bgColor rgb="FFFFC000"/>
        </patternFill>
      </fill>
    </dxf>
    <dxf>
      <font>
        <color theme="0"/>
      </font>
      <fill>
        <patternFill>
          <bgColor rgb="FFCC0000"/>
        </patternFill>
      </fill>
    </dxf>
    <dxf>
      <font>
        <color theme="0"/>
      </font>
      <fill>
        <patternFill>
          <bgColor rgb="FFCC0000"/>
        </patternFill>
      </fill>
    </dxf>
    <dxf>
      <font>
        <color theme="1"/>
      </font>
      <fill>
        <patternFill>
          <bgColor rgb="FFFFC000"/>
        </patternFill>
      </fill>
    </dxf>
    <dxf>
      <font>
        <color theme="0"/>
      </font>
      <fill>
        <patternFill>
          <bgColor rgb="FF00B050"/>
        </patternFill>
      </fill>
    </dxf>
    <dxf>
      <font>
        <color theme="1"/>
      </font>
      <fill>
        <patternFill>
          <bgColor theme="0" tint="-4.9989318521683403E-2"/>
        </patternFill>
      </fill>
    </dxf>
    <dxf>
      <font>
        <color theme="1"/>
      </font>
      <fill>
        <patternFill>
          <bgColor theme="0" tint="-4.9989318521683403E-2"/>
        </patternFill>
      </fill>
    </dxf>
    <dxf>
      <font>
        <color theme="0"/>
      </font>
      <fill>
        <patternFill>
          <bgColor rgb="FFCC0000"/>
        </patternFill>
      </fill>
    </dxf>
    <dxf>
      <font>
        <color theme="1"/>
      </font>
      <fill>
        <patternFill>
          <bgColor rgb="FFFFC000"/>
        </patternFill>
      </fill>
    </dxf>
    <dxf>
      <font>
        <color theme="0"/>
      </font>
      <fill>
        <patternFill>
          <bgColor rgb="FF00B050"/>
        </patternFill>
      </fill>
    </dxf>
    <dxf>
      <font>
        <color theme="0"/>
      </font>
      <fill>
        <patternFill>
          <bgColor rgb="FF00B050"/>
        </patternFill>
      </fill>
    </dxf>
    <dxf>
      <font>
        <color theme="1"/>
      </font>
      <fill>
        <patternFill>
          <bgColor theme="0" tint="-4.9989318521683403E-2"/>
        </patternFill>
      </fill>
    </dxf>
    <dxf>
      <font>
        <color theme="1"/>
      </font>
      <fill>
        <patternFill>
          <bgColor rgb="FFFFC000"/>
        </patternFill>
      </fill>
    </dxf>
    <dxf>
      <font>
        <color theme="0"/>
      </font>
      <fill>
        <patternFill>
          <bgColor rgb="FFCC0000"/>
        </patternFill>
      </fill>
    </dxf>
    <dxf>
      <font>
        <color theme="1"/>
      </font>
      <fill>
        <patternFill>
          <bgColor theme="0" tint="-4.9989318521683403E-2"/>
        </patternFill>
      </fill>
    </dxf>
    <dxf>
      <font>
        <color theme="0"/>
      </font>
      <fill>
        <patternFill>
          <bgColor rgb="FF00B050"/>
        </patternFill>
      </fill>
    </dxf>
    <dxf>
      <font>
        <color theme="0"/>
      </font>
      <fill>
        <patternFill>
          <bgColor rgb="FFCC0000"/>
        </patternFill>
      </fill>
    </dxf>
    <dxf>
      <font>
        <color theme="1"/>
      </font>
      <fill>
        <patternFill>
          <bgColor rgb="FFFFC000"/>
        </patternFill>
      </fill>
    </dxf>
    <dxf>
      <font>
        <color theme="0"/>
      </font>
      <fill>
        <patternFill>
          <bgColor rgb="FFCC0000"/>
        </patternFill>
      </fill>
    </dxf>
    <dxf>
      <font>
        <color theme="1"/>
      </font>
      <fill>
        <patternFill>
          <bgColor theme="0" tint="-4.9989318521683403E-2"/>
        </patternFill>
      </fill>
    </dxf>
    <dxf>
      <font>
        <color theme="0"/>
      </font>
      <fill>
        <patternFill>
          <bgColor rgb="FF00B050"/>
        </patternFill>
      </fill>
    </dxf>
    <dxf>
      <font>
        <color theme="1"/>
      </font>
      <fill>
        <patternFill>
          <bgColor rgb="FFFFC000"/>
        </patternFill>
      </fill>
    </dxf>
    <dxf>
      <font>
        <color theme="0"/>
      </font>
      <fill>
        <patternFill>
          <bgColor rgb="FFCC0000"/>
        </patternFill>
      </fill>
    </dxf>
    <dxf>
      <font>
        <color theme="1"/>
      </font>
      <fill>
        <patternFill>
          <bgColor theme="0" tint="-4.9989318521683403E-2"/>
        </patternFill>
      </fill>
    </dxf>
    <dxf>
      <font>
        <color theme="0"/>
      </font>
      <fill>
        <patternFill>
          <bgColor rgb="FF00B050"/>
        </patternFill>
      </fill>
    </dxf>
    <dxf>
      <font>
        <color theme="1"/>
      </font>
      <fill>
        <patternFill>
          <bgColor rgb="FFFFC000"/>
        </patternFill>
      </fill>
    </dxf>
    <dxf>
      <font>
        <color theme="0"/>
      </font>
      <fill>
        <patternFill>
          <bgColor rgb="FFCC0000"/>
        </patternFill>
      </fill>
    </dxf>
    <dxf>
      <font>
        <color theme="0"/>
      </font>
      <fill>
        <patternFill>
          <bgColor rgb="FF00B050"/>
        </patternFill>
      </fill>
    </dxf>
    <dxf>
      <font>
        <color theme="1"/>
      </font>
      <fill>
        <patternFill>
          <bgColor theme="0" tint="-4.9989318521683403E-2"/>
        </patternFill>
      </fill>
    </dxf>
    <dxf>
      <font>
        <color theme="1"/>
      </font>
      <fill>
        <patternFill>
          <bgColor rgb="FFFFC000"/>
        </patternFill>
      </fill>
    </dxf>
    <dxf>
      <font>
        <color theme="0"/>
      </font>
      <fill>
        <patternFill>
          <bgColor rgb="FFCC0000"/>
        </patternFill>
      </fill>
    </dxf>
    <dxf>
      <font>
        <color theme="1"/>
      </font>
      <fill>
        <patternFill>
          <bgColor rgb="FFFFC000"/>
        </patternFill>
      </fill>
    </dxf>
    <dxf>
      <font>
        <color theme="0"/>
      </font>
      <fill>
        <patternFill>
          <bgColor rgb="FF00B050"/>
        </patternFill>
      </fill>
    </dxf>
    <dxf>
      <font>
        <color theme="1"/>
      </font>
      <fill>
        <patternFill>
          <bgColor theme="0" tint="-4.9989318521683403E-2"/>
        </patternFill>
      </fill>
    </dxf>
    <dxf>
      <font>
        <color theme="0"/>
      </font>
      <fill>
        <patternFill>
          <bgColor rgb="FFCC0000"/>
        </patternFill>
      </fill>
    </dxf>
    <dxf>
      <font>
        <color theme="0"/>
      </font>
      <fill>
        <patternFill>
          <bgColor rgb="FF00B050"/>
        </patternFill>
      </fill>
    </dxf>
    <dxf>
      <font>
        <color theme="1"/>
      </font>
      <fill>
        <patternFill>
          <bgColor theme="0" tint="-4.9989318521683403E-2"/>
        </patternFill>
      </fill>
    </dxf>
    <dxf>
      <font>
        <color theme="1"/>
      </font>
      <fill>
        <patternFill>
          <bgColor rgb="FFFFC000"/>
        </patternFill>
      </fill>
    </dxf>
    <dxf>
      <font>
        <color theme="1"/>
      </font>
      <fill>
        <patternFill>
          <bgColor theme="0" tint="-4.9989318521683403E-2"/>
        </patternFill>
      </fill>
    </dxf>
    <dxf>
      <font>
        <color theme="0"/>
      </font>
      <fill>
        <patternFill>
          <bgColor rgb="FF00B050"/>
        </patternFill>
      </fill>
    </dxf>
    <dxf>
      <font>
        <color theme="1"/>
      </font>
      <fill>
        <patternFill>
          <bgColor rgb="FFFFC000"/>
        </patternFill>
      </fill>
    </dxf>
    <dxf>
      <font>
        <color theme="0"/>
      </font>
      <fill>
        <patternFill>
          <bgColor rgb="FFCC0000"/>
        </patternFill>
      </fill>
    </dxf>
    <dxf>
      <font>
        <color theme="1"/>
      </font>
      <fill>
        <patternFill>
          <bgColor rgb="FFFFC000"/>
        </patternFill>
      </fill>
    </dxf>
    <dxf>
      <font>
        <color theme="0"/>
      </font>
      <fill>
        <patternFill>
          <bgColor rgb="FF00B050"/>
        </patternFill>
      </fill>
    </dxf>
    <dxf>
      <font>
        <color theme="0"/>
      </font>
      <fill>
        <patternFill>
          <bgColor rgb="FFCC0000"/>
        </patternFill>
      </fill>
    </dxf>
    <dxf>
      <font>
        <color theme="1"/>
      </font>
      <fill>
        <patternFill>
          <bgColor theme="0" tint="-4.9989318521683403E-2"/>
        </patternFill>
      </fill>
    </dxf>
    <dxf>
      <font>
        <color theme="0"/>
      </font>
      <fill>
        <patternFill>
          <bgColor rgb="FFCC0000"/>
        </patternFill>
      </fill>
    </dxf>
    <dxf>
      <font>
        <color theme="1"/>
      </font>
      <fill>
        <patternFill>
          <bgColor rgb="FFFFC000"/>
        </patternFill>
      </fill>
    </dxf>
    <dxf>
      <font>
        <color theme="0"/>
      </font>
      <fill>
        <patternFill>
          <bgColor rgb="FF00B050"/>
        </patternFill>
      </fill>
    </dxf>
    <dxf>
      <font>
        <color theme="1"/>
      </font>
      <fill>
        <patternFill>
          <bgColor theme="0" tint="-4.9989318521683403E-2"/>
        </patternFill>
      </fill>
    </dxf>
    <dxf>
      <font>
        <color theme="0"/>
      </font>
      <fill>
        <patternFill>
          <bgColor rgb="FFCC0000"/>
        </patternFill>
      </fill>
    </dxf>
    <dxf>
      <font>
        <color theme="1"/>
      </font>
      <fill>
        <patternFill>
          <bgColor rgb="FFFFC000"/>
        </patternFill>
      </fill>
    </dxf>
    <dxf>
      <font>
        <color theme="0"/>
      </font>
      <fill>
        <patternFill>
          <bgColor rgb="FF00B050"/>
        </patternFill>
      </fill>
    </dxf>
    <dxf>
      <font>
        <color auto="1"/>
      </font>
      <fill>
        <patternFill>
          <bgColor theme="0" tint="-4.9989318521683403E-2"/>
        </patternFill>
      </fill>
    </dxf>
    <dxf>
      <font>
        <color theme="1"/>
      </font>
      <fill>
        <patternFill>
          <bgColor theme="0" tint="-4.9989318521683403E-2"/>
        </patternFill>
      </fill>
    </dxf>
    <dxf>
      <font>
        <color theme="0"/>
      </font>
      <fill>
        <patternFill>
          <bgColor rgb="FFCC0000"/>
        </patternFill>
      </fill>
    </dxf>
    <dxf>
      <font>
        <color theme="1"/>
      </font>
      <fill>
        <patternFill>
          <bgColor rgb="FFFFC000"/>
        </patternFill>
      </fill>
    </dxf>
    <dxf>
      <font>
        <color theme="0"/>
      </font>
      <fill>
        <patternFill>
          <bgColor rgb="FF00B050"/>
        </patternFill>
      </fill>
    </dxf>
    <dxf>
      <font>
        <color theme="1"/>
      </font>
      <fill>
        <patternFill>
          <bgColor theme="0" tint="-4.9989318521683403E-2"/>
        </patternFill>
      </fill>
    </dxf>
    <dxf>
      <font>
        <color theme="0"/>
      </font>
      <fill>
        <patternFill>
          <bgColor rgb="FF00B050"/>
        </patternFill>
      </fill>
    </dxf>
    <dxf>
      <font>
        <color theme="1"/>
      </font>
      <fill>
        <patternFill>
          <bgColor rgb="FFFFC000"/>
        </patternFill>
      </fill>
    </dxf>
    <dxf>
      <font>
        <color theme="0"/>
      </font>
      <fill>
        <patternFill>
          <bgColor rgb="FFCC0000"/>
        </patternFill>
      </fill>
    </dxf>
    <dxf>
      <font>
        <color theme="0"/>
      </font>
      <fill>
        <patternFill>
          <bgColor rgb="FFCC0000"/>
        </patternFill>
      </fill>
    </dxf>
    <dxf>
      <font>
        <color theme="1"/>
      </font>
      <fill>
        <patternFill>
          <bgColor theme="0" tint="-4.9989318521683403E-2"/>
        </patternFill>
      </fill>
    </dxf>
    <dxf>
      <font>
        <color theme="0"/>
      </font>
      <fill>
        <patternFill>
          <bgColor rgb="FF00B050"/>
        </patternFill>
      </fill>
    </dxf>
    <dxf>
      <font>
        <color theme="1"/>
      </font>
      <fill>
        <patternFill>
          <bgColor rgb="FFFFC000"/>
        </patternFill>
      </fill>
    </dxf>
    <dxf>
      <font>
        <color theme="0"/>
      </font>
      <fill>
        <patternFill>
          <bgColor rgb="FF00B050"/>
        </patternFill>
      </fill>
    </dxf>
    <dxf>
      <font>
        <color theme="1"/>
      </font>
      <fill>
        <patternFill>
          <bgColor theme="0" tint="-4.9989318521683403E-2"/>
        </patternFill>
      </fill>
    </dxf>
    <dxf>
      <font>
        <color theme="0"/>
      </font>
      <fill>
        <patternFill>
          <bgColor rgb="FFCC0000"/>
        </patternFill>
      </fill>
    </dxf>
    <dxf>
      <font>
        <color theme="1"/>
      </font>
      <fill>
        <patternFill>
          <bgColor rgb="FFFFC000"/>
        </patternFill>
      </fill>
    </dxf>
    <dxf>
      <font>
        <color theme="0"/>
      </font>
      <fill>
        <patternFill>
          <bgColor rgb="FF00B050"/>
        </patternFill>
      </fill>
    </dxf>
    <dxf>
      <font>
        <color theme="1"/>
      </font>
      <fill>
        <patternFill>
          <bgColor theme="0" tint="-4.9989318521683403E-2"/>
        </patternFill>
      </fill>
    </dxf>
    <dxf>
      <font>
        <color theme="0"/>
      </font>
      <fill>
        <patternFill>
          <bgColor rgb="FFCC0000"/>
        </patternFill>
      </fill>
    </dxf>
    <dxf>
      <font>
        <color theme="1"/>
      </font>
      <fill>
        <patternFill>
          <bgColor rgb="FFFFC000"/>
        </patternFill>
      </fill>
    </dxf>
    <dxf>
      <font>
        <color theme="1"/>
      </font>
      <fill>
        <patternFill>
          <bgColor theme="0" tint="-4.9989318521683403E-2"/>
        </patternFill>
      </fill>
    </dxf>
    <dxf>
      <font>
        <color theme="0"/>
      </font>
      <fill>
        <patternFill>
          <bgColor rgb="FF00B050"/>
        </patternFill>
      </fill>
    </dxf>
    <dxf>
      <font>
        <color theme="1"/>
      </font>
      <fill>
        <patternFill>
          <bgColor rgb="FFFFC000"/>
        </patternFill>
      </fill>
    </dxf>
    <dxf>
      <font>
        <color theme="0"/>
      </font>
      <fill>
        <patternFill>
          <bgColor rgb="FFCC0000"/>
        </patternFill>
      </fill>
    </dxf>
    <dxf>
      <font>
        <color theme="0"/>
      </font>
      <fill>
        <patternFill>
          <bgColor rgb="FF00B050"/>
        </patternFill>
      </fill>
    </dxf>
    <dxf>
      <font>
        <color theme="1"/>
      </font>
      <fill>
        <patternFill>
          <bgColor theme="0" tint="-4.9989318521683403E-2"/>
        </patternFill>
      </fill>
    </dxf>
    <dxf>
      <font>
        <color theme="1"/>
      </font>
      <fill>
        <patternFill>
          <bgColor rgb="FFFFC000"/>
        </patternFill>
      </fill>
    </dxf>
    <dxf>
      <font>
        <color theme="0"/>
      </font>
      <fill>
        <patternFill>
          <bgColor rgb="FFCC0000"/>
        </patternFill>
      </fill>
    </dxf>
    <dxf>
      <font>
        <color theme="0"/>
      </font>
      <fill>
        <patternFill>
          <bgColor rgb="FFCC0000"/>
        </patternFill>
      </fill>
    </dxf>
    <dxf>
      <font>
        <color theme="0"/>
      </font>
      <fill>
        <patternFill>
          <bgColor rgb="FF00B050"/>
        </patternFill>
      </fill>
    </dxf>
    <dxf>
      <font>
        <color theme="1"/>
      </font>
      <fill>
        <patternFill>
          <bgColor theme="0" tint="-4.9989318521683403E-2"/>
        </patternFill>
      </fill>
    </dxf>
    <dxf>
      <font>
        <color theme="1"/>
      </font>
      <fill>
        <patternFill>
          <bgColor rgb="FFFFC000"/>
        </patternFill>
      </fill>
    </dxf>
    <dxf>
      <font>
        <color theme="0"/>
      </font>
      <fill>
        <patternFill>
          <bgColor rgb="FFCC0000"/>
        </patternFill>
      </fill>
    </dxf>
    <dxf>
      <font>
        <color theme="1"/>
      </font>
      <fill>
        <patternFill>
          <bgColor rgb="FFFFC000"/>
        </patternFill>
      </fill>
    </dxf>
    <dxf>
      <font>
        <color theme="0"/>
      </font>
      <fill>
        <patternFill>
          <bgColor rgb="FF00B050"/>
        </patternFill>
      </fill>
    </dxf>
    <dxf>
      <font>
        <color theme="1"/>
      </font>
      <fill>
        <patternFill>
          <bgColor theme="0" tint="-4.9989318521683403E-2"/>
        </patternFill>
      </fill>
    </dxf>
    <dxf>
      <font>
        <color theme="1"/>
      </font>
      <fill>
        <patternFill>
          <bgColor theme="0" tint="-4.9989318521683403E-2"/>
        </patternFill>
      </fill>
    </dxf>
    <dxf>
      <font>
        <color theme="0"/>
      </font>
      <fill>
        <patternFill>
          <bgColor rgb="FF00B050"/>
        </patternFill>
      </fill>
    </dxf>
    <dxf>
      <font>
        <color theme="0"/>
      </font>
      <fill>
        <patternFill>
          <bgColor rgb="FFCC0000"/>
        </patternFill>
      </fill>
    </dxf>
    <dxf>
      <font>
        <color theme="1"/>
      </font>
      <fill>
        <patternFill>
          <bgColor rgb="FFFFC000"/>
        </patternFill>
      </fill>
    </dxf>
  </dxfs>
  <tableStyles count="0" defaultTableStyle="TableStyleMedium2" defaultPivotStyle="PivotStyleLight16"/>
  <colors>
    <mruColors>
      <color rgb="FFD5B8EA"/>
      <color rgb="FFFFFFCC"/>
      <color rgb="FFF2F2F2"/>
      <color rgb="FFCC0000"/>
      <color rgb="FF1F4E78"/>
      <color rgb="FFECF4FA"/>
      <color rgb="FFFF5050"/>
      <color rgb="FFDCFAD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23"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dr:twoCellAnchor>
    <xdr:from>
      <xdr:col>32</xdr:col>
      <xdr:colOff>504825</xdr:colOff>
      <xdr:row>0</xdr:row>
      <xdr:rowOff>57150</xdr:rowOff>
    </xdr:from>
    <xdr:to>
      <xdr:col>36</xdr:col>
      <xdr:colOff>419100</xdr:colOff>
      <xdr:row>0</xdr:row>
      <xdr:rowOff>301625</xdr:rowOff>
    </xdr:to>
    <xdr:sp macro="" textlink="">
      <xdr:nvSpPr>
        <xdr:cNvPr id="2" name="TextBox 1">
          <a:extLst>
            <a:ext uri="{FF2B5EF4-FFF2-40B4-BE49-F238E27FC236}">
              <a16:creationId xmlns:a16="http://schemas.microsoft.com/office/drawing/2014/main" id="{73E12D72-E0FE-4E99-9E50-0BD6F4348680}"/>
            </a:ext>
          </a:extLst>
        </xdr:cNvPr>
        <xdr:cNvSpPr txBox="1"/>
      </xdr:nvSpPr>
      <xdr:spPr>
        <a:xfrm>
          <a:off x="27174825" y="57150"/>
          <a:ext cx="3895725" cy="244475"/>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t>N.B. All values shown are</a:t>
          </a:r>
          <a:r>
            <a:rPr lang="en-GB" sz="1100" baseline="0"/>
            <a:t> in £M.</a:t>
          </a:r>
          <a:endParaRPr lang="en-GB" sz="1100"/>
        </a:p>
      </xdr:txBody>
    </xdr:sp>
    <xdr:clientData/>
  </xdr:twoCellAnchor>
  <xdr:twoCellAnchor>
    <xdr:from>
      <xdr:col>39</xdr:col>
      <xdr:colOff>439763</xdr:colOff>
      <xdr:row>39</xdr:row>
      <xdr:rowOff>149860</xdr:rowOff>
    </xdr:from>
    <xdr:to>
      <xdr:col>46</xdr:col>
      <xdr:colOff>427183</xdr:colOff>
      <xdr:row>50</xdr:row>
      <xdr:rowOff>103909</xdr:rowOff>
    </xdr:to>
    <xdr:sp macro="" textlink="">
      <xdr:nvSpPr>
        <xdr:cNvPr id="3" name="Rectangle 2">
          <a:extLst>
            <a:ext uri="{FF2B5EF4-FFF2-40B4-BE49-F238E27FC236}">
              <a16:creationId xmlns:a16="http://schemas.microsoft.com/office/drawing/2014/main" id="{FBBB84FE-FA79-459C-861D-CDAD1F6C225F}"/>
            </a:ext>
          </a:extLst>
        </xdr:cNvPr>
        <xdr:cNvSpPr/>
      </xdr:nvSpPr>
      <xdr:spPr>
        <a:xfrm>
          <a:off x="34809138" y="14437360"/>
          <a:ext cx="4432420" cy="4145049"/>
        </a:xfrm>
        <a:prstGeom prst="rect">
          <a:avLst/>
        </a:prstGeom>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GB" sz="1100"/>
        </a:p>
      </xdr:txBody>
    </xdr:sp>
    <xdr:clientData/>
  </xdr:twoCellAnchor>
  <xdr:twoCellAnchor>
    <xdr:from>
      <xdr:col>4</xdr:col>
      <xdr:colOff>533331</xdr:colOff>
      <xdr:row>51</xdr:row>
      <xdr:rowOff>371163</xdr:rowOff>
    </xdr:from>
    <xdr:to>
      <xdr:col>4</xdr:col>
      <xdr:colOff>602604</xdr:colOff>
      <xdr:row>65</xdr:row>
      <xdr:rowOff>359617</xdr:rowOff>
    </xdr:to>
    <xdr:sp macro="" textlink="">
      <xdr:nvSpPr>
        <xdr:cNvPr id="4" name="Right Brace 3">
          <a:extLst>
            <a:ext uri="{FF2B5EF4-FFF2-40B4-BE49-F238E27FC236}">
              <a16:creationId xmlns:a16="http://schemas.microsoft.com/office/drawing/2014/main" id="{1258A054-77A8-404B-8CA9-BA025DA8AF2F}"/>
            </a:ext>
          </a:extLst>
        </xdr:cNvPr>
        <xdr:cNvSpPr/>
      </xdr:nvSpPr>
      <xdr:spPr>
        <a:xfrm rot="10800000" flipH="1">
          <a:off x="4642689" y="19217056"/>
          <a:ext cx="69273" cy="5322454"/>
        </a:xfrm>
        <a:prstGeom prst="rightBrace">
          <a:avLst/>
        </a:prstGeom>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lang="en-GB"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32</xdr:col>
      <xdr:colOff>504825</xdr:colOff>
      <xdr:row>0</xdr:row>
      <xdr:rowOff>57150</xdr:rowOff>
    </xdr:from>
    <xdr:to>
      <xdr:col>36</xdr:col>
      <xdr:colOff>419100</xdr:colOff>
      <xdr:row>0</xdr:row>
      <xdr:rowOff>301625</xdr:rowOff>
    </xdr:to>
    <xdr:sp macro="" textlink="">
      <xdr:nvSpPr>
        <xdr:cNvPr id="2" name="TextBox 1">
          <a:extLst>
            <a:ext uri="{FF2B5EF4-FFF2-40B4-BE49-F238E27FC236}">
              <a16:creationId xmlns:a16="http://schemas.microsoft.com/office/drawing/2014/main" id="{706F78FB-8CAF-42D5-89A2-597A494D5D39}"/>
            </a:ext>
          </a:extLst>
        </xdr:cNvPr>
        <xdr:cNvSpPr txBox="1"/>
      </xdr:nvSpPr>
      <xdr:spPr>
        <a:xfrm>
          <a:off x="25260300" y="57150"/>
          <a:ext cx="3695700" cy="244475"/>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t>N.B. All values shown are</a:t>
          </a:r>
          <a:r>
            <a:rPr lang="en-GB" sz="1100" baseline="0"/>
            <a:t> in £M.</a:t>
          </a:r>
          <a:endParaRPr lang="en-GB" sz="1100"/>
        </a:p>
      </xdr:txBody>
    </xdr:sp>
    <xdr:clientData/>
  </xdr:twoCellAnchor>
  <xdr:twoCellAnchor>
    <xdr:from>
      <xdr:col>31</xdr:col>
      <xdr:colOff>428626</xdr:colOff>
      <xdr:row>30</xdr:row>
      <xdr:rowOff>379945</xdr:rowOff>
    </xdr:from>
    <xdr:to>
      <xdr:col>36</xdr:col>
      <xdr:colOff>416720</xdr:colOff>
      <xdr:row>41</xdr:row>
      <xdr:rowOff>346364</xdr:rowOff>
    </xdr:to>
    <xdr:sp macro="" textlink="">
      <xdr:nvSpPr>
        <xdr:cNvPr id="3" name="Rectangle 2">
          <a:extLst>
            <a:ext uri="{FF2B5EF4-FFF2-40B4-BE49-F238E27FC236}">
              <a16:creationId xmlns:a16="http://schemas.microsoft.com/office/drawing/2014/main" id="{CD7D38C3-CD8C-46EF-9F32-15A9B7F0CD10}"/>
            </a:ext>
          </a:extLst>
        </xdr:cNvPr>
        <xdr:cNvSpPr/>
      </xdr:nvSpPr>
      <xdr:spPr>
        <a:xfrm>
          <a:off x="24674081" y="11151854"/>
          <a:ext cx="4300321" cy="4157419"/>
        </a:xfrm>
        <a:prstGeom prst="rect">
          <a:avLst/>
        </a:prstGeom>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GB" sz="1100"/>
        </a:p>
      </xdr:txBody>
    </xdr:sp>
    <xdr:clientData/>
  </xdr:twoCellAnchor>
  <xdr:twoCellAnchor>
    <xdr:from>
      <xdr:col>4</xdr:col>
      <xdr:colOff>228600</xdr:colOff>
      <xdr:row>50</xdr:row>
      <xdr:rowOff>6349</xdr:rowOff>
    </xdr:from>
    <xdr:to>
      <xdr:col>4</xdr:col>
      <xdr:colOff>438150</xdr:colOff>
      <xdr:row>60</xdr:row>
      <xdr:rowOff>180974</xdr:rowOff>
    </xdr:to>
    <xdr:sp macro="" textlink="">
      <xdr:nvSpPr>
        <xdr:cNvPr id="4" name="Right Brace 3">
          <a:extLst>
            <a:ext uri="{FF2B5EF4-FFF2-40B4-BE49-F238E27FC236}">
              <a16:creationId xmlns:a16="http://schemas.microsoft.com/office/drawing/2014/main" id="{6060BB5B-33FD-4E60-992D-2170B854B27A}"/>
            </a:ext>
          </a:extLst>
        </xdr:cNvPr>
        <xdr:cNvSpPr/>
      </xdr:nvSpPr>
      <xdr:spPr>
        <a:xfrm>
          <a:off x="3895725" y="18027649"/>
          <a:ext cx="209550" cy="3984625"/>
        </a:xfrm>
        <a:prstGeom prst="rightBrace">
          <a:avLst/>
        </a:prstGeom>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lang="en-GB"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11</xdr:col>
      <xdr:colOff>169334</xdr:colOff>
      <xdr:row>8</xdr:row>
      <xdr:rowOff>21166</xdr:rowOff>
    </xdr:from>
    <xdr:to>
      <xdr:col>13</xdr:col>
      <xdr:colOff>550334</xdr:colOff>
      <xdr:row>11</xdr:row>
      <xdr:rowOff>211665</xdr:rowOff>
    </xdr:to>
    <xdr:sp macro="" textlink="">
      <xdr:nvSpPr>
        <xdr:cNvPr id="2" name="TextBox 1">
          <a:extLst>
            <a:ext uri="{FF2B5EF4-FFF2-40B4-BE49-F238E27FC236}">
              <a16:creationId xmlns:a16="http://schemas.microsoft.com/office/drawing/2014/main" id="{B661189F-B33E-48F9-A657-3BC5AF9DE6AD}"/>
            </a:ext>
          </a:extLst>
        </xdr:cNvPr>
        <xdr:cNvSpPr txBox="1"/>
      </xdr:nvSpPr>
      <xdr:spPr>
        <a:xfrm>
          <a:off x="9091084" y="1693333"/>
          <a:ext cx="1587500" cy="952499"/>
        </a:xfrm>
        <a:prstGeom prst="rect">
          <a:avLst/>
        </a:prstGeom>
        <a:solidFill>
          <a:srgbClr val="FF0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solidFill>
                <a:schemeClr val="bg1"/>
              </a:solidFill>
            </a:rPr>
            <a:t>C&amp;C RAG</a:t>
          </a:r>
          <a:r>
            <a:rPr lang="en-GB" sz="1100" b="1" baseline="0">
              <a:solidFill>
                <a:schemeClr val="bg1"/>
              </a:solidFill>
            </a:rPr>
            <a:t> Trend Arrows - Addition due to request at P2 P&amp;B.</a:t>
          </a:r>
        </a:p>
        <a:p>
          <a:r>
            <a:rPr lang="en-GB" sz="1100" b="1" baseline="0">
              <a:solidFill>
                <a:schemeClr val="bg1"/>
              </a:solidFill>
            </a:rPr>
            <a:t>Auto fills from RAG Table Tab</a:t>
          </a:r>
        </a:p>
        <a:p>
          <a:endParaRPr lang="en-GB" sz="1100" b="1" baseline="0">
            <a:solidFill>
              <a:schemeClr val="bg1"/>
            </a:solidFil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12406</xdr:colOff>
      <xdr:row>61</xdr:row>
      <xdr:rowOff>36964</xdr:rowOff>
    </xdr:from>
    <xdr:to>
      <xdr:col>30</xdr:col>
      <xdr:colOff>112787</xdr:colOff>
      <xdr:row>124</xdr:row>
      <xdr:rowOff>163286</xdr:rowOff>
    </xdr:to>
    <xdr:sp macro="" textlink="">
      <xdr:nvSpPr>
        <xdr:cNvPr id="2" name="TextBox 1">
          <a:extLst>
            <a:ext uri="{FF2B5EF4-FFF2-40B4-BE49-F238E27FC236}">
              <a16:creationId xmlns:a16="http://schemas.microsoft.com/office/drawing/2014/main" id="{049965F7-18DD-4768-A89B-329D9F455D8E}"/>
            </a:ext>
          </a:extLst>
        </xdr:cNvPr>
        <xdr:cNvSpPr txBox="1"/>
      </xdr:nvSpPr>
      <xdr:spPr>
        <a:xfrm>
          <a:off x="112192" y="10469107"/>
          <a:ext cx="16936952" cy="10631036"/>
        </a:xfrm>
        <a:prstGeom prst="rect">
          <a:avLst/>
        </a:prstGeom>
        <a:solidFill>
          <a:sysClr val="window" lastClr="FFFF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eaLnBrk="1" latinLnBrk="0" hangingPunct="1"/>
          <a:r>
            <a:rPr lang="en-GB" sz="1100" b="1">
              <a:solidFill>
                <a:sysClr val="windowText" lastClr="000000"/>
              </a:solidFill>
              <a:effectLst/>
              <a:latin typeface="+mn-lt"/>
              <a:ea typeface="+mn-ea"/>
              <a:cs typeface="+mn-cs"/>
            </a:rPr>
            <a:t>This month (Pd09) we have 34 projects, 1 Programme and 1 Sub Programme. </a:t>
          </a:r>
        </a:p>
        <a:p>
          <a:pPr rtl="0" eaLnBrk="1" latinLnBrk="0" hangingPunct="1"/>
          <a:endParaRPr lang="en-GB" sz="1100" b="1" i="0" baseline="0">
            <a:solidFill>
              <a:sysClr val="windowText" lastClr="000000"/>
            </a:solidFill>
            <a:effectLst/>
            <a:latin typeface="+mn-lt"/>
            <a:ea typeface="+mn-ea"/>
            <a:cs typeface="+mn-cs"/>
          </a:endParaRPr>
        </a:p>
        <a:p>
          <a:pPr rtl="0" eaLnBrk="1" latinLnBrk="0" hangingPunct="1"/>
          <a:r>
            <a:rPr lang="en-GB" sz="1100" b="1" i="0" baseline="0">
              <a:solidFill>
                <a:sysClr val="windowText" lastClr="000000"/>
              </a:solidFill>
              <a:effectLst/>
              <a:latin typeface="+mn-lt"/>
              <a:ea typeface="+mn-ea"/>
              <a:cs typeface="+mn-cs"/>
            </a:rPr>
            <a:t>1 c</a:t>
          </a:r>
          <a:r>
            <a:rPr lang="en-GB" sz="1100" b="1" i="0">
              <a:solidFill>
                <a:sysClr val="windowText" lastClr="000000"/>
              </a:solidFill>
              <a:effectLst/>
              <a:latin typeface="+mn-lt"/>
              <a:ea typeface="+mn-ea"/>
              <a:cs typeface="+mn-cs"/>
            </a:rPr>
            <a:t>hange to Delivery Confidence</a:t>
          </a:r>
          <a:r>
            <a:rPr lang="en-GB" sz="1100" b="1" i="0" baseline="0">
              <a:solidFill>
                <a:sysClr val="windowText" lastClr="000000"/>
              </a:solidFill>
              <a:effectLst/>
              <a:latin typeface="+mn-lt"/>
              <a:ea typeface="+mn-ea"/>
              <a:cs typeface="+mn-cs"/>
            </a:rPr>
            <a:t> Assessment RAG:</a:t>
          </a:r>
        </a:p>
        <a:p>
          <a:pPr rtl="0" eaLnBrk="1" latinLnBrk="0" hangingPunct="1"/>
          <a:r>
            <a:rPr lang="en-GB" sz="1100" b="1" i="0" baseline="0">
              <a:solidFill>
                <a:sysClr val="windowText" lastClr="000000"/>
              </a:solidFill>
              <a:effectLst/>
              <a:latin typeface="+mn-lt"/>
              <a:ea typeface="+mn-ea"/>
              <a:cs typeface="+mn-cs"/>
            </a:rPr>
            <a:t>BEPPS2:</a:t>
          </a:r>
          <a:r>
            <a:rPr kumimoji="0" lang="en-GB" sz="1100" b="0" i="0" u="none" strike="noStrike" kern="0" cap="none" spc="0" normalizeH="0" baseline="0" noProof="0">
              <a:ln>
                <a:noFill/>
              </a:ln>
              <a:solidFill>
                <a:prstClr val="black"/>
              </a:solidFill>
              <a:effectLst/>
              <a:uLnTx/>
              <a:uFillTx/>
              <a:latin typeface="+mn-lt"/>
              <a:ea typeface="+mn-ea"/>
              <a:cs typeface="+mn-cs"/>
            </a:rPr>
            <a:t> RAG has moved from </a:t>
          </a:r>
          <a:r>
            <a:rPr kumimoji="0" lang="en-GB" sz="1100" b="0" i="0" u="none" strike="noStrike" kern="0" cap="none" spc="0" normalizeH="0" baseline="0" noProof="0">
              <a:ln>
                <a:noFill/>
              </a:ln>
              <a:solidFill>
                <a:srgbClr val="00B050"/>
              </a:solidFill>
              <a:effectLst/>
              <a:uLnTx/>
              <a:uFillTx/>
              <a:latin typeface="+mn-lt"/>
              <a:ea typeface="+mn-ea"/>
              <a:cs typeface="+mn-cs"/>
            </a:rPr>
            <a:t>Green </a:t>
          </a:r>
          <a:r>
            <a:rPr kumimoji="0" lang="en-GB" sz="1100" b="0" i="0" u="none" strike="noStrike" kern="0" cap="none" spc="0" normalizeH="0" baseline="0" noProof="0">
              <a:ln>
                <a:noFill/>
              </a:ln>
              <a:solidFill>
                <a:sysClr val="windowText" lastClr="000000"/>
              </a:solidFill>
              <a:effectLst/>
              <a:uLnTx/>
              <a:uFillTx/>
              <a:latin typeface="+mn-lt"/>
              <a:ea typeface="+mn-ea"/>
              <a:cs typeface="+mn-cs"/>
            </a:rPr>
            <a:t>to</a:t>
          </a:r>
          <a:r>
            <a:rPr kumimoji="0" lang="en-GB" sz="1100" b="0" i="0" u="none" strike="noStrike" kern="0" cap="none" spc="0" normalizeH="0" baseline="0" noProof="0">
              <a:ln>
                <a:noFill/>
              </a:ln>
              <a:solidFill>
                <a:srgbClr val="00B050"/>
              </a:solidFill>
              <a:effectLst/>
              <a:uLnTx/>
              <a:uFillTx/>
              <a:latin typeface="+mn-lt"/>
              <a:ea typeface="+mn-ea"/>
              <a:cs typeface="+mn-cs"/>
            </a:rPr>
            <a:t> </a:t>
          </a:r>
          <a:r>
            <a:rPr kumimoji="0" lang="en-GB" sz="1100" b="0" i="0" u="none" strike="noStrike" kern="0" cap="none" spc="0" normalizeH="0" baseline="0" noProof="0">
              <a:ln>
                <a:noFill/>
              </a:ln>
              <a:solidFill>
                <a:srgbClr val="FFC000"/>
              </a:solidFill>
              <a:effectLst/>
              <a:uLnTx/>
              <a:uFillTx/>
              <a:latin typeface="+mn-lt"/>
              <a:ea typeface="+mn-ea"/>
              <a:cs typeface="+mn-cs"/>
            </a:rPr>
            <a:t>Amber </a:t>
          </a:r>
          <a:r>
            <a:rPr kumimoji="0" lang="en-GB" sz="1100" b="0" i="0" u="none" strike="noStrike" kern="0" cap="none" spc="0" normalizeH="0" baseline="0" noProof="0">
              <a:ln>
                <a:noFill/>
              </a:ln>
              <a:solidFill>
                <a:sysClr val="windowText" lastClr="000000"/>
              </a:solidFill>
              <a:effectLst/>
              <a:uLnTx/>
              <a:uFillTx/>
              <a:latin typeface="+mn-lt"/>
              <a:ea typeface="+mn-ea"/>
              <a:cs typeface="+mn-cs"/>
            </a:rPr>
            <a:t>this period. </a:t>
          </a:r>
          <a:r>
            <a:rPr lang="en-GB"/>
            <a:t>A decision has been made to hold up the placement of the civil substructure sub-contract to allow more time to challenge procurement plans to ensure value for money. The client is also undertaking an independent review of cost and schedule ahead of negotiations on the Major Project Baseline. The Outline Business Case (OBC) sanction hold point release is dependent on these activities being successfully achieved; therefore, a prudent assessment of Amber recognises the potential to impact future key commitments required to progress project delivery.</a:t>
          </a:r>
          <a:endParaRPr lang="en-GB" sz="1100" b="1" i="0" baseline="0">
            <a:solidFill>
              <a:srgbClr val="FF0000"/>
            </a:solidFill>
            <a:effectLst/>
            <a:latin typeface="+mn-lt"/>
            <a:ea typeface="+mn-ea"/>
            <a:cs typeface="+mn-cs"/>
          </a:endParaRPr>
        </a:p>
        <a:p>
          <a:pPr rtl="0" eaLnBrk="1" latinLnBrk="0" hangingPunct="1"/>
          <a:endParaRPr lang="en-GB" sz="1100" b="1" i="0">
            <a:solidFill>
              <a:sysClr val="windowText" lastClr="000000"/>
            </a:solidFill>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en-GB" sz="1100" b="1" baseline="0">
              <a:solidFill>
                <a:sysClr val="windowText" lastClr="000000"/>
              </a:solidFill>
              <a:effectLst/>
              <a:latin typeface="+mn-lt"/>
              <a:ea typeface="+mn-ea"/>
              <a:cs typeface="+mn-cs"/>
            </a:rPr>
            <a:t>6</a:t>
          </a:r>
          <a:r>
            <a:rPr lang="en-GB" sz="1100" b="1" baseline="0">
              <a:solidFill>
                <a:schemeClr val="dk1"/>
              </a:solidFill>
              <a:effectLst/>
              <a:latin typeface="+mn-lt"/>
              <a:ea typeface="+mn-ea"/>
              <a:cs typeface="+mn-cs"/>
            </a:rPr>
            <a:t> </a:t>
          </a:r>
          <a:r>
            <a:rPr lang="en-GB" sz="1100" b="1">
              <a:solidFill>
                <a:schemeClr val="dk1"/>
              </a:solidFill>
              <a:effectLst/>
              <a:latin typeface="+mn-lt"/>
              <a:ea typeface="+mn-ea"/>
              <a:cs typeface="+mn-cs"/>
            </a:rPr>
            <a:t>changes to Baseline RAG</a:t>
          </a:r>
          <a:r>
            <a:rPr lang="en-GB" sz="1100" b="1" baseline="0">
              <a:solidFill>
                <a:schemeClr val="dk1"/>
              </a:solidFill>
              <a:effectLst/>
              <a:latin typeface="+mn-lt"/>
              <a:ea typeface="+mn-ea"/>
              <a:cs typeface="+mn-cs"/>
            </a:rPr>
            <a:t>:</a:t>
          </a:r>
          <a:endParaRPr lang="en-GB">
            <a:effectLst/>
          </a:endParaRPr>
        </a:p>
        <a:p>
          <a:pPr marL="0" marR="0" lvl="0" indent="0" defTabSz="914400" rtl="0" eaLnBrk="1" fontAlgn="auto" latinLnBrk="0" hangingPunct="1">
            <a:lnSpc>
              <a:spcPct val="100000"/>
            </a:lnSpc>
            <a:spcBef>
              <a:spcPts val="0"/>
            </a:spcBef>
            <a:spcAft>
              <a:spcPts val="0"/>
            </a:spcAft>
            <a:buClrTx/>
            <a:buSzTx/>
            <a:buFontTx/>
            <a:buNone/>
            <a:tabLst/>
            <a:defRPr/>
          </a:pPr>
          <a:r>
            <a:rPr lang="en-GB" sz="1100" b="1" i="0" baseline="0">
              <a:solidFill>
                <a:schemeClr val="dk1"/>
              </a:solidFill>
              <a:effectLst/>
              <a:latin typeface="+mn-lt"/>
              <a:ea typeface="+mn-ea"/>
              <a:cs typeface="+mn-cs"/>
            </a:rPr>
            <a:t>BEPPS2:</a:t>
          </a:r>
          <a:r>
            <a:rPr lang="en-GB" sz="1100" b="0" i="0" baseline="0">
              <a:solidFill>
                <a:schemeClr val="dk1"/>
              </a:solidFill>
              <a:effectLst/>
              <a:latin typeface="+mn-lt"/>
              <a:ea typeface="+mn-ea"/>
              <a:cs typeface="+mn-cs"/>
            </a:rPr>
            <a:t> RAG has moved from </a:t>
          </a:r>
          <a:r>
            <a:rPr kumimoji="0" lang="en-GB" sz="1100" b="0" i="0" u="none" strike="noStrike" kern="0" cap="none" spc="0" normalizeH="0" baseline="0">
              <a:ln>
                <a:noFill/>
              </a:ln>
              <a:solidFill>
                <a:srgbClr val="00B050"/>
              </a:solidFill>
              <a:effectLst/>
              <a:uLnTx/>
              <a:uFillTx/>
              <a:latin typeface="+mn-lt"/>
              <a:ea typeface="+mn-ea"/>
              <a:cs typeface="+mn-cs"/>
            </a:rPr>
            <a:t>Green</a:t>
          </a:r>
          <a:r>
            <a:rPr lang="en-GB" sz="1100" b="0" i="0" baseline="0">
              <a:solidFill>
                <a:schemeClr val="dk1"/>
              </a:solidFill>
              <a:effectLst/>
              <a:latin typeface="+mn-lt"/>
              <a:ea typeface="+mn-ea"/>
              <a:cs typeface="+mn-cs"/>
            </a:rPr>
            <a:t> to </a:t>
          </a:r>
          <a:r>
            <a:rPr kumimoji="0" lang="en-GB" sz="1100" b="0" i="0" u="none" strike="noStrike" kern="0" cap="none" spc="0" normalizeH="0" baseline="0">
              <a:ln>
                <a:noFill/>
              </a:ln>
              <a:solidFill>
                <a:srgbClr val="FFC000"/>
              </a:solidFill>
              <a:effectLst/>
              <a:uLnTx/>
              <a:uFillTx/>
              <a:latin typeface="+mn-lt"/>
              <a:ea typeface="+mn-ea"/>
              <a:cs typeface="+mn-cs"/>
            </a:rPr>
            <a:t>Amber</a:t>
          </a:r>
          <a:r>
            <a:rPr lang="en-GB" sz="1100" b="0" i="0" baseline="0">
              <a:solidFill>
                <a:schemeClr val="dk1"/>
              </a:solidFill>
              <a:effectLst/>
              <a:latin typeface="+mn-lt"/>
              <a:ea typeface="+mn-ea"/>
              <a:cs typeface="+mn-cs"/>
            </a:rPr>
            <a:t> this period in line with the DCA RAG decision.</a:t>
          </a:r>
        </a:p>
        <a:p>
          <a:pPr marL="0" marR="0" lvl="0" indent="0" defTabSz="914400" rtl="0" eaLnBrk="1" fontAlgn="auto" latinLnBrk="0" hangingPunct="1">
            <a:lnSpc>
              <a:spcPct val="100000"/>
            </a:lnSpc>
            <a:spcBef>
              <a:spcPts val="0"/>
            </a:spcBef>
            <a:spcAft>
              <a:spcPts val="0"/>
            </a:spcAft>
            <a:buClrTx/>
            <a:buSzTx/>
            <a:buFontTx/>
            <a:buNone/>
            <a:tabLst/>
            <a:defRPr/>
          </a:pPr>
          <a:r>
            <a:rPr lang="en-GB" sz="1100" b="1" i="0">
              <a:solidFill>
                <a:sysClr val="windowText" lastClr="000000"/>
              </a:solidFill>
              <a:effectLst/>
              <a:latin typeface="+mn-lt"/>
              <a:ea typeface="+mn-ea"/>
              <a:cs typeface="+mn-cs"/>
            </a:rPr>
            <a:t>FGFL Ventilation Extract System Upgrade: </a:t>
          </a:r>
          <a:r>
            <a:rPr lang="en-GB" sz="1100" b="0" i="0">
              <a:solidFill>
                <a:sysClr val="windowText" lastClr="000000"/>
              </a:solidFill>
              <a:effectLst/>
              <a:latin typeface="+mn-lt"/>
              <a:ea typeface="+mn-ea"/>
              <a:cs typeface="+mn-cs"/>
            </a:rPr>
            <a:t>RAG has improved from </a:t>
          </a:r>
          <a:r>
            <a:rPr lang="en-GB" sz="1100" b="0" i="0">
              <a:solidFill>
                <a:srgbClr val="FFC000"/>
              </a:solidFill>
              <a:effectLst/>
              <a:latin typeface="+mn-lt"/>
              <a:ea typeface="+mn-ea"/>
              <a:cs typeface="+mn-cs"/>
            </a:rPr>
            <a:t>Amber</a:t>
          </a:r>
          <a:r>
            <a:rPr lang="en-GB" sz="1100" b="0" i="0">
              <a:solidFill>
                <a:sysClr val="windowText" lastClr="000000"/>
              </a:solidFill>
              <a:effectLst/>
              <a:latin typeface="+mn-lt"/>
              <a:ea typeface="+mn-ea"/>
              <a:cs typeface="+mn-cs"/>
            </a:rPr>
            <a:t> to </a:t>
          </a:r>
          <a:r>
            <a:rPr lang="en-GB" sz="1100" b="0" i="0">
              <a:solidFill>
                <a:srgbClr val="00B050"/>
              </a:solidFill>
              <a:effectLst/>
              <a:latin typeface="+mn-lt"/>
              <a:ea typeface="+mn-ea"/>
              <a:cs typeface="+mn-cs"/>
            </a:rPr>
            <a:t>Green</a:t>
          </a:r>
          <a:r>
            <a:rPr lang="en-GB" sz="1100" b="0" i="0">
              <a:solidFill>
                <a:sysClr val="windowText" lastClr="000000"/>
              </a:solidFill>
              <a:effectLst/>
              <a:latin typeface="+mn-lt"/>
              <a:ea typeface="+mn-ea"/>
              <a:cs typeface="+mn-cs"/>
            </a:rPr>
            <a:t> due to the implementation of a Change Control request (CCR).</a:t>
          </a:r>
        </a:p>
        <a:p>
          <a:pPr marL="0" marR="0" lvl="0" indent="0" defTabSz="914400" rtl="0" eaLnBrk="1" fontAlgn="auto" latinLnBrk="0" hangingPunct="1">
            <a:lnSpc>
              <a:spcPct val="100000"/>
            </a:lnSpc>
            <a:spcBef>
              <a:spcPts val="0"/>
            </a:spcBef>
            <a:spcAft>
              <a:spcPts val="0"/>
            </a:spcAft>
            <a:buClrTx/>
            <a:buSzTx/>
            <a:buFontTx/>
            <a:buNone/>
            <a:tabLst/>
            <a:defRPr/>
          </a:pPr>
          <a:r>
            <a:rPr lang="en-GB" sz="1100" b="1" i="0" u="none" strike="noStrike">
              <a:solidFill>
                <a:schemeClr val="dk1"/>
              </a:solidFill>
              <a:effectLst/>
              <a:latin typeface="+mn-lt"/>
              <a:ea typeface="+mn-ea"/>
              <a:cs typeface="+mn-cs"/>
            </a:rPr>
            <a:t>MSSS SEP3 Rails &amp; Brackets</a:t>
          </a:r>
          <a:r>
            <a:rPr lang="en-GB" sz="1100" b="0" i="0" u="none" strike="noStrike">
              <a:solidFill>
                <a:schemeClr val="dk1"/>
              </a:solidFill>
              <a:effectLst/>
              <a:latin typeface="+mn-lt"/>
              <a:ea typeface="+mn-ea"/>
              <a:cs typeface="+mn-cs"/>
            </a:rPr>
            <a:t>:</a:t>
          </a:r>
          <a:r>
            <a:rPr lang="en-GB" sz="1100" b="0" i="0" u="none" strike="noStrike" baseline="0">
              <a:solidFill>
                <a:schemeClr val="dk1"/>
              </a:solidFill>
              <a:effectLst/>
              <a:latin typeface="+mn-lt"/>
              <a:ea typeface="+mn-ea"/>
              <a:cs typeface="+mn-cs"/>
            </a:rPr>
            <a:t> RAG has moved from </a:t>
          </a:r>
          <a:r>
            <a:rPr kumimoji="0" lang="en-GB" sz="1100" b="0" i="0" u="none" strike="noStrike" kern="0" cap="none" spc="0" normalizeH="0" baseline="0" noProof="0">
              <a:ln>
                <a:noFill/>
              </a:ln>
              <a:solidFill>
                <a:srgbClr val="FFC000"/>
              </a:solidFill>
              <a:effectLst/>
              <a:uLnTx/>
              <a:uFillTx/>
              <a:latin typeface="+mn-lt"/>
              <a:ea typeface="+mn-ea"/>
              <a:cs typeface="+mn-cs"/>
            </a:rPr>
            <a:t>Amber</a:t>
          </a:r>
          <a:r>
            <a:rPr kumimoji="0" lang="en-GB" sz="1100" b="0" i="0" u="none" strike="noStrike" kern="0" cap="none" spc="0" normalizeH="0" baseline="0" noProof="0">
              <a:ln>
                <a:noFill/>
              </a:ln>
              <a:solidFill>
                <a:sysClr val="windowText" lastClr="000000"/>
              </a:solidFill>
              <a:effectLst/>
              <a:uLnTx/>
              <a:uFillTx/>
              <a:latin typeface="+mn-lt"/>
              <a:ea typeface="+mn-ea"/>
              <a:cs typeface="+mn-cs"/>
            </a:rPr>
            <a:t> </a:t>
          </a:r>
          <a:r>
            <a:rPr kumimoji="0" lang="en-GB" sz="1100" b="1" i="0" u="none" strike="noStrike" kern="0" cap="none" spc="0" normalizeH="0" baseline="0" noProof="0">
              <a:ln>
                <a:noFill/>
              </a:ln>
              <a:solidFill>
                <a:sysClr val="windowText" lastClr="000000"/>
              </a:solidFill>
              <a:effectLst/>
              <a:uLnTx/>
              <a:uFillTx/>
              <a:latin typeface="+mn-lt"/>
              <a:ea typeface="+mn-ea"/>
              <a:cs typeface="+mn-cs"/>
            </a:rPr>
            <a:t>to</a:t>
          </a:r>
          <a:r>
            <a:rPr kumimoji="0" lang="en-GB" sz="1100" b="0" i="0" u="none" strike="noStrike" kern="0" cap="none" spc="0" normalizeH="0" baseline="0" noProof="0">
              <a:ln>
                <a:noFill/>
              </a:ln>
              <a:solidFill>
                <a:sysClr val="windowText" lastClr="000000"/>
              </a:solidFill>
              <a:effectLst/>
              <a:uLnTx/>
              <a:uFillTx/>
              <a:latin typeface="+mn-lt"/>
              <a:ea typeface="+mn-ea"/>
              <a:cs typeface="+mn-cs"/>
            </a:rPr>
            <a:t> </a:t>
          </a:r>
          <a:r>
            <a:rPr kumimoji="0" lang="en-GB" sz="1100" b="0" i="0" u="none" strike="noStrike" kern="0" cap="none" spc="0" normalizeH="0" baseline="0" noProof="0">
              <a:ln>
                <a:noFill/>
              </a:ln>
              <a:solidFill>
                <a:srgbClr val="FF0000"/>
              </a:solidFill>
              <a:effectLst/>
              <a:uLnTx/>
              <a:uFillTx/>
              <a:latin typeface="+mn-lt"/>
              <a:ea typeface="+mn-ea"/>
              <a:cs typeface="+mn-cs"/>
            </a:rPr>
            <a:t>Red </a:t>
          </a:r>
          <a:r>
            <a:rPr kumimoji="0" lang="en-GB" sz="1100" b="0" i="0" u="none" strike="noStrike" kern="0" cap="none" spc="0" normalizeH="0" baseline="0" noProof="0">
              <a:ln>
                <a:noFill/>
              </a:ln>
              <a:solidFill>
                <a:sysClr val="windowText" lastClr="000000"/>
              </a:solidFill>
              <a:effectLst/>
              <a:uLnTx/>
              <a:uFillTx/>
              <a:latin typeface="+mn-lt"/>
              <a:ea typeface="+mn-ea"/>
              <a:cs typeface="+mn-cs"/>
            </a:rPr>
            <a:t>in recognition of the supply chain contractor entering administration. The project and commercial teams are working with the administrator to progress the retrieval of the part-manufactured equipment, secure a medium-term storage facility and identify an alternative supply chain partner to complete the packages.</a:t>
          </a:r>
        </a:p>
        <a:p>
          <a:pPr marL="0" marR="0" lvl="0" indent="0" defTabSz="914400" rtl="0" eaLnBrk="1" fontAlgn="auto" latinLnBrk="0" hangingPunct="1">
            <a:lnSpc>
              <a:spcPct val="100000"/>
            </a:lnSpc>
            <a:spcBef>
              <a:spcPts val="0"/>
            </a:spcBef>
            <a:spcAft>
              <a:spcPts val="0"/>
            </a:spcAft>
            <a:buClrTx/>
            <a:buSzTx/>
            <a:buFontTx/>
            <a:buNone/>
            <a:tabLst/>
            <a:defRPr/>
          </a:pPr>
          <a:r>
            <a:rPr lang="en-GB" sz="1100" b="1" i="0">
              <a:solidFill>
                <a:sysClr val="windowText" lastClr="000000"/>
              </a:solidFill>
              <a:effectLst/>
              <a:latin typeface="+mn-lt"/>
              <a:ea typeface="+mn-ea"/>
              <a:cs typeface="+mn-cs"/>
            </a:rPr>
            <a:t>MSSS Electrical Distribution Upgrade for Retrievals: </a:t>
          </a:r>
          <a:r>
            <a:rPr lang="en-GB" sz="1100" b="0" i="0">
              <a:solidFill>
                <a:sysClr val="windowText" lastClr="000000"/>
              </a:solidFill>
              <a:effectLst/>
              <a:latin typeface="+mn-lt"/>
              <a:ea typeface="+mn-ea"/>
              <a:cs typeface="+mn-cs"/>
            </a:rPr>
            <a:t>RAG </a:t>
          </a:r>
          <a:r>
            <a:rPr kumimoji="0" lang="en-GB" sz="1100" b="0" i="0" u="none" strike="noStrike" kern="0" cap="none" spc="0" normalizeH="0" baseline="0" noProof="0">
              <a:ln>
                <a:noFill/>
              </a:ln>
              <a:solidFill>
                <a:prstClr val="black"/>
              </a:solidFill>
              <a:effectLst/>
              <a:uLnTx/>
              <a:uFillTx/>
              <a:latin typeface="+mn-lt"/>
              <a:ea typeface="+mn-ea"/>
              <a:cs typeface="+mn-cs"/>
            </a:rPr>
            <a:t>has moved from </a:t>
          </a:r>
          <a:r>
            <a:rPr kumimoji="0" lang="en-GB" sz="1100" b="0" i="0" u="none" strike="noStrike" kern="0" cap="none" spc="0" normalizeH="0" baseline="0" noProof="0">
              <a:ln>
                <a:noFill/>
              </a:ln>
              <a:solidFill>
                <a:srgbClr val="FFC000"/>
              </a:solidFill>
              <a:effectLst/>
              <a:uLnTx/>
              <a:uFillTx/>
              <a:latin typeface="+mn-lt"/>
              <a:ea typeface="+mn-ea"/>
              <a:cs typeface="+mn-cs"/>
            </a:rPr>
            <a:t>Amber</a:t>
          </a:r>
          <a:r>
            <a:rPr kumimoji="0" lang="en-GB" sz="1100" b="0" i="0" u="none" strike="noStrike" kern="0" cap="none" spc="0" normalizeH="0" baseline="0" noProof="0">
              <a:ln>
                <a:noFill/>
              </a:ln>
              <a:solidFill>
                <a:sysClr val="windowText" lastClr="000000"/>
              </a:solidFill>
              <a:effectLst/>
              <a:uLnTx/>
              <a:uFillTx/>
              <a:latin typeface="+mn-lt"/>
              <a:ea typeface="+mn-ea"/>
              <a:cs typeface="+mn-cs"/>
            </a:rPr>
            <a:t> </a:t>
          </a:r>
          <a:r>
            <a:rPr kumimoji="0" lang="en-GB" sz="1100" b="1" i="0" u="none" strike="noStrike" kern="0" cap="none" spc="0" normalizeH="0" baseline="0" noProof="0">
              <a:ln>
                <a:noFill/>
              </a:ln>
              <a:solidFill>
                <a:sysClr val="windowText" lastClr="000000"/>
              </a:solidFill>
              <a:effectLst/>
              <a:uLnTx/>
              <a:uFillTx/>
              <a:latin typeface="+mn-lt"/>
              <a:ea typeface="+mn-ea"/>
              <a:cs typeface="+mn-cs"/>
            </a:rPr>
            <a:t>to</a:t>
          </a:r>
          <a:r>
            <a:rPr kumimoji="0" lang="en-GB" sz="1100" b="0" i="0" u="none" strike="noStrike" kern="0" cap="none" spc="0" normalizeH="0" baseline="0" noProof="0">
              <a:ln>
                <a:noFill/>
              </a:ln>
              <a:solidFill>
                <a:sysClr val="windowText" lastClr="000000"/>
              </a:solidFill>
              <a:effectLst/>
              <a:uLnTx/>
              <a:uFillTx/>
              <a:latin typeface="+mn-lt"/>
              <a:ea typeface="+mn-ea"/>
              <a:cs typeface="+mn-cs"/>
            </a:rPr>
            <a:t> </a:t>
          </a:r>
          <a:r>
            <a:rPr kumimoji="0" lang="en-GB" sz="1100" b="0" i="0" u="none" strike="noStrike" kern="0" cap="none" spc="0" normalizeH="0" baseline="0" noProof="0">
              <a:ln>
                <a:noFill/>
              </a:ln>
              <a:solidFill>
                <a:srgbClr val="FF0000"/>
              </a:solidFill>
              <a:effectLst/>
              <a:uLnTx/>
              <a:uFillTx/>
              <a:latin typeface="+mn-lt"/>
              <a:ea typeface="+mn-ea"/>
              <a:cs typeface="+mn-cs"/>
            </a:rPr>
            <a:t>Red</a:t>
          </a:r>
          <a:r>
            <a:rPr kumimoji="0" lang="en-GB" sz="1100" b="0" i="0" u="none" strike="noStrike" kern="0" cap="none" spc="0" normalizeH="0" baseline="0" noProof="0">
              <a:ln>
                <a:noFill/>
              </a:ln>
              <a:solidFill>
                <a:sysClr val="windowText" lastClr="000000"/>
              </a:solidFill>
              <a:effectLst/>
              <a:uLnTx/>
              <a:uFillTx/>
              <a:latin typeface="+mn-lt"/>
              <a:ea typeface="+mn-ea"/>
              <a:cs typeface="+mn-cs"/>
            </a:rPr>
            <a:t>,</a:t>
          </a:r>
          <a:r>
            <a:rPr lang="en-GB" sz="1100" b="0" i="0">
              <a:solidFill>
                <a:sysClr val="windowText" lastClr="000000"/>
              </a:solidFill>
              <a:effectLst/>
              <a:latin typeface="+mn-lt"/>
              <a:ea typeface="+mn-ea"/>
              <a:cs typeface="+mn-cs"/>
            </a:rPr>
            <a:t> with delivery now beyond the baseline P80 date.</a:t>
          </a:r>
          <a:r>
            <a:rPr lang="en-GB" sz="1100" b="0" i="0" baseline="0">
              <a:solidFill>
                <a:sysClr val="windowText" lastClr="000000"/>
              </a:solidFill>
              <a:effectLst/>
              <a:latin typeface="+mn-lt"/>
              <a:ea typeface="+mn-ea"/>
              <a:cs typeface="+mn-cs"/>
            </a:rPr>
            <a:t> H</a:t>
          </a:r>
          <a:r>
            <a:rPr lang="en-GB" sz="1100" b="0" i="0">
              <a:solidFill>
                <a:sysClr val="windowText" lastClr="000000"/>
              </a:solidFill>
              <a:effectLst/>
              <a:latin typeface="+mn-lt"/>
              <a:ea typeface="+mn-ea"/>
              <a:cs typeface="+mn-cs"/>
            </a:rPr>
            <a:t>owever, transfer of all critical systems and power to SEP 1 and 2 have been delivered, ongoing load transfers address obsolescence issues on some existing equipment,</a:t>
          </a:r>
          <a:r>
            <a:rPr lang="en-GB" sz="1100" b="0" i="0" baseline="0">
              <a:solidFill>
                <a:sysClr val="windowText" lastClr="000000"/>
              </a:solidFill>
              <a:effectLst/>
              <a:latin typeface="+mn-lt"/>
              <a:ea typeface="+mn-ea"/>
              <a:cs typeface="+mn-cs"/>
            </a:rPr>
            <a:t> H</a:t>
          </a:r>
          <a:r>
            <a:rPr lang="en-GB" sz="1100" b="0" i="0">
              <a:solidFill>
                <a:sysClr val="windowText" lastClr="000000"/>
              </a:solidFill>
              <a:effectLst/>
              <a:latin typeface="+mn-lt"/>
              <a:ea typeface="+mn-ea"/>
              <a:cs typeface="+mn-cs"/>
            </a:rPr>
            <a:t>owever, not all load transfers will take place ahead of the baseline P80 date.</a:t>
          </a:r>
        </a:p>
        <a:p>
          <a:pPr marL="0" marR="0" lvl="0" indent="0" defTabSz="914400" rtl="0" eaLnBrk="1" fontAlgn="auto" latinLnBrk="0" hangingPunct="1">
            <a:lnSpc>
              <a:spcPct val="100000"/>
            </a:lnSpc>
            <a:spcBef>
              <a:spcPts val="0"/>
            </a:spcBef>
            <a:spcAft>
              <a:spcPts val="0"/>
            </a:spcAft>
            <a:buClrTx/>
            <a:buSzTx/>
            <a:buFontTx/>
            <a:buNone/>
            <a:tabLst/>
            <a:defRPr/>
          </a:pPr>
          <a:r>
            <a:rPr lang="en-GB" sz="1100" b="1" i="0">
              <a:solidFill>
                <a:sysClr val="windowText" lastClr="000000"/>
              </a:solidFill>
              <a:effectLst/>
              <a:latin typeface="+mn-lt"/>
              <a:ea typeface="+mn-ea"/>
              <a:cs typeface="+mn-cs"/>
            </a:rPr>
            <a:t>SEP Solid Waste Storage Retrievals: </a:t>
          </a:r>
          <a:r>
            <a:rPr kumimoji="0" lang="en-GB" sz="1100" b="0" i="0" u="none" strike="noStrike" kern="0" cap="none" spc="0" normalizeH="0" baseline="0" noProof="0">
              <a:ln>
                <a:noFill/>
              </a:ln>
              <a:solidFill>
                <a:prstClr val="black"/>
              </a:solidFill>
              <a:effectLst/>
              <a:uLnTx/>
              <a:uFillTx/>
              <a:latin typeface="+mn-lt"/>
              <a:ea typeface="+mn-ea"/>
              <a:cs typeface="+mn-cs"/>
            </a:rPr>
            <a:t>RAG has moved from </a:t>
          </a:r>
          <a:r>
            <a:rPr kumimoji="0" lang="en-GB" sz="1100" b="0" i="0" u="none" strike="noStrike" kern="0" cap="none" spc="0" normalizeH="0" baseline="0" noProof="0">
              <a:ln>
                <a:noFill/>
              </a:ln>
              <a:solidFill>
                <a:srgbClr val="FFC000"/>
              </a:solidFill>
              <a:effectLst/>
              <a:uLnTx/>
              <a:uFillTx/>
              <a:latin typeface="+mn-lt"/>
              <a:ea typeface="+mn-ea"/>
              <a:cs typeface="+mn-cs"/>
            </a:rPr>
            <a:t>Amber</a:t>
          </a:r>
          <a:r>
            <a:rPr kumimoji="0" lang="en-GB" sz="1100" b="0" i="0" u="none" strike="noStrike" kern="0" cap="none" spc="0" normalizeH="0" baseline="0" noProof="0">
              <a:ln>
                <a:noFill/>
              </a:ln>
              <a:solidFill>
                <a:sysClr val="windowText" lastClr="000000"/>
              </a:solidFill>
              <a:effectLst/>
              <a:uLnTx/>
              <a:uFillTx/>
              <a:latin typeface="+mn-lt"/>
              <a:ea typeface="+mn-ea"/>
              <a:cs typeface="+mn-cs"/>
            </a:rPr>
            <a:t> </a:t>
          </a:r>
          <a:r>
            <a:rPr kumimoji="0" lang="en-GB" sz="1100" b="1" i="0" u="none" strike="noStrike" kern="0" cap="none" spc="0" normalizeH="0" baseline="0" noProof="0">
              <a:ln>
                <a:noFill/>
              </a:ln>
              <a:solidFill>
                <a:sysClr val="windowText" lastClr="000000"/>
              </a:solidFill>
              <a:effectLst/>
              <a:uLnTx/>
              <a:uFillTx/>
              <a:latin typeface="+mn-lt"/>
              <a:ea typeface="+mn-ea"/>
              <a:cs typeface="+mn-cs"/>
            </a:rPr>
            <a:t>to</a:t>
          </a:r>
          <a:r>
            <a:rPr kumimoji="0" lang="en-GB" sz="1100" b="0" i="0" u="none" strike="noStrike" kern="0" cap="none" spc="0" normalizeH="0" baseline="0" noProof="0">
              <a:ln>
                <a:noFill/>
              </a:ln>
              <a:solidFill>
                <a:sysClr val="windowText" lastClr="000000"/>
              </a:solidFill>
              <a:effectLst/>
              <a:uLnTx/>
              <a:uFillTx/>
              <a:latin typeface="+mn-lt"/>
              <a:ea typeface="+mn-ea"/>
              <a:cs typeface="+mn-cs"/>
            </a:rPr>
            <a:t> </a:t>
          </a:r>
          <a:r>
            <a:rPr kumimoji="0" lang="en-GB" sz="1100" b="0" i="0" u="none" strike="noStrike" kern="0" cap="none" spc="0" normalizeH="0" baseline="0" noProof="0">
              <a:ln>
                <a:noFill/>
              </a:ln>
              <a:solidFill>
                <a:srgbClr val="FF0000"/>
              </a:solidFill>
              <a:effectLst/>
              <a:uLnTx/>
              <a:uFillTx/>
              <a:latin typeface="+mn-lt"/>
              <a:ea typeface="+mn-ea"/>
              <a:cs typeface="+mn-cs"/>
            </a:rPr>
            <a:t>Red </a:t>
          </a:r>
          <a:r>
            <a:rPr kumimoji="0" lang="en-GB" sz="1100" b="0" i="0" u="none" strike="noStrike" kern="0" cap="none" spc="0" normalizeH="0" baseline="0" noProof="0">
              <a:ln>
                <a:noFill/>
              </a:ln>
              <a:solidFill>
                <a:sysClr val="windowText" lastClr="000000"/>
              </a:solidFill>
              <a:effectLst/>
              <a:uLnTx/>
              <a:uFillTx/>
              <a:latin typeface="+mn-lt"/>
              <a:ea typeface="+mn-ea"/>
              <a:cs typeface="+mn-cs"/>
            </a:rPr>
            <a:t>t</a:t>
          </a:r>
          <a:r>
            <a:rPr lang="en-GB" sz="1100" b="0" i="0">
              <a:solidFill>
                <a:sysClr val="windowText" lastClr="000000"/>
              </a:solidFill>
              <a:effectLst/>
              <a:latin typeface="+mn-lt"/>
              <a:ea typeface="+mn-ea"/>
              <a:cs typeface="+mn-cs"/>
            </a:rPr>
            <a:t>his period.</a:t>
          </a:r>
          <a:r>
            <a:rPr lang="en-GB" sz="1100" b="0" i="0" baseline="0">
              <a:solidFill>
                <a:sysClr val="windowText" lastClr="000000"/>
              </a:solidFill>
              <a:effectLst/>
              <a:latin typeface="+mn-lt"/>
              <a:ea typeface="+mn-ea"/>
              <a:cs typeface="+mn-cs"/>
            </a:rPr>
            <a:t> </a:t>
          </a:r>
          <a:r>
            <a:rPr lang="en-GB" sz="1100" b="0" i="0">
              <a:solidFill>
                <a:sysClr val="windowText" lastClr="000000"/>
              </a:solidFill>
              <a:effectLst/>
              <a:latin typeface="+mn-lt"/>
              <a:ea typeface="+mn-ea"/>
              <a:cs typeface="+mn-cs"/>
            </a:rPr>
            <a:t>SEP2 close out made some positive progress, however the SEP1 and Vent elements of the project achieved limited progress as work was halted by industrial action and water ingress issues respectively. This has resulted in the planned first SEP1 skip out date moving to May 2028, and the subsequent deterioration of the project end date to May 2029 challenges the lifecycle cost to remain within P80 values, although the integrated team are working to recover this date. </a:t>
          </a:r>
        </a:p>
        <a:p>
          <a:pPr marL="0" marR="0" lvl="0" indent="0" defTabSz="914400" rtl="0" eaLnBrk="1" fontAlgn="auto" latinLnBrk="0" hangingPunct="1">
            <a:lnSpc>
              <a:spcPct val="100000"/>
            </a:lnSpc>
            <a:spcBef>
              <a:spcPts val="0"/>
            </a:spcBef>
            <a:spcAft>
              <a:spcPts val="0"/>
            </a:spcAft>
            <a:buClrTx/>
            <a:buSzTx/>
            <a:buFontTx/>
            <a:buNone/>
            <a:tabLst/>
            <a:defRPr/>
          </a:pPr>
          <a:r>
            <a:rPr lang="en-GB" sz="1100" b="1" i="0">
              <a:solidFill>
                <a:sysClr val="windowText" lastClr="000000"/>
              </a:solidFill>
              <a:effectLst/>
              <a:latin typeface="+mn-lt"/>
              <a:ea typeface="+mn-ea"/>
              <a:cs typeface="+mn-cs"/>
            </a:rPr>
            <a:t>MSSS Upgrades for Retrievals &amp; Resilience: </a:t>
          </a:r>
          <a:r>
            <a:rPr kumimoji="0" lang="en-GB" sz="1100" b="0" i="0" u="none" strike="noStrike" kern="0" cap="none" spc="0" normalizeH="0" baseline="0" noProof="0">
              <a:ln>
                <a:noFill/>
              </a:ln>
              <a:solidFill>
                <a:prstClr val="black"/>
              </a:solidFill>
              <a:effectLst/>
              <a:uLnTx/>
              <a:uFillTx/>
              <a:latin typeface="+mn-lt"/>
              <a:ea typeface="+mn-ea"/>
              <a:cs typeface="+mn-cs"/>
            </a:rPr>
            <a:t>RAG has moved from </a:t>
          </a:r>
          <a:r>
            <a:rPr kumimoji="0" lang="en-GB" sz="1100" b="0" i="0" u="none" strike="noStrike" kern="0" cap="none" spc="0" normalizeH="0" baseline="0" noProof="0">
              <a:ln>
                <a:noFill/>
              </a:ln>
              <a:solidFill>
                <a:srgbClr val="FFC000"/>
              </a:solidFill>
              <a:effectLst/>
              <a:uLnTx/>
              <a:uFillTx/>
              <a:latin typeface="+mn-lt"/>
              <a:ea typeface="+mn-ea"/>
              <a:cs typeface="+mn-cs"/>
            </a:rPr>
            <a:t>Amber</a:t>
          </a:r>
          <a:r>
            <a:rPr kumimoji="0" lang="en-GB" sz="1100" b="0" i="0" u="none" strike="noStrike" kern="0" cap="none" spc="0" normalizeH="0" baseline="0" noProof="0">
              <a:ln>
                <a:noFill/>
              </a:ln>
              <a:solidFill>
                <a:sysClr val="windowText" lastClr="000000"/>
              </a:solidFill>
              <a:effectLst/>
              <a:uLnTx/>
              <a:uFillTx/>
              <a:latin typeface="+mn-lt"/>
              <a:ea typeface="+mn-ea"/>
              <a:cs typeface="+mn-cs"/>
            </a:rPr>
            <a:t> </a:t>
          </a:r>
          <a:r>
            <a:rPr kumimoji="0" lang="en-GB" sz="1100" b="1" i="0" u="none" strike="noStrike" kern="0" cap="none" spc="0" normalizeH="0" baseline="0" noProof="0">
              <a:ln>
                <a:noFill/>
              </a:ln>
              <a:solidFill>
                <a:sysClr val="windowText" lastClr="000000"/>
              </a:solidFill>
              <a:effectLst/>
              <a:uLnTx/>
              <a:uFillTx/>
              <a:latin typeface="+mn-lt"/>
              <a:ea typeface="+mn-ea"/>
              <a:cs typeface="+mn-cs"/>
            </a:rPr>
            <a:t>to</a:t>
          </a:r>
          <a:r>
            <a:rPr kumimoji="0" lang="en-GB" sz="1100" b="0" i="0" u="none" strike="noStrike" kern="0" cap="none" spc="0" normalizeH="0" baseline="0" noProof="0">
              <a:ln>
                <a:noFill/>
              </a:ln>
              <a:solidFill>
                <a:sysClr val="windowText" lastClr="000000"/>
              </a:solidFill>
              <a:effectLst/>
              <a:uLnTx/>
              <a:uFillTx/>
              <a:latin typeface="+mn-lt"/>
              <a:ea typeface="+mn-ea"/>
              <a:cs typeface="+mn-cs"/>
            </a:rPr>
            <a:t> </a:t>
          </a:r>
          <a:r>
            <a:rPr kumimoji="0" lang="en-GB" sz="1100" b="0" i="0" u="none" strike="noStrike" kern="0" cap="none" spc="0" normalizeH="0" baseline="0" noProof="0">
              <a:ln>
                <a:noFill/>
              </a:ln>
              <a:solidFill>
                <a:srgbClr val="FF0000"/>
              </a:solidFill>
              <a:effectLst/>
              <a:uLnTx/>
              <a:uFillTx/>
              <a:latin typeface="+mn-lt"/>
              <a:ea typeface="+mn-ea"/>
              <a:cs typeface="+mn-cs"/>
            </a:rPr>
            <a:t>Red </a:t>
          </a:r>
          <a:r>
            <a:rPr kumimoji="0" lang="en-GB" sz="1100" b="0" i="0" u="none" strike="noStrike" kern="0" cap="none" spc="0" normalizeH="0" baseline="0" noProof="0">
              <a:ln>
                <a:noFill/>
              </a:ln>
              <a:solidFill>
                <a:sysClr val="windowText" lastClr="000000"/>
              </a:solidFill>
              <a:effectLst/>
              <a:uLnTx/>
              <a:uFillTx/>
              <a:latin typeface="+mn-lt"/>
              <a:ea typeface="+mn-ea"/>
              <a:cs typeface="+mn-cs"/>
            </a:rPr>
            <a:t>this period. </a:t>
          </a:r>
          <a:r>
            <a:rPr lang="en-GB" sz="1100" b="0" i="0">
              <a:solidFill>
                <a:sysClr val="windowText" lastClr="000000"/>
              </a:solidFill>
              <a:effectLst/>
              <a:latin typeface="+mn-lt"/>
              <a:ea typeface="+mn-ea"/>
              <a:cs typeface="+mn-cs"/>
            </a:rPr>
            <a:t>The P50 cost and schedule remains within P50 sanction, however, the overall end date has exceeded the Baseline March 2025 date as Change Control Request (CCR)'s were not implemented on previously approved Business Cases recognising this is a portfolio of smaller tasks. </a:t>
          </a:r>
        </a:p>
        <a:p>
          <a:pPr marL="0" marR="0" lvl="0" indent="0" defTabSz="914400" rtl="0" eaLnBrk="1" fontAlgn="auto" latinLnBrk="0" hangingPunct="1">
            <a:lnSpc>
              <a:spcPct val="100000"/>
            </a:lnSpc>
            <a:spcBef>
              <a:spcPts val="0"/>
            </a:spcBef>
            <a:spcAft>
              <a:spcPts val="0"/>
            </a:spcAft>
            <a:buClrTx/>
            <a:buSzTx/>
            <a:buFontTx/>
            <a:buNone/>
            <a:tabLst/>
            <a:defRPr/>
          </a:pPr>
          <a:endParaRPr lang="en-GB" sz="1100" b="0" i="0">
            <a:solidFill>
              <a:sysClr val="windowText" lastClr="000000"/>
            </a:solidFill>
            <a:effectLst/>
            <a:latin typeface="+mn-lt"/>
            <a:ea typeface="+mn-ea"/>
            <a:cs typeface="+mn-cs"/>
          </a:endParaRPr>
        </a:p>
        <a:p>
          <a:pPr rtl="0" eaLnBrk="1" latinLnBrk="0" hangingPunct="1"/>
          <a:r>
            <a:rPr lang="en-GB" b="1" baseline="0">
              <a:solidFill>
                <a:sysClr val="windowText" lastClr="000000"/>
              </a:solidFill>
              <a:effectLst/>
            </a:rPr>
            <a:t>1 </a:t>
          </a:r>
          <a:r>
            <a:rPr lang="en-GB" b="1">
              <a:solidFill>
                <a:sysClr val="windowText" lastClr="000000"/>
              </a:solidFill>
              <a:effectLst/>
            </a:rPr>
            <a:t>change to Capability</a:t>
          </a:r>
          <a:r>
            <a:rPr lang="en-GB" b="1" baseline="0">
              <a:solidFill>
                <a:sysClr val="windowText" lastClr="000000"/>
              </a:solidFill>
              <a:effectLst/>
            </a:rPr>
            <a:t> and Capacity RAG:</a:t>
          </a:r>
        </a:p>
        <a:p>
          <a:r>
            <a:rPr lang="en-GB" sz="1100" b="1" i="0" u="none" strike="noStrike">
              <a:solidFill>
                <a:schemeClr val="dk1"/>
              </a:solidFill>
              <a:effectLst/>
              <a:latin typeface="+mn-lt"/>
              <a:ea typeface="+mn-ea"/>
              <a:cs typeface="+mn-cs"/>
            </a:rPr>
            <a:t>EMRMS (Emergency Management Radiological Monitoring System): </a:t>
          </a:r>
          <a:r>
            <a:rPr kumimoji="0" lang="en-GB" sz="1100" b="0" i="0" u="none" strike="noStrike" kern="0" cap="none" spc="0" normalizeH="0" baseline="0" noProof="0">
              <a:ln>
                <a:noFill/>
              </a:ln>
              <a:solidFill>
                <a:prstClr val="black"/>
              </a:solidFill>
              <a:effectLst/>
              <a:uLnTx/>
              <a:uFillTx/>
              <a:latin typeface="+mn-lt"/>
              <a:ea typeface="+mn-ea"/>
              <a:cs typeface="+mn-cs"/>
            </a:rPr>
            <a:t>RAG has moved from </a:t>
          </a:r>
          <a:r>
            <a:rPr kumimoji="0" lang="en-GB" sz="1100" b="0" i="0" u="none" strike="noStrike" kern="0" cap="none" spc="0" normalizeH="0" baseline="0" noProof="0">
              <a:ln>
                <a:noFill/>
              </a:ln>
              <a:solidFill>
                <a:srgbClr val="00B050"/>
              </a:solidFill>
              <a:effectLst/>
              <a:uLnTx/>
              <a:uFillTx/>
              <a:latin typeface="+mn-lt"/>
              <a:ea typeface="+mn-ea"/>
              <a:cs typeface="+mn-cs"/>
            </a:rPr>
            <a:t>Green</a:t>
          </a:r>
          <a:r>
            <a:rPr kumimoji="0" lang="en-GB" sz="1100" b="0" i="0" u="none" strike="noStrike" kern="0" cap="none" spc="0" normalizeH="0" baseline="0" noProof="0">
              <a:ln>
                <a:noFill/>
              </a:ln>
              <a:solidFill>
                <a:prstClr val="black"/>
              </a:solidFill>
              <a:effectLst/>
              <a:uLnTx/>
              <a:uFillTx/>
              <a:latin typeface="+mn-lt"/>
              <a:ea typeface="+mn-ea"/>
              <a:cs typeface="+mn-cs"/>
            </a:rPr>
            <a:t> to </a:t>
          </a:r>
          <a:r>
            <a:rPr kumimoji="0" lang="en-GB" sz="1100" b="0" i="0" u="none" strike="noStrike" kern="0" cap="none" spc="0" normalizeH="0" baseline="0" noProof="0">
              <a:ln>
                <a:noFill/>
              </a:ln>
              <a:solidFill>
                <a:srgbClr val="FFC000"/>
              </a:solidFill>
              <a:effectLst/>
              <a:uLnTx/>
              <a:uFillTx/>
              <a:latin typeface="+mn-lt"/>
              <a:ea typeface="+mn-ea"/>
              <a:cs typeface="+mn-cs"/>
            </a:rPr>
            <a:t>Amber</a:t>
          </a:r>
          <a:r>
            <a:rPr kumimoji="0" lang="en-GB" sz="1100" b="0" i="0" u="none" strike="noStrike" kern="0" cap="none" spc="0" normalizeH="0" baseline="0" noProof="0">
              <a:ln>
                <a:noFill/>
              </a:ln>
              <a:solidFill>
                <a:sysClr val="windowText" lastClr="000000"/>
              </a:solidFill>
              <a:effectLst/>
              <a:uLnTx/>
              <a:uFillTx/>
              <a:latin typeface="+mn-lt"/>
              <a:ea typeface="+mn-ea"/>
              <a:cs typeface="+mn-cs"/>
            </a:rPr>
            <a:t> due to </a:t>
          </a:r>
          <a:r>
            <a:rPr lang="en-GB" sz="1100" b="0" i="0">
              <a:solidFill>
                <a:schemeClr val="dk1"/>
              </a:solidFill>
              <a:effectLst/>
              <a:latin typeface="+mn-lt"/>
              <a:ea typeface="+mn-ea"/>
              <a:cs typeface="+mn-cs"/>
            </a:rPr>
            <a:t>Sellafield Project Execution Review (</a:t>
          </a:r>
          <a:r>
            <a:rPr kumimoji="0" lang="en-GB" sz="1100" b="0" i="0" u="none" strike="noStrike" kern="0" cap="none" spc="0" normalizeH="0" baseline="0" noProof="0">
              <a:ln>
                <a:noFill/>
              </a:ln>
              <a:solidFill>
                <a:sysClr val="windowText" lastClr="000000"/>
              </a:solidFill>
              <a:effectLst/>
              <a:uLnTx/>
              <a:uFillTx/>
              <a:latin typeface="+mn-lt"/>
              <a:ea typeface="+mn-ea"/>
              <a:cs typeface="+mn-cs"/>
            </a:rPr>
            <a:t>SPER) resource availability and the Project Functional Spec (PFS) maturity.</a:t>
          </a:r>
          <a:endParaRPr lang="en-GB" sz="1100" b="1" i="0" u="none" strike="noStrike">
            <a:solidFill>
              <a:schemeClr val="dk1"/>
            </a:solidFill>
            <a:effectLst/>
            <a:latin typeface="+mn-lt"/>
            <a:ea typeface="+mn-ea"/>
            <a:cs typeface="+mn-cs"/>
          </a:endParaRPr>
        </a:p>
        <a:p>
          <a:endParaRPr lang="en-GB" sz="1100" b="1" u="sng">
            <a:solidFill>
              <a:sysClr val="windowText" lastClr="000000"/>
            </a:solidFill>
            <a:effectLst/>
            <a:latin typeface="+mn-lt"/>
            <a:ea typeface="+mn-ea"/>
            <a:cs typeface="+mn-cs"/>
          </a:endParaRPr>
        </a:p>
        <a:p>
          <a:r>
            <a:rPr lang="en-GB" sz="1100" b="1" u="sng">
              <a:solidFill>
                <a:sysClr val="windowText" lastClr="000000"/>
              </a:solidFill>
              <a:effectLst/>
              <a:latin typeface="+mn-lt"/>
              <a:ea typeface="+mn-ea"/>
              <a:cs typeface="+mn-cs"/>
            </a:rPr>
            <a:t>Lifecycle Movement:</a:t>
          </a:r>
        </a:p>
        <a:p>
          <a:r>
            <a:rPr lang="en-GB" sz="1100" b="1" u="sng">
              <a:solidFill>
                <a:srgbClr val="FF0000"/>
              </a:solidFill>
              <a:effectLst/>
              <a:latin typeface="+mn-lt"/>
              <a:ea typeface="+mn-ea"/>
              <a:cs typeface="+mn-cs"/>
            </a:rPr>
            <a:t> </a:t>
          </a:r>
          <a:endParaRPr lang="en-GB" sz="1100">
            <a:solidFill>
              <a:srgbClr val="FF0000"/>
            </a:solidFill>
            <a:effectLst/>
            <a:latin typeface="+mn-lt"/>
            <a:ea typeface="+mn-ea"/>
            <a:cs typeface="+mn-cs"/>
          </a:endParaRPr>
        </a:p>
        <a:p>
          <a:r>
            <a:rPr lang="en-GB" sz="1100" b="1">
              <a:solidFill>
                <a:sysClr val="windowText" lastClr="000000"/>
              </a:solidFill>
              <a:effectLst/>
              <a:latin typeface="+mn-lt"/>
              <a:ea typeface="+mn-ea"/>
              <a:cs typeface="+mn-cs"/>
            </a:rPr>
            <a:t>Forecast end date movements:</a:t>
          </a:r>
        </a:p>
        <a:p>
          <a:pPr marL="0" indent="0"/>
          <a:r>
            <a:rPr lang="en-GB" sz="1100" b="1">
              <a:solidFill>
                <a:sysClr val="windowText" lastClr="000000"/>
              </a:solidFill>
              <a:effectLst/>
              <a:latin typeface="+mn-lt"/>
              <a:ea typeface="+mn-ea"/>
              <a:cs typeface="+mn-cs"/>
            </a:rPr>
            <a:t>CNC Operational Unit (99 days) </a:t>
          </a:r>
          <a:r>
            <a:rPr lang="en-GB" sz="1100">
              <a:solidFill>
                <a:schemeClr val="dk1"/>
              </a:solidFill>
              <a:effectLst/>
              <a:latin typeface="+mn-lt"/>
              <a:ea typeface="+mn-ea"/>
              <a:cs typeface="+mn-cs"/>
            </a:rPr>
            <a:t>– As reported last period, CNSL were still undertaking commissioning workshops to resequence the planned works and decouple the Level 1 Board commissioning from the critical path. The output of these workshops has been bought into by CNSL executives and was presented to SL in P9 reporting. The impact of this resequencing, in addition to the industrial action</a:t>
          </a:r>
          <a:r>
            <a:rPr lang="en-GB" sz="1100" baseline="0">
              <a:solidFill>
                <a:schemeClr val="dk1"/>
              </a:solidFill>
              <a:effectLst/>
              <a:latin typeface="+mn-lt"/>
              <a:ea typeface="+mn-ea"/>
              <a:cs typeface="+mn-cs"/>
            </a:rPr>
            <a:t> </a:t>
          </a:r>
          <a:r>
            <a:rPr lang="en-GB" sz="1100">
              <a:solidFill>
                <a:schemeClr val="dk1"/>
              </a:solidFill>
              <a:effectLst/>
              <a:latin typeface="+mn-lt"/>
              <a:ea typeface="+mn-ea"/>
              <a:cs typeface="+mn-cs"/>
            </a:rPr>
            <a:t>impact to date, the loss of opportunity of weekend working and the rework associated with the Level 1 boards, has seen the SL project end date move from 20th April 2026 to the 28th July 2026.</a:t>
          </a:r>
        </a:p>
        <a:p>
          <a:pPr marL="0" indent="0"/>
          <a:r>
            <a:rPr lang="en-GB" sz="1100" b="1">
              <a:solidFill>
                <a:sysClr val="windowText" lastClr="000000"/>
              </a:solidFill>
              <a:effectLst/>
              <a:latin typeface="+mn-lt"/>
              <a:ea typeface="+mn-ea"/>
              <a:cs typeface="+mn-cs"/>
            </a:rPr>
            <a:t>Box Encapsulation Plant (20 days) </a:t>
          </a:r>
          <a:r>
            <a:rPr lang="en-GB" sz="1100">
              <a:solidFill>
                <a:schemeClr val="dk1"/>
              </a:solidFill>
              <a:effectLst/>
              <a:latin typeface="+mn-lt"/>
              <a:ea typeface="+mn-ea"/>
              <a:cs typeface="+mn-cs"/>
            </a:rPr>
            <a:t>– The project continues to be impacted by industrial action in the supply chain resulting in productivity losses, key skills unavailable, and constraints on work scope delivery. </a:t>
          </a:r>
          <a:endParaRPr lang="en-GB" sz="1100" b="1">
            <a:solidFill>
              <a:sysClr val="windowText" lastClr="000000"/>
            </a:solidFill>
            <a:effectLst/>
            <a:latin typeface="+mn-lt"/>
            <a:ea typeface="+mn-ea"/>
            <a:cs typeface="+mn-cs"/>
          </a:endParaRPr>
        </a:p>
        <a:p>
          <a:r>
            <a:rPr lang="en-GB" sz="1100" b="1">
              <a:solidFill>
                <a:schemeClr val="dk1"/>
              </a:solidFill>
              <a:effectLst/>
              <a:latin typeface="+mn-lt"/>
              <a:ea typeface="+mn-ea"/>
              <a:cs typeface="+mn-cs"/>
            </a:rPr>
            <a:t>THORP Receipt &amp; Storage Control Systems Replacement (751 days) </a:t>
          </a:r>
          <a:r>
            <a:rPr lang="en-GB" sz="1100">
              <a:solidFill>
                <a:schemeClr val="dk1"/>
              </a:solidFill>
              <a:effectLst/>
              <a:latin typeface="+mn-lt"/>
              <a:ea typeface="+mn-ea"/>
              <a:cs typeface="+mn-cs"/>
            </a:rPr>
            <a:t>– In period, a close out strategy has been agreed for the remaining scope</a:t>
          </a:r>
          <a:r>
            <a:rPr lang="en-GB" sz="1100" baseline="0">
              <a:solidFill>
                <a:schemeClr val="dk1"/>
              </a:solidFill>
              <a:effectLst/>
              <a:latin typeface="+mn-lt"/>
              <a:ea typeface="+mn-ea"/>
              <a:cs typeface="+mn-cs"/>
            </a:rPr>
            <a:t> </a:t>
          </a:r>
          <a:r>
            <a:rPr lang="en-GB" sz="1100">
              <a:solidFill>
                <a:schemeClr val="dk1"/>
              </a:solidFill>
              <a:effectLst/>
              <a:latin typeface="+mn-lt"/>
              <a:ea typeface="+mn-ea"/>
              <a:cs typeface="+mn-cs"/>
            </a:rPr>
            <a:t>between the Head of Projects and Head of Operating Unit (OU). The project forecast cost has significantly reduced this period, reflecting the scope which has stopped with immediate effect, also impacting schedule. </a:t>
          </a:r>
        </a:p>
        <a:p>
          <a:r>
            <a:rPr lang="en-GB" sz="1100" b="1">
              <a:solidFill>
                <a:schemeClr val="dk1"/>
              </a:solidFill>
              <a:effectLst/>
              <a:latin typeface="+mn-lt"/>
              <a:ea typeface="+mn-ea"/>
              <a:cs typeface="+mn-cs"/>
            </a:rPr>
            <a:t>FGFL Ventilation Extract System Upgrade (-79 days) </a:t>
          </a:r>
          <a:r>
            <a:rPr lang="en-GB" sz="1100">
              <a:solidFill>
                <a:schemeClr val="dk1"/>
              </a:solidFill>
              <a:effectLst/>
              <a:latin typeface="+mn-lt"/>
              <a:ea typeface="+mn-ea"/>
              <a:cs typeface="+mn-cs"/>
            </a:rPr>
            <a:t>– The forecast end date has been updated to align with the CCR, resulting in a 79 day improvement.</a:t>
          </a:r>
          <a:endParaRPr lang="en-GB" sz="1100" b="1">
            <a:solidFill>
              <a:srgbClr val="C00000"/>
            </a:solidFill>
            <a:effectLst/>
            <a:latin typeface="+mn-lt"/>
            <a:ea typeface="+mn-ea"/>
            <a:cs typeface="+mn-cs"/>
          </a:endParaRPr>
        </a:p>
        <a:p>
          <a:r>
            <a:rPr lang="en-GB" sz="1100" b="1">
              <a:solidFill>
                <a:sysClr val="windowText" lastClr="000000"/>
              </a:solidFill>
              <a:effectLst/>
              <a:latin typeface="+mn-lt"/>
              <a:ea typeface="+mn-ea"/>
              <a:cs typeface="+mn-cs"/>
            </a:rPr>
            <a:t>Product Zone Power Supply (125 Days) </a:t>
          </a:r>
          <a:r>
            <a:rPr lang="en-GB" sz="1100">
              <a:solidFill>
                <a:schemeClr val="dk1"/>
              </a:solidFill>
              <a:effectLst/>
              <a:latin typeface="+mn-lt"/>
              <a:ea typeface="+mn-ea"/>
              <a:cs typeface="+mn-cs"/>
            </a:rPr>
            <a:t>–</a:t>
          </a:r>
          <a:r>
            <a:rPr lang="en-GB" sz="1100" b="1">
              <a:solidFill>
                <a:sysClr val="windowText" lastClr="000000"/>
              </a:solidFill>
              <a:effectLst/>
              <a:latin typeface="+mn-lt"/>
              <a:ea typeface="+mn-ea"/>
              <a:cs typeface="+mn-cs"/>
            </a:rPr>
            <a:t> </a:t>
          </a:r>
          <a:r>
            <a:rPr lang="en-GB" sz="1100" b="0">
              <a:solidFill>
                <a:sysClr val="windowText" lastClr="000000"/>
              </a:solidFill>
              <a:effectLst/>
              <a:latin typeface="+mn-lt"/>
              <a:ea typeface="+mn-ea"/>
              <a:cs typeface="+mn-cs"/>
            </a:rPr>
            <a:t>The P50 completion cost &amp; schedule has been aligned to the revised baseline values / dates in period  following the implementation of the CCR that has transferred the Substation 48 scope from this project to 35/10653 Product Zone Power Supply (Note the name change of the existing project also from PZPSP to Sub 78 (name change on this report will be in effect from pd10).</a:t>
          </a:r>
        </a:p>
        <a:p>
          <a:r>
            <a:rPr lang="en-GB" sz="1100" b="1">
              <a:solidFill>
                <a:sysClr val="windowText" lastClr="000000"/>
              </a:solidFill>
              <a:effectLst/>
              <a:latin typeface="+mn-lt"/>
              <a:ea typeface="+mn-ea"/>
              <a:cs typeface="+mn-cs"/>
            </a:rPr>
            <a:t>SEP Solid Waste Storage Retrievals (99 Days) </a:t>
          </a:r>
          <a:r>
            <a:rPr lang="en-GB" sz="1100">
              <a:solidFill>
                <a:schemeClr val="dk1"/>
              </a:solidFill>
              <a:effectLst/>
              <a:latin typeface="+mn-lt"/>
              <a:ea typeface="+mn-ea"/>
              <a:cs typeface="+mn-cs"/>
            </a:rPr>
            <a:t>–</a:t>
          </a:r>
          <a:r>
            <a:rPr lang="en-GB" sz="1100" b="1">
              <a:solidFill>
                <a:sysClr val="windowText" lastClr="000000"/>
              </a:solidFill>
              <a:effectLst/>
              <a:latin typeface="+mn-lt"/>
              <a:ea typeface="+mn-ea"/>
              <a:cs typeface="+mn-cs"/>
            </a:rPr>
            <a:t> </a:t>
          </a:r>
          <a:r>
            <a:rPr lang="en-GB" sz="1100" b="0">
              <a:solidFill>
                <a:sysClr val="windowText" lastClr="000000"/>
              </a:solidFill>
              <a:effectLst/>
              <a:latin typeface="+mn-lt"/>
              <a:ea typeface="+mn-ea"/>
              <a:cs typeface="+mn-cs"/>
            </a:rPr>
            <a:t>This period, SEP2 close out made some positive progress, however the SEP1 and Vent elements of the project achieved limited progress as work was halted by strike action and water ingress issues respectively. This has resulted in the planned first SEP1 skip out date moving to May 2028, and the subsequent deterioration of the project end date to May 2029 challenges the lifecycle cost to remain within P80 values, although the integrated team are working to recover this date.</a:t>
          </a:r>
        </a:p>
        <a:p>
          <a:r>
            <a:rPr lang="en-GB" sz="1100" b="1">
              <a:solidFill>
                <a:sysClr val="windowText" lastClr="000000"/>
              </a:solidFill>
              <a:effectLst/>
              <a:latin typeface="+mn-lt"/>
              <a:ea typeface="+mn-ea"/>
              <a:cs typeface="+mn-cs"/>
            </a:rPr>
            <a:t>Effluent Distribution Asset Improvement (17 Days) </a:t>
          </a:r>
          <a:r>
            <a:rPr lang="en-GB" sz="1100">
              <a:solidFill>
                <a:schemeClr val="dk1"/>
              </a:solidFill>
              <a:effectLst/>
              <a:latin typeface="+mn-lt"/>
              <a:ea typeface="+mn-ea"/>
              <a:cs typeface="+mn-cs"/>
            </a:rPr>
            <a:t>–</a:t>
          </a:r>
          <a:r>
            <a:rPr lang="en-GB" sz="1100" b="1">
              <a:solidFill>
                <a:sysClr val="windowText" lastClr="000000"/>
              </a:solidFill>
              <a:effectLst/>
              <a:latin typeface="+mn-lt"/>
              <a:ea typeface="+mn-ea"/>
              <a:cs typeface="+mn-cs"/>
            </a:rPr>
            <a:t> </a:t>
          </a:r>
          <a:r>
            <a:rPr lang="en-GB" sz="1100" b="0">
              <a:solidFill>
                <a:sysClr val="windowText" lastClr="000000"/>
              </a:solidFill>
              <a:effectLst/>
              <a:latin typeface="+mn-lt"/>
              <a:ea typeface="+mn-ea"/>
              <a:cs typeface="+mn-cs"/>
            </a:rPr>
            <a:t>This period, there has</a:t>
          </a:r>
          <a:r>
            <a:rPr lang="en-GB" sz="1100" b="0" baseline="0">
              <a:solidFill>
                <a:sysClr val="windowText" lastClr="000000"/>
              </a:solidFill>
              <a:effectLst/>
              <a:latin typeface="+mn-lt"/>
              <a:ea typeface="+mn-ea"/>
              <a:cs typeface="+mn-cs"/>
            </a:rPr>
            <a:t> been a </a:t>
          </a:r>
          <a:r>
            <a:rPr lang="en-GB" sz="1100" b="0">
              <a:solidFill>
                <a:sysClr val="windowText" lastClr="000000"/>
              </a:solidFill>
              <a:effectLst/>
              <a:latin typeface="+mn-lt"/>
              <a:ea typeface="+mn-ea"/>
              <a:cs typeface="+mn-cs"/>
            </a:rPr>
            <a:t>slippage of 17 days resulting in a forecast mid-September 2027 which is outside of the P50. This has been due to the Effluent Distribution Tanks (EDT) Plant configuration not being understood by operations &amp; maintenance to enable the isolation of Critical Safety Equipment, which is preventing the installation of a 4-pole isolator (critical path). </a:t>
          </a:r>
        </a:p>
        <a:p>
          <a:r>
            <a:rPr lang="en-GB" sz="1100" b="1">
              <a:solidFill>
                <a:sysClr val="windowText" lastClr="000000"/>
              </a:solidFill>
              <a:effectLst/>
              <a:latin typeface="+mn-lt"/>
              <a:ea typeface="+mn-ea"/>
              <a:cs typeface="+mn-cs"/>
            </a:rPr>
            <a:t>MSSS Electrical Distribution Upgrade for Retrievals (-5 Days) </a:t>
          </a:r>
          <a:r>
            <a:rPr lang="en-GB" sz="1100">
              <a:solidFill>
                <a:schemeClr val="dk1"/>
              </a:solidFill>
              <a:effectLst/>
              <a:latin typeface="+mn-lt"/>
              <a:ea typeface="+mn-ea"/>
              <a:cs typeface="+mn-cs"/>
            </a:rPr>
            <a:t>–</a:t>
          </a:r>
          <a:r>
            <a:rPr lang="en-GB" sz="1100" b="1">
              <a:solidFill>
                <a:sysClr val="windowText" lastClr="000000"/>
              </a:solidFill>
              <a:effectLst/>
              <a:latin typeface="+mn-lt"/>
              <a:ea typeface="+mn-ea"/>
              <a:cs typeface="+mn-cs"/>
            </a:rPr>
            <a:t> </a:t>
          </a:r>
          <a:r>
            <a:rPr lang="en-GB" i="0"/>
            <a:t>Minimal improvement in date this period. Many of the remaining load transfers require outages and are now aligned with the programme integrated schedule to minimise disruption to plant</a:t>
          </a:r>
          <a:r>
            <a:rPr lang="en-GB" i="1"/>
            <a:t>.</a:t>
          </a:r>
          <a:endParaRPr lang="en-GB" sz="1100" b="1">
            <a:solidFill>
              <a:sysClr val="windowText" lastClr="000000"/>
            </a:solidFill>
            <a:effectLst/>
            <a:latin typeface="+mn-lt"/>
            <a:ea typeface="+mn-ea"/>
            <a:cs typeface="+mn-cs"/>
          </a:endParaRPr>
        </a:p>
        <a:p>
          <a:endParaRPr lang="en-GB" sz="1100" b="1">
            <a:solidFill>
              <a:sysClr val="windowText" lastClr="000000"/>
            </a:solidFill>
            <a:effectLst/>
            <a:latin typeface="+mn-lt"/>
            <a:ea typeface="+mn-ea"/>
            <a:cs typeface="+mn-cs"/>
          </a:endParaRPr>
        </a:p>
        <a:p>
          <a:r>
            <a:rPr lang="en-GB" sz="1100" b="1">
              <a:solidFill>
                <a:sysClr val="windowText" lastClr="000000"/>
              </a:solidFill>
              <a:effectLst/>
              <a:latin typeface="+mn-lt"/>
              <a:ea typeface="+mn-ea"/>
              <a:cs typeface="+mn-cs"/>
            </a:rPr>
            <a:t>Estimate at Completion (EAC) changes (all values in £m): </a:t>
          </a:r>
        </a:p>
        <a:p>
          <a:pPr marL="0" marR="0" lvl="0" indent="0" defTabSz="914400" eaLnBrk="1" fontAlgn="auto" latinLnBrk="0" hangingPunct="1">
            <a:lnSpc>
              <a:spcPct val="100000"/>
            </a:lnSpc>
            <a:spcBef>
              <a:spcPts val="0"/>
            </a:spcBef>
            <a:spcAft>
              <a:spcPts val="0"/>
            </a:spcAft>
            <a:buClrTx/>
            <a:buSzTx/>
            <a:buFontTx/>
            <a:buNone/>
            <a:tabLst/>
            <a:defRPr/>
          </a:pPr>
          <a:r>
            <a:rPr lang="en-GB" sz="1100" b="1">
              <a:solidFill>
                <a:schemeClr val="dk1"/>
              </a:solidFill>
              <a:effectLst/>
              <a:latin typeface="+mn-lt"/>
              <a:ea typeface="+mn-ea"/>
              <a:cs typeface="+mn-cs"/>
            </a:rPr>
            <a:t>Product Zone Power Supply (-14m) </a:t>
          </a:r>
          <a:r>
            <a:rPr lang="en-GB" sz="1100">
              <a:solidFill>
                <a:schemeClr val="dk1"/>
              </a:solidFill>
              <a:effectLst/>
              <a:latin typeface="+mn-lt"/>
              <a:ea typeface="+mn-ea"/>
              <a:cs typeface="+mn-cs"/>
            </a:rPr>
            <a:t>–</a:t>
          </a:r>
          <a:r>
            <a:rPr lang="en-GB" sz="1100" b="1">
              <a:solidFill>
                <a:schemeClr val="dk1"/>
              </a:solidFill>
              <a:effectLst/>
              <a:latin typeface="+mn-lt"/>
              <a:ea typeface="+mn-ea"/>
              <a:cs typeface="+mn-cs"/>
            </a:rPr>
            <a:t> </a:t>
          </a:r>
          <a:r>
            <a:rPr lang="en-GB" sz="1100" b="0">
              <a:solidFill>
                <a:schemeClr val="dk1"/>
              </a:solidFill>
              <a:effectLst/>
              <a:latin typeface="+mn-lt"/>
              <a:ea typeface="+mn-ea"/>
              <a:cs typeface="+mn-cs"/>
            </a:rPr>
            <a:t>The P50 completion cost &amp; schedule has been aligned to the revised baseline values / dates in period  following the implementation of the CCR that has transferred the Substation 48 scope from this project to 35/10653 Product Zone Power Supply (Note the name change of the existing project also from PZPSP to Sub 78 (name change on this report will be in effect from pd10).</a:t>
          </a:r>
          <a:endParaRPr lang="en-GB">
            <a:effectLst/>
          </a:endParaRPr>
        </a:p>
        <a:p>
          <a:r>
            <a:rPr lang="en-GB" sz="1100" b="1">
              <a:solidFill>
                <a:schemeClr val="dk1"/>
              </a:solidFill>
              <a:effectLst/>
              <a:latin typeface="+mn-lt"/>
              <a:ea typeface="+mn-ea"/>
              <a:cs typeface="+mn-cs"/>
            </a:rPr>
            <a:t>CNC Operational Unit (0.6)</a:t>
          </a:r>
          <a:r>
            <a:rPr lang="en-GB" sz="1100" b="1" baseline="0">
              <a:solidFill>
                <a:schemeClr val="dk1"/>
              </a:solidFill>
              <a:effectLst/>
              <a:latin typeface="+mn-lt"/>
              <a:ea typeface="+mn-ea"/>
              <a:cs typeface="+mn-cs"/>
            </a:rPr>
            <a:t> </a:t>
          </a:r>
          <a:r>
            <a:rPr lang="en-GB" sz="1100">
              <a:solidFill>
                <a:schemeClr val="dk1"/>
              </a:solidFill>
              <a:effectLst/>
              <a:latin typeface="+mn-lt"/>
              <a:ea typeface="+mn-ea"/>
              <a:cs typeface="+mn-cs"/>
            </a:rPr>
            <a:t>–</a:t>
          </a:r>
          <a:r>
            <a:rPr lang="en-GB" sz="1100" b="1">
              <a:solidFill>
                <a:schemeClr val="dk1"/>
              </a:solidFill>
              <a:effectLst/>
              <a:latin typeface="+mn-lt"/>
              <a:ea typeface="+mn-ea"/>
              <a:cs typeface="+mn-cs"/>
            </a:rPr>
            <a:t> </a:t>
          </a:r>
          <a:r>
            <a:rPr lang="en-GB" sz="1100">
              <a:solidFill>
                <a:schemeClr val="dk1"/>
              </a:solidFill>
              <a:effectLst/>
              <a:latin typeface="+mn-lt"/>
              <a:ea typeface="+mn-ea"/>
              <a:cs typeface="+mn-cs"/>
            </a:rPr>
            <a:t>As reported last period, CNSL were still undertaking commissioning workshops to resequence the planned works and decouple the Level 1 Board commissioning from the critical path. The output of these workshops has been bought into by CNSL executives and was presented to SL in P9 reporting. The impact of this resequencing, in addition to the industrial action</a:t>
          </a:r>
          <a:r>
            <a:rPr lang="en-GB" sz="1100" baseline="0">
              <a:solidFill>
                <a:schemeClr val="dk1"/>
              </a:solidFill>
              <a:effectLst/>
              <a:latin typeface="+mn-lt"/>
              <a:ea typeface="+mn-ea"/>
              <a:cs typeface="+mn-cs"/>
            </a:rPr>
            <a:t> </a:t>
          </a:r>
          <a:r>
            <a:rPr lang="en-GB" sz="1100">
              <a:solidFill>
                <a:schemeClr val="dk1"/>
              </a:solidFill>
              <a:effectLst/>
              <a:latin typeface="+mn-lt"/>
              <a:ea typeface="+mn-ea"/>
              <a:cs typeface="+mn-cs"/>
            </a:rPr>
            <a:t>impact to date, the loss of opportunity of weekend working and the rework associated with the Level 1 boards, has seen the SL project end date move from 20th April 2026 to the 28th July 2026. The</a:t>
          </a:r>
          <a:r>
            <a:rPr lang="en-GB" sz="1100" baseline="0">
              <a:solidFill>
                <a:schemeClr val="dk1"/>
              </a:solidFill>
              <a:effectLst/>
              <a:latin typeface="+mn-lt"/>
              <a:ea typeface="+mn-ea"/>
              <a:cs typeface="+mn-cs"/>
            </a:rPr>
            <a:t> change in end date </a:t>
          </a:r>
          <a:r>
            <a:rPr lang="en-GB" sz="1100" b="0">
              <a:solidFill>
                <a:schemeClr val="dk1"/>
              </a:solidFill>
              <a:effectLst/>
              <a:latin typeface="+mn-lt"/>
              <a:ea typeface="+mn-ea"/>
              <a:cs typeface="+mn-cs"/>
            </a:rPr>
            <a:t>has also seen the EAC increase by £0.6m from £71.3m to £71.9m, this remains below the P50 value of £72.5m</a:t>
          </a:r>
          <a:endParaRPr lang="en-GB" sz="1100" b="0">
            <a:solidFill>
              <a:sysClr val="windowText" lastClr="000000"/>
            </a:solidFill>
            <a:effectLst/>
            <a:latin typeface="+mn-lt"/>
            <a:ea typeface="+mn-ea"/>
            <a:cs typeface="+mn-cs"/>
          </a:endParaRPr>
        </a:p>
        <a:p>
          <a:r>
            <a:rPr lang="en-GB" sz="1100" b="1">
              <a:solidFill>
                <a:sysClr val="windowText" lastClr="000000"/>
              </a:solidFill>
              <a:effectLst/>
              <a:latin typeface="+mn-lt"/>
              <a:ea typeface="+mn-ea"/>
              <a:cs typeface="+mn-cs"/>
            </a:rPr>
            <a:t>BEPPS2</a:t>
          </a:r>
          <a:r>
            <a:rPr lang="en-GB" sz="1100" b="1" baseline="0">
              <a:solidFill>
                <a:sysClr val="windowText" lastClr="000000"/>
              </a:solidFill>
              <a:effectLst/>
              <a:latin typeface="+mn-lt"/>
              <a:ea typeface="+mn-ea"/>
              <a:cs typeface="+mn-cs"/>
            </a:rPr>
            <a:t> (-3.1) </a:t>
          </a:r>
          <a:r>
            <a:rPr lang="en-GB" sz="1100">
              <a:solidFill>
                <a:schemeClr val="dk1"/>
              </a:solidFill>
              <a:effectLst/>
              <a:latin typeface="+mn-lt"/>
              <a:ea typeface="+mn-ea"/>
              <a:cs typeface="+mn-cs"/>
            </a:rPr>
            <a:t>–</a:t>
          </a:r>
          <a:r>
            <a:rPr lang="en-GB" sz="1100" b="1" baseline="0">
              <a:solidFill>
                <a:sysClr val="windowText" lastClr="000000"/>
              </a:solidFill>
              <a:effectLst/>
              <a:latin typeface="+mn-lt"/>
              <a:ea typeface="+mn-ea"/>
              <a:cs typeface="+mn-cs"/>
            </a:rPr>
            <a:t> </a:t>
          </a:r>
          <a:r>
            <a:rPr lang="en-GB" sz="1100" b="0" baseline="0">
              <a:solidFill>
                <a:sysClr val="windowText" lastClr="000000"/>
              </a:solidFill>
              <a:effectLst/>
              <a:latin typeface="+mn-lt"/>
              <a:ea typeface="+mn-ea"/>
              <a:cs typeface="+mn-cs"/>
            </a:rPr>
            <a:t>The reduction in Lifecycle EAC is an error in AIF forecasting that will be rectified next period.</a:t>
          </a:r>
        </a:p>
        <a:p>
          <a:r>
            <a:rPr lang="en-GB" sz="1100" b="1">
              <a:solidFill>
                <a:sysClr val="windowText" lastClr="000000"/>
              </a:solidFill>
              <a:effectLst/>
              <a:latin typeface="+mn-lt"/>
              <a:ea typeface="+mn-ea"/>
              <a:cs typeface="+mn-cs"/>
            </a:rPr>
            <a:t>ILW East Zone Phase 1 Land Excavation (0.4) </a:t>
          </a:r>
          <a:r>
            <a:rPr lang="en-GB" sz="1100">
              <a:solidFill>
                <a:schemeClr val="dk1"/>
              </a:solidFill>
              <a:effectLst/>
              <a:latin typeface="+mn-lt"/>
              <a:ea typeface="+mn-ea"/>
              <a:cs typeface="+mn-cs"/>
            </a:rPr>
            <a:t>–</a:t>
          </a:r>
          <a:r>
            <a:rPr lang="en-GB" sz="1100" b="1">
              <a:solidFill>
                <a:sysClr val="windowText" lastClr="000000"/>
              </a:solidFill>
              <a:effectLst/>
              <a:latin typeface="+mn-lt"/>
              <a:ea typeface="+mn-ea"/>
              <a:cs typeface="+mn-cs"/>
            </a:rPr>
            <a:t> </a:t>
          </a:r>
          <a:r>
            <a:rPr lang="en-GB" sz="1100" b="0">
              <a:solidFill>
                <a:sysClr val="windowText" lastClr="000000"/>
              </a:solidFill>
              <a:effectLst/>
              <a:latin typeface="+mn-lt"/>
              <a:ea typeface="+mn-ea"/>
              <a:cs typeface="+mn-cs"/>
            </a:rPr>
            <a:t>The project lifecycle EAC increase includes an initial assessment of the cost to deliver the 25/26 Phase 1B scope.</a:t>
          </a:r>
        </a:p>
        <a:p>
          <a:r>
            <a:rPr lang="en-GB" sz="1100" b="1">
              <a:solidFill>
                <a:sysClr val="windowText" lastClr="000000"/>
              </a:solidFill>
              <a:effectLst/>
              <a:latin typeface="+mn-lt"/>
              <a:ea typeface="+mn-ea"/>
              <a:cs typeface="+mn-cs"/>
            </a:rPr>
            <a:t>THORP Receipt &amp; Storage Control Systems Replacement (-10.3)</a:t>
          </a:r>
          <a:r>
            <a:rPr lang="en-GB" sz="1100" b="1" baseline="0">
              <a:solidFill>
                <a:sysClr val="windowText" lastClr="000000"/>
              </a:solidFill>
              <a:effectLst/>
              <a:latin typeface="+mn-lt"/>
              <a:ea typeface="+mn-ea"/>
              <a:cs typeface="+mn-cs"/>
            </a:rPr>
            <a:t> </a:t>
          </a:r>
          <a:r>
            <a:rPr lang="en-GB" sz="1100">
              <a:solidFill>
                <a:schemeClr val="dk1"/>
              </a:solidFill>
              <a:effectLst/>
              <a:latin typeface="+mn-lt"/>
              <a:ea typeface="+mn-ea"/>
              <a:cs typeface="+mn-cs"/>
            </a:rPr>
            <a:t>–</a:t>
          </a:r>
          <a:r>
            <a:rPr lang="en-GB" sz="1100" b="1" baseline="0">
              <a:solidFill>
                <a:sysClr val="windowText" lastClr="000000"/>
              </a:solidFill>
              <a:effectLst/>
              <a:latin typeface="+mn-lt"/>
              <a:ea typeface="+mn-ea"/>
              <a:cs typeface="+mn-cs"/>
            </a:rPr>
            <a:t> </a:t>
          </a:r>
          <a:r>
            <a:rPr lang="en-GB" sz="1100" b="0" baseline="0">
              <a:solidFill>
                <a:sysClr val="windowText" lastClr="000000"/>
              </a:solidFill>
              <a:effectLst/>
              <a:latin typeface="+mn-lt"/>
              <a:ea typeface="+mn-ea"/>
              <a:cs typeface="+mn-cs"/>
            </a:rPr>
            <a:t>The project forecast cost has significantly reduced this period, reflecting the scope which has stopped with immediate effect, also impacting schedule.</a:t>
          </a:r>
          <a:endParaRPr lang="en-GB" sz="1100" b="0">
            <a:solidFill>
              <a:sysClr val="windowText" lastClr="000000"/>
            </a:solidFill>
            <a:effectLst/>
            <a:latin typeface="+mn-lt"/>
            <a:ea typeface="+mn-ea"/>
            <a:cs typeface="+mn-cs"/>
          </a:endParaRPr>
        </a:p>
        <a:p>
          <a:r>
            <a:rPr lang="en-GB" sz="1100" b="1">
              <a:solidFill>
                <a:sysClr val="windowText" lastClr="000000"/>
              </a:solidFill>
              <a:effectLst/>
              <a:latin typeface="+mn-lt"/>
              <a:ea typeface="+mn-ea"/>
              <a:cs typeface="+mn-cs"/>
            </a:rPr>
            <a:t>EMRMS (Emergency Management Radiological Monitoring System) (-0.2)</a:t>
          </a:r>
          <a:r>
            <a:rPr lang="en-GB" sz="1100" b="1" baseline="0">
              <a:solidFill>
                <a:sysClr val="windowText" lastClr="000000"/>
              </a:solidFill>
              <a:effectLst/>
              <a:latin typeface="+mn-lt"/>
              <a:ea typeface="+mn-ea"/>
              <a:cs typeface="+mn-cs"/>
            </a:rPr>
            <a:t> </a:t>
          </a:r>
          <a:r>
            <a:rPr lang="en-GB" sz="1100">
              <a:solidFill>
                <a:schemeClr val="dk1"/>
              </a:solidFill>
              <a:effectLst/>
              <a:latin typeface="+mn-lt"/>
              <a:ea typeface="+mn-ea"/>
              <a:cs typeface="+mn-cs"/>
            </a:rPr>
            <a:t>–</a:t>
          </a:r>
          <a:r>
            <a:rPr lang="en-GB" sz="1100" b="1" baseline="0">
              <a:solidFill>
                <a:sysClr val="windowText" lastClr="000000"/>
              </a:solidFill>
              <a:effectLst/>
              <a:latin typeface="+mn-lt"/>
              <a:ea typeface="+mn-ea"/>
              <a:cs typeface="+mn-cs"/>
            </a:rPr>
            <a:t> </a:t>
          </a:r>
          <a:r>
            <a:rPr lang="en-GB" sz="1100" b="0" baseline="0">
              <a:solidFill>
                <a:sysClr val="windowText" lastClr="000000"/>
              </a:solidFill>
              <a:effectLst/>
              <a:latin typeface="+mn-lt"/>
              <a:ea typeface="+mn-ea"/>
              <a:cs typeface="+mn-cs"/>
            </a:rPr>
            <a:t>The team are aligning the EAC forecast with the P50 estimate to enable stable forecasting up to the next maturity point.</a:t>
          </a:r>
        </a:p>
        <a:p>
          <a:r>
            <a:rPr lang="en-GB" sz="1100" b="1">
              <a:solidFill>
                <a:schemeClr val="dk1"/>
              </a:solidFill>
              <a:effectLst/>
              <a:latin typeface="+mn-lt"/>
              <a:ea typeface="+mn-ea"/>
              <a:cs typeface="+mn-cs"/>
            </a:rPr>
            <a:t>FGFL Ventilation Extract System Upgrade (7.6)  </a:t>
          </a:r>
          <a:r>
            <a:rPr lang="en-GB" sz="1100">
              <a:solidFill>
                <a:schemeClr val="dk1"/>
              </a:solidFill>
              <a:effectLst/>
              <a:latin typeface="+mn-lt"/>
              <a:ea typeface="+mn-ea"/>
              <a:cs typeface="+mn-cs"/>
            </a:rPr>
            <a:t>–</a:t>
          </a:r>
          <a:r>
            <a:rPr lang="en-GB" sz="1100" b="1">
              <a:solidFill>
                <a:schemeClr val="dk1"/>
              </a:solidFill>
              <a:effectLst/>
              <a:latin typeface="+mn-lt"/>
              <a:ea typeface="+mn-ea"/>
              <a:cs typeface="+mn-cs"/>
            </a:rPr>
            <a:t> </a:t>
          </a:r>
          <a:r>
            <a:rPr lang="en-GB" sz="1100">
              <a:solidFill>
                <a:schemeClr val="dk1"/>
              </a:solidFill>
              <a:effectLst/>
              <a:latin typeface="+mn-lt"/>
              <a:ea typeface="+mn-ea"/>
              <a:cs typeface="+mn-cs"/>
            </a:rPr>
            <a:t>The Anticipated Forecast Cost (AFC) has been updated to align with the approved Outline Business Case (OBC) and implemented CCR.</a:t>
          </a:r>
          <a:endParaRPr lang="en-GB" sz="1100" b="1">
            <a:solidFill>
              <a:schemeClr val="dk1"/>
            </a:solidFill>
            <a:effectLst/>
            <a:latin typeface="+mn-lt"/>
            <a:ea typeface="+mn-ea"/>
            <a:cs typeface="+mn-cs"/>
          </a:endParaRPr>
        </a:p>
        <a:p>
          <a:r>
            <a:rPr lang="en-GB" sz="1100" b="1">
              <a:solidFill>
                <a:schemeClr val="dk1"/>
              </a:solidFill>
              <a:effectLst/>
              <a:latin typeface="+mn-lt"/>
              <a:ea typeface="+mn-ea"/>
              <a:cs typeface="+mn-cs"/>
            </a:rPr>
            <a:t>SEP Solid Waste Storage Retrievals (1.8)</a:t>
          </a:r>
          <a:r>
            <a:rPr lang="en-GB" sz="1100" b="1" baseline="0">
              <a:solidFill>
                <a:schemeClr val="dk1"/>
              </a:solidFill>
              <a:effectLst/>
              <a:latin typeface="+mn-lt"/>
              <a:ea typeface="+mn-ea"/>
              <a:cs typeface="+mn-cs"/>
            </a:rPr>
            <a:t> </a:t>
          </a:r>
          <a:r>
            <a:rPr lang="en-GB" sz="1100">
              <a:solidFill>
                <a:schemeClr val="dk1"/>
              </a:solidFill>
              <a:effectLst/>
              <a:latin typeface="+mn-lt"/>
              <a:ea typeface="+mn-ea"/>
              <a:cs typeface="+mn-cs"/>
            </a:rPr>
            <a:t>–</a:t>
          </a:r>
          <a:r>
            <a:rPr lang="en-GB" sz="1100" b="1">
              <a:solidFill>
                <a:schemeClr val="dk1"/>
              </a:solidFill>
              <a:effectLst/>
              <a:latin typeface="+mn-lt"/>
              <a:ea typeface="+mn-ea"/>
              <a:cs typeface="+mn-cs"/>
            </a:rPr>
            <a:t> </a:t>
          </a:r>
          <a:r>
            <a:rPr lang="en-GB" sz="1100" b="0" baseline="0">
              <a:solidFill>
                <a:schemeClr val="dk1"/>
              </a:solidFill>
              <a:effectLst/>
              <a:latin typeface="+mn-lt"/>
              <a:ea typeface="+mn-ea"/>
              <a:cs typeface="+mn-cs"/>
            </a:rPr>
            <a:t>This period, SEP2 close out made some positive progress, however the SEP1 and Vent elements of the project achieved limited progress as work was halted by strike action and water ingress issues respectively. This has resulted in the planned first SEP1 skip out date moving to May 2028, and the subsequent deterioration of the project end date to May 2029 challenges the lifecycle cost to remain within P80 values, although the integrated team are working to recover this date. The prolongation has also caused a £1.8m increase in the EAC to £889.7m.</a:t>
          </a:r>
        </a:p>
        <a:p>
          <a:r>
            <a:rPr lang="en-GB" sz="1100" b="1">
              <a:solidFill>
                <a:sysClr val="windowText" lastClr="000000"/>
              </a:solidFill>
              <a:effectLst/>
              <a:latin typeface="+mn-lt"/>
              <a:ea typeface="+mn-ea"/>
              <a:cs typeface="+mn-cs"/>
            </a:rPr>
            <a:t>Chimney Decommissioning Phase 2F (-10.1) </a:t>
          </a:r>
          <a:r>
            <a:rPr lang="en-GB" sz="1100">
              <a:solidFill>
                <a:schemeClr val="dk1"/>
              </a:solidFill>
              <a:effectLst/>
              <a:latin typeface="+mn-lt"/>
              <a:ea typeface="+mn-ea"/>
              <a:cs typeface="+mn-cs"/>
            </a:rPr>
            <a:t>–</a:t>
          </a:r>
          <a:r>
            <a:rPr lang="en-GB" sz="1100" b="1">
              <a:solidFill>
                <a:schemeClr val="dk1"/>
              </a:solidFill>
              <a:effectLst/>
              <a:latin typeface="+mn-lt"/>
              <a:ea typeface="+mn-ea"/>
              <a:cs typeface="+mn-cs"/>
            </a:rPr>
            <a:t> </a:t>
          </a:r>
          <a:r>
            <a:rPr lang="en-GB" sz="1100" b="0">
              <a:solidFill>
                <a:schemeClr val="dk1"/>
              </a:solidFill>
              <a:effectLst/>
              <a:latin typeface="+mn-lt"/>
              <a:ea typeface="+mn-ea"/>
              <a:cs typeface="+mn-cs"/>
            </a:rPr>
            <a:t>The reduction to the projects lifecycle Estimate At Completion (EAC) is as a result of a reporting error, the true lifecycle forecast is unchanged from the previous period and remains at £148.9m.</a:t>
          </a:r>
        </a:p>
        <a:p>
          <a:r>
            <a:rPr lang="en-GB" sz="1100" b="1">
              <a:solidFill>
                <a:sysClr val="windowText" lastClr="000000"/>
              </a:solidFill>
              <a:effectLst/>
              <a:latin typeface="+mn-lt"/>
              <a:ea typeface="+mn-ea"/>
              <a:cs typeface="+mn-cs"/>
            </a:rPr>
            <a:t>Sellafield Security Enhancement Programme (SSEP) (0.6) </a:t>
          </a:r>
          <a:r>
            <a:rPr lang="en-GB" sz="1100">
              <a:solidFill>
                <a:schemeClr val="dk1"/>
              </a:solidFill>
              <a:effectLst/>
              <a:latin typeface="+mn-lt"/>
              <a:ea typeface="+mn-ea"/>
              <a:cs typeface="+mn-cs"/>
            </a:rPr>
            <a:t>– The programme lifecycle EAC has increased by £0.6m this period due to prolongation on the CNCOU project, as in period the contractor have completed commissioning resequencing workshops due to the previously reported gland issues and strike action compounded by the union imposed weekend working overtime ban, and the output of the workshops has moved the forecast end date.</a:t>
          </a:r>
        </a:p>
        <a:p>
          <a:endParaRPr lang="en-GB" sz="1100" b="1">
            <a:solidFill>
              <a:sysClr val="windowText" lastClr="000000"/>
            </a:solidFill>
            <a:effectLst/>
            <a:latin typeface="+mn-lt"/>
            <a:ea typeface="+mn-ea"/>
            <a:cs typeface="+mn-cs"/>
          </a:endParaRPr>
        </a:p>
        <a:p>
          <a:r>
            <a:rPr lang="en-GB" sz="1100" b="1">
              <a:solidFill>
                <a:sysClr val="windowText" lastClr="000000"/>
              </a:solidFill>
              <a:effectLst/>
              <a:latin typeface="+mn-lt"/>
              <a:ea typeface="+mn-ea"/>
              <a:cs typeface="+mn-cs"/>
            </a:rPr>
            <a:t>Baseline</a:t>
          </a:r>
          <a:r>
            <a:rPr lang="en-GB" sz="1100" b="1" baseline="0">
              <a:solidFill>
                <a:sysClr val="windowText" lastClr="000000"/>
              </a:solidFill>
              <a:effectLst/>
              <a:latin typeface="+mn-lt"/>
              <a:ea typeface="+mn-ea"/>
              <a:cs typeface="+mn-cs"/>
            </a:rPr>
            <a:t> P50</a:t>
          </a:r>
          <a:r>
            <a:rPr lang="en-GB" sz="1100" b="1">
              <a:solidFill>
                <a:sysClr val="windowText" lastClr="000000"/>
              </a:solidFill>
              <a:effectLst/>
              <a:latin typeface="+mn-lt"/>
              <a:ea typeface="+mn-ea"/>
              <a:cs typeface="+mn-cs"/>
            </a:rPr>
            <a:t> end date movements:</a:t>
          </a:r>
        </a:p>
        <a:p>
          <a:r>
            <a:rPr lang="en-GB" sz="1100" b="1" i="0">
              <a:solidFill>
                <a:schemeClr val="dk1"/>
              </a:solidFill>
              <a:effectLst/>
              <a:latin typeface="+mn-lt"/>
              <a:ea typeface="+mn-ea"/>
              <a:cs typeface="+mn-cs"/>
            </a:rPr>
            <a:t>FGFL Ventilation Extract System Upgrade</a:t>
          </a:r>
          <a:r>
            <a:rPr lang="en-GB" sz="1100" b="1" i="0" baseline="0">
              <a:solidFill>
                <a:schemeClr val="dk1"/>
              </a:solidFill>
              <a:effectLst/>
              <a:latin typeface="+mn-lt"/>
              <a:ea typeface="+mn-ea"/>
              <a:cs typeface="+mn-cs"/>
            </a:rPr>
            <a:t> (222 days) </a:t>
          </a:r>
          <a:r>
            <a:rPr lang="en-GB" sz="1100">
              <a:solidFill>
                <a:schemeClr val="dk1"/>
              </a:solidFill>
              <a:effectLst/>
              <a:latin typeface="+mn-lt"/>
              <a:ea typeface="+mn-ea"/>
              <a:cs typeface="+mn-cs"/>
            </a:rPr>
            <a:t>–</a:t>
          </a:r>
          <a:r>
            <a:rPr lang="en-GB" sz="1100" b="1">
              <a:solidFill>
                <a:schemeClr val="dk1"/>
              </a:solidFill>
              <a:effectLst/>
              <a:latin typeface="+mn-lt"/>
              <a:ea typeface="+mn-ea"/>
              <a:cs typeface="+mn-cs"/>
            </a:rPr>
            <a:t> </a:t>
          </a:r>
          <a:r>
            <a:rPr lang="en-GB" sz="1100" b="0">
              <a:solidFill>
                <a:schemeClr val="dk1"/>
              </a:solidFill>
              <a:effectLst/>
              <a:latin typeface="+mn-lt"/>
              <a:ea typeface="+mn-ea"/>
              <a:cs typeface="+mn-cs"/>
            </a:rPr>
            <a:t>The revised baseline values / dates in period are following the implementation of the CCR. </a:t>
          </a:r>
          <a:endParaRPr lang="en-GB" sz="1100" b="1">
            <a:solidFill>
              <a:sysClr val="windowText" lastClr="000000"/>
            </a:solidFill>
            <a:effectLst/>
            <a:latin typeface="+mn-lt"/>
            <a:ea typeface="+mn-ea"/>
            <a:cs typeface="+mn-cs"/>
          </a:endParaRPr>
        </a:p>
        <a:p>
          <a:r>
            <a:rPr lang="en-GB" sz="1100" b="1" i="0">
              <a:solidFill>
                <a:schemeClr val="dk1"/>
              </a:solidFill>
              <a:effectLst/>
              <a:latin typeface="+mn-lt"/>
              <a:ea typeface="+mn-ea"/>
              <a:cs typeface="+mn-cs"/>
            </a:rPr>
            <a:t>Product Zone Power Supply (1</a:t>
          </a:r>
          <a:r>
            <a:rPr lang="en-GB" sz="1100" b="1" i="0" baseline="0">
              <a:solidFill>
                <a:schemeClr val="dk1"/>
              </a:solidFill>
              <a:effectLst/>
              <a:latin typeface="+mn-lt"/>
              <a:ea typeface="+mn-ea"/>
              <a:cs typeface="+mn-cs"/>
            </a:rPr>
            <a:t> day) </a:t>
          </a:r>
          <a:r>
            <a:rPr lang="en-GB" sz="1100">
              <a:solidFill>
                <a:schemeClr val="dk1"/>
              </a:solidFill>
              <a:effectLst/>
              <a:latin typeface="+mn-lt"/>
              <a:ea typeface="+mn-ea"/>
              <a:cs typeface="+mn-cs"/>
            </a:rPr>
            <a:t>–</a:t>
          </a:r>
          <a:r>
            <a:rPr lang="en-GB" sz="1100" b="1">
              <a:solidFill>
                <a:schemeClr val="dk1"/>
              </a:solidFill>
              <a:effectLst/>
              <a:latin typeface="+mn-lt"/>
              <a:ea typeface="+mn-ea"/>
              <a:cs typeface="+mn-cs"/>
            </a:rPr>
            <a:t> </a:t>
          </a:r>
          <a:r>
            <a:rPr lang="en-GB" sz="1100" b="0">
              <a:solidFill>
                <a:schemeClr val="dk1"/>
              </a:solidFill>
              <a:effectLst/>
              <a:latin typeface="+mn-lt"/>
              <a:ea typeface="+mn-ea"/>
              <a:cs typeface="+mn-cs"/>
            </a:rPr>
            <a:t>The revised baseline values / dates in period are following the implementation of the CCR. </a:t>
          </a:r>
          <a:endParaRPr lang="en-GB" sz="1100" b="1" i="0">
            <a:solidFill>
              <a:schemeClr val="dk1"/>
            </a:solidFill>
            <a:effectLst/>
            <a:latin typeface="+mn-lt"/>
            <a:ea typeface="+mn-ea"/>
            <a:cs typeface="+mn-cs"/>
          </a:endParaRPr>
        </a:p>
      </xdr:txBody>
    </xdr:sp>
    <xdr:clientData/>
  </xdr:twoCellAnchor>
  <xdr:twoCellAnchor>
    <xdr:from>
      <xdr:col>0</xdr:col>
      <xdr:colOff>35719</xdr:colOff>
      <xdr:row>71</xdr:row>
      <xdr:rowOff>59531</xdr:rowOff>
    </xdr:from>
    <xdr:to>
      <xdr:col>26</xdr:col>
      <xdr:colOff>238125</xdr:colOff>
      <xdr:row>76</xdr:row>
      <xdr:rowOff>128587</xdr:rowOff>
    </xdr:to>
    <xdr:sp macro="" textlink="">
      <xdr:nvSpPr>
        <xdr:cNvPr id="3" name="TextBox 2">
          <a:extLst>
            <a:ext uri="{FF2B5EF4-FFF2-40B4-BE49-F238E27FC236}">
              <a16:creationId xmlns:a16="http://schemas.microsoft.com/office/drawing/2014/main" id="{75AC1529-323B-4781-9772-F3377C57F778}"/>
            </a:ext>
          </a:extLst>
        </xdr:cNvPr>
        <xdr:cNvSpPr txBox="1"/>
      </xdr:nvSpPr>
      <xdr:spPr>
        <a:xfrm>
          <a:off x="35719" y="8020050"/>
          <a:ext cx="13277056" cy="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eaLnBrk="1" latinLnBrk="0" hangingPunct="1"/>
          <a:r>
            <a:rPr lang="en-GB" sz="1100">
              <a:solidFill>
                <a:schemeClr val="dk1"/>
              </a:solidFill>
              <a:effectLst/>
              <a:latin typeface="+mn-lt"/>
              <a:ea typeface="+mn-ea"/>
              <a:cs typeface="+mn-cs"/>
            </a:rPr>
            <a:t>This month (P1) we have 9 projects.</a:t>
          </a:r>
        </a:p>
        <a:p>
          <a:r>
            <a:rPr lang="en-GB" sz="1100">
              <a:solidFill>
                <a:schemeClr val="dk1"/>
              </a:solidFill>
              <a:effectLst/>
              <a:latin typeface="+mn-lt"/>
              <a:ea typeface="+mn-ea"/>
              <a:cs typeface="+mn-cs"/>
            </a:rPr>
            <a:t>No Changes in DCA.</a:t>
          </a:r>
        </a:p>
        <a:p>
          <a:r>
            <a:rPr lang="en-GB" sz="1100">
              <a:solidFill>
                <a:schemeClr val="dk1"/>
              </a:solidFill>
              <a:effectLst/>
              <a:latin typeface="+mn-lt"/>
              <a:ea typeface="+mn-ea"/>
              <a:cs typeface="+mn-cs"/>
            </a:rPr>
            <a:t>1 x Project (BEPPS2) has gone from Amber to Green in Baseline RAG due to  a new baseline being implemented, to align to the SL Board endorsed OBC.</a:t>
          </a:r>
        </a:p>
        <a:p>
          <a:r>
            <a:rPr lang="en-GB" sz="1100">
              <a:solidFill>
                <a:schemeClr val="dk1"/>
              </a:solidFill>
              <a:effectLst/>
              <a:latin typeface="+mn-lt"/>
              <a:ea typeface="+mn-ea"/>
              <a:cs typeface="+mn-cs"/>
            </a:rPr>
            <a:t>1 x Project (Replacement Analytical Project) has gone from Green to Amber in C&amp;C due to the loss of key resource (safety case) and the need for a replacement contract for the current 'Technical Services Agreement (TSA)' contract used to provide NNL resources to the project.</a:t>
          </a:r>
        </a:p>
      </xdr:txBody>
    </xdr: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printerSettings" Target="../printerSettings/printerSettings13.bin"/><Relationship Id="rId18" Type="http://schemas.openxmlformats.org/officeDocument/2006/relationships/printerSettings" Target="../printerSettings/printerSettings18.bin"/><Relationship Id="rId26" Type="http://schemas.openxmlformats.org/officeDocument/2006/relationships/printerSettings" Target="../printerSettings/printerSettings26.bin"/><Relationship Id="rId39" Type="http://schemas.openxmlformats.org/officeDocument/2006/relationships/printerSettings" Target="../printerSettings/printerSettings39.bin"/><Relationship Id="rId21" Type="http://schemas.openxmlformats.org/officeDocument/2006/relationships/printerSettings" Target="../printerSettings/printerSettings21.bin"/><Relationship Id="rId34" Type="http://schemas.openxmlformats.org/officeDocument/2006/relationships/printerSettings" Target="../printerSettings/printerSettings34.bin"/><Relationship Id="rId42" Type="http://schemas.openxmlformats.org/officeDocument/2006/relationships/printerSettings" Target="../printerSettings/printerSettings42.bin"/><Relationship Id="rId47" Type="http://schemas.openxmlformats.org/officeDocument/2006/relationships/printerSettings" Target="../printerSettings/printerSettings47.bin"/><Relationship Id="rId50" Type="http://schemas.openxmlformats.org/officeDocument/2006/relationships/printerSettings" Target="../printerSettings/printerSettings50.bin"/><Relationship Id="rId55" Type="http://schemas.openxmlformats.org/officeDocument/2006/relationships/printerSettings" Target="../printerSettings/printerSettings55.bin"/><Relationship Id="rId7" Type="http://schemas.openxmlformats.org/officeDocument/2006/relationships/printerSettings" Target="../printerSettings/printerSettings7.bin"/><Relationship Id="rId2" Type="http://schemas.openxmlformats.org/officeDocument/2006/relationships/printerSettings" Target="../printerSettings/printerSettings2.bin"/><Relationship Id="rId16" Type="http://schemas.openxmlformats.org/officeDocument/2006/relationships/printerSettings" Target="../printerSettings/printerSettings16.bin"/><Relationship Id="rId20" Type="http://schemas.openxmlformats.org/officeDocument/2006/relationships/printerSettings" Target="../printerSettings/printerSettings20.bin"/><Relationship Id="rId29" Type="http://schemas.openxmlformats.org/officeDocument/2006/relationships/printerSettings" Target="../printerSettings/printerSettings29.bin"/><Relationship Id="rId41" Type="http://schemas.openxmlformats.org/officeDocument/2006/relationships/printerSettings" Target="../printerSettings/printerSettings41.bin"/><Relationship Id="rId54" Type="http://schemas.openxmlformats.org/officeDocument/2006/relationships/printerSettings" Target="../printerSettings/printerSettings54.bin"/><Relationship Id="rId6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printerSettings" Target="../printerSettings/printerSettings6.bin"/><Relationship Id="rId11" Type="http://schemas.openxmlformats.org/officeDocument/2006/relationships/printerSettings" Target="../printerSettings/printerSettings11.bin"/><Relationship Id="rId24" Type="http://schemas.openxmlformats.org/officeDocument/2006/relationships/printerSettings" Target="../printerSettings/printerSettings24.bin"/><Relationship Id="rId32" Type="http://schemas.openxmlformats.org/officeDocument/2006/relationships/printerSettings" Target="../printerSettings/printerSettings32.bin"/><Relationship Id="rId37" Type="http://schemas.openxmlformats.org/officeDocument/2006/relationships/printerSettings" Target="../printerSettings/printerSettings37.bin"/><Relationship Id="rId40" Type="http://schemas.openxmlformats.org/officeDocument/2006/relationships/printerSettings" Target="../printerSettings/printerSettings40.bin"/><Relationship Id="rId45" Type="http://schemas.openxmlformats.org/officeDocument/2006/relationships/printerSettings" Target="../printerSettings/printerSettings45.bin"/><Relationship Id="rId53" Type="http://schemas.openxmlformats.org/officeDocument/2006/relationships/printerSettings" Target="../printerSettings/printerSettings53.bin"/><Relationship Id="rId58" Type="http://schemas.openxmlformats.org/officeDocument/2006/relationships/printerSettings" Target="../printerSettings/printerSettings58.bin"/><Relationship Id="rId5" Type="http://schemas.openxmlformats.org/officeDocument/2006/relationships/printerSettings" Target="../printerSettings/printerSettings5.bin"/><Relationship Id="rId15" Type="http://schemas.openxmlformats.org/officeDocument/2006/relationships/printerSettings" Target="../printerSettings/printerSettings15.bin"/><Relationship Id="rId23" Type="http://schemas.openxmlformats.org/officeDocument/2006/relationships/printerSettings" Target="../printerSettings/printerSettings23.bin"/><Relationship Id="rId28" Type="http://schemas.openxmlformats.org/officeDocument/2006/relationships/printerSettings" Target="../printerSettings/printerSettings28.bin"/><Relationship Id="rId36" Type="http://schemas.openxmlformats.org/officeDocument/2006/relationships/printerSettings" Target="../printerSettings/printerSettings36.bin"/><Relationship Id="rId49" Type="http://schemas.openxmlformats.org/officeDocument/2006/relationships/printerSettings" Target="../printerSettings/printerSettings49.bin"/><Relationship Id="rId57" Type="http://schemas.openxmlformats.org/officeDocument/2006/relationships/printerSettings" Target="../printerSettings/printerSettings57.bin"/><Relationship Id="rId61" Type="http://schemas.openxmlformats.org/officeDocument/2006/relationships/printerSettings" Target="../printerSettings/printerSettings61.bin"/><Relationship Id="rId10" Type="http://schemas.openxmlformats.org/officeDocument/2006/relationships/printerSettings" Target="../printerSettings/printerSettings10.bin"/><Relationship Id="rId19" Type="http://schemas.openxmlformats.org/officeDocument/2006/relationships/printerSettings" Target="../printerSettings/printerSettings19.bin"/><Relationship Id="rId31" Type="http://schemas.openxmlformats.org/officeDocument/2006/relationships/printerSettings" Target="../printerSettings/printerSettings31.bin"/><Relationship Id="rId44" Type="http://schemas.openxmlformats.org/officeDocument/2006/relationships/printerSettings" Target="../printerSettings/printerSettings44.bin"/><Relationship Id="rId52" Type="http://schemas.openxmlformats.org/officeDocument/2006/relationships/printerSettings" Target="../printerSettings/printerSettings52.bin"/><Relationship Id="rId60" Type="http://schemas.openxmlformats.org/officeDocument/2006/relationships/printerSettings" Target="../printerSettings/printerSettings60.bin"/><Relationship Id="rId4" Type="http://schemas.openxmlformats.org/officeDocument/2006/relationships/printerSettings" Target="../printerSettings/printerSettings4.bin"/><Relationship Id="rId9" Type="http://schemas.openxmlformats.org/officeDocument/2006/relationships/printerSettings" Target="../printerSettings/printerSettings9.bin"/><Relationship Id="rId14" Type="http://schemas.openxmlformats.org/officeDocument/2006/relationships/printerSettings" Target="../printerSettings/printerSettings14.bin"/><Relationship Id="rId22" Type="http://schemas.openxmlformats.org/officeDocument/2006/relationships/printerSettings" Target="../printerSettings/printerSettings22.bin"/><Relationship Id="rId27" Type="http://schemas.openxmlformats.org/officeDocument/2006/relationships/printerSettings" Target="../printerSettings/printerSettings27.bin"/><Relationship Id="rId30" Type="http://schemas.openxmlformats.org/officeDocument/2006/relationships/printerSettings" Target="../printerSettings/printerSettings30.bin"/><Relationship Id="rId35" Type="http://schemas.openxmlformats.org/officeDocument/2006/relationships/printerSettings" Target="../printerSettings/printerSettings35.bin"/><Relationship Id="rId43" Type="http://schemas.openxmlformats.org/officeDocument/2006/relationships/printerSettings" Target="../printerSettings/printerSettings43.bin"/><Relationship Id="rId48" Type="http://schemas.openxmlformats.org/officeDocument/2006/relationships/printerSettings" Target="../printerSettings/printerSettings48.bin"/><Relationship Id="rId56" Type="http://schemas.openxmlformats.org/officeDocument/2006/relationships/printerSettings" Target="../printerSettings/printerSettings56.bin"/><Relationship Id="rId8" Type="http://schemas.openxmlformats.org/officeDocument/2006/relationships/printerSettings" Target="../printerSettings/printerSettings8.bin"/><Relationship Id="rId51" Type="http://schemas.openxmlformats.org/officeDocument/2006/relationships/printerSettings" Target="../printerSettings/printerSettings51.bin"/><Relationship Id="rId3" Type="http://schemas.openxmlformats.org/officeDocument/2006/relationships/printerSettings" Target="../printerSettings/printerSettings3.bin"/><Relationship Id="rId12" Type="http://schemas.openxmlformats.org/officeDocument/2006/relationships/printerSettings" Target="../printerSettings/printerSettings12.bin"/><Relationship Id="rId17" Type="http://schemas.openxmlformats.org/officeDocument/2006/relationships/printerSettings" Target="../printerSettings/printerSettings17.bin"/><Relationship Id="rId25" Type="http://schemas.openxmlformats.org/officeDocument/2006/relationships/printerSettings" Target="../printerSettings/printerSettings25.bin"/><Relationship Id="rId33" Type="http://schemas.openxmlformats.org/officeDocument/2006/relationships/printerSettings" Target="../printerSettings/printerSettings33.bin"/><Relationship Id="rId38" Type="http://schemas.openxmlformats.org/officeDocument/2006/relationships/printerSettings" Target="../printerSettings/printerSettings38.bin"/><Relationship Id="rId46" Type="http://schemas.openxmlformats.org/officeDocument/2006/relationships/printerSettings" Target="../printerSettings/printerSettings46.bin"/><Relationship Id="rId59" Type="http://schemas.openxmlformats.org/officeDocument/2006/relationships/printerSettings" Target="../printerSettings/printerSettings59.bin"/></Relationships>
</file>

<file path=xl/worksheets/_rels/sheet2.xml.rels><?xml version="1.0" encoding="UTF-8" standalone="yes"?>
<Relationships xmlns="http://schemas.openxmlformats.org/package/2006/relationships"><Relationship Id="rId13" Type="http://schemas.openxmlformats.org/officeDocument/2006/relationships/printerSettings" Target="../printerSettings/printerSettings74.bin"/><Relationship Id="rId18" Type="http://schemas.openxmlformats.org/officeDocument/2006/relationships/printerSettings" Target="../printerSettings/printerSettings79.bin"/><Relationship Id="rId26" Type="http://schemas.openxmlformats.org/officeDocument/2006/relationships/printerSettings" Target="../printerSettings/printerSettings87.bin"/><Relationship Id="rId39" Type="http://schemas.openxmlformats.org/officeDocument/2006/relationships/printerSettings" Target="../printerSettings/printerSettings100.bin"/><Relationship Id="rId21" Type="http://schemas.openxmlformats.org/officeDocument/2006/relationships/printerSettings" Target="../printerSettings/printerSettings82.bin"/><Relationship Id="rId34" Type="http://schemas.openxmlformats.org/officeDocument/2006/relationships/printerSettings" Target="../printerSettings/printerSettings95.bin"/><Relationship Id="rId42" Type="http://schemas.openxmlformats.org/officeDocument/2006/relationships/printerSettings" Target="../printerSettings/printerSettings103.bin"/><Relationship Id="rId47" Type="http://schemas.openxmlformats.org/officeDocument/2006/relationships/printerSettings" Target="../printerSettings/printerSettings108.bin"/><Relationship Id="rId50" Type="http://schemas.openxmlformats.org/officeDocument/2006/relationships/printerSettings" Target="../printerSettings/printerSettings111.bin"/><Relationship Id="rId55" Type="http://schemas.openxmlformats.org/officeDocument/2006/relationships/printerSettings" Target="../printerSettings/printerSettings116.bin"/><Relationship Id="rId63" Type="http://schemas.openxmlformats.org/officeDocument/2006/relationships/drawing" Target="../drawings/drawing2.xml"/><Relationship Id="rId7" Type="http://schemas.openxmlformats.org/officeDocument/2006/relationships/printerSettings" Target="../printerSettings/printerSettings68.bin"/><Relationship Id="rId2" Type="http://schemas.openxmlformats.org/officeDocument/2006/relationships/printerSettings" Target="../printerSettings/printerSettings63.bin"/><Relationship Id="rId16" Type="http://schemas.openxmlformats.org/officeDocument/2006/relationships/printerSettings" Target="../printerSettings/printerSettings77.bin"/><Relationship Id="rId20" Type="http://schemas.openxmlformats.org/officeDocument/2006/relationships/printerSettings" Target="../printerSettings/printerSettings81.bin"/><Relationship Id="rId29" Type="http://schemas.openxmlformats.org/officeDocument/2006/relationships/printerSettings" Target="../printerSettings/printerSettings90.bin"/><Relationship Id="rId41" Type="http://schemas.openxmlformats.org/officeDocument/2006/relationships/printerSettings" Target="../printerSettings/printerSettings102.bin"/><Relationship Id="rId54" Type="http://schemas.openxmlformats.org/officeDocument/2006/relationships/printerSettings" Target="../printerSettings/printerSettings115.bin"/><Relationship Id="rId62" Type="http://schemas.openxmlformats.org/officeDocument/2006/relationships/printerSettings" Target="../printerSettings/printerSettings123.bin"/><Relationship Id="rId1" Type="http://schemas.openxmlformats.org/officeDocument/2006/relationships/printerSettings" Target="../printerSettings/printerSettings62.bin"/><Relationship Id="rId6" Type="http://schemas.openxmlformats.org/officeDocument/2006/relationships/printerSettings" Target="../printerSettings/printerSettings67.bin"/><Relationship Id="rId11" Type="http://schemas.openxmlformats.org/officeDocument/2006/relationships/printerSettings" Target="../printerSettings/printerSettings72.bin"/><Relationship Id="rId24" Type="http://schemas.openxmlformats.org/officeDocument/2006/relationships/printerSettings" Target="../printerSettings/printerSettings85.bin"/><Relationship Id="rId32" Type="http://schemas.openxmlformats.org/officeDocument/2006/relationships/printerSettings" Target="../printerSettings/printerSettings93.bin"/><Relationship Id="rId37" Type="http://schemas.openxmlformats.org/officeDocument/2006/relationships/printerSettings" Target="../printerSettings/printerSettings98.bin"/><Relationship Id="rId40" Type="http://schemas.openxmlformats.org/officeDocument/2006/relationships/printerSettings" Target="../printerSettings/printerSettings101.bin"/><Relationship Id="rId45" Type="http://schemas.openxmlformats.org/officeDocument/2006/relationships/printerSettings" Target="../printerSettings/printerSettings106.bin"/><Relationship Id="rId53" Type="http://schemas.openxmlformats.org/officeDocument/2006/relationships/printerSettings" Target="../printerSettings/printerSettings114.bin"/><Relationship Id="rId58" Type="http://schemas.openxmlformats.org/officeDocument/2006/relationships/printerSettings" Target="../printerSettings/printerSettings119.bin"/><Relationship Id="rId5" Type="http://schemas.openxmlformats.org/officeDocument/2006/relationships/printerSettings" Target="../printerSettings/printerSettings66.bin"/><Relationship Id="rId15" Type="http://schemas.openxmlformats.org/officeDocument/2006/relationships/printerSettings" Target="../printerSettings/printerSettings76.bin"/><Relationship Id="rId23" Type="http://schemas.openxmlformats.org/officeDocument/2006/relationships/printerSettings" Target="../printerSettings/printerSettings84.bin"/><Relationship Id="rId28" Type="http://schemas.openxmlformats.org/officeDocument/2006/relationships/printerSettings" Target="../printerSettings/printerSettings89.bin"/><Relationship Id="rId36" Type="http://schemas.openxmlformats.org/officeDocument/2006/relationships/printerSettings" Target="../printerSettings/printerSettings97.bin"/><Relationship Id="rId49" Type="http://schemas.openxmlformats.org/officeDocument/2006/relationships/printerSettings" Target="../printerSettings/printerSettings110.bin"/><Relationship Id="rId57" Type="http://schemas.openxmlformats.org/officeDocument/2006/relationships/printerSettings" Target="../printerSettings/printerSettings118.bin"/><Relationship Id="rId61" Type="http://schemas.openxmlformats.org/officeDocument/2006/relationships/printerSettings" Target="../printerSettings/printerSettings122.bin"/><Relationship Id="rId10" Type="http://schemas.openxmlformats.org/officeDocument/2006/relationships/printerSettings" Target="../printerSettings/printerSettings71.bin"/><Relationship Id="rId19" Type="http://schemas.openxmlformats.org/officeDocument/2006/relationships/printerSettings" Target="../printerSettings/printerSettings80.bin"/><Relationship Id="rId31" Type="http://schemas.openxmlformats.org/officeDocument/2006/relationships/printerSettings" Target="../printerSettings/printerSettings92.bin"/><Relationship Id="rId44" Type="http://schemas.openxmlformats.org/officeDocument/2006/relationships/printerSettings" Target="../printerSettings/printerSettings105.bin"/><Relationship Id="rId52" Type="http://schemas.openxmlformats.org/officeDocument/2006/relationships/printerSettings" Target="../printerSettings/printerSettings113.bin"/><Relationship Id="rId60" Type="http://schemas.openxmlformats.org/officeDocument/2006/relationships/printerSettings" Target="../printerSettings/printerSettings121.bin"/><Relationship Id="rId4" Type="http://schemas.openxmlformats.org/officeDocument/2006/relationships/printerSettings" Target="../printerSettings/printerSettings65.bin"/><Relationship Id="rId9" Type="http://schemas.openxmlformats.org/officeDocument/2006/relationships/printerSettings" Target="../printerSettings/printerSettings70.bin"/><Relationship Id="rId14" Type="http://schemas.openxmlformats.org/officeDocument/2006/relationships/printerSettings" Target="../printerSettings/printerSettings75.bin"/><Relationship Id="rId22" Type="http://schemas.openxmlformats.org/officeDocument/2006/relationships/printerSettings" Target="../printerSettings/printerSettings83.bin"/><Relationship Id="rId27" Type="http://schemas.openxmlformats.org/officeDocument/2006/relationships/printerSettings" Target="../printerSettings/printerSettings88.bin"/><Relationship Id="rId30" Type="http://schemas.openxmlformats.org/officeDocument/2006/relationships/printerSettings" Target="../printerSettings/printerSettings91.bin"/><Relationship Id="rId35" Type="http://schemas.openxmlformats.org/officeDocument/2006/relationships/printerSettings" Target="../printerSettings/printerSettings96.bin"/><Relationship Id="rId43" Type="http://schemas.openxmlformats.org/officeDocument/2006/relationships/printerSettings" Target="../printerSettings/printerSettings104.bin"/><Relationship Id="rId48" Type="http://schemas.openxmlformats.org/officeDocument/2006/relationships/printerSettings" Target="../printerSettings/printerSettings109.bin"/><Relationship Id="rId56" Type="http://schemas.openxmlformats.org/officeDocument/2006/relationships/printerSettings" Target="../printerSettings/printerSettings117.bin"/><Relationship Id="rId8" Type="http://schemas.openxmlformats.org/officeDocument/2006/relationships/printerSettings" Target="../printerSettings/printerSettings69.bin"/><Relationship Id="rId51" Type="http://schemas.openxmlformats.org/officeDocument/2006/relationships/printerSettings" Target="../printerSettings/printerSettings112.bin"/><Relationship Id="rId3" Type="http://schemas.openxmlformats.org/officeDocument/2006/relationships/printerSettings" Target="../printerSettings/printerSettings64.bin"/><Relationship Id="rId12" Type="http://schemas.openxmlformats.org/officeDocument/2006/relationships/printerSettings" Target="../printerSettings/printerSettings73.bin"/><Relationship Id="rId17" Type="http://schemas.openxmlformats.org/officeDocument/2006/relationships/printerSettings" Target="../printerSettings/printerSettings78.bin"/><Relationship Id="rId25" Type="http://schemas.openxmlformats.org/officeDocument/2006/relationships/printerSettings" Target="../printerSettings/printerSettings86.bin"/><Relationship Id="rId33" Type="http://schemas.openxmlformats.org/officeDocument/2006/relationships/printerSettings" Target="../printerSettings/printerSettings94.bin"/><Relationship Id="rId38" Type="http://schemas.openxmlformats.org/officeDocument/2006/relationships/printerSettings" Target="../printerSettings/printerSettings99.bin"/><Relationship Id="rId46" Type="http://schemas.openxmlformats.org/officeDocument/2006/relationships/printerSettings" Target="../printerSettings/printerSettings107.bin"/><Relationship Id="rId59" Type="http://schemas.openxmlformats.org/officeDocument/2006/relationships/printerSettings" Target="../printerSettings/printerSettings120.bin"/></Relationships>
</file>

<file path=xl/worksheets/_rels/sheet3.xml.rels><?xml version="1.0" encoding="UTF-8" standalone="yes"?>
<Relationships xmlns="http://schemas.openxmlformats.org/package/2006/relationships"><Relationship Id="rId13" Type="http://schemas.openxmlformats.org/officeDocument/2006/relationships/printerSettings" Target="../printerSettings/printerSettings136.bin"/><Relationship Id="rId18" Type="http://schemas.openxmlformats.org/officeDocument/2006/relationships/printerSettings" Target="../printerSettings/printerSettings141.bin"/><Relationship Id="rId26" Type="http://schemas.openxmlformats.org/officeDocument/2006/relationships/printerSettings" Target="../printerSettings/printerSettings149.bin"/><Relationship Id="rId39" Type="http://schemas.openxmlformats.org/officeDocument/2006/relationships/printerSettings" Target="../printerSettings/printerSettings162.bin"/><Relationship Id="rId21" Type="http://schemas.openxmlformats.org/officeDocument/2006/relationships/printerSettings" Target="../printerSettings/printerSettings144.bin"/><Relationship Id="rId34" Type="http://schemas.openxmlformats.org/officeDocument/2006/relationships/printerSettings" Target="../printerSettings/printerSettings157.bin"/><Relationship Id="rId42" Type="http://schemas.openxmlformats.org/officeDocument/2006/relationships/printerSettings" Target="../printerSettings/printerSettings165.bin"/><Relationship Id="rId47" Type="http://schemas.openxmlformats.org/officeDocument/2006/relationships/printerSettings" Target="../printerSettings/printerSettings170.bin"/><Relationship Id="rId50" Type="http://schemas.openxmlformats.org/officeDocument/2006/relationships/printerSettings" Target="../printerSettings/printerSettings173.bin"/><Relationship Id="rId55" Type="http://schemas.openxmlformats.org/officeDocument/2006/relationships/printerSettings" Target="../printerSettings/printerSettings178.bin"/><Relationship Id="rId63" Type="http://schemas.openxmlformats.org/officeDocument/2006/relationships/printerSettings" Target="../printerSettings/printerSettings186.bin"/><Relationship Id="rId7" Type="http://schemas.openxmlformats.org/officeDocument/2006/relationships/printerSettings" Target="../printerSettings/printerSettings130.bin"/><Relationship Id="rId2" Type="http://schemas.openxmlformats.org/officeDocument/2006/relationships/printerSettings" Target="../printerSettings/printerSettings125.bin"/><Relationship Id="rId16" Type="http://schemas.openxmlformats.org/officeDocument/2006/relationships/printerSettings" Target="../printerSettings/printerSettings139.bin"/><Relationship Id="rId20" Type="http://schemas.openxmlformats.org/officeDocument/2006/relationships/printerSettings" Target="../printerSettings/printerSettings143.bin"/><Relationship Id="rId29" Type="http://schemas.openxmlformats.org/officeDocument/2006/relationships/printerSettings" Target="../printerSettings/printerSettings152.bin"/><Relationship Id="rId41" Type="http://schemas.openxmlformats.org/officeDocument/2006/relationships/printerSettings" Target="../printerSettings/printerSettings164.bin"/><Relationship Id="rId54" Type="http://schemas.openxmlformats.org/officeDocument/2006/relationships/printerSettings" Target="../printerSettings/printerSettings177.bin"/><Relationship Id="rId62" Type="http://schemas.openxmlformats.org/officeDocument/2006/relationships/printerSettings" Target="../printerSettings/printerSettings185.bin"/><Relationship Id="rId1" Type="http://schemas.openxmlformats.org/officeDocument/2006/relationships/printerSettings" Target="../printerSettings/printerSettings124.bin"/><Relationship Id="rId6" Type="http://schemas.openxmlformats.org/officeDocument/2006/relationships/printerSettings" Target="../printerSettings/printerSettings129.bin"/><Relationship Id="rId11" Type="http://schemas.openxmlformats.org/officeDocument/2006/relationships/printerSettings" Target="../printerSettings/printerSettings134.bin"/><Relationship Id="rId24" Type="http://schemas.openxmlformats.org/officeDocument/2006/relationships/printerSettings" Target="../printerSettings/printerSettings147.bin"/><Relationship Id="rId32" Type="http://schemas.openxmlformats.org/officeDocument/2006/relationships/printerSettings" Target="../printerSettings/printerSettings155.bin"/><Relationship Id="rId37" Type="http://schemas.openxmlformats.org/officeDocument/2006/relationships/printerSettings" Target="../printerSettings/printerSettings160.bin"/><Relationship Id="rId40" Type="http://schemas.openxmlformats.org/officeDocument/2006/relationships/printerSettings" Target="../printerSettings/printerSettings163.bin"/><Relationship Id="rId45" Type="http://schemas.openxmlformats.org/officeDocument/2006/relationships/printerSettings" Target="../printerSettings/printerSettings168.bin"/><Relationship Id="rId53" Type="http://schemas.openxmlformats.org/officeDocument/2006/relationships/printerSettings" Target="../printerSettings/printerSettings176.bin"/><Relationship Id="rId58" Type="http://schemas.openxmlformats.org/officeDocument/2006/relationships/printerSettings" Target="../printerSettings/printerSettings181.bin"/><Relationship Id="rId5" Type="http://schemas.openxmlformats.org/officeDocument/2006/relationships/printerSettings" Target="../printerSettings/printerSettings128.bin"/><Relationship Id="rId15" Type="http://schemas.openxmlformats.org/officeDocument/2006/relationships/printerSettings" Target="../printerSettings/printerSettings138.bin"/><Relationship Id="rId23" Type="http://schemas.openxmlformats.org/officeDocument/2006/relationships/printerSettings" Target="../printerSettings/printerSettings146.bin"/><Relationship Id="rId28" Type="http://schemas.openxmlformats.org/officeDocument/2006/relationships/printerSettings" Target="../printerSettings/printerSettings151.bin"/><Relationship Id="rId36" Type="http://schemas.openxmlformats.org/officeDocument/2006/relationships/printerSettings" Target="../printerSettings/printerSettings159.bin"/><Relationship Id="rId49" Type="http://schemas.openxmlformats.org/officeDocument/2006/relationships/printerSettings" Target="../printerSettings/printerSettings172.bin"/><Relationship Id="rId57" Type="http://schemas.openxmlformats.org/officeDocument/2006/relationships/printerSettings" Target="../printerSettings/printerSettings180.bin"/><Relationship Id="rId61" Type="http://schemas.openxmlformats.org/officeDocument/2006/relationships/printerSettings" Target="../printerSettings/printerSettings184.bin"/><Relationship Id="rId10" Type="http://schemas.openxmlformats.org/officeDocument/2006/relationships/printerSettings" Target="../printerSettings/printerSettings133.bin"/><Relationship Id="rId19" Type="http://schemas.openxmlformats.org/officeDocument/2006/relationships/printerSettings" Target="../printerSettings/printerSettings142.bin"/><Relationship Id="rId31" Type="http://schemas.openxmlformats.org/officeDocument/2006/relationships/printerSettings" Target="../printerSettings/printerSettings154.bin"/><Relationship Id="rId44" Type="http://schemas.openxmlformats.org/officeDocument/2006/relationships/printerSettings" Target="../printerSettings/printerSettings167.bin"/><Relationship Id="rId52" Type="http://schemas.openxmlformats.org/officeDocument/2006/relationships/printerSettings" Target="../printerSettings/printerSettings175.bin"/><Relationship Id="rId60" Type="http://schemas.openxmlformats.org/officeDocument/2006/relationships/printerSettings" Target="../printerSettings/printerSettings183.bin"/><Relationship Id="rId65" Type="http://schemas.openxmlformats.org/officeDocument/2006/relationships/comments" Target="../comments1.xml"/><Relationship Id="rId4" Type="http://schemas.openxmlformats.org/officeDocument/2006/relationships/printerSettings" Target="../printerSettings/printerSettings127.bin"/><Relationship Id="rId9" Type="http://schemas.openxmlformats.org/officeDocument/2006/relationships/printerSettings" Target="../printerSettings/printerSettings132.bin"/><Relationship Id="rId14" Type="http://schemas.openxmlformats.org/officeDocument/2006/relationships/printerSettings" Target="../printerSettings/printerSettings137.bin"/><Relationship Id="rId22" Type="http://schemas.openxmlformats.org/officeDocument/2006/relationships/printerSettings" Target="../printerSettings/printerSettings145.bin"/><Relationship Id="rId27" Type="http://schemas.openxmlformats.org/officeDocument/2006/relationships/printerSettings" Target="../printerSettings/printerSettings150.bin"/><Relationship Id="rId30" Type="http://schemas.openxmlformats.org/officeDocument/2006/relationships/printerSettings" Target="../printerSettings/printerSettings153.bin"/><Relationship Id="rId35" Type="http://schemas.openxmlformats.org/officeDocument/2006/relationships/printerSettings" Target="../printerSettings/printerSettings158.bin"/><Relationship Id="rId43" Type="http://schemas.openxmlformats.org/officeDocument/2006/relationships/printerSettings" Target="../printerSettings/printerSettings166.bin"/><Relationship Id="rId48" Type="http://schemas.openxmlformats.org/officeDocument/2006/relationships/printerSettings" Target="../printerSettings/printerSettings171.bin"/><Relationship Id="rId56" Type="http://schemas.openxmlformats.org/officeDocument/2006/relationships/printerSettings" Target="../printerSettings/printerSettings179.bin"/><Relationship Id="rId64" Type="http://schemas.openxmlformats.org/officeDocument/2006/relationships/vmlDrawing" Target="../drawings/vmlDrawing1.vml"/><Relationship Id="rId8" Type="http://schemas.openxmlformats.org/officeDocument/2006/relationships/printerSettings" Target="../printerSettings/printerSettings131.bin"/><Relationship Id="rId51" Type="http://schemas.openxmlformats.org/officeDocument/2006/relationships/printerSettings" Target="../printerSettings/printerSettings174.bin"/><Relationship Id="rId3" Type="http://schemas.openxmlformats.org/officeDocument/2006/relationships/printerSettings" Target="../printerSettings/printerSettings126.bin"/><Relationship Id="rId12" Type="http://schemas.openxmlformats.org/officeDocument/2006/relationships/printerSettings" Target="../printerSettings/printerSettings135.bin"/><Relationship Id="rId17" Type="http://schemas.openxmlformats.org/officeDocument/2006/relationships/printerSettings" Target="../printerSettings/printerSettings140.bin"/><Relationship Id="rId25" Type="http://schemas.openxmlformats.org/officeDocument/2006/relationships/printerSettings" Target="../printerSettings/printerSettings148.bin"/><Relationship Id="rId33" Type="http://schemas.openxmlformats.org/officeDocument/2006/relationships/printerSettings" Target="../printerSettings/printerSettings156.bin"/><Relationship Id="rId38" Type="http://schemas.openxmlformats.org/officeDocument/2006/relationships/printerSettings" Target="../printerSettings/printerSettings161.bin"/><Relationship Id="rId46" Type="http://schemas.openxmlformats.org/officeDocument/2006/relationships/printerSettings" Target="../printerSettings/printerSettings169.bin"/><Relationship Id="rId59" Type="http://schemas.openxmlformats.org/officeDocument/2006/relationships/printerSettings" Target="../printerSettings/printerSettings182.bin"/></Relationships>
</file>

<file path=xl/worksheets/_rels/sheet4.xml.rels><?xml version="1.0" encoding="UTF-8" standalone="yes"?>
<Relationships xmlns="http://schemas.openxmlformats.org/package/2006/relationships"><Relationship Id="rId13" Type="http://schemas.openxmlformats.org/officeDocument/2006/relationships/printerSettings" Target="../printerSettings/printerSettings199.bin"/><Relationship Id="rId18" Type="http://schemas.openxmlformats.org/officeDocument/2006/relationships/printerSettings" Target="../printerSettings/printerSettings204.bin"/><Relationship Id="rId26" Type="http://schemas.openxmlformats.org/officeDocument/2006/relationships/printerSettings" Target="../printerSettings/printerSettings212.bin"/><Relationship Id="rId39" Type="http://schemas.openxmlformats.org/officeDocument/2006/relationships/printerSettings" Target="../printerSettings/printerSettings225.bin"/><Relationship Id="rId21" Type="http://schemas.openxmlformats.org/officeDocument/2006/relationships/printerSettings" Target="../printerSettings/printerSettings207.bin"/><Relationship Id="rId34" Type="http://schemas.openxmlformats.org/officeDocument/2006/relationships/printerSettings" Target="../printerSettings/printerSettings220.bin"/><Relationship Id="rId42" Type="http://schemas.openxmlformats.org/officeDocument/2006/relationships/printerSettings" Target="../printerSettings/printerSettings228.bin"/><Relationship Id="rId47" Type="http://schemas.openxmlformats.org/officeDocument/2006/relationships/printerSettings" Target="../printerSettings/printerSettings233.bin"/><Relationship Id="rId50" Type="http://schemas.openxmlformats.org/officeDocument/2006/relationships/printerSettings" Target="../printerSettings/printerSettings236.bin"/><Relationship Id="rId55" Type="http://schemas.openxmlformats.org/officeDocument/2006/relationships/printerSettings" Target="../printerSettings/printerSettings241.bin"/><Relationship Id="rId63" Type="http://schemas.openxmlformats.org/officeDocument/2006/relationships/printerSettings" Target="../printerSettings/printerSettings249.bin"/><Relationship Id="rId7" Type="http://schemas.openxmlformats.org/officeDocument/2006/relationships/printerSettings" Target="../printerSettings/printerSettings193.bin"/><Relationship Id="rId2" Type="http://schemas.openxmlformats.org/officeDocument/2006/relationships/printerSettings" Target="../printerSettings/printerSettings188.bin"/><Relationship Id="rId16" Type="http://schemas.openxmlformats.org/officeDocument/2006/relationships/printerSettings" Target="../printerSettings/printerSettings202.bin"/><Relationship Id="rId20" Type="http://schemas.openxmlformats.org/officeDocument/2006/relationships/printerSettings" Target="../printerSettings/printerSettings206.bin"/><Relationship Id="rId29" Type="http://schemas.openxmlformats.org/officeDocument/2006/relationships/printerSettings" Target="../printerSettings/printerSettings215.bin"/><Relationship Id="rId41" Type="http://schemas.openxmlformats.org/officeDocument/2006/relationships/printerSettings" Target="../printerSettings/printerSettings227.bin"/><Relationship Id="rId54" Type="http://schemas.openxmlformats.org/officeDocument/2006/relationships/printerSettings" Target="../printerSettings/printerSettings240.bin"/><Relationship Id="rId62" Type="http://schemas.openxmlformats.org/officeDocument/2006/relationships/printerSettings" Target="../printerSettings/printerSettings248.bin"/><Relationship Id="rId1" Type="http://schemas.openxmlformats.org/officeDocument/2006/relationships/printerSettings" Target="../printerSettings/printerSettings187.bin"/><Relationship Id="rId6" Type="http://schemas.openxmlformats.org/officeDocument/2006/relationships/printerSettings" Target="../printerSettings/printerSettings192.bin"/><Relationship Id="rId11" Type="http://schemas.openxmlformats.org/officeDocument/2006/relationships/printerSettings" Target="../printerSettings/printerSettings197.bin"/><Relationship Id="rId24" Type="http://schemas.openxmlformats.org/officeDocument/2006/relationships/printerSettings" Target="../printerSettings/printerSettings210.bin"/><Relationship Id="rId32" Type="http://schemas.openxmlformats.org/officeDocument/2006/relationships/printerSettings" Target="../printerSettings/printerSettings218.bin"/><Relationship Id="rId37" Type="http://schemas.openxmlformats.org/officeDocument/2006/relationships/printerSettings" Target="../printerSettings/printerSettings223.bin"/><Relationship Id="rId40" Type="http://schemas.openxmlformats.org/officeDocument/2006/relationships/printerSettings" Target="../printerSettings/printerSettings226.bin"/><Relationship Id="rId45" Type="http://schemas.openxmlformats.org/officeDocument/2006/relationships/printerSettings" Target="../printerSettings/printerSettings231.bin"/><Relationship Id="rId53" Type="http://schemas.openxmlformats.org/officeDocument/2006/relationships/printerSettings" Target="../printerSettings/printerSettings239.bin"/><Relationship Id="rId58" Type="http://schemas.openxmlformats.org/officeDocument/2006/relationships/printerSettings" Target="../printerSettings/printerSettings244.bin"/><Relationship Id="rId5" Type="http://schemas.openxmlformats.org/officeDocument/2006/relationships/printerSettings" Target="../printerSettings/printerSettings191.bin"/><Relationship Id="rId15" Type="http://schemas.openxmlformats.org/officeDocument/2006/relationships/printerSettings" Target="../printerSettings/printerSettings201.bin"/><Relationship Id="rId23" Type="http://schemas.openxmlformats.org/officeDocument/2006/relationships/printerSettings" Target="../printerSettings/printerSettings209.bin"/><Relationship Id="rId28" Type="http://schemas.openxmlformats.org/officeDocument/2006/relationships/printerSettings" Target="../printerSettings/printerSettings214.bin"/><Relationship Id="rId36" Type="http://schemas.openxmlformats.org/officeDocument/2006/relationships/printerSettings" Target="../printerSettings/printerSettings222.bin"/><Relationship Id="rId49" Type="http://schemas.openxmlformats.org/officeDocument/2006/relationships/printerSettings" Target="../printerSettings/printerSettings235.bin"/><Relationship Id="rId57" Type="http://schemas.openxmlformats.org/officeDocument/2006/relationships/printerSettings" Target="../printerSettings/printerSettings243.bin"/><Relationship Id="rId61" Type="http://schemas.openxmlformats.org/officeDocument/2006/relationships/printerSettings" Target="../printerSettings/printerSettings247.bin"/><Relationship Id="rId10" Type="http://schemas.openxmlformats.org/officeDocument/2006/relationships/printerSettings" Target="../printerSettings/printerSettings196.bin"/><Relationship Id="rId19" Type="http://schemas.openxmlformats.org/officeDocument/2006/relationships/printerSettings" Target="../printerSettings/printerSettings205.bin"/><Relationship Id="rId31" Type="http://schemas.openxmlformats.org/officeDocument/2006/relationships/printerSettings" Target="../printerSettings/printerSettings217.bin"/><Relationship Id="rId44" Type="http://schemas.openxmlformats.org/officeDocument/2006/relationships/printerSettings" Target="../printerSettings/printerSettings230.bin"/><Relationship Id="rId52" Type="http://schemas.openxmlformats.org/officeDocument/2006/relationships/printerSettings" Target="../printerSettings/printerSettings238.bin"/><Relationship Id="rId60" Type="http://schemas.openxmlformats.org/officeDocument/2006/relationships/printerSettings" Target="../printerSettings/printerSettings246.bin"/><Relationship Id="rId4" Type="http://schemas.openxmlformats.org/officeDocument/2006/relationships/printerSettings" Target="../printerSettings/printerSettings190.bin"/><Relationship Id="rId9" Type="http://schemas.openxmlformats.org/officeDocument/2006/relationships/printerSettings" Target="../printerSettings/printerSettings195.bin"/><Relationship Id="rId14" Type="http://schemas.openxmlformats.org/officeDocument/2006/relationships/printerSettings" Target="../printerSettings/printerSettings200.bin"/><Relationship Id="rId22" Type="http://schemas.openxmlformats.org/officeDocument/2006/relationships/printerSettings" Target="../printerSettings/printerSettings208.bin"/><Relationship Id="rId27" Type="http://schemas.openxmlformats.org/officeDocument/2006/relationships/printerSettings" Target="../printerSettings/printerSettings213.bin"/><Relationship Id="rId30" Type="http://schemas.openxmlformats.org/officeDocument/2006/relationships/printerSettings" Target="../printerSettings/printerSettings216.bin"/><Relationship Id="rId35" Type="http://schemas.openxmlformats.org/officeDocument/2006/relationships/printerSettings" Target="../printerSettings/printerSettings221.bin"/><Relationship Id="rId43" Type="http://schemas.openxmlformats.org/officeDocument/2006/relationships/printerSettings" Target="../printerSettings/printerSettings229.bin"/><Relationship Id="rId48" Type="http://schemas.openxmlformats.org/officeDocument/2006/relationships/printerSettings" Target="../printerSettings/printerSettings234.bin"/><Relationship Id="rId56" Type="http://schemas.openxmlformats.org/officeDocument/2006/relationships/printerSettings" Target="../printerSettings/printerSettings242.bin"/><Relationship Id="rId8" Type="http://schemas.openxmlformats.org/officeDocument/2006/relationships/printerSettings" Target="../printerSettings/printerSettings194.bin"/><Relationship Id="rId51" Type="http://schemas.openxmlformats.org/officeDocument/2006/relationships/printerSettings" Target="../printerSettings/printerSettings237.bin"/><Relationship Id="rId3" Type="http://schemas.openxmlformats.org/officeDocument/2006/relationships/printerSettings" Target="../printerSettings/printerSettings189.bin"/><Relationship Id="rId12" Type="http://schemas.openxmlformats.org/officeDocument/2006/relationships/printerSettings" Target="../printerSettings/printerSettings198.bin"/><Relationship Id="rId17" Type="http://schemas.openxmlformats.org/officeDocument/2006/relationships/printerSettings" Target="../printerSettings/printerSettings203.bin"/><Relationship Id="rId25" Type="http://schemas.openxmlformats.org/officeDocument/2006/relationships/printerSettings" Target="../printerSettings/printerSettings211.bin"/><Relationship Id="rId33" Type="http://schemas.openxmlformats.org/officeDocument/2006/relationships/printerSettings" Target="../printerSettings/printerSettings219.bin"/><Relationship Id="rId38" Type="http://schemas.openxmlformats.org/officeDocument/2006/relationships/printerSettings" Target="../printerSettings/printerSettings224.bin"/><Relationship Id="rId46" Type="http://schemas.openxmlformats.org/officeDocument/2006/relationships/printerSettings" Target="../printerSettings/printerSettings232.bin"/><Relationship Id="rId59" Type="http://schemas.openxmlformats.org/officeDocument/2006/relationships/printerSettings" Target="../printerSettings/printerSettings245.bin"/></Relationships>
</file>

<file path=xl/worksheets/_rels/sheet5.xml.rels><?xml version="1.0" encoding="UTF-8" standalone="yes"?>
<Relationships xmlns="http://schemas.openxmlformats.org/package/2006/relationships"><Relationship Id="rId13" Type="http://schemas.openxmlformats.org/officeDocument/2006/relationships/printerSettings" Target="../printerSettings/printerSettings262.bin"/><Relationship Id="rId18" Type="http://schemas.openxmlformats.org/officeDocument/2006/relationships/printerSettings" Target="../printerSettings/printerSettings267.bin"/><Relationship Id="rId26" Type="http://schemas.openxmlformats.org/officeDocument/2006/relationships/printerSettings" Target="../printerSettings/printerSettings275.bin"/><Relationship Id="rId39" Type="http://schemas.openxmlformats.org/officeDocument/2006/relationships/printerSettings" Target="../printerSettings/printerSettings288.bin"/><Relationship Id="rId21" Type="http://schemas.openxmlformats.org/officeDocument/2006/relationships/printerSettings" Target="../printerSettings/printerSettings270.bin"/><Relationship Id="rId34" Type="http://schemas.openxmlformats.org/officeDocument/2006/relationships/printerSettings" Target="../printerSettings/printerSettings283.bin"/><Relationship Id="rId42" Type="http://schemas.openxmlformats.org/officeDocument/2006/relationships/printerSettings" Target="../printerSettings/printerSettings291.bin"/><Relationship Id="rId47" Type="http://schemas.openxmlformats.org/officeDocument/2006/relationships/printerSettings" Target="../printerSettings/printerSettings296.bin"/><Relationship Id="rId50" Type="http://schemas.openxmlformats.org/officeDocument/2006/relationships/printerSettings" Target="../printerSettings/printerSettings299.bin"/><Relationship Id="rId55" Type="http://schemas.openxmlformats.org/officeDocument/2006/relationships/printerSettings" Target="../printerSettings/printerSettings304.bin"/><Relationship Id="rId63" Type="http://schemas.openxmlformats.org/officeDocument/2006/relationships/printerSettings" Target="../printerSettings/printerSettings312.bin"/><Relationship Id="rId7" Type="http://schemas.openxmlformats.org/officeDocument/2006/relationships/printerSettings" Target="../printerSettings/printerSettings256.bin"/><Relationship Id="rId2" Type="http://schemas.openxmlformats.org/officeDocument/2006/relationships/printerSettings" Target="../printerSettings/printerSettings251.bin"/><Relationship Id="rId16" Type="http://schemas.openxmlformats.org/officeDocument/2006/relationships/printerSettings" Target="../printerSettings/printerSettings265.bin"/><Relationship Id="rId20" Type="http://schemas.openxmlformats.org/officeDocument/2006/relationships/printerSettings" Target="../printerSettings/printerSettings269.bin"/><Relationship Id="rId29" Type="http://schemas.openxmlformats.org/officeDocument/2006/relationships/printerSettings" Target="../printerSettings/printerSettings278.bin"/><Relationship Id="rId41" Type="http://schemas.openxmlformats.org/officeDocument/2006/relationships/printerSettings" Target="../printerSettings/printerSettings290.bin"/><Relationship Id="rId54" Type="http://schemas.openxmlformats.org/officeDocument/2006/relationships/printerSettings" Target="../printerSettings/printerSettings303.bin"/><Relationship Id="rId62" Type="http://schemas.openxmlformats.org/officeDocument/2006/relationships/printerSettings" Target="../printerSettings/printerSettings311.bin"/><Relationship Id="rId1" Type="http://schemas.openxmlformats.org/officeDocument/2006/relationships/printerSettings" Target="../printerSettings/printerSettings250.bin"/><Relationship Id="rId6" Type="http://schemas.openxmlformats.org/officeDocument/2006/relationships/printerSettings" Target="../printerSettings/printerSettings255.bin"/><Relationship Id="rId11" Type="http://schemas.openxmlformats.org/officeDocument/2006/relationships/printerSettings" Target="../printerSettings/printerSettings260.bin"/><Relationship Id="rId24" Type="http://schemas.openxmlformats.org/officeDocument/2006/relationships/printerSettings" Target="../printerSettings/printerSettings273.bin"/><Relationship Id="rId32" Type="http://schemas.openxmlformats.org/officeDocument/2006/relationships/printerSettings" Target="../printerSettings/printerSettings281.bin"/><Relationship Id="rId37" Type="http://schemas.openxmlformats.org/officeDocument/2006/relationships/printerSettings" Target="../printerSettings/printerSettings286.bin"/><Relationship Id="rId40" Type="http://schemas.openxmlformats.org/officeDocument/2006/relationships/printerSettings" Target="../printerSettings/printerSettings289.bin"/><Relationship Id="rId45" Type="http://schemas.openxmlformats.org/officeDocument/2006/relationships/printerSettings" Target="../printerSettings/printerSettings294.bin"/><Relationship Id="rId53" Type="http://schemas.openxmlformats.org/officeDocument/2006/relationships/printerSettings" Target="../printerSettings/printerSettings302.bin"/><Relationship Id="rId58" Type="http://schemas.openxmlformats.org/officeDocument/2006/relationships/printerSettings" Target="../printerSettings/printerSettings307.bin"/><Relationship Id="rId5" Type="http://schemas.openxmlformats.org/officeDocument/2006/relationships/printerSettings" Target="../printerSettings/printerSettings254.bin"/><Relationship Id="rId15" Type="http://schemas.openxmlformats.org/officeDocument/2006/relationships/printerSettings" Target="../printerSettings/printerSettings264.bin"/><Relationship Id="rId23" Type="http://schemas.openxmlformats.org/officeDocument/2006/relationships/printerSettings" Target="../printerSettings/printerSettings272.bin"/><Relationship Id="rId28" Type="http://schemas.openxmlformats.org/officeDocument/2006/relationships/printerSettings" Target="../printerSettings/printerSettings277.bin"/><Relationship Id="rId36" Type="http://schemas.openxmlformats.org/officeDocument/2006/relationships/printerSettings" Target="../printerSettings/printerSettings285.bin"/><Relationship Id="rId49" Type="http://schemas.openxmlformats.org/officeDocument/2006/relationships/printerSettings" Target="../printerSettings/printerSettings298.bin"/><Relationship Id="rId57" Type="http://schemas.openxmlformats.org/officeDocument/2006/relationships/printerSettings" Target="../printerSettings/printerSettings306.bin"/><Relationship Id="rId61" Type="http://schemas.openxmlformats.org/officeDocument/2006/relationships/printerSettings" Target="../printerSettings/printerSettings310.bin"/><Relationship Id="rId10" Type="http://schemas.openxmlformats.org/officeDocument/2006/relationships/printerSettings" Target="../printerSettings/printerSettings259.bin"/><Relationship Id="rId19" Type="http://schemas.openxmlformats.org/officeDocument/2006/relationships/printerSettings" Target="../printerSettings/printerSettings268.bin"/><Relationship Id="rId31" Type="http://schemas.openxmlformats.org/officeDocument/2006/relationships/printerSettings" Target="../printerSettings/printerSettings280.bin"/><Relationship Id="rId44" Type="http://schemas.openxmlformats.org/officeDocument/2006/relationships/printerSettings" Target="../printerSettings/printerSettings293.bin"/><Relationship Id="rId52" Type="http://schemas.openxmlformats.org/officeDocument/2006/relationships/printerSettings" Target="../printerSettings/printerSettings301.bin"/><Relationship Id="rId60" Type="http://schemas.openxmlformats.org/officeDocument/2006/relationships/printerSettings" Target="../printerSettings/printerSettings309.bin"/><Relationship Id="rId4" Type="http://schemas.openxmlformats.org/officeDocument/2006/relationships/printerSettings" Target="../printerSettings/printerSettings253.bin"/><Relationship Id="rId9" Type="http://schemas.openxmlformats.org/officeDocument/2006/relationships/printerSettings" Target="../printerSettings/printerSettings258.bin"/><Relationship Id="rId14" Type="http://schemas.openxmlformats.org/officeDocument/2006/relationships/printerSettings" Target="../printerSettings/printerSettings263.bin"/><Relationship Id="rId22" Type="http://schemas.openxmlformats.org/officeDocument/2006/relationships/printerSettings" Target="../printerSettings/printerSettings271.bin"/><Relationship Id="rId27" Type="http://schemas.openxmlformats.org/officeDocument/2006/relationships/printerSettings" Target="../printerSettings/printerSettings276.bin"/><Relationship Id="rId30" Type="http://schemas.openxmlformats.org/officeDocument/2006/relationships/printerSettings" Target="../printerSettings/printerSettings279.bin"/><Relationship Id="rId35" Type="http://schemas.openxmlformats.org/officeDocument/2006/relationships/printerSettings" Target="../printerSettings/printerSettings284.bin"/><Relationship Id="rId43" Type="http://schemas.openxmlformats.org/officeDocument/2006/relationships/printerSettings" Target="../printerSettings/printerSettings292.bin"/><Relationship Id="rId48" Type="http://schemas.openxmlformats.org/officeDocument/2006/relationships/printerSettings" Target="../printerSettings/printerSettings297.bin"/><Relationship Id="rId56" Type="http://schemas.openxmlformats.org/officeDocument/2006/relationships/printerSettings" Target="../printerSettings/printerSettings305.bin"/><Relationship Id="rId8" Type="http://schemas.openxmlformats.org/officeDocument/2006/relationships/printerSettings" Target="../printerSettings/printerSettings257.bin"/><Relationship Id="rId51" Type="http://schemas.openxmlformats.org/officeDocument/2006/relationships/printerSettings" Target="../printerSettings/printerSettings300.bin"/><Relationship Id="rId3" Type="http://schemas.openxmlformats.org/officeDocument/2006/relationships/printerSettings" Target="../printerSettings/printerSettings252.bin"/><Relationship Id="rId12" Type="http://schemas.openxmlformats.org/officeDocument/2006/relationships/printerSettings" Target="../printerSettings/printerSettings261.bin"/><Relationship Id="rId17" Type="http://schemas.openxmlformats.org/officeDocument/2006/relationships/printerSettings" Target="../printerSettings/printerSettings266.bin"/><Relationship Id="rId25" Type="http://schemas.openxmlformats.org/officeDocument/2006/relationships/printerSettings" Target="../printerSettings/printerSettings274.bin"/><Relationship Id="rId33" Type="http://schemas.openxmlformats.org/officeDocument/2006/relationships/printerSettings" Target="../printerSettings/printerSettings282.bin"/><Relationship Id="rId38" Type="http://schemas.openxmlformats.org/officeDocument/2006/relationships/printerSettings" Target="../printerSettings/printerSettings287.bin"/><Relationship Id="rId46" Type="http://schemas.openxmlformats.org/officeDocument/2006/relationships/printerSettings" Target="../printerSettings/printerSettings295.bin"/><Relationship Id="rId59" Type="http://schemas.openxmlformats.org/officeDocument/2006/relationships/printerSettings" Target="../printerSettings/printerSettings308.bin"/></Relationships>
</file>

<file path=xl/worksheets/_rels/sheet6.xml.rels><?xml version="1.0" encoding="UTF-8" standalone="yes"?>
<Relationships xmlns="http://schemas.openxmlformats.org/package/2006/relationships"><Relationship Id="rId13" Type="http://schemas.openxmlformats.org/officeDocument/2006/relationships/printerSettings" Target="../printerSettings/printerSettings325.bin"/><Relationship Id="rId18" Type="http://schemas.openxmlformats.org/officeDocument/2006/relationships/printerSettings" Target="../printerSettings/printerSettings330.bin"/><Relationship Id="rId26" Type="http://schemas.openxmlformats.org/officeDocument/2006/relationships/printerSettings" Target="../printerSettings/printerSettings338.bin"/><Relationship Id="rId39" Type="http://schemas.openxmlformats.org/officeDocument/2006/relationships/printerSettings" Target="../printerSettings/printerSettings351.bin"/><Relationship Id="rId21" Type="http://schemas.openxmlformats.org/officeDocument/2006/relationships/printerSettings" Target="../printerSettings/printerSettings333.bin"/><Relationship Id="rId34" Type="http://schemas.openxmlformats.org/officeDocument/2006/relationships/printerSettings" Target="../printerSettings/printerSettings346.bin"/><Relationship Id="rId42" Type="http://schemas.openxmlformats.org/officeDocument/2006/relationships/printerSettings" Target="../printerSettings/printerSettings354.bin"/><Relationship Id="rId47" Type="http://schemas.openxmlformats.org/officeDocument/2006/relationships/printerSettings" Target="../printerSettings/printerSettings359.bin"/><Relationship Id="rId50" Type="http://schemas.openxmlformats.org/officeDocument/2006/relationships/printerSettings" Target="../printerSettings/printerSettings362.bin"/><Relationship Id="rId55" Type="http://schemas.openxmlformats.org/officeDocument/2006/relationships/printerSettings" Target="../printerSettings/printerSettings367.bin"/><Relationship Id="rId63" Type="http://schemas.openxmlformats.org/officeDocument/2006/relationships/printerSettings" Target="../printerSettings/printerSettings375.bin"/><Relationship Id="rId7" Type="http://schemas.openxmlformats.org/officeDocument/2006/relationships/printerSettings" Target="../printerSettings/printerSettings319.bin"/><Relationship Id="rId2" Type="http://schemas.openxmlformats.org/officeDocument/2006/relationships/printerSettings" Target="../printerSettings/printerSettings314.bin"/><Relationship Id="rId16" Type="http://schemas.openxmlformats.org/officeDocument/2006/relationships/printerSettings" Target="../printerSettings/printerSettings328.bin"/><Relationship Id="rId20" Type="http://schemas.openxmlformats.org/officeDocument/2006/relationships/printerSettings" Target="../printerSettings/printerSettings332.bin"/><Relationship Id="rId29" Type="http://schemas.openxmlformats.org/officeDocument/2006/relationships/printerSettings" Target="../printerSettings/printerSettings341.bin"/><Relationship Id="rId41" Type="http://schemas.openxmlformats.org/officeDocument/2006/relationships/printerSettings" Target="../printerSettings/printerSettings353.bin"/><Relationship Id="rId54" Type="http://schemas.openxmlformats.org/officeDocument/2006/relationships/printerSettings" Target="../printerSettings/printerSettings366.bin"/><Relationship Id="rId62" Type="http://schemas.openxmlformats.org/officeDocument/2006/relationships/printerSettings" Target="../printerSettings/printerSettings374.bin"/><Relationship Id="rId1" Type="http://schemas.openxmlformats.org/officeDocument/2006/relationships/printerSettings" Target="../printerSettings/printerSettings313.bin"/><Relationship Id="rId6" Type="http://schemas.openxmlformats.org/officeDocument/2006/relationships/printerSettings" Target="../printerSettings/printerSettings318.bin"/><Relationship Id="rId11" Type="http://schemas.openxmlformats.org/officeDocument/2006/relationships/printerSettings" Target="../printerSettings/printerSettings323.bin"/><Relationship Id="rId24" Type="http://schemas.openxmlformats.org/officeDocument/2006/relationships/printerSettings" Target="../printerSettings/printerSettings336.bin"/><Relationship Id="rId32" Type="http://schemas.openxmlformats.org/officeDocument/2006/relationships/printerSettings" Target="../printerSettings/printerSettings344.bin"/><Relationship Id="rId37" Type="http://schemas.openxmlformats.org/officeDocument/2006/relationships/printerSettings" Target="../printerSettings/printerSettings349.bin"/><Relationship Id="rId40" Type="http://schemas.openxmlformats.org/officeDocument/2006/relationships/printerSettings" Target="../printerSettings/printerSettings352.bin"/><Relationship Id="rId45" Type="http://schemas.openxmlformats.org/officeDocument/2006/relationships/printerSettings" Target="../printerSettings/printerSettings357.bin"/><Relationship Id="rId53" Type="http://schemas.openxmlformats.org/officeDocument/2006/relationships/printerSettings" Target="../printerSettings/printerSettings365.bin"/><Relationship Id="rId58" Type="http://schemas.openxmlformats.org/officeDocument/2006/relationships/printerSettings" Target="../printerSettings/printerSettings370.bin"/><Relationship Id="rId5" Type="http://schemas.openxmlformats.org/officeDocument/2006/relationships/printerSettings" Target="../printerSettings/printerSettings317.bin"/><Relationship Id="rId15" Type="http://schemas.openxmlformats.org/officeDocument/2006/relationships/printerSettings" Target="../printerSettings/printerSettings327.bin"/><Relationship Id="rId23" Type="http://schemas.openxmlformats.org/officeDocument/2006/relationships/printerSettings" Target="../printerSettings/printerSettings335.bin"/><Relationship Id="rId28" Type="http://schemas.openxmlformats.org/officeDocument/2006/relationships/printerSettings" Target="../printerSettings/printerSettings340.bin"/><Relationship Id="rId36" Type="http://schemas.openxmlformats.org/officeDocument/2006/relationships/printerSettings" Target="../printerSettings/printerSettings348.bin"/><Relationship Id="rId49" Type="http://schemas.openxmlformats.org/officeDocument/2006/relationships/printerSettings" Target="../printerSettings/printerSettings361.bin"/><Relationship Id="rId57" Type="http://schemas.openxmlformats.org/officeDocument/2006/relationships/printerSettings" Target="../printerSettings/printerSettings369.bin"/><Relationship Id="rId61" Type="http://schemas.openxmlformats.org/officeDocument/2006/relationships/printerSettings" Target="../printerSettings/printerSettings373.bin"/><Relationship Id="rId10" Type="http://schemas.openxmlformats.org/officeDocument/2006/relationships/printerSettings" Target="../printerSettings/printerSettings322.bin"/><Relationship Id="rId19" Type="http://schemas.openxmlformats.org/officeDocument/2006/relationships/printerSettings" Target="../printerSettings/printerSettings331.bin"/><Relationship Id="rId31" Type="http://schemas.openxmlformats.org/officeDocument/2006/relationships/printerSettings" Target="../printerSettings/printerSettings343.bin"/><Relationship Id="rId44" Type="http://schemas.openxmlformats.org/officeDocument/2006/relationships/printerSettings" Target="../printerSettings/printerSettings356.bin"/><Relationship Id="rId52" Type="http://schemas.openxmlformats.org/officeDocument/2006/relationships/printerSettings" Target="../printerSettings/printerSettings364.bin"/><Relationship Id="rId60" Type="http://schemas.openxmlformats.org/officeDocument/2006/relationships/printerSettings" Target="../printerSettings/printerSettings372.bin"/><Relationship Id="rId4" Type="http://schemas.openxmlformats.org/officeDocument/2006/relationships/printerSettings" Target="../printerSettings/printerSettings316.bin"/><Relationship Id="rId9" Type="http://schemas.openxmlformats.org/officeDocument/2006/relationships/printerSettings" Target="../printerSettings/printerSettings321.bin"/><Relationship Id="rId14" Type="http://schemas.openxmlformats.org/officeDocument/2006/relationships/printerSettings" Target="../printerSettings/printerSettings326.bin"/><Relationship Id="rId22" Type="http://schemas.openxmlformats.org/officeDocument/2006/relationships/printerSettings" Target="../printerSettings/printerSettings334.bin"/><Relationship Id="rId27" Type="http://schemas.openxmlformats.org/officeDocument/2006/relationships/printerSettings" Target="../printerSettings/printerSettings339.bin"/><Relationship Id="rId30" Type="http://schemas.openxmlformats.org/officeDocument/2006/relationships/printerSettings" Target="../printerSettings/printerSettings342.bin"/><Relationship Id="rId35" Type="http://schemas.openxmlformats.org/officeDocument/2006/relationships/printerSettings" Target="../printerSettings/printerSettings347.bin"/><Relationship Id="rId43" Type="http://schemas.openxmlformats.org/officeDocument/2006/relationships/printerSettings" Target="../printerSettings/printerSettings355.bin"/><Relationship Id="rId48" Type="http://schemas.openxmlformats.org/officeDocument/2006/relationships/printerSettings" Target="../printerSettings/printerSettings360.bin"/><Relationship Id="rId56" Type="http://schemas.openxmlformats.org/officeDocument/2006/relationships/printerSettings" Target="../printerSettings/printerSettings368.bin"/><Relationship Id="rId8" Type="http://schemas.openxmlformats.org/officeDocument/2006/relationships/printerSettings" Target="../printerSettings/printerSettings320.bin"/><Relationship Id="rId51" Type="http://schemas.openxmlformats.org/officeDocument/2006/relationships/printerSettings" Target="../printerSettings/printerSettings363.bin"/><Relationship Id="rId3" Type="http://schemas.openxmlformats.org/officeDocument/2006/relationships/printerSettings" Target="../printerSettings/printerSettings315.bin"/><Relationship Id="rId12" Type="http://schemas.openxmlformats.org/officeDocument/2006/relationships/printerSettings" Target="../printerSettings/printerSettings324.bin"/><Relationship Id="rId17" Type="http://schemas.openxmlformats.org/officeDocument/2006/relationships/printerSettings" Target="../printerSettings/printerSettings329.bin"/><Relationship Id="rId25" Type="http://schemas.openxmlformats.org/officeDocument/2006/relationships/printerSettings" Target="../printerSettings/printerSettings337.bin"/><Relationship Id="rId33" Type="http://schemas.openxmlformats.org/officeDocument/2006/relationships/printerSettings" Target="../printerSettings/printerSettings345.bin"/><Relationship Id="rId38" Type="http://schemas.openxmlformats.org/officeDocument/2006/relationships/printerSettings" Target="../printerSettings/printerSettings350.bin"/><Relationship Id="rId46" Type="http://schemas.openxmlformats.org/officeDocument/2006/relationships/printerSettings" Target="../printerSettings/printerSettings358.bin"/><Relationship Id="rId59" Type="http://schemas.openxmlformats.org/officeDocument/2006/relationships/printerSettings" Target="../printerSettings/printerSettings371.bin"/></Relationships>
</file>

<file path=xl/worksheets/_rels/sheet8.xml.rels><?xml version="1.0" encoding="UTF-8" standalone="yes"?>
<Relationships xmlns="http://schemas.openxmlformats.org/package/2006/relationships"><Relationship Id="rId13" Type="http://schemas.openxmlformats.org/officeDocument/2006/relationships/printerSettings" Target="../printerSettings/printerSettings388.bin"/><Relationship Id="rId18" Type="http://schemas.openxmlformats.org/officeDocument/2006/relationships/printerSettings" Target="../printerSettings/printerSettings393.bin"/><Relationship Id="rId26" Type="http://schemas.openxmlformats.org/officeDocument/2006/relationships/printerSettings" Target="../printerSettings/printerSettings401.bin"/><Relationship Id="rId39" Type="http://schemas.openxmlformats.org/officeDocument/2006/relationships/printerSettings" Target="../printerSettings/printerSettings414.bin"/><Relationship Id="rId21" Type="http://schemas.openxmlformats.org/officeDocument/2006/relationships/printerSettings" Target="../printerSettings/printerSettings396.bin"/><Relationship Id="rId34" Type="http://schemas.openxmlformats.org/officeDocument/2006/relationships/printerSettings" Target="../printerSettings/printerSettings409.bin"/><Relationship Id="rId42" Type="http://schemas.openxmlformats.org/officeDocument/2006/relationships/printerSettings" Target="../printerSettings/printerSettings417.bin"/><Relationship Id="rId47" Type="http://schemas.openxmlformats.org/officeDocument/2006/relationships/printerSettings" Target="../printerSettings/printerSettings422.bin"/><Relationship Id="rId50" Type="http://schemas.openxmlformats.org/officeDocument/2006/relationships/printerSettings" Target="../printerSettings/printerSettings425.bin"/><Relationship Id="rId55" Type="http://schemas.openxmlformats.org/officeDocument/2006/relationships/printerSettings" Target="../printerSettings/printerSettings430.bin"/><Relationship Id="rId7" Type="http://schemas.openxmlformats.org/officeDocument/2006/relationships/printerSettings" Target="../printerSettings/printerSettings382.bin"/><Relationship Id="rId2" Type="http://schemas.openxmlformats.org/officeDocument/2006/relationships/printerSettings" Target="../printerSettings/printerSettings377.bin"/><Relationship Id="rId16" Type="http://schemas.openxmlformats.org/officeDocument/2006/relationships/printerSettings" Target="../printerSettings/printerSettings391.bin"/><Relationship Id="rId20" Type="http://schemas.openxmlformats.org/officeDocument/2006/relationships/printerSettings" Target="../printerSettings/printerSettings395.bin"/><Relationship Id="rId29" Type="http://schemas.openxmlformats.org/officeDocument/2006/relationships/printerSettings" Target="../printerSettings/printerSettings404.bin"/><Relationship Id="rId41" Type="http://schemas.openxmlformats.org/officeDocument/2006/relationships/printerSettings" Target="../printerSettings/printerSettings416.bin"/><Relationship Id="rId54" Type="http://schemas.openxmlformats.org/officeDocument/2006/relationships/printerSettings" Target="../printerSettings/printerSettings429.bin"/><Relationship Id="rId62" Type="http://schemas.openxmlformats.org/officeDocument/2006/relationships/printerSettings" Target="../printerSettings/printerSettings437.bin"/><Relationship Id="rId1" Type="http://schemas.openxmlformats.org/officeDocument/2006/relationships/printerSettings" Target="../printerSettings/printerSettings376.bin"/><Relationship Id="rId6" Type="http://schemas.openxmlformats.org/officeDocument/2006/relationships/printerSettings" Target="../printerSettings/printerSettings381.bin"/><Relationship Id="rId11" Type="http://schemas.openxmlformats.org/officeDocument/2006/relationships/printerSettings" Target="../printerSettings/printerSettings386.bin"/><Relationship Id="rId24" Type="http://schemas.openxmlformats.org/officeDocument/2006/relationships/printerSettings" Target="../printerSettings/printerSettings399.bin"/><Relationship Id="rId32" Type="http://schemas.openxmlformats.org/officeDocument/2006/relationships/printerSettings" Target="../printerSettings/printerSettings407.bin"/><Relationship Id="rId37" Type="http://schemas.openxmlformats.org/officeDocument/2006/relationships/printerSettings" Target="../printerSettings/printerSettings412.bin"/><Relationship Id="rId40" Type="http://schemas.openxmlformats.org/officeDocument/2006/relationships/printerSettings" Target="../printerSettings/printerSettings415.bin"/><Relationship Id="rId45" Type="http://schemas.openxmlformats.org/officeDocument/2006/relationships/printerSettings" Target="../printerSettings/printerSettings420.bin"/><Relationship Id="rId53" Type="http://schemas.openxmlformats.org/officeDocument/2006/relationships/printerSettings" Target="../printerSettings/printerSettings428.bin"/><Relationship Id="rId58" Type="http://schemas.openxmlformats.org/officeDocument/2006/relationships/printerSettings" Target="../printerSettings/printerSettings433.bin"/><Relationship Id="rId5" Type="http://schemas.openxmlformats.org/officeDocument/2006/relationships/printerSettings" Target="../printerSettings/printerSettings380.bin"/><Relationship Id="rId15" Type="http://schemas.openxmlformats.org/officeDocument/2006/relationships/printerSettings" Target="../printerSettings/printerSettings390.bin"/><Relationship Id="rId23" Type="http://schemas.openxmlformats.org/officeDocument/2006/relationships/printerSettings" Target="../printerSettings/printerSettings398.bin"/><Relationship Id="rId28" Type="http://schemas.openxmlformats.org/officeDocument/2006/relationships/printerSettings" Target="../printerSettings/printerSettings403.bin"/><Relationship Id="rId36" Type="http://schemas.openxmlformats.org/officeDocument/2006/relationships/printerSettings" Target="../printerSettings/printerSettings411.bin"/><Relationship Id="rId49" Type="http://schemas.openxmlformats.org/officeDocument/2006/relationships/printerSettings" Target="../printerSettings/printerSettings424.bin"/><Relationship Id="rId57" Type="http://schemas.openxmlformats.org/officeDocument/2006/relationships/printerSettings" Target="../printerSettings/printerSettings432.bin"/><Relationship Id="rId61" Type="http://schemas.openxmlformats.org/officeDocument/2006/relationships/printerSettings" Target="../printerSettings/printerSettings436.bin"/><Relationship Id="rId10" Type="http://schemas.openxmlformats.org/officeDocument/2006/relationships/printerSettings" Target="../printerSettings/printerSettings385.bin"/><Relationship Id="rId19" Type="http://schemas.openxmlformats.org/officeDocument/2006/relationships/printerSettings" Target="../printerSettings/printerSettings394.bin"/><Relationship Id="rId31" Type="http://schemas.openxmlformats.org/officeDocument/2006/relationships/printerSettings" Target="../printerSettings/printerSettings406.bin"/><Relationship Id="rId44" Type="http://schemas.openxmlformats.org/officeDocument/2006/relationships/printerSettings" Target="../printerSettings/printerSettings419.bin"/><Relationship Id="rId52" Type="http://schemas.openxmlformats.org/officeDocument/2006/relationships/printerSettings" Target="../printerSettings/printerSettings427.bin"/><Relationship Id="rId60" Type="http://schemas.openxmlformats.org/officeDocument/2006/relationships/printerSettings" Target="../printerSettings/printerSettings435.bin"/><Relationship Id="rId4" Type="http://schemas.openxmlformats.org/officeDocument/2006/relationships/printerSettings" Target="../printerSettings/printerSettings379.bin"/><Relationship Id="rId9" Type="http://schemas.openxmlformats.org/officeDocument/2006/relationships/printerSettings" Target="../printerSettings/printerSettings384.bin"/><Relationship Id="rId14" Type="http://schemas.openxmlformats.org/officeDocument/2006/relationships/printerSettings" Target="../printerSettings/printerSettings389.bin"/><Relationship Id="rId22" Type="http://schemas.openxmlformats.org/officeDocument/2006/relationships/printerSettings" Target="../printerSettings/printerSettings397.bin"/><Relationship Id="rId27" Type="http://schemas.openxmlformats.org/officeDocument/2006/relationships/printerSettings" Target="../printerSettings/printerSettings402.bin"/><Relationship Id="rId30" Type="http://schemas.openxmlformats.org/officeDocument/2006/relationships/printerSettings" Target="../printerSettings/printerSettings405.bin"/><Relationship Id="rId35" Type="http://schemas.openxmlformats.org/officeDocument/2006/relationships/printerSettings" Target="../printerSettings/printerSettings410.bin"/><Relationship Id="rId43" Type="http://schemas.openxmlformats.org/officeDocument/2006/relationships/printerSettings" Target="../printerSettings/printerSettings418.bin"/><Relationship Id="rId48" Type="http://schemas.openxmlformats.org/officeDocument/2006/relationships/printerSettings" Target="../printerSettings/printerSettings423.bin"/><Relationship Id="rId56" Type="http://schemas.openxmlformats.org/officeDocument/2006/relationships/printerSettings" Target="../printerSettings/printerSettings431.bin"/><Relationship Id="rId8" Type="http://schemas.openxmlformats.org/officeDocument/2006/relationships/printerSettings" Target="../printerSettings/printerSettings383.bin"/><Relationship Id="rId51" Type="http://schemas.openxmlformats.org/officeDocument/2006/relationships/printerSettings" Target="../printerSettings/printerSettings426.bin"/><Relationship Id="rId3" Type="http://schemas.openxmlformats.org/officeDocument/2006/relationships/printerSettings" Target="../printerSettings/printerSettings378.bin"/><Relationship Id="rId12" Type="http://schemas.openxmlformats.org/officeDocument/2006/relationships/printerSettings" Target="../printerSettings/printerSettings387.bin"/><Relationship Id="rId17" Type="http://schemas.openxmlformats.org/officeDocument/2006/relationships/printerSettings" Target="../printerSettings/printerSettings392.bin"/><Relationship Id="rId25" Type="http://schemas.openxmlformats.org/officeDocument/2006/relationships/printerSettings" Target="../printerSettings/printerSettings400.bin"/><Relationship Id="rId33" Type="http://schemas.openxmlformats.org/officeDocument/2006/relationships/printerSettings" Target="../printerSettings/printerSettings408.bin"/><Relationship Id="rId38" Type="http://schemas.openxmlformats.org/officeDocument/2006/relationships/printerSettings" Target="../printerSettings/printerSettings413.bin"/><Relationship Id="rId46" Type="http://schemas.openxmlformats.org/officeDocument/2006/relationships/printerSettings" Target="../printerSettings/printerSettings421.bin"/><Relationship Id="rId59" Type="http://schemas.openxmlformats.org/officeDocument/2006/relationships/printerSettings" Target="../printerSettings/printerSettings434.bin"/></Relationships>
</file>

<file path=xl/worksheets/_rels/sheet12.xml.rels><?xml version="1.0" encoding="UTF-8" standalone="yes"?>
<Relationships xmlns="http://schemas.openxmlformats.org/package/2006/relationships"><Relationship Id="rId13" Type="http://schemas.openxmlformats.org/officeDocument/2006/relationships/printerSettings" Target="../printerSettings/printerSettings450.bin"/><Relationship Id="rId18" Type="http://schemas.openxmlformats.org/officeDocument/2006/relationships/printerSettings" Target="../printerSettings/printerSettings455.bin"/><Relationship Id="rId26" Type="http://schemas.openxmlformats.org/officeDocument/2006/relationships/printerSettings" Target="../printerSettings/printerSettings463.bin"/><Relationship Id="rId39" Type="http://schemas.openxmlformats.org/officeDocument/2006/relationships/printerSettings" Target="../printerSettings/printerSettings476.bin"/><Relationship Id="rId21" Type="http://schemas.openxmlformats.org/officeDocument/2006/relationships/printerSettings" Target="../printerSettings/printerSettings458.bin"/><Relationship Id="rId34" Type="http://schemas.openxmlformats.org/officeDocument/2006/relationships/printerSettings" Target="../printerSettings/printerSettings471.bin"/><Relationship Id="rId42" Type="http://schemas.openxmlformats.org/officeDocument/2006/relationships/printerSettings" Target="../printerSettings/printerSettings479.bin"/><Relationship Id="rId47" Type="http://schemas.openxmlformats.org/officeDocument/2006/relationships/printerSettings" Target="../printerSettings/printerSettings484.bin"/><Relationship Id="rId50" Type="http://schemas.openxmlformats.org/officeDocument/2006/relationships/printerSettings" Target="../printerSettings/printerSettings487.bin"/><Relationship Id="rId55" Type="http://schemas.openxmlformats.org/officeDocument/2006/relationships/printerSettings" Target="../printerSettings/printerSettings492.bin"/><Relationship Id="rId63" Type="http://schemas.openxmlformats.org/officeDocument/2006/relationships/printerSettings" Target="../printerSettings/printerSettings500.bin"/><Relationship Id="rId7" Type="http://schemas.openxmlformats.org/officeDocument/2006/relationships/printerSettings" Target="../printerSettings/printerSettings444.bin"/><Relationship Id="rId2" Type="http://schemas.openxmlformats.org/officeDocument/2006/relationships/printerSettings" Target="../printerSettings/printerSettings439.bin"/><Relationship Id="rId16" Type="http://schemas.openxmlformats.org/officeDocument/2006/relationships/printerSettings" Target="../printerSettings/printerSettings453.bin"/><Relationship Id="rId20" Type="http://schemas.openxmlformats.org/officeDocument/2006/relationships/printerSettings" Target="../printerSettings/printerSettings457.bin"/><Relationship Id="rId29" Type="http://schemas.openxmlformats.org/officeDocument/2006/relationships/printerSettings" Target="../printerSettings/printerSettings466.bin"/><Relationship Id="rId41" Type="http://schemas.openxmlformats.org/officeDocument/2006/relationships/printerSettings" Target="../printerSettings/printerSettings478.bin"/><Relationship Id="rId54" Type="http://schemas.openxmlformats.org/officeDocument/2006/relationships/printerSettings" Target="../printerSettings/printerSettings491.bin"/><Relationship Id="rId62" Type="http://schemas.openxmlformats.org/officeDocument/2006/relationships/printerSettings" Target="../printerSettings/printerSettings499.bin"/><Relationship Id="rId1" Type="http://schemas.openxmlformats.org/officeDocument/2006/relationships/printerSettings" Target="../printerSettings/printerSettings438.bin"/><Relationship Id="rId6" Type="http://schemas.openxmlformats.org/officeDocument/2006/relationships/printerSettings" Target="../printerSettings/printerSettings443.bin"/><Relationship Id="rId11" Type="http://schemas.openxmlformats.org/officeDocument/2006/relationships/printerSettings" Target="../printerSettings/printerSettings448.bin"/><Relationship Id="rId24" Type="http://schemas.openxmlformats.org/officeDocument/2006/relationships/printerSettings" Target="../printerSettings/printerSettings461.bin"/><Relationship Id="rId32" Type="http://schemas.openxmlformats.org/officeDocument/2006/relationships/printerSettings" Target="../printerSettings/printerSettings469.bin"/><Relationship Id="rId37" Type="http://schemas.openxmlformats.org/officeDocument/2006/relationships/printerSettings" Target="../printerSettings/printerSettings474.bin"/><Relationship Id="rId40" Type="http://schemas.openxmlformats.org/officeDocument/2006/relationships/printerSettings" Target="../printerSettings/printerSettings477.bin"/><Relationship Id="rId45" Type="http://schemas.openxmlformats.org/officeDocument/2006/relationships/printerSettings" Target="../printerSettings/printerSettings482.bin"/><Relationship Id="rId53" Type="http://schemas.openxmlformats.org/officeDocument/2006/relationships/printerSettings" Target="../printerSettings/printerSettings490.bin"/><Relationship Id="rId58" Type="http://schemas.openxmlformats.org/officeDocument/2006/relationships/printerSettings" Target="../printerSettings/printerSettings495.bin"/><Relationship Id="rId5" Type="http://schemas.openxmlformats.org/officeDocument/2006/relationships/printerSettings" Target="../printerSettings/printerSettings442.bin"/><Relationship Id="rId15" Type="http://schemas.openxmlformats.org/officeDocument/2006/relationships/printerSettings" Target="../printerSettings/printerSettings452.bin"/><Relationship Id="rId23" Type="http://schemas.openxmlformats.org/officeDocument/2006/relationships/printerSettings" Target="../printerSettings/printerSettings460.bin"/><Relationship Id="rId28" Type="http://schemas.openxmlformats.org/officeDocument/2006/relationships/printerSettings" Target="../printerSettings/printerSettings465.bin"/><Relationship Id="rId36" Type="http://schemas.openxmlformats.org/officeDocument/2006/relationships/printerSettings" Target="../printerSettings/printerSettings473.bin"/><Relationship Id="rId49" Type="http://schemas.openxmlformats.org/officeDocument/2006/relationships/printerSettings" Target="../printerSettings/printerSettings486.bin"/><Relationship Id="rId57" Type="http://schemas.openxmlformats.org/officeDocument/2006/relationships/printerSettings" Target="../printerSettings/printerSettings494.bin"/><Relationship Id="rId61" Type="http://schemas.openxmlformats.org/officeDocument/2006/relationships/printerSettings" Target="../printerSettings/printerSettings498.bin"/><Relationship Id="rId10" Type="http://schemas.openxmlformats.org/officeDocument/2006/relationships/printerSettings" Target="../printerSettings/printerSettings447.bin"/><Relationship Id="rId19" Type="http://schemas.openxmlformats.org/officeDocument/2006/relationships/printerSettings" Target="../printerSettings/printerSettings456.bin"/><Relationship Id="rId31" Type="http://schemas.openxmlformats.org/officeDocument/2006/relationships/printerSettings" Target="../printerSettings/printerSettings468.bin"/><Relationship Id="rId44" Type="http://schemas.openxmlformats.org/officeDocument/2006/relationships/printerSettings" Target="../printerSettings/printerSettings481.bin"/><Relationship Id="rId52" Type="http://schemas.openxmlformats.org/officeDocument/2006/relationships/printerSettings" Target="../printerSettings/printerSettings489.bin"/><Relationship Id="rId60" Type="http://schemas.openxmlformats.org/officeDocument/2006/relationships/printerSettings" Target="../printerSettings/printerSettings497.bin"/><Relationship Id="rId4" Type="http://schemas.openxmlformats.org/officeDocument/2006/relationships/printerSettings" Target="../printerSettings/printerSettings441.bin"/><Relationship Id="rId9" Type="http://schemas.openxmlformats.org/officeDocument/2006/relationships/printerSettings" Target="../printerSettings/printerSettings446.bin"/><Relationship Id="rId14" Type="http://schemas.openxmlformats.org/officeDocument/2006/relationships/printerSettings" Target="../printerSettings/printerSettings451.bin"/><Relationship Id="rId22" Type="http://schemas.openxmlformats.org/officeDocument/2006/relationships/printerSettings" Target="../printerSettings/printerSettings459.bin"/><Relationship Id="rId27" Type="http://schemas.openxmlformats.org/officeDocument/2006/relationships/printerSettings" Target="../printerSettings/printerSettings464.bin"/><Relationship Id="rId30" Type="http://schemas.openxmlformats.org/officeDocument/2006/relationships/printerSettings" Target="../printerSettings/printerSettings467.bin"/><Relationship Id="rId35" Type="http://schemas.openxmlformats.org/officeDocument/2006/relationships/printerSettings" Target="../printerSettings/printerSettings472.bin"/><Relationship Id="rId43" Type="http://schemas.openxmlformats.org/officeDocument/2006/relationships/printerSettings" Target="../printerSettings/printerSettings480.bin"/><Relationship Id="rId48" Type="http://schemas.openxmlformats.org/officeDocument/2006/relationships/printerSettings" Target="../printerSettings/printerSettings485.bin"/><Relationship Id="rId56" Type="http://schemas.openxmlformats.org/officeDocument/2006/relationships/printerSettings" Target="../printerSettings/printerSettings493.bin"/><Relationship Id="rId64" Type="http://schemas.openxmlformats.org/officeDocument/2006/relationships/drawing" Target="../drawings/drawing3.xml"/><Relationship Id="rId8" Type="http://schemas.openxmlformats.org/officeDocument/2006/relationships/printerSettings" Target="../printerSettings/printerSettings445.bin"/><Relationship Id="rId51" Type="http://schemas.openxmlformats.org/officeDocument/2006/relationships/printerSettings" Target="../printerSettings/printerSettings488.bin"/><Relationship Id="rId3" Type="http://schemas.openxmlformats.org/officeDocument/2006/relationships/printerSettings" Target="../printerSettings/printerSettings440.bin"/><Relationship Id="rId12" Type="http://schemas.openxmlformats.org/officeDocument/2006/relationships/printerSettings" Target="../printerSettings/printerSettings449.bin"/><Relationship Id="rId17" Type="http://schemas.openxmlformats.org/officeDocument/2006/relationships/printerSettings" Target="../printerSettings/printerSettings454.bin"/><Relationship Id="rId25" Type="http://schemas.openxmlformats.org/officeDocument/2006/relationships/printerSettings" Target="../printerSettings/printerSettings462.bin"/><Relationship Id="rId33" Type="http://schemas.openxmlformats.org/officeDocument/2006/relationships/printerSettings" Target="../printerSettings/printerSettings470.bin"/><Relationship Id="rId38" Type="http://schemas.openxmlformats.org/officeDocument/2006/relationships/printerSettings" Target="../printerSettings/printerSettings475.bin"/><Relationship Id="rId46" Type="http://schemas.openxmlformats.org/officeDocument/2006/relationships/printerSettings" Target="../printerSettings/printerSettings483.bin"/><Relationship Id="rId59" Type="http://schemas.openxmlformats.org/officeDocument/2006/relationships/printerSettings" Target="../printerSettings/printerSettings496.bin"/></Relationships>
</file>

<file path=xl/worksheets/_rels/sheet13.xml.rels><?xml version="1.0" encoding="UTF-8" standalone="yes"?>
<Relationships xmlns="http://schemas.openxmlformats.org/package/2006/relationships"><Relationship Id="rId8" Type="http://schemas.openxmlformats.org/officeDocument/2006/relationships/printerSettings" Target="../printerSettings/printerSettings508.bin"/><Relationship Id="rId13" Type="http://schemas.openxmlformats.org/officeDocument/2006/relationships/printerSettings" Target="../printerSettings/printerSettings513.bin"/><Relationship Id="rId18" Type="http://schemas.openxmlformats.org/officeDocument/2006/relationships/printerSettings" Target="../printerSettings/printerSettings518.bin"/><Relationship Id="rId26" Type="http://schemas.openxmlformats.org/officeDocument/2006/relationships/printerSettings" Target="../printerSettings/printerSettings526.bin"/><Relationship Id="rId39" Type="http://schemas.openxmlformats.org/officeDocument/2006/relationships/printerSettings" Target="../printerSettings/printerSettings539.bin"/><Relationship Id="rId3" Type="http://schemas.openxmlformats.org/officeDocument/2006/relationships/printerSettings" Target="../printerSettings/printerSettings503.bin"/><Relationship Id="rId21" Type="http://schemas.openxmlformats.org/officeDocument/2006/relationships/printerSettings" Target="../printerSettings/printerSettings521.bin"/><Relationship Id="rId34" Type="http://schemas.openxmlformats.org/officeDocument/2006/relationships/printerSettings" Target="../printerSettings/printerSettings534.bin"/><Relationship Id="rId7" Type="http://schemas.openxmlformats.org/officeDocument/2006/relationships/printerSettings" Target="../printerSettings/printerSettings507.bin"/><Relationship Id="rId12" Type="http://schemas.openxmlformats.org/officeDocument/2006/relationships/printerSettings" Target="../printerSettings/printerSettings512.bin"/><Relationship Id="rId17" Type="http://schemas.openxmlformats.org/officeDocument/2006/relationships/printerSettings" Target="../printerSettings/printerSettings517.bin"/><Relationship Id="rId25" Type="http://schemas.openxmlformats.org/officeDocument/2006/relationships/printerSettings" Target="../printerSettings/printerSettings525.bin"/><Relationship Id="rId33" Type="http://schemas.openxmlformats.org/officeDocument/2006/relationships/printerSettings" Target="../printerSettings/printerSettings533.bin"/><Relationship Id="rId38" Type="http://schemas.openxmlformats.org/officeDocument/2006/relationships/printerSettings" Target="../printerSettings/printerSettings538.bin"/><Relationship Id="rId2" Type="http://schemas.openxmlformats.org/officeDocument/2006/relationships/printerSettings" Target="../printerSettings/printerSettings502.bin"/><Relationship Id="rId16" Type="http://schemas.openxmlformats.org/officeDocument/2006/relationships/printerSettings" Target="../printerSettings/printerSettings516.bin"/><Relationship Id="rId20" Type="http://schemas.openxmlformats.org/officeDocument/2006/relationships/printerSettings" Target="../printerSettings/printerSettings520.bin"/><Relationship Id="rId29" Type="http://schemas.openxmlformats.org/officeDocument/2006/relationships/printerSettings" Target="../printerSettings/printerSettings529.bin"/><Relationship Id="rId1" Type="http://schemas.openxmlformats.org/officeDocument/2006/relationships/printerSettings" Target="../printerSettings/printerSettings501.bin"/><Relationship Id="rId6" Type="http://schemas.openxmlformats.org/officeDocument/2006/relationships/printerSettings" Target="../printerSettings/printerSettings506.bin"/><Relationship Id="rId11" Type="http://schemas.openxmlformats.org/officeDocument/2006/relationships/printerSettings" Target="../printerSettings/printerSettings511.bin"/><Relationship Id="rId24" Type="http://schemas.openxmlformats.org/officeDocument/2006/relationships/printerSettings" Target="../printerSettings/printerSettings524.bin"/><Relationship Id="rId32" Type="http://schemas.openxmlformats.org/officeDocument/2006/relationships/printerSettings" Target="../printerSettings/printerSettings532.bin"/><Relationship Id="rId37" Type="http://schemas.openxmlformats.org/officeDocument/2006/relationships/printerSettings" Target="../printerSettings/printerSettings537.bin"/><Relationship Id="rId40" Type="http://schemas.openxmlformats.org/officeDocument/2006/relationships/printerSettings" Target="../printerSettings/printerSettings540.bin"/><Relationship Id="rId5" Type="http://schemas.openxmlformats.org/officeDocument/2006/relationships/printerSettings" Target="../printerSettings/printerSettings505.bin"/><Relationship Id="rId15" Type="http://schemas.openxmlformats.org/officeDocument/2006/relationships/printerSettings" Target="../printerSettings/printerSettings515.bin"/><Relationship Id="rId23" Type="http://schemas.openxmlformats.org/officeDocument/2006/relationships/printerSettings" Target="../printerSettings/printerSettings523.bin"/><Relationship Id="rId28" Type="http://schemas.openxmlformats.org/officeDocument/2006/relationships/printerSettings" Target="../printerSettings/printerSettings528.bin"/><Relationship Id="rId36" Type="http://schemas.openxmlformats.org/officeDocument/2006/relationships/printerSettings" Target="../printerSettings/printerSettings536.bin"/><Relationship Id="rId10" Type="http://schemas.openxmlformats.org/officeDocument/2006/relationships/printerSettings" Target="../printerSettings/printerSettings510.bin"/><Relationship Id="rId19" Type="http://schemas.openxmlformats.org/officeDocument/2006/relationships/printerSettings" Target="../printerSettings/printerSettings519.bin"/><Relationship Id="rId31" Type="http://schemas.openxmlformats.org/officeDocument/2006/relationships/printerSettings" Target="../printerSettings/printerSettings531.bin"/><Relationship Id="rId4" Type="http://schemas.openxmlformats.org/officeDocument/2006/relationships/printerSettings" Target="../printerSettings/printerSettings504.bin"/><Relationship Id="rId9" Type="http://schemas.openxmlformats.org/officeDocument/2006/relationships/printerSettings" Target="../printerSettings/printerSettings509.bin"/><Relationship Id="rId14" Type="http://schemas.openxmlformats.org/officeDocument/2006/relationships/printerSettings" Target="../printerSettings/printerSettings514.bin"/><Relationship Id="rId22" Type="http://schemas.openxmlformats.org/officeDocument/2006/relationships/printerSettings" Target="../printerSettings/printerSettings522.bin"/><Relationship Id="rId27" Type="http://schemas.openxmlformats.org/officeDocument/2006/relationships/printerSettings" Target="../printerSettings/printerSettings527.bin"/><Relationship Id="rId30" Type="http://schemas.openxmlformats.org/officeDocument/2006/relationships/printerSettings" Target="../printerSettings/printerSettings530.bin"/><Relationship Id="rId35" Type="http://schemas.openxmlformats.org/officeDocument/2006/relationships/printerSettings" Target="../printerSettings/printerSettings535.bin"/></Relationships>
</file>

<file path=xl/worksheets/_rels/sheet14.xml.rels><?xml version="1.0" encoding="UTF-8" standalone="yes"?>
<Relationships xmlns="http://schemas.openxmlformats.org/package/2006/relationships"><Relationship Id="rId13" Type="http://schemas.openxmlformats.org/officeDocument/2006/relationships/printerSettings" Target="../printerSettings/printerSettings553.bin"/><Relationship Id="rId18" Type="http://schemas.openxmlformats.org/officeDocument/2006/relationships/printerSettings" Target="../printerSettings/printerSettings558.bin"/><Relationship Id="rId26" Type="http://schemas.openxmlformats.org/officeDocument/2006/relationships/printerSettings" Target="../printerSettings/printerSettings566.bin"/><Relationship Id="rId39" Type="http://schemas.openxmlformats.org/officeDocument/2006/relationships/printerSettings" Target="../printerSettings/printerSettings579.bin"/><Relationship Id="rId21" Type="http://schemas.openxmlformats.org/officeDocument/2006/relationships/printerSettings" Target="../printerSettings/printerSettings561.bin"/><Relationship Id="rId34" Type="http://schemas.openxmlformats.org/officeDocument/2006/relationships/printerSettings" Target="../printerSettings/printerSettings574.bin"/><Relationship Id="rId42" Type="http://schemas.openxmlformats.org/officeDocument/2006/relationships/printerSettings" Target="../printerSettings/printerSettings582.bin"/><Relationship Id="rId47" Type="http://schemas.openxmlformats.org/officeDocument/2006/relationships/printerSettings" Target="../printerSettings/printerSettings587.bin"/><Relationship Id="rId50" Type="http://schemas.openxmlformats.org/officeDocument/2006/relationships/printerSettings" Target="../printerSettings/printerSettings590.bin"/><Relationship Id="rId55" Type="http://schemas.openxmlformats.org/officeDocument/2006/relationships/printerSettings" Target="../printerSettings/printerSettings595.bin"/><Relationship Id="rId63" Type="http://schemas.openxmlformats.org/officeDocument/2006/relationships/printerSettings" Target="../printerSettings/printerSettings603.bin"/><Relationship Id="rId7" Type="http://schemas.openxmlformats.org/officeDocument/2006/relationships/printerSettings" Target="../printerSettings/printerSettings547.bin"/><Relationship Id="rId2" Type="http://schemas.openxmlformats.org/officeDocument/2006/relationships/printerSettings" Target="../printerSettings/printerSettings542.bin"/><Relationship Id="rId16" Type="http://schemas.openxmlformats.org/officeDocument/2006/relationships/printerSettings" Target="../printerSettings/printerSettings556.bin"/><Relationship Id="rId20" Type="http://schemas.openxmlformats.org/officeDocument/2006/relationships/printerSettings" Target="../printerSettings/printerSettings560.bin"/><Relationship Id="rId29" Type="http://schemas.openxmlformats.org/officeDocument/2006/relationships/printerSettings" Target="../printerSettings/printerSettings569.bin"/><Relationship Id="rId41" Type="http://schemas.openxmlformats.org/officeDocument/2006/relationships/printerSettings" Target="../printerSettings/printerSettings581.bin"/><Relationship Id="rId54" Type="http://schemas.openxmlformats.org/officeDocument/2006/relationships/printerSettings" Target="../printerSettings/printerSettings594.bin"/><Relationship Id="rId62" Type="http://schemas.openxmlformats.org/officeDocument/2006/relationships/printerSettings" Target="../printerSettings/printerSettings602.bin"/><Relationship Id="rId1" Type="http://schemas.openxmlformats.org/officeDocument/2006/relationships/printerSettings" Target="../printerSettings/printerSettings541.bin"/><Relationship Id="rId6" Type="http://schemas.openxmlformats.org/officeDocument/2006/relationships/printerSettings" Target="../printerSettings/printerSettings546.bin"/><Relationship Id="rId11" Type="http://schemas.openxmlformats.org/officeDocument/2006/relationships/printerSettings" Target="../printerSettings/printerSettings551.bin"/><Relationship Id="rId24" Type="http://schemas.openxmlformats.org/officeDocument/2006/relationships/printerSettings" Target="../printerSettings/printerSettings564.bin"/><Relationship Id="rId32" Type="http://schemas.openxmlformats.org/officeDocument/2006/relationships/printerSettings" Target="../printerSettings/printerSettings572.bin"/><Relationship Id="rId37" Type="http://schemas.openxmlformats.org/officeDocument/2006/relationships/printerSettings" Target="../printerSettings/printerSettings577.bin"/><Relationship Id="rId40" Type="http://schemas.openxmlformats.org/officeDocument/2006/relationships/printerSettings" Target="../printerSettings/printerSettings580.bin"/><Relationship Id="rId45" Type="http://schemas.openxmlformats.org/officeDocument/2006/relationships/printerSettings" Target="../printerSettings/printerSettings585.bin"/><Relationship Id="rId53" Type="http://schemas.openxmlformats.org/officeDocument/2006/relationships/printerSettings" Target="../printerSettings/printerSettings593.bin"/><Relationship Id="rId58" Type="http://schemas.openxmlformats.org/officeDocument/2006/relationships/printerSettings" Target="../printerSettings/printerSettings598.bin"/><Relationship Id="rId5" Type="http://schemas.openxmlformats.org/officeDocument/2006/relationships/printerSettings" Target="../printerSettings/printerSettings545.bin"/><Relationship Id="rId15" Type="http://schemas.openxmlformats.org/officeDocument/2006/relationships/printerSettings" Target="../printerSettings/printerSettings555.bin"/><Relationship Id="rId23" Type="http://schemas.openxmlformats.org/officeDocument/2006/relationships/printerSettings" Target="../printerSettings/printerSettings563.bin"/><Relationship Id="rId28" Type="http://schemas.openxmlformats.org/officeDocument/2006/relationships/printerSettings" Target="../printerSettings/printerSettings568.bin"/><Relationship Id="rId36" Type="http://schemas.openxmlformats.org/officeDocument/2006/relationships/printerSettings" Target="../printerSettings/printerSettings576.bin"/><Relationship Id="rId49" Type="http://schemas.openxmlformats.org/officeDocument/2006/relationships/printerSettings" Target="../printerSettings/printerSettings589.bin"/><Relationship Id="rId57" Type="http://schemas.openxmlformats.org/officeDocument/2006/relationships/printerSettings" Target="../printerSettings/printerSettings597.bin"/><Relationship Id="rId61" Type="http://schemas.openxmlformats.org/officeDocument/2006/relationships/printerSettings" Target="../printerSettings/printerSettings601.bin"/><Relationship Id="rId10" Type="http://schemas.openxmlformats.org/officeDocument/2006/relationships/printerSettings" Target="../printerSettings/printerSettings550.bin"/><Relationship Id="rId19" Type="http://schemas.openxmlformats.org/officeDocument/2006/relationships/printerSettings" Target="../printerSettings/printerSettings559.bin"/><Relationship Id="rId31" Type="http://schemas.openxmlformats.org/officeDocument/2006/relationships/printerSettings" Target="../printerSettings/printerSettings571.bin"/><Relationship Id="rId44" Type="http://schemas.openxmlformats.org/officeDocument/2006/relationships/printerSettings" Target="../printerSettings/printerSettings584.bin"/><Relationship Id="rId52" Type="http://schemas.openxmlformats.org/officeDocument/2006/relationships/printerSettings" Target="../printerSettings/printerSettings592.bin"/><Relationship Id="rId60" Type="http://schemas.openxmlformats.org/officeDocument/2006/relationships/printerSettings" Target="../printerSettings/printerSettings600.bin"/><Relationship Id="rId4" Type="http://schemas.openxmlformats.org/officeDocument/2006/relationships/printerSettings" Target="../printerSettings/printerSettings544.bin"/><Relationship Id="rId9" Type="http://schemas.openxmlformats.org/officeDocument/2006/relationships/printerSettings" Target="../printerSettings/printerSettings549.bin"/><Relationship Id="rId14" Type="http://schemas.openxmlformats.org/officeDocument/2006/relationships/printerSettings" Target="../printerSettings/printerSettings554.bin"/><Relationship Id="rId22" Type="http://schemas.openxmlformats.org/officeDocument/2006/relationships/printerSettings" Target="../printerSettings/printerSettings562.bin"/><Relationship Id="rId27" Type="http://schemas.openxmlformats.org/officeDocument/2006/relationships/printerSettings" Target="../printerSettings/printerSettings567.bin"/><Relationship Id="rId30" Type="http://schemas.openxmlformats.org/officeDocument/2006/relationships/printerSettings" Target="../printerSettings/printerSettings570.bin"/><Relationship Id="rId35" Type="http://schemas.openxmlformats.org/officeDocument/2006/relationships/printerSettings" Target="../printerSettings/printerSettings575.bin"/><Relationship Id="rId43" Type="http://schemas.openxmlformats.org/officeDocument/2006/relationships/printerSettings" Target="../printerSettings/printerSettings583.bin"/><Relationship Id="rId48" Type="http://schemas.openxmlformats.org/officeDocument/2006/relationships/printerSettings" Target="../printerSettings/printerSettings588.bin"/><Relationship Id="rId56" Type="http://schemas.openxmlformats.org/officeDocument/2006/relationships/printerSettings" Target="../printerSettings/printerSettings596.bin"/><Relationship Id="rId64" Type="http://schemas.openxmlformats.org/officeDocument/2006/relationships/drawing" Target="../drawings/drawing4.xml"/><Relationship Id="rId8" Type="http://schemas.openxmlformats.org/officeDocument/2006/relationships/printerSettings" Target="../printerSettings/printerSettings548.bin"/><Relationship Id="rId51" Type="http://schemas.openxmlformats.org/officeDocument/2006/relationships/printerSettings" Target="../printerSettings/printerSettings591.bin"/><Relationship Id="rId3" Type="http://schemas.openxmlformats.org/officeDocument/2006/relationships/printerSettings" Target="../printerSettings/printerSettings543.bin"/><Relationship Id="rId12" Type="http://schemas.openxmlformats.org/officeDocument/2006/relationships/printerSettings" Target="../printerSettings/printerSettings552.bin"/><Relationship Id="rId17" Type="http://schemas.openxmlformats.org/officeDocument/2006/relationships/printerSettings" Target="../printerSettings/printerSettings557.bin"/><Relationship Id="rId25" Type="http://schemas.openxmlformats.org/officeDocument/2006/relationships/printerSettings" Target="../printerSettings/printerSettings565.bin"/><Relationship Id="rId33" Type="http://schemas.openxmlformats.org/officeDocument/2006/relationships/printerSettings" Target="../printerSettings/printerSettings573.bin"/><Relationship Id="rId38" Type="http://schemas.openxmlformats.org/officeDocument/2006/relationships/printerSettings" Target="../printerSettings/printerSettings578.bin"/><Relationship Id="rId46" Type="http://schemas.openxmlformats.org/officeDocument/2006/relationships/printerSettings" Target="../printerSettings/printerSettings586.bin"/><Relationship Id="rId59" Type="http://schemas.openxmlformats.org/officeDocument/2006/relationships/printerSettings" Target="../printerSettings/printerSettings59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9F913-86E9-4815-846A-F66BEE4DFE0D}">
  <sheetPr codeName="Sheet15">
    <pageSetUpPr fitToPage="1"/>
  </sheetPr>
  <dimension ref="A1:BA79"/>
  <sheetViews>
    <sheetView showGridLines="0" tabSelected="1" zoomScale="70" zoomScaleNormal="70" workbookViewId="0">
      <selection activeCell="G2" sqref="G2"/>
    </sheetView>
  </sheetViews>
  <sheetFormatPr defaultColWidth="9.453125" defaultRowHeight="13" x14ac:dyDescent="0.3"/>
  <cols>
    <col min="1" max="1" width="3.453125" style="457" customWidth="1"/>
    <col min="2" max="2" width="14.54296875" style="312" customWidth="1"/>
    <col min="3" max="3" width="30.54296875" style="408" customWidth="1"/>
    <col min="4" max="5" width="9.453125" style="312"/>
    <col min="6" max="6" width="14.54296875" style="312" customWidth="1"/>
    <col min="7" max="7" width="30.54296875" style="408" customWidth="1"/>
    <col min="8" max="9" width="9.453125" style="312"/>
    <col min="10" max="10" width="3.54296875" style="457" customWidth="1"/>
    <col min="11" max="11" width="14.453125" style="312" customWidth="1"/>
    <col min="12" max="12" width="30.54296875" style="408" customWidth="1"/>
    <col min="13" max="13" width="9.453125" style="312"/>
    <col min="14" max="14" width="7.453125" style="312" customWidth="1"/>
    <col min="15" max="15" width="11.54296875" style="312" customWidth="1"/>
    <col min="16" max="16" width="7.453125" style="312" customWidth="1"/>
    <col min="17" max="17" width="3.54296875" style="312" customWidth="1"/>
    <col min="18" max="18" width="14.54296875" style="312" customWidth="1"/>
    <col min="19" max="19" width="30.54296875" style="408" customWidth="1"/>
    <col min="20" max="20" width="9.453125" style="312"/>
    <col min="21" max="21" width="7.453125" style="312" customWidth="1"/>
    <col min="22" max="22" width="11.453125" style="312" customWidth="1"/>
    <col min="23" max="23" width="9" style="312" customWidth="1"/>
    <col min="24" max="24" width="3.54296875" style="312" customWidth="1"/>
    <col min="25" max="25" width="14.54296875" style="312" customWidth="1"/>
    <col min="26" max="26" width="30.54296875" style="408" customWidth="1"/>
    <col min="27" max="27" width="9.453125" style="312"/>
    <col min="28" max="28" width="7.453125" style="312" customWidth="1"/>
    <col min="29" max="29" width="11.54296875" style="312" customWidth="1"/>
    <col min="30" max="31" width="7.453125" style="312" customWidth="1"/>
    <col min="32" max="32" width="7.54296875" style="447" customWidth="1"/>
    <col min="33" max="33" width="14.54296875" style="312" customWidth="1"/>
    <col min="34" max="34" width="30.54296875" style="408" customWidth="1"/>
    <col min="35" max="36" width="7.453125" style="312" customWidth="1"/>
    <col min="37" max="37" width="11.54296875" style="312" customWidth="1"/>
    <col min="38" max="16384" width="9.453125" style="312"/>
  </cols>
  <sheetData>
    <row r="1" spans="1:53" ht="36" customHeight="1" thickBot="1" x14ac:dyDescent="0.5">
      <c r="A1" s="653" t="s">
        <v>384</v>
      </c>
      <c r="B1" s="654"/>
      <c r="C1" s="654"/>
      <c r="D1" s="654"/>
      <c r="E1" s="654"/>
      <c r="F1" s="654"/>
      <c r="G1" s="654"/>
      <c r="H1" s="654"/>
      <c r="I1" s="654"/>
      <c r="J1" s="654"/>
      <c r="K1" s="654"/>
      <c r="L1" s="654"/>
      <c r="M1" s="654"/>
      <c r="N1" s="654"/>
      <c r="O1" s="654"/>
      <c r="P1" s="654"/>
      <c r="Q1" s="654"/>
      <c r="R1" s="654"/>
      <c r="S1" s="654"/>
      <c r="T1" s="654"/>
      <c r="U1" s="654"/>
      <c r="V1" s="654"/>
      <c r="W1" s="654"/>
      <c r="X1" s="654"/>
      <c r="Y1" s="654"/>
      <c r="Z1" s="654"/>
      <c r="AA1" s="654"/>
      <c r="AB1" s="654"/>
      <c r="AC1" s="654"/>
      <c r="AD1" s="654"/>
      <c r="AE1" s="654"/>
      <c r="AF1" s="654"/>
      <c r="AG1" s="654"/>
      <c r="AH1" s="654"/>
      <c r="AI1" s="654"/>
      <c r="AJ1" s="654"/>
      <c r="AK1" s="654"/>
      <c r="AL1" s="654"/>
      <c r="BA1" s="458"/>
    </row>
    <row r="2" spans="1:53" ht="19.5" customHeight="1" thickBot="1" x14ac:dyDescent="0.5">
      <c r="A2" s="655" t="s">
        <v>385</v>
      </c>
      <c r="B2" s="655"/>
      <c r="C2" s="655"/>
      <c r="D2" s="655"/>
      <c r="E2" s="655"/>
      <c r="F2" s="656"/>
      <c r="G2" s="421">
        <f>I5+P5+W5+AK5+P56</f>
        <v>8652.3656269499988</v>
      </c>
      <c r="H2" s="313"/>
      <c r="I2" s="314"/>
      <c r="J2" s="439"/>
      <c r="K2" s="439"/>
      <c r="L2" s="439"/>
      <c r="M2" s="439"/>
      <c r="N2" s="439"/>
      <c r="O2" s="439"/>
      <c r="P2" s="439"/>
      <c r="Q2" s="439"/>
      <c r="R2" s="439"/>
      <c r="S2" s="439"/>
      <c r="T2" s="439"/>
      <c r="U2" s="439"/>
      <c r="V2" s="439"/>
      <c r="W2" s="439"/>
      <c r="X2" s="439"/>
      <c r="Y2" s="439"/>
      <c r="Z2" s="439"/>
      <c r="AA2" s="439"/>
      <c r="AB2" s="439"/>
      <c r="AC2" s="439"/>
      <c r="AD2" s="439"/>
      <c r="AE2" s="439"/>
      <c r="AF2" s="446"/>
      <c r="AG2" s="439"/>
      <c r="AH2" s="439"/>
      <c r="AI2" s="439"/>
      <c r="AJ2" s="439"/>
      <c r="AK2" s="439"/>
      <c r="AL2" s="439"/>
    </row>
    <row r="3" spans="1:53" s="316" customFormat="1" ht="13.5" thickBot="1" x14ac:dyDescent="0.4">
      <c r="A3" s="447"/>
      <c r="C3" s="317"/>
      <c r="G3" s="317"/>
      <c r="J3" s="447"/>
      <c r="L3" s="317"/>
      <c r="S3" s="317"/>
      <c r="Z3" s="317"/>
      <c r="AF3" s="447"/>
      <c r="AH3" s="317"/>
    </row>
    <row r="4" spans="1:53" s="316" customFormat="1" ht="30" customHeight="1" thickBot="1" x14ac:dyDescent="0.4">
      <c r="A4" s="447"/>
      <c r="C4" s="317"/>
      <c r="D4" s="657" t="s">
        <v>386</v>
      </c>
      <c r="E4" s="658"/>
      <c r="F4" s="658"/>
      <c r="G4" s="658"/>
      <c r="H4" s="658"/>
      <c r="I4" s="659"/>
      <c r="J4" s="447"/>
      <c r="K4" s="657" t="s">
        <v>387</v>
      </c>
      <c r="L4" s="658"/>
      <c r="M4" s="658"/>
      <c r="N4" s="658"/>
      <c r="O4" s="658"/>
      <c r="P4" s="659"/>
      <c r="R4" s="657" t="s">
        <v>388</v>
      </c>
      <c r="S4" s="658"/>
      <c r="T4" s="658"/>
      <c r="U4" s="658"/>
      <c r="V4" s="658"/>
      <c r="W4" s="659"/>
      <c r="Z4" s="317"/>
      <c r="AC4" s="657" t="s">
        <v>487</v>
      </c>
      <c r="AD4" s="658"/>
      <c r="AE4" s="658"/>
      <c r="AF4" s="658"/>
      <c r="AG4" s="658"/>
      <c r="AH4" s="658"/>
      <c r="AI4" s="658"/>
      <c r="AJ4" s="658"/>
      <c r="AK4" s="659"/>
    </row>
    <row r="5" spans="1:53" s="316" customFormat="1" ht="30" customHeight="1" thickBot="1" x14ac:dyDescent="0.4">
      <c r="A5" s="447"/>
      <c r="C5" s="317"/>
      <c r="D5" s="318" t="s">
        <v>390</v>
      </c>
      <c r="E5" s="319"/>
      <c r="F5" s="320"/>
      <c r="G5" s="321" t="s">
        <v>391</v>
      </c>
      <c r="H5" s="322"/>
      <c r="I5" s="422">
        <f>C15+C21+C27+C33+C39+C45+C51+G15+G21+G27+G33</f>
        <v>5770.5959280399993</v>
      </c>
      <c r="J5" s="447"/>
      <c r="K5" s="318" t="s">
        <v>392</v>
      </c>
      <c r="L5" s="324"/>
      <c r="M5" s="320"/>
      <c r="N5" s="322" t="s">
        <v>391</v>
      </c>
      <c r="O5" s="322"/>
      <c r="P5" s="422">
        <f>L15+L21+L27+L33</f>
        <v>318.31724758000001</v>
      </c>
      <c r="R5" s="318" t="s">
        <v>475</v>
      </c>
      <c r="S5" s="324" t="s">
        <v>476</v>
      </c>
      <c r="T5" s="320"/>
      <c r="U5" s="322" t="s">
        <v>391</v>
      </c>
      <c r="V5" s="322"/>
      <c r="W5" s="323">
        <f>S15+S21+S27+S33+S39+S45</f>
        <v>1530.8012023200001</v>
      </c>
      <c r="Z5" s="317"/>
      <c r="AC5" s="448" t="s">
        <v>394</v>
      </c>
      <c r="AD5" s="322"/>
      <c r="AE5" s="449"/>
      <c r="AF5" s="322"/>
      <c r="AG5" s="322"/>
      <c r="AH5" s="322"/>
      <c r="AI5" s="450" t="s">
        <v>391</v>
      </c>
      <c r="AJ5" s="322"/>
      <c r="AK5" s="423">
        <f>AD9+AD28+AD46+AL9</f>
        <v>1005.72584307</v>
      </c>
    </row>
    <row r="6" spans="1:53" s="316" customFormat="1" ht="30" customHeight="1" thickBot="1" x14ac:dyDescent="0.4">
      <c r="A6" s="447"/>
      <c r="C6" s="317"/>
      <c r="D6" s="645" t="s">
        <v>395</v>
      </c>
      <c r="E6" s="646"/>
      <c r="F6" s="647"/>
      <c r="G6" s="325"/>
      <c r="H6" s="326"/>
      <c r="I6" s="327"/>
      <c r="J6" s="447"/>
      <c r="K6" s="645" t="s">
        <v>396</v>
      </c>
      <c r="L6" s="646"/>
      <c r="M6" s="647"/>
      <c r="N6" s="328"/>
      <c r="O6" s="326"/>
      <c r="P6" s="327"/>
      <c r="R6" s="645" t="s">
        <v>489</v>
      </c>
      <c r="S6" s="646"/>
      <c r="T6" s="647"/>
      <c r="U6" s="328"/>
      <c r="V6" s="326"/>
      <c r="W6" s="327"/>
      <c r="Z6" s="317"/>
      <c r="AC6" s="645" t="s">
        <v>398</v>
      </c>
      <c r="AD6" s="646"/>
      <c r="AE6" s="647"/>
      <c r="AF6" s="451"/>
      <c r="AG6" s="329"/>
      <c r="AH6" s="330"/>
    </row>
    <row r="7" spans="1:53" s="316" customFormat="1" ht="13.5" thickBot="1" x14ac:dyDescent="0.4">
      <c r="A7" s="447"/>
      <c r="C7" s="317"/>
      <c r="E7" s="331"/>
      <c r="F7" s="332"/>
      <c r="G7" s="333"/>
      <c r="H7" s="331"/>
      <c r="J7" s="447"/>
      <c r="L7" s="334"/>
      <c r="M7" s="335"/>
      <c r="S7" s="334"/>
      <c r="T7" s="335"/>
      <c r="Z7" s="317"/>
      <c r="AC7" s="336"/>
      <c r="AE7" s="335"/>
      <c r="AF7" s="447"/>
      <c r="AH7" s="317"/>
    </row>
    <row r="8" spans="1:53" s="316" customFormat="1" ht="30" customHeight="1" thickBot="1" x14ac:dyDescent="0.4">
      <c r="A8" s="447"/>
      <c r="C8" s="317"/>
      <c r="D8" s="337"/>
      <c r="G8" s="317"/>
      <c r="H8" s="338"/>
      <c r="J8" s="447"/>
      <c r="L8" s="317"/>
      <c r="M8" s="339"/>
      <c r="S8" s="317"/>
      <c r="T8" s="339"/>
      <c r="Y8" s="657" t="s">
        <v>488</v>
      </c>
      <c r="Z8" s="658"/>
      <c r="AA8" s="658"/>
      <c r="AB8" s="658"/>
      <c r="AC8" s="658"/>
      <c r="AD8" s="659"/>
      <c r="AE8" s="418"/>
      <c r="AF8" s="452"/>
      <c r="AG8" s="657" t="s">
        <v>400</v>
      </c>
      <c r="AH8" s="658"/>
      <c r="AI8" s="658"/>
      <c r="AJ8" s="658"/>
      <c r="AK8" s="658"/>
      <c r="AL8" s="659"/>
    </row>
    <row r="9" spans="1:53" s="316" customFormat="1" ht="30" customHeight="1" thickBot="1" x14ac:dyDescent="0.4">
      <c r="A9" s="447"/>
      <c r="C9" s="317"/>
      <c r="D9" s="649" t="s">
        <v>401</v>
      </c>
      <c r="E9" s="650"/>
      <c r="G9" s="317"/>
      <c r="H9" s="651" t="s">
        <v>402</v>
      </c>
      <c r="I9" s="652"/>
      <c r="J9" s="447"/>
      <c r="L9" s="317"/>
      <c r="M9" s="339"/>
      <c r="S9" s="317"/>
      <c r="T9" s="339"/>
      <c r="Y9" s="645" t="s">
        <v>403</v>
      </c>
      <c r="Z9" s="646"/>
      <c r="AA9" s="647"/>
      <c r="AB9" s="322" t="s">
        <v>391</v>
      </c>
      <c r="AC9" s="322"/>
      <c r="AD9" s="422">
        <f>+Z17+Z24</f>
        <v>52.856650809999998</v>
      </c>
      <c r="AE9" s="420"/>
      <c r="AF9" s="453"/>
      <c r="AG9" s="318" t="s">
        <v>404</v>
      </c>
      <c r="AH9" s="324"/>
      <c r="AI9" s="320"/>
      <c r="AJ9" s="322" t="s">
        <v>391</v>
      </c>
      <c r="AK9" s="322"/>
      <c r="AL9" s="422">
        <f>+AH17+AH24+AH31+AH38+AH45+AH52</f>
        <v>644.62303132</v>
      </c>
    </row>
    <row r="10" spans="1:53" s="316" customFormat="1" ht="15" thickBot="1" x14ac:dyDescent="0.4">
      <c r="A10" s="447"/>
      <c r="C10" s="317"/>
      <c r="D10" s="335"/>
      <c r="E10" s="447"/>
      <c r="G10" s="317"/>
      <c r="H10" s="335"/>
      <c r="J10" s="447"/>
      <c r="L10" s="317"/>
      <c r="M10" s="339"/>
      <c r="R10" s="344" t="s">
        <v>405</v>
      </c>
      <c r="S10" s="317"/>
      <c r="T10" s="339"/>
      <c r="Z10" s="317"/>
      <c r="AA10" s="339"/>
      <c r="AE10" s="339"/>
      <c r="AF10" s="447"/>
      <c r="AG10" s="645" t="s">
        <v>406</v>
      </c>
      <c r="AH10" s="646"/>
      <c r="AI10" s="647"/>
      <c r="AJ10" s="345"/>
      <c r="AK10" s="345"/>
      <c r="AL10" s="346"/>
    </row>
    <row r="11" spans="1:53" s="316" customFormat="1" ht="30" customHeight="1" x14ac:dyDescent="0.35">
      <c r="A11" s="447"/>
      <c r="B11" s="347" t="s">
        <v>407</v>
      </c>
      <c r="C11" s="348" t="s">
        <v>112</v>
      </c>
      <c r="D11" s="340"/>
      <c r="E11" s="447"/>
      <c r="F11" s="349" t="s">
        <v>407</v>
      </c>
      <c r="G11" s="350" t="s">
        <v>99</v>
      </c>
      <c r="H11" s="340"/>
      <c r="J11" s="447"/>
      <c r="K11" s="351" t="s">
        <v>407</v>
      </c>
      <c r="L11" s="352" t="s">
        <v>108</v>
      </c>
      <c r="M11" s="340"/>
      <c r="R11" s="349" t="s">
        <v>407</v>
      </c>
      <c r="S11" s="350" t="s">
        <v>102</v>
      </c>
      <c r="T11" s="340"/>
      <c r="Z11" s="317"/>
      <c r="AA11" s="339"/>
      <c r="AE11" s="339"/>
      <c r="AF11" s="447"/>
      <c r="AH11" s="317"/>
      <c r="AI11" s="335"/>
    </row>
    <row r="12" spans="1:53" s="316" customFormat="1" ht="30" customHeight="1" thickBot="1" x14ac:dyDescent="0.4">
      <c r="A12" s="447"/>
      <c r="B12" s="355" t="s">
        <v>456</v>
      </c>
      <c r="C12" s="356" t="s">
        <v>458</v>
      </c>
      <c r="D12" s="339"/>
      <c r="E12" s="447"/>
      <c r="F12" s="357" t="s">
        <v>456</v>
      </c>
      <c r="G12" s="358" t="s">
        <v>466</v>
      </c>
      <c r="H12" s="339"/>
      <c r="J12" s="447"/>
      <c r="K12" s="359" t="s">
        <v>456</v>
      </c>
      <c r="L12" s="360" t="s">
        <v>472</v>
      </c>
      <c r="M12" s="339"/>
      <c r="R12" s="357" t="s">
        <v>456</v>
      </c>
      <c r="S12" s="358" t="s">
        <v>468</v>
      </c>
      <c r="T12" s="339"/>
      <c r="Z12" s="317"/>
      <c r="AA12" s="339"/>
      <c r="AE12" s="339"/>
      <c r="AF12" s="447"/>
      <c r="AH12" s="317"/>
      <c r="AI12" s="339"/>
    </row>
    <row r="13" spans="1:53" s="316" customFormat="1" ht="30" customHeight="1" x14ac:dyDescent="0.35">
      <c r="A13" s="447"/>
      <c r="B13" s="355" t="s">
        <v>408</v>
      </c>
      <c r="C13" s="356" t="s">
        <v>111</v>
      </c>
      <c r="D13" s="339"/>
      <c r="E13" s="447"/>
      <c r="F13" s="357" t="s">
        <v>408</v>
      </c>
      <c r="G13" s="358" t="s">
        <v>98</v>
      </c>
      <c r="H13" s="339"/>
      <c r="J13" s="447"/>
      <c r="K13" s="359" t="s">
        <v>408</v>
      </c>
      <c r="L13" s="360" t="s">
        <v>13</v>
      </c>
      <c r="M13" s="339"/>
      <c r="R13" s="357" t="s">
        <v>408</v>
      </c>
      <c r="S13" s="358" t="s">
        <v>101</v>
      </c>
      <c r="T13" s="339"/>
      <c r="Y13" s="374" t="s">
        <v>407</v>
      </c>
      <c r="Z13" s="375" t="s">
        <v>301</v>
      </c>
      <c r="AA13" s="340"/>
      <c r="AE13" s="339"/>
      <c r="AF13" s="447"/>
      <c r="AG13" s="353" t="s">
        <v>407</v>
      </c>
      <c r="AH13" s="354" t="s">
        <v>116</v>
      </c>
      <c r="AI13" s="332"/>
    </row>
    <row r="14" spans="1:53" s="316" customFormat="1" ht="30" customHeight="1" x14ac:dyDescent="0.35">
      <c r="A14" s="447"/>
      <c r="B14" s="364" t="s">
        <v>409</v>
      </c>
      <c r="C14" s="356" t="s">
        <v>410</v>
      </c>
      <c r="D14" s="339"/>
      <c r="E14" s="447"/>
      <c r="F14" s="365" t="s">
        <v>411</v>
      </c>
      <c r="G14" s="358" t="s">
        <v>412</v>
      </c>
      <c r="H14" s="339"/>
      <c r="J14" s="447"/>
      <c r="K14" s="359" t="s">
        <v>411</v>
      </c>
      <c r="L14" s="360" t="s">
        <v>413</v>
      </c>
      <c r="M14" s="339"/>
      <c r="R14" s="357" t="s">
        <v>411</v>
      </c>
      <c r="S14" s="358" t="s">
        <v>414</v>
      </c>
      <c r="T14" s="339"/>
      <c r="Y14" s="376" t="s">
        <v>456</v>
      </c>
      <c r="Z14" s="377" t="s">
        <v>467</v>
      </c>
      <c r="AA14" s="339"/>
      <c r="AE14" s="339"/>
      <c r="AF14" s="447"/>
      <c r="AG14" s="361" t="s">
        <v>456</v>
      </c>
      <c r="AH14" s="362" t="s">
        <v>465</v>
      </c>
      <c r="AI14" s="400"/>
    </row>
    <row r="15" spans="1:53" s="316" customFormat="1" ht="30" customHeight="1" thickBot="1" x14ac:dyDescent="0.4">
      <c r="A15" s="447"/>
      <c r="B15" s="366" t="s">
        <v>416</v>
      </c>
      <c r="C15" s="367">
        <f>VLOOKUP(C13,'5a)NDA MPPR'!$B$9:$AK$61,21,FALSE)</f>
        <v>1466.5526999799999</v>
      </c>
      <c r="D15" s="339"/>
      <c r="E15" s="447"/>
      <c r="F15" s="368" t="s">
        <v>416</v>
      </c>
      <c r="G15" s="369">
        <f>VLOOKUP(G13,'5a)NDA MPPR'!$B$9:$AK$61,21,FALSE)</f>
        <v>1474.73089903</v>
      </c>
      <c r="H15" s="339"/>
      <c r="J15" s="447"/>
      <c r="K15" s="370" t="s">
        <v>416</v>
      </c>
      <c r="L15" s="371">
        <f>VLOOKUP(L13,'5a)NDA MPPR'!$B$9:$AK$61,21,FALSE)</f>
        <v>138.83421663999999</v>
      </c>
      <c r="M15" s="339"/>
      <c r="R15" s="368" t="s">
        <v>416</v>
      </c>
      <c r="S15" s="369">
        <f>VLOOKUP(S13,'5a)NDA MPPR'!$B$9:$AK$61,21,FALSE)</f>
        <v>458.24501213000002</v>
      </c>
      <c r="T15" s="339"/>
      <c r="Y15" s="376" t="s">
        <v>408</v>
      </c>
      <c r="Z15" s="377" t="s">
        <v>317</v>
      </c>
      <c r="AA15" s="339"/>
      <c r="AE15" s="339"/>
      <c r="AF15" s="447"/>
      <c r="AG15" s="361" t="s">
        <v>408</v>
      </c>
      <c r="AH15" s="362" t="s">
        <v>115</v>
      </c>
      <c r="AI15" s="339"/>
    </row>
    <row r="16" spans="1:53" s="316" customFormat="1" ht="30" customHeight="1" thickBot="1" x14ac:dyDescent="0.4">
      <c r="A16" s="447"/>
      <c r="C16" s="317"/>
      <c r="D16" s="339"/>
      <c r="E16" s="447"/>
      <c r="G16" s="317"/>
      <c r="H16" s="339"/>
      <c r="J16" s="447"/>
      <c r="L16" s="317"/>
      <c r="M16" s="339"/>
      <c r="S16" s="317"/>
      <c r="U16" s="363"/>
      <c r="Y16" s="376" t="s">
        <v>411</v>
      </c>
      <c r="Z16" s="377" t="s">
        <v>419</v>
      </c>
      <c r="AA16" s="339"/>
      <c r="AE16" s="339"/>
      <c r="AF16" s="447"/>
      <c r="AG16" s="361" t="s">
        <v>409</v>
      </c>
      <c r="AH16" s="362" t="s">
        <v>415</v>
      </c>
      <c r="AI16" s="339"/>
    </row>
    <row r="17" spans="1:36" s="316" customFormat="1" ht="30" customHeight="1" thickBot="1" x14ac:dyDescent="0.4">
      <c r="A17" s="447"/>
      <c r="B17" s="347" t="s">
        <v>407</v>
      </c>
      <c r="C17" s="348" t="s">
        <v>114</v>
      </c>
      <c r="D17" s="340"/>
      <c r="E17" s="447"/>
      <c r="F17" s="353" t="s">
        <v>407</v>
      </c>
      <c r="G17" s="354" t="s">
        <v>123</v>
      </c>
      <c r="H17" s="340"/>
      <c r="J17" s="447"/>
      <c r="K17" s="351" t="s">
        <v>407</v>
      </c>
      <c r="L17" s="352" t="s">
        <v>107</v>
      </c>
      <c r="M17" s="340"/>
      <c r="R17" s="351" t="s">
        <v>407</v>
      </c>
      <c r="S17" s="352" t="s">
        <v>100</v>
      </c>
      <c r="T17" s="340"/>
      <c r="Y17" s="380" t="s">
        <v>416</v>
      </c>
      <c r="Z17" s="381">
        <f>VLOOKUP(Z15,'4b) SL EPO Extended Data Sheet'!$A$5:$AB$168,17,FALSE)/1000000</f>
        <v>13.123351749999999</v>
      </c>
      <c r="AA17" s="339"/>
      <c r="AE17" s="339"/>
      <c r="AF17" s="447"/>
      <c r="AG17" s="372" t="s">
        <v>416</v>
      </c>
      <c r="AH17" s="373">
        <f>VLOOKUP(AH15,'5a)NDA MPPR'!$B$9:$AK$61,21,FALSE)</f>
        <v>427.83868386</v>
      </c>
      <c r="AI17" s="339"/>
    </row>
    <row r="18" spans="1:36" s="316" customFormat="1" ht="30" customHeight="1" x14ac:dyDescent="0.35">
      <c r="A18" s="447"/>
      <c r="B18" s="355" t="s">
        <v>456</v>
      </c>
      <c r="C18" s="356" t="s">
        <v>459</v>
      </c>
      <c r="D18" s="339"/>
      <c r="E18" s="447"/>
      <c r="F18" s="361" t="s">
        <v>456</v>
      </c>
      <c r="G18" s="362" t="s">
        <v>463</v>
      </c>
      <c r="H18" s="339"/>
      <c r="J18" s="447"/>
      <c r="K18" s="359" t="s">
        <v>456</v>
      </c>
      <c r="L18" s="360" t="s">
        <v>472</v>
      </c>
      <c r="M18" s="339"/>
      <c r="R18" s="359" t="s">
        <v>456</v>
      </c>
      <c r="S18" s="360" t="s">
        <v>466</v>
      </c>
      <c r="T18" s="339"/>
      <c r="Z18" s="317"/>
      <c r="AA18" s="339"/>
      <c r="AE18" s="339"/>
      <c r="AF18" s="447"/>
      <c r="AG18" s="316" t="s">
        <v>400</v>
      </c>
      <c r="AH18" s="317"/>
      <c r="AI18" s="339"/>
    </row>
    <row r="19" spans="1:36" s="316" customFormat="1" ht="30" customHeight="1" thickBot="1" x14ac:dyDescent="0.4">
      <c r="A19" s="447"/>
      <c r="B19" s="355" t="s">
        <v>408</v>
      </c>
      <c r="C19" s="356" t="s">
        <v>113</v>
      </c>
      <c r="D19" s="339"/>
      <c r="E19" s="447"/>
      <c r="F19" s="361" t="s">
        <v>408</v>
      </c>
      <c r="G19" s="362" t="s">
        <v>5</v>
      </c>
      <c r="H19" s="339"/>
      <c r="J19" s="447"/>
      <c r="K19" s="359" t="s">
        <v>408</v>
      </c>
      <c r="L19" s="360" t="s">
        <v>233</v>
      </c>
      <c r="M19" s="339"/>
      <c r="R19" s="359" t="s">
        <v>408</v>
      </c>
      <c r="S19" s="360" t="s">
        <v>7</v>
      </c>
      <c r="T19" s="339"/>
      <c r="Z19" s="317"/>
      <c r="AA19" s="339"/>
      <c r="AE19" s="339"/>
      <c r="AF19" s="447"/>
      <c r="AH19" s="317"/>
      <c r="AI19" s="339"/>
    </row>
    <row r="20" spans="1:36" s="316" customFormat="1" ht="37.5" customHeight="1" x14ac:dyDescent="0.35">
      <c r="A20" s="447"/>
      <c r="B20" s="364" t="s">
        <v>409</v>
      </c>
      <c r="C20" s="356" t="s">
        <v>410</v>
      </c>
      <c r="D20" s="339"/>
      <c r="E20" s="447"/>
      <c r="F20" s="361" t="s">
        <v>411</v>
      </c>
      <c r="G20" s="362" t="s">
        <v>418</v>
      </c>
      <c r="H20" s="339"/>
      <c r="J20" s="447"/>
      <c r="K20" s="359" t="s">
        <v>411</v>
      </c>
      <c r="L20" s="360" t="s">
        <v>413</v>
      </c>
      <c r="M20" s="339"/>
      <c r="R20" s="379" t="s">
        <v>411</v>
      </c>
      <c r="S20" s="360" t="s">
        <v>412</v>
      </c>
      <c r="T20" s="339"/>
      <c r="Y20" s="374" t="s">
        <v>407</v>
      </c>
      <c r="Z20" s="375" t="s">
        <v>335</v>
      </c>
      <c r="AA20" s="340"/>
      <c r="AE20" s="339"/>
      <c r="AF20" s="447"/>
      <c r="AG20" s="353" t="s">
        <v>407</v>
      </c>
      <c r="AH20" s="354" t="s">
        <v>349</v>
      </c>
      <c r="AI20" s="332"/>
    </row>
    <row r="21" spans="1:36" s="316" customFormat="1" ht="30" customHeight="1" thickBot="1" x14ac:dyDescent="0.4">
      <c r="A21" s="447"/>
      <c r="B21" s="366" t="s">
        <v>416</v>
      </c>
      <c r="C21" s="367">
        <f>VLOOKUP(C19,'5a)NDA MPPR'!$B$9:$AK$61,21,FALSE)</f>
        <v>1121.70881876</v>
      </c>
      <c r="D21" s="339"/>
      <c r="E21" s="447"/>
      <c r="F21" s="372" t="s">
        <v>416</v>
      </c>
      <c r="G21" s="373">
        <f>VLOOKUP(G19,'5a)NDA MPPR'!$B$9:$AK$61,21,FALSE)</f>
        <v>315.08837662000002</v>
      </c>
      <c r="H21" s="339"/>
      <c r="J21" s="447"/>
      <c r="K21" s="370" t="s">
        <v>416</v>
      </c>
      <c r="L21" s="371">
        <f>VLOOKUP(L19,'5a)NDA MPPR'!$B$9:$AK$61,21,FALSE)</f>
        <v>87.702751090000007</v>
      </c>
      <c r="M21" s="339"/>
      <c r="R21" s="370" t="s">
        <v>416</v>
      </c>
      <c r="S21" s="371">
        <f>VLOOKUP(S19,'5a)NDA MPPR'!$B$9:$AK$61,21,FALSE)</f>
        <v>889.66115429000001</v>
      </c>
      <c r="T21" s="339"/>
      <c r="Y21" s="376" t="s">
        <v>456</v>
      </c>
      <c r="Z21" s="377" t="s">
        <v>464</v>
      </c>
      <c r="AA21" s="563"/>
      <c r="AB21" s="563"/>
      <c r="AE21" s="339"/>
      <c r="AF21" s="447" t="s">
        <v>453</v>
      </c>
      <c r="AG21" s="361" t="s">
        <v>456</v>
      </c>
      <c r="AH21" s="362" t="s">
        <v>464</v>
      </c>
      <c r="AI21" s="339"/>
    </row>
    <row r="22" spans="1:36" s="316" customFormat="1" ht="30" customHeight="1" thickBot="1" x14ac:dyDescent="0.4">
      <c r="A22" s="447"/>
      <c r="C22" s="317"/>
      <c r="D22" s="339"/>
      <c r="E22" s="447"/>
      <c r="G22" s="317"/>
      <c r="H22" s="339"/>
      <c r="J22" s="447"/>
      <c r="L22" s="317"/>
      <c r="M22" s="339"/>
      <c r="S22" s="317"/>
      <c r="T22" s="339"/>
      <c r="Y22" s="376" t="s">
        <v>408</v>
      </c>
      <c r="Z22" s="377" t="s">
        <v>336</v>
      </c>
      <c r="AA22" s="563"/>
      <c r="AB22" s="563"/>
      <c r="AE22" s="339"/>
      <c r="AF22" s="447"/>
      <c r="AG22" s="361" t="s">
        <v>408</v>
      </c>
      <c r="AH22" s="566" t="s">
        <v>350</v>
      </c>
      <c r="AI22" s="339"/>
    </row>
    <row r="23" spans="1:36" s="316" customFormat="1" ht="30" customHeight="1" x14ac:dyDescent="0.35">
      <c r="A23" s="447"/>
      <c r="B23" s="347" t="s">
        <v>407</v>
      </c>
      <c r="C23" s="348" t="s">
        <v>97</v>
      </c>
      <c r="D23" s="340"/>
      <c r="E23" s="447"/>
      <c r="F23" s="351" t="s">
        <v>407</v>
      </c>
      <c r="G23" s="352" t="s">
        <v>120</v>
      </c>
      <c r="H23" s="340"/>
      <c r="J23" s="447"/>
      <c r="K23" s="351" t="s">
        <v>407</v>
      </c>
      <c r="L23" s="352" t="s">
        <v>290</v>
      </c>
      <c r="M23" s="340"/>
      <c r="R23" s="351" t="s">
        <v>407</v>
      </c>
      <c r="S23" s="352" t="s">
        <v>300</v>
      </c>
      <c r="T23" s="340"/>
      <c r="Y23" s="376" t="s">
        <v>411</v>
      </c>
      <c r="Z23" s="377" t="s">
        <v>421</v>
      </c>
      <c r="AA23" s="563"/>
      <c r="AB23" s="563"/>
      <c r="AE23" s="339"/>
      <c r="AF23" s="447"/>
      <c r="AG23" s="361" t="s">
        <v>411</v>
      </c>
      <c r="AH23" s="362" t="s">
        <v>417</v>
      </c>
      <c r="AI23" s="339"/>
    </row>
    <row r="24" spans="1:36" s="316" customFormat="1" ht="30" customHeight="1" thickBot="1" x14ac:dyDescent="0.4">
      <c r="A24" s="447"/>
      <c r="B24" s="355" t="s">
        <v>456</v>
      </c>
      <c r="C24" s="356" t="s">
        <v>471</v>
      </c>
      <c r="D24" s="339"/>
      <c r="E24" s="447"/>
      <c r="F24" s="359" t="s">
        <v>456</v>
      </c>
      <c r="G24" s="360" t="s">
        <v>463</v>
      </c>
      <c r="H24" s="339"/>
      <c r="J24" s="447"/>
      <c r="K24" s="359" t="s">
        <v>456</v>
      </c>
      <c r="L24" s="360" t="s">
        <v>472</v>
      </c>
      <c r="M24" s="339"/>
      <c r="R24" s="359" t="s">
        <v>456</v>
      </c>
      <c r="S24" s="360" t="s">
        <v>466</v>
      </c>
      <c r="T24" s="339"/>
      <c r="Y24" s="380" t="s">
        <v>416</v>
      </c>
      <c r="Z24" s="381">
        <f>VLOOKUP(Z22,'4b) SL EPO Extended Data Sheet'!$A$5:$AB$168,17,FALSE)/1000000</f>
        <v>39.73329906</v>
      </c>
      <c r="AA24" s="563"/>
      <c r="AB24" s="563"/>
      <c r="AE24" s="339"/>
      <c r="AF24" s="447"/>
      <c r="AG24" s="372" t="s">
        <v>416</v>
      </c>
      <c r="AH24" s="373">
        <f>VLOOKUP(AH22,'4b) SL EPO Extended Data Sheet'!$A$5:$AB$168,17,FALSE)/1000000</f>
        <v>32.004619679999998</v>
      </c>
      <c r="AI24" s="339"/>
    </row>
    <row r="25" spans="1:36" s="316" customFormat="1" ht="30" customHeight="1" x14ac:dyDescent="0.35">
      <c r="A25" s="447"/>
      <c r="B25" s="355" t="s">
        <v>408</v>
      </c>
      <c r="C25" s="356" t="s">
        <v>96</v>
      </c>
      <c r="D25" s="339"/>
      <c r="E25" s="447"/>
      <c r="F25" s="359" t="s">
        <v>408</v>
      </c>
      <c r="G25" s="360" t="s">
        <v>119</v>
      </c>
      <c r="H25" s="339"/>
      <c r="J25" s="447"/>
      <c r="K25" s="359" t="s">
        <v>408</v>
      </c>
      <c r="L25" s="360" t="s">
        <v>295</v>
      </c>
      <c r="M25" s="339"/>
      <c r="R25" s="359" t="s">
        <v>408</v>
      </c>
      <c r="S25" s="360" t="s">
        <v>304</v>
      </c>
      <c r="T25" s="339"/>
      <c r="Z25" s="317"/>
      <c r="AA25" s="563"/>
      <c r="AB25" s="563"/>
      <c r="AE25" s="339"/>
      <c r="AF25" s="447"/>
      <c r="AG25" s="316" t="s">
        <v>422</v>
      </c>
      <c r="AH25" s="317"/>
      <c r="AI25" s="339"/>
    </row>
    <row r="26" spans="1:36" s="316" customFormat="1" ht="30" customHeight="1" thickBot="1" x14ac:dyDescent="0.4">
      <c r="A26" s="447"/>
      <c r="B26" s="355" t="s">
        <v>409</v>
      </c>
      <c r="C26" s="356" t="s">
        <v>424</v>
      </c>
      <c r="D26" s="339"/>
      <c r="E26" s="447"/>
      <c r="F26" s="359" t="s">
        <v>411</v>
      </c>
      <c r="G26" s="360" t="s">
        <v>418</v>
      </c>
      <c r="H26" s="339"/>
      <c r="J26" s="447"/>
      <c r="K26" s="359" t="s">
        <v>411</v>
      </c>
      <c r="L26" s="360" t="s">
        <v>413</v>
      </c>
      <c r="M26" s="339"/>
      <c r="R26" s="359" t="s">
        <v>411</v>
      </c>
      <c r="S26" s="360" t="s">
        <v>412</v>
      </c>
      <c r="T26" s="339"/>
      <c r="Z26" s="317"/>
      <c r="AA26" s="563"/>
      <c r="AB26" s="563"/>
      <c r="AE26" s="339"/>
      <c r="AF26" s="447"/>
      <c r="AH26" s="317"/>
      <c r="AI26" s="339"/>
    </row>
    <row r="27" spans="1:36" s="316" customFormat="1" ht="30" customHeight="1" thickBot="1" x14ac:dyDescent="0.4">
      <c r="A27" s="447"/>
      <c r="B27" s="366" t="s">
        <v>416</v>
      </c>
      <c r="C27" s="367">
        <f>VLOOKUP(C25,'5a)NDA MPPR'!$B$9:$AK$61,21,FALSE)</f>
        <v>746.06353805999993</v>
      </c>
      <c r="D27" s="339"/>
      <c r="E27" s="447"/>
      <c r="F27" s="370" t="s">
        <v>416</v>
      </c>
      <c r="G27" s="371">
        <f>VLOOKUP(G25,'5a)NDA MPPR'!$B$9:$AK$61,21,FALSE)</f>
        <v>71.943748249999999</v>
      </c>
      <c r="H27" s="339"/>
      <c r="J27" s="447"/>
      <c r="K27" s="370" t="s">
        <v>416</v>
      </c>
      <c r="L27" s="371">
        <f>VLOOKUP(L25,'5a)NDA MPPR'!$B$9:$AK$61,21,FALSE)</f>
        <v>53.217743929999997</v>
      </c>
      <c r="M27" s="339"/>
      <c r="R27" s="370" t="s">
        <v>416</v>
      </c>
      <c r="S27" s="371">
        <f>VLOOKUP(S25,'4b) SL EPO Extended Data Sheet'!$A$5:$AB$168,17,FALSE)/1000000</f>
        <v>102.04751139</v>
      </c>
      <c r="T27" s="339"/>
      <c r="Y27" s="645" t="s">
        <v>433</v>
      </c>
      <c r="Z27" s="646"/>
      <c r="AA27" s="646"/>
      <c r="AB27" s="646"/>
      <c r="AC27" s="646"/>
      <c r="AD27" s="647"/>
      <c r="AE27" s="340"/>
      <c r="AF27" s="447"/>
      <c r="AG27" s="374" t="s">
        <v>407</v>
      </c>
      <c r="AH27" s="375" t="s">
        <v>329</v>
      </c>
      <c r="AI27" s="332"/>
      <c r="AJ27" s="363"/>
    </row>
    <row r="28" spans="1:36" s="316" customFormat="1" ht="30" customHeight="1" thickBot="1" x14ac:dyDescent="0.4">
      <c r="A28" s="447"/>
      <c r="C28" s="317"/>
      <c r="D28" s="339"/>
      <c r="E28" s="447"/>
      <c r="G28" s="317"/>
      <c r="H28" s="339"/>
      <c r="J28" s="447"/>
      <c r="L28" s="317"/>
      <c r="M28" s="339"/>
      <c r="S28" s="317"/>
      <c r="T28" s="339"/>
      <c r="Y28" s="318" t="s">
        <v>434</v>
      </c>
      <c r="Z28" s="342"/>
      <c r="AA28" s="343"/>
      <c r="AB28" s="322" t="s">
        <v>391</v>
      </c>
      <c r="AC28" s="341"/>
      <c r="AD28" s="422">
        <f>Z35+Z42</f>
        <v>130.01650079000001</v>
      </c>
      <c r="AE28" s="339"/>
      <c r="AF28" s="447"/>
      <c r="AG28" s="376" t="s">
        <v>456</v>
      </c>
      <c r="AH28" s="377" t="s">
        <v>461</v>
      </c>
      <c r="AI28" s="339"/>
      <c r="AJ28" s="363"/>
    </row>
    <row r="29" spans="1:36" s="316" customFormat="1" ht="30" customHeight="1" x14ac:dyDescent="0.35">
      <c r="A29" s="447"/>
      <c r="B29" s="347" t="s">
        <v>407</v>
      </c>
      <c r="C29" s="348" t="s">
        <v>110</v>
      </c>
      <c r="D29" s="340"/>
      <c r="E29" s="447"/>
      <c r="F29" s="383" t="s">
        <v>407</v>
      </c>
      <c r="G29" s="384" t="s">
        <v>122</v>
      </c>
      <c r="H29" s="340"/>
      <c r="J29" s="447"/>
      <c r="K29" s="351" t="s">
        <v>407</v>
      </c>
      <c r="L29" s="352" t="s">
        <v>170</v>
      </c>
      <c r="M29" s="340"/>
      <c r="R29" s="351" t="s">
        <v>407</v>
      </c>
      <c r="S29" s="352" t="s">
        <v>302</v>
      </c>
      <c r="T29" s="340"/>
      <c r="U29" s="363"/>
      <c r="Y29" s="564"/>
      <c r="Z29" s="565"/>
      <c r="AA29" s="400"/>
      <c r="AE29" s="339"/>
      <c r="AF29" s="447"/>
      <c r="AG29" s="376" t="s">
        <v>408</v>
      </c>
      <c r="AH29" s="377" t="s">
        <v>330</v>
      </c>
      <c r="AI29" s="339"/>
      <c r="AJ29" s="363"/>
    </row>
    <row r="30" spans="1:36" s="316" customFormat="1" ht="30" customHeight="1" thickBot="1" x14ac:dyDescent="0.4">
      <c r="A30" s="447"/>
      <c r="B30" s="355" t="s">
        <v>456</v>
      </c>
      <c r="C30" s="356" t="s">
        <v>460</v>
      </c>
      <c r="D30" s="339"/>
      <c r="E30" s="447"/>
      <c r="F30" s="385" t="s">
        <v>456</v>
      </c>
      <c r="G30" s="386" t="s">
        <v>463</v>
      </c>
      <c r="H30" s="563"/>
      <c r="J30" s="447"/>
      <c r="K30" s="359" t="s">
        <v>456</v>
      </c>
      <c r="L30" s="360" t="s">
        <v>472</v>
      </c>
      <c r="M30" s="563"/>
      <c r="R30" s="359" t="s">
        <v>456</v>
      </c>
      <c r="S30" s="360" t="s">
        <v>470</v>
      </c>
      <c r="T30" s="339"/>
      <c r="U30" s="563"/>
      <c r="Z30" s="317"/>
      <c r="AA30" s="339"/>
      <c r="AE30" s="339"/>
      <c r="AF30" s="447"/>
      <c r="AG30" s="376" t="s">
        <v>409</v>
      </c>
      <c r="AH30" s="377" t="s">
        <v>415</v>
      </c>
      <c r="AI30" s="339"/>
      <c r="AJ30" s="363"/>
    </row>
    <row r="31" spans="1:36" s="316" customFormat="1" ht="30" customHeight="1" thickBot="1" x14ac:dyDescent="0.4">
      <c r="A31" s="447"/>
      <c r="B31" s="355" t="s">
        <v>408</v>
      </c>
      <c r="C31" s="356" t="s">
        <v>109</v>
      </c>
      <c r="D31" s="339"/>
      <c r="E31" s="447"/>
      <c r="F31" s="385" t="s">
        <v>408</v>
      </c>
      <c r="G31" s="386" t="s">
        <v>121</v>
      </c>
      <c r="J31" s="447"/>
      <c r="K31" s="359" t="s">
        <v>408</v>
      </c>
      <c r="L31" s="360" t="s">
        <v>294</v>
      </c>
      <c r="R31" s="359" t="s">
        <v>408</v>
      </c>
      <c r="S31" s="360" t="s">
        <v>305</v>
      </c>
      <c r="T31" s="339"/>
      <c r="Y31" s="374" t="s">
        <v>407</v>
      </c>
      <c r="Z31" s="375" t="s">
        <v>331</v>
      </c>
      <c r="AA31" s="340"/>
      <c r="AE31" s="339"/>
      <c r="AF31" s="447" t="s">
        <v>453</v>
      </c>
      <c r="AG31" s="380" t="s">
        <v>416</v>
      </c>
      <c r="AH31" s="381">
        <f>VLOOKUP(AH29,'4b) SL EPO Extended Data Sheet'!$A$5:$AB$168,17,FALSE)/1000000</f>
        <v>68.884648959999993</v>
      </c>
      <c r="AI31" s="339"/>
      <c r="AJ31" s="363"/>
    </row>
    <row r="32" spans="1:36" s="316" customFormat="1" ht="30" customHeight="1" x14ac:dyDescent="0.35">
      <c r="A32" s="447"/>
      <c r="B32" s="355" t="s">
        <v>409</v>
      </c>
      <c r="C32" s="356" t="s">
        <v>424</v>
      </c>
      <c r="D32" s="339"/>
      <c r="E32" s="447"/>
      <c r="F32" s="385" t="s">
        <v>411</v>
      </c>
      <c r="G32" s="386" t="s">
        <v>418</v>
      </c>
      <c r="J32" s="447"/>
      <c r="K32" s="359" t="s">
        <v>411</v>
      </c>
      <c r="L32" s="360" t="s">
        <v>410</v>
      </c>
      <c r="R32" s="359" t="s">
        <v>411</v>
      </c>
      <c r="S32" s="360" t="s">
        <v>412</v>
      </c>
      <c r="T32" s="391"/>
      <c r="Y32" s="376" t="s">
        <v>456</v>
      </c>
      <c r="Z32" s="377" t="s">
        <v>458</v>
      </c>
      <c r="AA32" s="400"/>
      <c r="AE32" s="339"/>
      <c r="AF32" s="447" t="s">
        <v>453</v>
      </c>
      <c r="AI32" s="339"/>
    </row>
    <row r="33" spans="1:43" s="316" customFormat="1" ht="30" customHeight="1" thickBot="1" x14ac:dyDescent="0.4">
      <c r="A33" s="447"/>
      <c r="B33" s="366" t="s">
        <v>416</v>
      </c>
      <c r="C33" s="367">
        <f>VLOOKUP(C31,'4b) SL EPO Extended Data Sheet'!$A$5:$AB$168,17,FALSE)/1000000</f>
        <v>158.10700034000001</v>
      </c>
      <c r="D33" s="339"/>
      <c r="E33" s="447"/>
      <c r="F33" s="387" t="s">
        <v>416</v>
      </c>
      <c r="G33" s="388">
        <f>VLOOKUP(G31,'5a)NDA MPPR'!$B$9:$AK$61,21,FALSE)</f>
        <v>18.769073489999997</v>
      </c>
      <c r="J33" s="447"/>
      <c r="K33" s="370" t="s">
        <v>416</v>
      </c>
      <c r="L33" s="371">
        <f>VLOOKUP(L31,'4b) SL EPO Extended Data Sheet'!$A$5:$AB$168,17,FALSE)/1000000</f>
        <v>38.562535920000002</v>
      </c>
      <c r="R33" s="370" t="s">
        <v>416</v>
      </c>
      <c r="S33" s="371">
        <f>VLOOKUP(S31,'4b) SL EPO Extended Data Sheet'!$A$5:$AB$168,17,FALSE)/1000000</f>
        <v>20.434619399999999</v>
      </c>
      <c r="U33" s="363"/>
      <c r="Y33" s="376" t="s">
        <v>408</v>
      </c>
      <c r="Z33" s="377" t="s">
        <v>332</v>
      </c>
      <c r="AA33" s="339"/>
      <c r="AE33" s="339"/>
      <c r="AF33" s="447"/>
      <c r="AI33" s="339"/>
    </row>
    <row r="34" spans="1:43" s="316" customFormat="1" ht="30" customHeight="1" thickBot="1" x14ac:dyDescent="0.4">
      <c r="A34" s="447"/>
      <c r="C34" s="317"/>
      <c r="D34" s="339"/>
      <c r="E34" s="447"/>
      <c r="F34" s="344" t="s">
        <v>423</v>
      </c>
      <c r="G34" s="317"/>
      <c r="J34" s="447"/>
      <c r="K34" s="344" t="s">
        <v>473</v>
      </c>
      <c r="L34" s="317"/>
      <c r="S34" s="317"/>
      <c r="T34" s="339"/>
      <c r="Y34" s="376" t="s">
        <v>411</v>
      </c>
      <c r="Z34" s="377" t="s">
        <v>437</v>
      </c>
      <c r="AA34" s="339"/>
      <c r="AE34" s="339"/>
      <c r="AF34" s="447"/>
      <c r="AG34" s="353" t="s">
        <v>407</v>
      </c>
      <c r="AH34" s="354" t="s">
        <v>351</v>
      </c>
      <c r="AI34" s="332"/>
    </row>
    <row r="35" spans="1:43" s="316" customFormat="1" ht="30" customHeight="1" thickBot="1" x14ac:dyDescent="0.4">
      <c r="A35" s="447"/>
      <c r="B35" s="347" t="s">
        <v>407</v>
      </c>
      <c r="C35" s="348" t="s">
        <v>327</v>
      </c>
      <c r="D35" s="340"/>
      <c r="E35" s="447"/>
      <c r="G35" s="317"/>
      <c r="J35" s="447"/>
      <c r="R35" s="351" t="s">
        <v>407</v>
      </c>
      <c r="S35" s="352" t="s">
        <v>359</v>
      </c>
      <c r="T35" s="340"/>
      <c r="U35" s="363"/>
      <c r="Y35" s="380" t="s">
        <v>416</v>
      </c>
      <c r="Z35" s="381">
        <f>VLOOKUP(Z33,'4b) SL EPO Extended Data Sheet'!$A$5:$AB$168,17,FALSE)/1000000</f>
        <v>91.739519310000006</v>
      </c>
      <c r="AA35" s="339"/>
      <c r="AE35" s="339"/>
      <c r="AF35" s="447"/>
      <c r="AG35" s="361" t="s">
        <v>456</v>
      </c>
      <c r="AH35" s="362" t="s">
        <v>464</v>
      </c>
      <c r="AI35" s="339"/>
    </row>
    <row r="36" spans="1:43" s="316" customFormat="1" ht="30" customHeight="1" x14ac:dyDescent="0.3">
      <c r="A36" s="447"/>
      <c r="B36" s="355" t="s">
        <v>456</v>
      </c>
      <c r="C36" s="356" t="s">
        <v>469</v>
      </c>
      <c r="D36" s="339"/>
      <c r="E36" s="447"/>
      <c r="G36" s="317"/>
      <c r="J36" s="447"/>
      <c r="R36" s="359" t="s">
        <v>456</v>
      </c>
      <c r="S36" s="360" t="s">
        <v>470</v>
      </c>
      <c r="T36" s="563"/>
      <c r="U36" s="363"/>
      <c r="Y36" s="312"/>
      <c r="Z36" s="414"/>
      <c r="AA36" s="339"/>
      <c r="AE36" s="339"/>
      <c r="AF36" s="447"/>
      <c r="AG36" s="361" t="s">
        <v>408</v>
      </c>
      <c r="AH36" s="566" t="s">
        <v>352</v>
      </c>
      <c r="AI36" s="339"/>
    </row>
    <row r="37" spans="1:43" s="316" customFormat="1" ht="30" customHeight="1" thickBot="1" x14ac:dyDescent="0.4">
      <c r="A37" s="447"/>
      <c r="B37" s="355" t="s">
        <v>408</v>
      </c>
      <c r="C37" s="356" t="s">
        <v>328</v>
      </c>
      <c r="D37" s="339"/>
      <c r="E37" s="447"/>
      <c r="G37" s="317"/>
      <c r="J37" s="447"/>
      <c r="R37" s="359" t="s">
        <v>408</v>
      </c>
      <c r="S37" s="360" t="s">
        <v>360</v>
      </c>
      <c r="U37" s="363"/>
      <c r="Z37" s="378"/>
      <c r="AA37" s="339"/>
      <c r="AE37" s="339"/>
      <c r="AF37" s="447"/>
      <c r="AG37" s="361" t="s">
        <v>411</v>
      </c>
      <c r="AH37" s="362" t="s">
        <v>426</v>
      </c>
      <c r="AI37" s="339"/>
    </row>
    <row r="38" spans="1:43" s="316" customFormat="1" ht="30" customHeight="1" thickBot="1" x14ac:dyDescent="0.4">
      <c r="A38" s="447"/>
      <c r="B38" s="355" t="s">
        <v>411</v>
      </c>
      <c r="C38" s="356" t="s">
        <v>429</v>
      </c>
      <c r="D38" s="339"/>
      <c r="G38" s="317"/>
      <c r="J38" s="447"/>
      <c r="R38" s="359" t="s">
        <v>411</v>
      </c>
      <c r="S38" s="360" t="s">
        <v>412</v>
      </c>
      <c r="U38" s="363"/>
      <c r="Y38" s="374" t="s">
        <v>407</v>
      </c>
      <c r="Z38" s="375" t="s">
        <v>333</v>
      </c>
      <c r="AA38" s="340"/>
      <c r="AB38" s="413"/>
      <c r="AC38" s="413"/>
      <c r="AD38" s="413"/>
      <c r="AE38" s="339"/>
      <c r="AF38" s="447" t="s">
        <v>453</v>
      </c>
      <c r="AG38" s="372" t="s">
        <v>416</v>
      </c>
      <c r="AH38" s="373">
        <f>VLOOKUP(AH36,'4b) SL EPO Extended Data Sheet'!$A$5:$AB$168,17,FALSE)/1000000</f>
        <v>31.202410140000001</v>
      </c>
      <c r="AI38" s="339"/>
    </row>
    <row r="39" spans="1:43" s="316" customFormat="1" ht="30" customHeight="1" thickBot="1" x14ac:dyDescent="0.4">
      <c r="A39" s="447"/>
      <c r="B39" s="366" t="s">
        <v>416</v>
      </c>
      <c r="C39" s="367">
        <f>VLOOKUP(C37,'4b) SL EPO Extended Data Sheet'!$A$5:$AB$168,17,FALSE)/1000000</f>
        <v>341.06660676000001</v>
      </c>
      <c r="D39" s="339"/>
      <c r="G39" s="317"/>
      <c r="J39" s="447"/>
      <c r="R39" s="370" t="s">
        <v>416</v>
      </c>
      <c r="S39" s="371">
        <f>VLOOKUP(S37,'4b) SL EPO Extended Data Sheet'!$A$5:$AB$168,17,FALSE)/1000000</f>
        <v>28.08472815</v>
      </c>
      <c r="U39" s="363"/>
      <c r="Y39" s="376" t="s">
        <v>456</v>
      </c>
      <c r="Z39" s="377" t="s">
        <v>458</v>
      </c>
      <c r="AB39" s="413"/>
      <c r="AC39" s="413"/>
      <c r="AD39" s="413"/>
      <c r="AE39" s="339"/>
      <c r="AF39" s="447"/>
      <c r="AG39" s="316" t="s">
        <v>420</v>
      </c>
      <c r="AH39" s="317"/>
      <c r="AI39" s="339"/>
      <c r="AO39" s="417" t="s">
        <v>425</v>
      </c>
    </row>
    <row r="40" spans="1:43" s="316" customFormat="1" ht="30" customHeight="1" thickBot="1" x14ac:dyDescent="0.4">
      <c r="A40" s="447"/>
      <c r="C40" s="317"/>
      <c r="D40" s="339"/>
      <c r="G40" s="317"/>
      <c r="J40" s="454"/>
      <c r="S40" s="317"/>
      <c r="U40" s="363"/>
      <c r="Y40" s="376" t="s">
        <v>408</v>
      </c>
      <c r="Z40" s="377" t="s">
        <v>334</v>
      </c>
      <c r="AA40" s="413"/>
      <c r="AB40" s="413"/>
      <c r="AC40" s="413"/>
      <c r="AD40" s="413"/>
      <c r="AE40" s="339"/>
      <c r="AF40" s="447"/>
      <c r="AH40" s="317"/>
      <c r="AI40" s="339"/>
    </row>
    <row r="41" spans="1:43" s="316" customFormat="1" ht="30" customHeight="1" thickBot="1" x14ac:dyDescent="0.4">
      <c r="A41" s="447"/>
      <c r="B41" s="347" t="s">
        <v>407</v>
      </c>
      <c r="C41" s="348" t="s">
        <v>171</v>
      </c>
      <c r="D41" s="340"/>
      <c r="G41" s="317"/>
      <c r="J41" s="447"/>
      <c r="R41" s="351" t="s">
        <v>407</v>
      </c>
      <c r="S41" s="352" t="s">
        <v>524</v>
      </c>
      <c r="T41" s="395"/>
      <c r="U41" s="363"/>
      <c r="Y41" s="411" t="s">
        <v>444</v>
      </c>
      <c r="Z41" s="377" t="s">
        <v>445</v>
      </c>
      <c r="AB41" s="413"/>
      <c r="AC41" s="413"/>
      <c r="AD41" s="413"/>
      <c r="AE41" s="339"/>
      <c r="AF41" s="447"/>
      <c r="AG41" s="374" t="s">
        <v>407</v>
      </c>
      <c r="AH41" s="375" t="s">
        <v>345</v>
      </c>
      <c r="AI41" s="340"/>
      <c r="AP41" s="392"/>
      <c r="AQ41" s="316" t="s">
        <v>427</v>
      </c>
    </row>
    <row r="42" spans="1:43" s="316" customFormat="1" ht="30" customHeight="1" thickBot="1" x14ac:dyDescent="0.4">
      <c r="A42" s="447"/>
      <c r="B42" s="355" t="s">
        <v>456</v>
      </c>
      <c r="C42" s="356" t="s">
        <v>461</v>
      </c>
      <c r="D42" s="339"/>
      <c r="G42" s="317"/>
      <c r="J42" s="447"/>
      <c r="R42" s="359" t="s">
        <v>456</v>
      </c>
      <c r="S42" s="360" t="s">
        <v>469</v>
      </c>
      <c r="Y42" s="380" t="s">
        <v>416</v>
      </c>
      <c r="Z42" s="381">
        <f>VLOOKUP(Z40,'4b) SL EPO Extended Data Sheet'!$A$5:$AB$168,17,FALSE)/1000000</f>
        <v>38.276981479999996</v>
      </c>
      <c r="AA42" s="413"/>
      <c r="AB42" s="413"/>
      <c r="AC42" s="413"/>
      <c r="AD42" s="413"/>
      <c r="AE42" s="339"/>
      <c r="AF42" s="447"/>
      <c r="AG42" s="376" t="s">
        <v>456</v>
      </c>
      <c r="AH42" s="377" t="s">
        <v>465</v>
      </c>
      <c r="AI42" s="339"/>
    </row>
    <row r="43" spans="1:43" s="316" customFormat="1" ht="30" customHeight="1" thickBot="1" x14ac:dyDescent="0.35">
      <c r="A43" s="447"/>
      <c r="B43" s="355" t="s">
        <v>408</v>
      </c>
      <c r="C43" s="356" t="s">
        <v>235</v>
      </c>
      <c r="D43" s="339"/>
      <c r="G43" s="317"/>
      <c r="J43" s="447"/>
      <c r="R43" s="359" t="s">
        <v>408</v>
      </c>
      <c r="S43" s="360" t="s">
        <v>523</v>
      </c>
      <c r="Y43" s="312"/>
      <c r="Z43" s="414"/>
      <c r="AE43" s="339"/>
      <c r="AF43" s="447"/>
      <c r="AG43" s="376" t="s">
        <v>408</v>
      </c>
      <c r="AH43" s="377" t="s">
        <v>346</v>
      </c>
      <c r="AI43" s="339"/>
      <c r="AP43" s="393"/>
      <c r="AQ43" s="316" t="s">
        <v>428</v>
      </c>
    </row>
    <row r="44" spans="1:43" s="316" customFormat="1" ht="30" customHeight="1" thickBot="1" x14ac:dyDescent="0.35">
      <c r="A44" s="447"/>
      <c r="B44" s="355" t="s">
        <v>411</v>
      </c>
      <c r="C44" s="356" t="s">
        <v>415</v>
      </c>
      <c r="D44" s="339"/>
      <c r="G44" s="317"/>
      <c r="J44" s="447"/>
      <c r="R44" s="359" t="s">
        <v>411</v>
      </c>
      <c r="S44" s="360" t="s">
        <v>429</v>
      </c>
      <c r="T44" s="312"/>
      <c r="Z44" s="414"/>
      <c r="AE44" s="339"/>
      <c r="AF44" s="447" t="s">
        <v>453</v>
      </c>
      <c r="AG44" s="376" t="s">
        <v>409</v>
      </c>
      <c r="AH44" s="382" t="s">
        <v>415</v>
      </c>
      <c r="AI44" s="339"/>
      <c r="AP44" s="390"/>
    </row>
    <row r="45" spans="1:43" s="316" customFormat="1" ht="30" customHeight="1" thickBot="1" x14ac:dyDescent="0.35">
      <c r="A45" s="447"/>
      <c r="B45" s="366" t="s">
        <v>416</v>
      </c>
      <c r="C45" s="367">
        <f>VLOOKUP(C43,'5a)NDA MPPR'!$B$9:$AK$61,21,FALSE)</f>
        <v>35.886955310000005</v>
      </c>
      <c r="D45" s="339"/>
      <c r="G45" s="317"/>
      <c r="J45" s="447"/>
      <c r="R45" s="370" t="s">
        <v>416</v>
      </c>
      <c r="S45" s="371">
        <f>VLOOKUP(S43,'4b) SL EPO Extended Data Sheet'!$A$5:$AB$168,17,FALSE)/1000000</f>
        <v>32.32817696</v>
      </c>
      <c r="T45" s="312"/>
      <c r="Y45" s="443" t="s">
        <v>457</v>
      </c>
      <c r="Z45" s="444"/>
      <c r="AA45" s="561"/>
      <c r="AB45" s="561"/>
      <c r="AC45" s="561"/>
      <c r="AD45" s="562"/>
      <c r="AE45" s="332"/>
      <c r="AF45" s="447"/>
      <c r="AG45" s="380" t="s">
        <v>416</v>
      </c>
      <c r="AH45" s="381">
        <f>VLOOKUP(AH43,'4b) SL EPO Extended Data Sheet'!$A$5:$AB$168,17,FALSE)/1000000</f>
        <v>42.426553950000006</v>
      </c>
      <c r="AI45" s="339"/>
      <c r="AP45" s="394"/>
      <c r="AQ45" s="316" t="s">
        <v>430</v>
      </c>
    </row>
    <row r="46" spans="1:43" s="316" customFormat="1" ht="30" customHeight="1" thickBot="1" x14ac:dyDescent="0.4">
      <c r="A46" s="454"/>
      <c r="C46" s="317"/>
      <c r="D46" s="339"/>
      <c r="G46" s="317"/>
      <c r="J46" s="454"/>
      <c r="L46" s="317"/>
      <c r="Y46" s="318" t="s">
        <v>448</v>
      </c>
      <c r="Z46" s="416"/>
      <c r="AA46" s="343"/>
      <c r="AB46" s="322" t="s">
        <v>391</v>
      </c>
      <c r="AC46" s="341"/>
      <c r="AD46" s="422">
        <f>Z52+Z58</f>
        <v>178.22966015</v>
      </c>
      <c r="AF46" s="447"/>
      <c r="AH46" s="317"/>
      <c r="AI46" s="339"/>
    </row>
    <row r="47" spans="1:43" s="316" customFormat="1" ht="30" customHeight="1" thickBot="1" x14ac:dyDescent="0.4">
      <c r="A47" s="447"/>
      <c r="B47" s="347" t="s">
        <v>407</v>
      </c>
      <c r="C47" s="348" t="s">
        <v>284</v>
      </c>
      <c r="D47" s="340"/>
      <c r="G47" s="317"/>
      <c r="J47" s="447"/>
      <c r="L47" s="317"/>
      <c r="Y47" s="336"/>
      <c r="Z47" s="336"/>
      <c r="AA47" s="335"/>
      <c r="AF47" s="447"/>
      <c r="AH47" s="317"/>
      <c r="AI47" s="339"/>
      <c r="AP47" s="396"/>
      <c r="AQ47" s="316" t="s">
        <v>431</v>
      </c>
    </row>
    <row r="48" spans="1:43" s="316" customFormat="1" ht="30" customHeight="1" thickBot="1" x14ac:dyDescent="0.35">
      <c r="A48" s="447"/>
      <c r="B48" s="355" t="s">
        <v>456</v>
      </c>
      <c r="C48" s="356" t="s">
        <v>459</v>
      </c>
      <c r="E48" s="398"/>
      <c r="G48" s="317"/>
      <c r="J48" s="447"/>
      <c r="L48" s="317"/>
      <c r="Y48" s="374" t="s">
        <v>407</v>
      </c>
      <c r="Z48" s="375" t="s">
        <v>341</v>
      </c>
      <c r="AA48" s="340"/>
      <c r="AB48" s="312"/>
      <c r="AF48" s="447"/>
      <c r="AG48" s="374" t="s">
        <v>407</v>
      </c>
      <c r="AH48" s="375" t="s">
        <v>347</v>
      </c>
      <c r="AI48" s="340"/>
    </row>
    <row r="49" spans="1:43" s="316" customFormat="1" ht="30" customHeight="1" thickBot="1" x14ac:dyDescent="0.4">
      <c r="A49" s="447"/>
      <c r="B49" s="355" t="s">
        <v>408</v>
      </c>
      <c r="C49" s="356" t="s">
        <v>279</v>
      </c>
      <c r="E49" s="398"/>
      <c r="G49" s="317"/>
      <c r="J49" s="447"/>
      <c r="L49" s="317"/>
      <c r="Y49" s="376" t="s">
        <v>456</v>
      </c>
      <c r="Z49" s="377" t="s">
        <v>467</v>
      </c>
      <c r="AA49" s="563"/>
      <c r="AB49" s="363"/>
      <c r="AF49" s="447" t="s">
        <v>453</v>
      </c>
      <c r="AG49" s="376" t="s">
        <v>456</v>
      </c>
      <c r="AH49" s="377" t="s">
        <v>465</v>
      </c>
      <c r="AP49" s="397"/>
      <c r="AQ49" s="316" t="s">
        <v>432</v>
      </c>
    </row>
    <row r="50" spans="1:43" s="316" customFormat="1" ht="30" customHeight="1" x14ac:dyDescent="0.35">
      <c r="A50" s="447"/>
      <c r="B50" s="355" t="s">
        <v>409</v>
      </c>
      <c r="C50" s="356" t="s">
        <v>410</v>
      </c>
      <c r="E50" s="398"/>
      <c r="G50" s="317"/>
      <c r="J50" s="447"/>
      <c r="L50" s="317"/>
      <c r="Y50" s="376" t="s">
        <v>408</v>
      </c>
      <c r="Z50" s="377" t="s">
        <v>342</v>
      </c>
      <c r="AB50" s="363"/>
      <c r="AF50" s="447"/>
      <c r="AG50" s="376" t="s">
        <v>408</v>
      </c>
      <c r="AH50" s="377" t="s">
        <v>348</v>
      </c>
    </row>
    <row r="51" spans="1:43" s="316" customFormat="1" ht="30" customHeight="1" thickBot="1" x14ac:dyDescent="0.4">
      <c r="A51" s="447"/>
      <c r="B51" s="366" t="s">
        <v>416</v>
      </c>
      <c r="C51" s="367">
        <f>VLOOKUP(C49,'4b) SL EPO Extended Data Sheet'!$A$5:$AB$168,17,FALSE)/1000000</f>
        <v>20.678211440000002</v>
      </c>
      <c r="E51" s="398"/>
      <c r="G51" s="317"/>
      <c r="J51" s="447"/>
      <c r="L51" s="317"/>
      <c r="Y51" s="376" t="s">
        <v>411</v>
      </c>
      <c r="Z51" s="377" t="s">
        <v>450</v>
      </c>
      <c r="AB51" s="363"/>
      <c r="AF51" s="447"/>
      <c r="AG51" s="376" t="s">
        <v>409</v>
      </c>
      <c r="AH51" s="382" t="s">
        <v>415</v>
      </c>
    </row>
    <row r="52" spans="1:43" s="316" customFormat="1" ht="30" customHeight="1" thickBot="1" x14ac:dyDescent="0.4">
      <c r="A52" s="447"/>
      <c r="B52" s="344" t="s">
        <v>435</v>
      </c>
      <c r="C52" s="399"/>
      <c r="E52" s="398"/>
      <c r="G52" s="317"/>
      <c r="J52" s="447"/>
      <c r="L52" s="317"/>
      <c r="S52" s="317"/>
      <c r="Y52" s="380" t="s">
        <v>416</v>
      </c>
      <c r="Z52" s="381">
        <f>VLOOKUP(Z50,'4b) SL EPO Extended Data Sheet'!$A$5:$AB$168,17,FALSE)/1000000</f>
        <v>159.01214102</v>
      </c>
      <c r="AB52" s="363"/>
      <c r="AF52" s="447"/>
      <c r="AG52" s="380" t="s">
        <v>416</v>
      </c>
      <c r="AH52" s="381">
        <f>VLOOKUP(AH50,'4b) SL EPO Extended Data Sheet'!$A$5:$AB$168,17,FALSE)/1000000</f>
        <v>42.266114729999998</v>
      </c>
    </row>
    <row r="53" spans="1:43" s="316" customFormat="1" ht="30" customHeight="1" thickBot="1" x14ac:dyDescent="0.35">
      <c r="A53" s="447"/>
      <c r="B53" s="401" t="s">
        <v>407</v>
      </c>
      <c r="C53" s="402" t="s">
        <v>436</v>
      </c>
      <c r="E53" s="398"/>
      <c r="G53" s="317"/>
      <c r="J53" s="447"/>
      <c r="S53" s="317"/>
      <c r="Y53" s="312"/>
      <c r="Z53" s="408"/>
      <c r="AB53" s="363"/>
      <c r="AE53" s="312"/>
      <c r="AF53" s="447"/>
      <c r="AH53" s="317"/>
      <c r="AI53" s="312"/>
    </row>
    <row r="54" spans="1:43" s="316" customFormat="1" ht="30" customHeight="1" thickBot="1" x14ac:dyDescent="0.35">
      <c r="A54" s="447"/>
      <c r="B54" s="403" t="s">
        <v>456</v>
      </c>
      <c r="C54" s="404" t="s">
        <v>458</v>
      </c>
      <c r="D54" s="410"/>
      <c r="E54" s="398"/>
      <c r="G54" s="317"/>
      <c r="J54" s="447"/>
      <c r="S54" s="455"/>
      <c r="U54" s="312"/>
      <c r="Y54" s="374" t="s">
        <v>407</v>
      </c>
      <c r="Z54" s="375" t="s">
        <v>526</v>
      </c>
      <c r="AA54" s="395"/>
      <c r="AB54" s="363"/>
      <c r="AE54" s="312"/>
      <c r="AF54" s="447"/>
      <c r="AH54" s="317"/>
      <c r="AI54" s="312"/>
    </row>
    <row r="55" spans="1:43" s="316" customFormat="1" ht="30" customHeight="1" thickBot="1" x14ac:dyDescent="0.55000000000000004">
      <c r="A55" s="447"/>
      <c r="B55" s="403" t="s">
        <v>408</v>
      </c>
      <c r="C55" s="404" t="s">
        <v>438</v>
      </c>
      <c r="E55" s="398"/>
      <c r="G55" s="317"/>
      <c r="J55" s="447"/>
      <c r="K55" s="440" t="s">
        <v>439</v>
      </c>
      <c r="L55" s="441"/>
      <c r="M55" s="441"/>
      <c r="N55" s="441"/>
      <c r="O55" s="441"/>
      <c r="P55" s="442"/>
      <c r="S55" s="456"/>
      <c r="Y55" s="376" t="s">
        <v>456</v>
      </c>
      <c r="Z55" s="377" t="s">
        <v>527</v>
      </c>
      <c r="AA55" s="312"/>
      <c r="AB55" s="312"/>
      <c r="AE55" s="312"/>
      <c r="AF55" s="447" t="s">
        <v>453</v>
      </c>
      <c r="AH55" s="317"/>
      <c r="AI55" s="312"/>
      <c r="AJ55" s="312"/>
    </row>
    <row r="56" spans="1:43" s="316" customFormat="1" ht="30" customHeight="1" thickBot="1" x14ac:dyDescent="0.55000000000000004">
      <c r="A56" s="447"/>
      <c r="B56" s="406" t="s">
        <v>416</v>
      </c>
      <c r="C56" s="407" t="s">
        <v>436</v>
      </c>
      <c r="E56" s="398"/>
      <c r="G56" s="317"/>
      <c r="J56" s="447"/>
      <c r="K56" s="632" t="s">
        <v>451</v>
      </c>
      <c r="L56" s="633"/>
      <c r="M56" s="634"/>
      <c r="N56" s="322" t="s">
        <v>391</v>
      </c>
      <c r="O56" s="322"/>
      <c r="P56" s="422">
        <f>L64</f>
        <v>26.925405940000001</v>
      </c>
      <c r="R56" s="312"/>
      <c r="S56" s="456"/>
      <c r="T56" s="312"/>
      <c r="Y56" s="376" t="s">
        <v>408</v>
      </c>
      <c r="Z56" s="377" t="s">
        <v>522</v>
      </c>
      <c r="AA56" s="312"/>
      <c r="AB56" s="312"/>
      <c r="AE56" s="312"/>
      <c r="AF56" s="447"/>
      <c r="AH56" s="317"/>
      <c r="AI56" s="312"/>
      <c r="AJ56" s="312"/>
    </row>
    <row r="57" spans="1:43" s="316" customFormat="1" ht="30" customHeight="1" thickBot="1" x14ac:dyDescent="0.35">
      <c r="A57" s="447"/>
      <c r="B57" s="409"/>
      <c r="C57" s="399"/>
      <c r="E57" s="398"/>
      <c r="F57" s="648" t="s">
        <v>440</v>
      </c>
      <c r="G57" s="648"/>
      <c r="H57" s="648"/>
      <c r="J57" s="447"/>
      <c r="K57" s="632" t="s">
        <v>477</v>
      </c>
      <c r="L57" s="633"/>
      <c r="M57" s="634"/>
      <c r="N57" s="329"/>
      <c r="O57" s="329"/>
      <c r="P57" s="327"/>
      <c r="R57" s="312"/>
      <c r="S57" s="408"/>
      <c r="T57" s="312"/>
      <c r="Y57" s="376" t="s">
        <v>411</v>
      </c>
      <c r="Z57" s="377" t="s">
        <v>450</v>
      </c>
      <c r="AA57" s="312"/>
      <c r="AB57" s="312"/>
      <c r="AE57" s="312"/>
      <c r="AF57" s="447"/>
      <c r="AH57" s="317"/>
      <c r="AI57" s="312"/>
      <c r="AJ57" s="312"/>
    </row>
    <row r="58" spans="1:43" s="316" customFormat="1" ht="30" customHeight="1" thickBot="1" x14ac:dyDescent="0.35">
      <c r="A58" s="454"/>
      <c r="B58" s="401" t="s">
        <v>407</v>
      </c>
      <c r="C58" s="402" t="s">
        <v>442</v>
      </c>
      <c r="E58" s="398"/>
      <c r="F58" s="648"/>
      <c r="G58" s="648"/>
      <c r="H58" s="648"/>
      <c r="J58" s="447"/>
      <c r="L58" s="317"/>
      <c r="M58" s="339"/>
      <c r="R58" s="312"/>
      <c r="S58" s="408"/>
      <c r="T58" s="312"/>
      <c r="Y58" s="380" t="s">
        <v>416</v>
      </c>
      <c r="Z58" s="381">
        <f>VLOOKUP(Z56,'4b) SL EPO Extended Data Sheet'!$A$5:$AB$168,17,FALSE)/1000000</f>
        <v>19.217519129999999</v>
      </c>
      <c r="AA58" s="312"/>
      <c r="AB58" s="312"/>
      <c r="AE58" s="312"/>
      <c r="AF58" s="447"/>
      <c r="AH58" s="317"/>
      <c r="AI58" s="312"/>
      <c r="AJ58" s="312"/>
    </row>
    <row r="59" spans="1:43" s="316" customFormat="1" ht="30" customHeight="1" thickBot="1" x14ac:dyDescent="0.35">
      <c r="A59" s="447"/>
      <c r="B59" s="403" t="s">
        <v>456</v>
      </c>
      <c r="C59" s="404" t="s">
        <v>464</v>
      </c>
      <c r="D59" s="410"/>
      <c r="E59" s="398"/>
      <c r="F59" s="648"/>
      <c r="G59" s="648"/>
      <c r="H59" s="648"/>
      <c r="J59" s="447"/>
      <c r="L59" s="317"/>
      <c r="M59" s="339"/>
      <c r="R59" s="312"/>
      <c r="S59" s="408"/>
      <c r="T59" s="312"/>
      <c r="Y59" s="312"/>
      <c r="Z59" s="408"/>
      <c r="AA59" s="312"/>
      <c r="AB59" s="312"/>
      <c r="AE59" s="312"/>
      <c r="AF59" s="447"/>
      <c r="AH59" s="317"/>
      <c r="AI59" s="312"/>
      <c r="AJ59" s="312"/>
    </row>
    <row r="60" spans="1:43" s="316" customFormat="1" ht="30" customHeight="1" x14ac:dyDescent="0.3">
      <c r="A60" s="447"/>
      <c r="B60" s="403" t="s">
        <v>408</v>
      </c>
      <c r="C60" s="404" t="s">
        <v>462</v>
      </c>
      <c r="D60" s="412"/>
      <c r="E60" s="398"/>
      <c r="F60" s="648"/>
      <c r="G60" s="648"/>
      <c r="H60" s="648"/>
      <c r="J60" s="447"/>
      <c r="K60" s="349" t="s">
        <v>407</v>
      </c>
      <c r="L60" s="350" t="s">
        <v>303</v>
      </c>
      <c r="M60" s="340"/>
      <c r="R60" s="312"/>
      <c r="S60" s="408"/>
      <c r="T60" s="312"/>
      <c r="U60" s="312"/>
      <c r="Y60" s="312"/>
      <c r="Z60" s="408"/>
      <c r="AA60" s="312"/>
      <c r="AB60" s="312"/>
      <c r="AC60" s="312"/>
      <c r="AD60" s="312"/>
      <c r="AE60" s="312"/>
      <c r="AF60" s="447"/>
      <c r="AH60" s="317"/>
      <c r="AI60" s="312"/>
      <c r="AJ60" s="312"/>
    </row>
    <row r="61" spans="1:43" s="316" customFormat="1" ht="30" customHeight="1" thickBot="1" x14ac:dyDescent="0.35">
      <c r="A61" s="447"/>
      <c r="B61" s="406" t="s">
        <v>416</v>
      </c>
      <c r="C61" s="407" t="s">
        <v>436</v>
      </c>
      <c r="D61" s="412"/>
      <c r="E61" s="398"/>
      <c r="F61" s="648"/>
      <c r="G61" s="648"/>
      <c r="H61" s="648"/>
      <c r="J61" s="447"/>
      <c r="K61" s="357" t="s">
        <v>456</v>
      </c>
      <c r="L61" s="358" t="s">
        <v>464</v>
      </c>
      <c r="R61" s="312"/>
      <c r="S61" s="408"/>
      <c r="T61" s="312"/>
      <c r="U61" s="312"/>
      <c r="Y61" s="312"/>
      <c r="Z61" s="408"/>
      <c r="AA61" s="312"/>
      <c r="AB61" s="312"/>
      <c r="AC61" s="312"/>
      <c r="AD61" s="312"/>
      <c r="AE61" s="312"/>
      <c r="AF61" s="447" t="s">
        <v>453</v>
      </c>
      <c r="AH61" s="317"/>
      <c r="AI61" s="312"/>
      <c r="AJ61" s="312"/>
    </row>
    <row r="62" spans="1:43" s="316" customFormat="1" ht="30" customHeight="1" thickBot="1" x14ac:dyDescent="0.35">
      <c r="A62" s="447"/>
      <c r="B62" s="312"/>
      <c r="C62" s="408"/>
      <c r="D62" s="412"/>
      <c r="E62" s="398"/>
      <c r="F62" s="648"/>
      <c r="G62" s="648"/>
      <c r="H62" s="648"/>
      <c r="J62" s="447"/>
      <c r="K62" s="357" t="s">
        <v>408</v>
      </c>
      <c r="L62" s="358" t="s">
        <v>306</v>
      </c>
      <c r="R62" s="312"/>
      <c r="S62" s="408"/>
      <c r="T62" s="312"/>
      <c r="U62" s="312"/>
      <c r="Y62" s="312"/>
      <c r="Z62" s="408"/>
      <c r="AA62" s="312"/>
      <c r="AB62" s="312"/>
      <c r="AC62" s="312"/>
      <c r="AD62" s="312"/>
      <c r="AE62" s="312"/>
      <c r="AF62" s="447"/>
      <c r="AG62" s="312"/>
      <c r="AH62" s="408"/>
      <c r="AI62" s="312"/>
      <c r="AJ62" s="312"/>
    </row>
    <row r="63" spans="1:43" s="316" customFormat="1" ht="30" customHeight="1" thickBot="1" x14ac:dyDescent="0.35">
      <c r="A63" s="447"/>
      <c r="B63" s="401" t="s">
        <v>407</v>
      </c>
      <c r="C63" s="402" t="s">
        <v>436</v>
      </c>
      <c r="D63" s="415"/>
      <c r="E63" s="398"/>
      <c r="G63" s="317"/>
      <c r="J63" s="447"/>
      <c r="K63" s="357" t="s">
        <v>411</v>
      </c>
      <c r="L63" s="358" t="s">
        <v>449</v>
      </c>
      <c r="R63" s="312"/>
      <c r="S63" s="408"/>
      <c r="T63" s="312"/>
      <c r="U63" s="312"/>
      <c r="Y63" s="312"/>
      <c r="Z63" s="408"/>
      <c r="AA63" s="312"/>
      <c r="AB63" s="312"/>
      <c r="AE63" s="312"/>
      <c r="AF63" s="447"/>
      <c r="AG63" s="312"/>
      <c r="AH63" s="408"/>
      <c r="AI63" s="312"/>
      <c r="AJ63" s="312"/>
    </row>
    <row r="64" spans="1:43" s="316" customFormat="1" ht="30" customHeight="1" thickBot="1" x14ac:dyDescent="0.35">
      <c r="A64" s="447"/>
      <c r="B64" s="403" t="s">
        <v>456</v>
      </c>
      <c r="C64" s="404" t="s">
        <v>422</v>
      </c>
      <c r="D64" s="563"/>
      <c r="G64" s="317"/>
      <c r="J64" s="447"/>
      <c r="K64" s="368" t="s">
        <v>416</v>
      </c>
      <c r="L64" s="369">
        <f>VLOOKUP(L62,'4b) SL EPO Extended Data Sheet'!$A$5:$AB$168,17,FALSE)/1000000</f>
        <v>26.925405940000001</v>
      </c>
      <c r="R64" s="312"/>
      <c r="S64" s="408"/>
      <c r="T64" s="312"/>
      <c r="U64" s="312"/>
      <c r="Y64" s="312"/>
      <c r="Z64" s="408"/>
      <c r="AA64" s="312"/>
      <c r="AB64" s="312"/>
      <c r="AE64" s="312"/>
      <c r="AF64" s="447"/>
      <c r="AG64" s="312"/>
      <c r="AH64" s="408"/>
      <c r="AI64" s="312"/>
      <c r="AJ64" s="312"/>
    </row>
    <row r="65" spans="1:46" s="316" customFormat="1" ht="30" customHeight="1" x14ac:dyDescent="0.3">
      <c r="A65" s="447"/>
      <c r="B65" s="403" t="s">
        <v>408</v>
      </c>
      <c r="C65" s="404" t="s">
        <v>447</v>
      </c>
      <c r="D65" s="312"/>
      <c r="E65" s="312"/>
      <c r="G65" s="317"/>
      <c r="J65" s="447"/>
      <c r="L65" s="317"/>
      <c r="R65" s="312"/>
      <c r="S65" s="408"/>
      <c r="T65" s="312"/>
      <c r="U65" s="312"/>
      <c r="Y65" s="312"/>
      <c r="Z65" s="408"/>
      <c r="AA65" s="312"/>
      <c r="AB65" s="312"/>
      <c r="AE65" s="312"/>
      <c r="AF65" s="447"/>
      <c r="AG65" s="312"/>
      <c r="AH65" s="408"/>
      <c r="AI65" s="312"/>
      <c r="AJ65" s="312"/>
    </row>
    <row r="66" spans="1:46" s="316" customFormat="1" ht="30" customHeight="1" thickBot="1" x14ac:dyDescent="0.35">
      <c r="A66" s="447"/>
      <c r="B66" s="406" t="s">
        <v>416</v>
      </c>
      <c r="C66" s="407" t="s">
        <v>436</v>
      </c>
      <c r="D66" s="312"/>
      <c r="G66" s="317"/>
      <c r="J66" s="447"/>
      <c r="L66" s="317"/>
      <c r="R66" s="312"/>
      <c r="S66" s="408"/>
      <c r="T66" s="312"/>
      <c r="U66" s="312"/>
      <c r="Y66" s="312"/>
      <c r="Z66" s="408"/>
      <c r="AA66" s="312"/>
      <c r="AB66" s="312"/>
      <c r="AE66" s="312"/>
      <c r="AF66" s="447"/>
      <c r="AG66" s="312"/>
      <c r="AH66" s="408"/>
      <c r="AI66" s="312"/>
      <c r="AJ66" s="312"/>
    </row>
    <row r="67" spans="1:46" s="316" customFormat="1" ht="30" customHeight="1" x14ac:dyDescent="0.3">
      <c r="A67" s="447"/>
      <c r="B67" s="312"/>
      <c r="C67" s="408"/>
      <c r="D67" s="312"/>
      <c r="E67" s="312"/>
      <c r="G67" s="317"/>
      <c r="J67" s="447"/>
      <c r="L67" s="317"/>
      <c r="R67" s="312"/>
      <c r="S67" s="408"/>
      <c r="T67" s="312"/>
      <c r="U67" s="312"/>
      <c r="V67" s="312"/>
      <c r="W67" s="312"/>
      <c r="Y67" s="312"/>
      <c r="Z67" s="408"/>
      <c r="AA67" s="312"/>
      <c r="AB67" s="312"/>
      <c r="AC67" s="312"/>
      <c r="AD67" s="312"/>
      <c r="AE67" s="312"/>
      <c r="AF67" s="447"/>
      <c r="AG67" s="312"/>
      <c r="AH67" s="408"/>
      <c r="AI67" s="312"/>
      <c r="AJ67" s="312"/>
    </row>
    <row r="68" spans="1:46" s="316" customFormat="1" ht="30" customHeight="1" x14ac:dyDescent="0.3">
      <c r="A68" s="447"/>
      <c r="B68" s="312"/>
      <c r="C68" s="408"/>
      <c r="D68" s="312"/>
      <c r="E68" s="312"/>
      <c r="G68" s="317"/>
      <c r="J68" s="447"/>
      <c r="L68" s="317"/>
      <c r="R68" s="312"/>
      <c r="S68" s="408"/>
      <c r="T68" s="312"/>
      <c r="U68" s="312"/>
      <c r="Y68" s="312"/>
      <c r="Z68" s="408"/>
      <c r="AA68" s="312"/>
      <c r="AB68" s="312"/>
      <c r="AC68" s="312"/>
      <c r="AD68" s="312"/>
      <c r="AE68" s="312"/>
      <c r="AF68" s="447"/>
      <c r="AG68" s="312"/>
      <c r="AH68" s="408"/>
      <c r="AI68" s="312"/>
      <c r="AJ68" s="312"/>
      <c r="AL68" s="312"/>
    </row>
    <row r="69" spans="1:46" s="316" customFormat="1" ht="30" customHeight="1" x14ac:dyDescent="0.3">
      <c r="A69" s="447"/>
      <c r="B69" s="312"/>
      <c r="C69" s="408"/>
      <c r="D69" s="312"/>
      <c r="E69" s="312"/>
      <c r="F69" s="312"/>
      <c r="G69" s="408"/>
      <c r="H69" s="312"/>
      <c r="J69" s="447"/>
      <c r="L69" s="317"/>
      <c r="R69" s="312"/>
      <c r="S69" s="408"/>
      <c r="T69" s="312"/>
      <c r="U69" s="312"/>
      <c r="X69" s="312"/>
      <c r="Y69" s="312"/>
      <c r="Z69" s="408"/>
      <c r="AA69" s="312"/>
      <c r="AB69" s="312"/>
      <c r="AC69" s="312"/>
      <c r="AD69" s="312"/>
      <c r="AE69" s="312"/>
      <c r="AF69" s="447"/>
      <c r="AG69" s="312"/>
      <c r="AH69" s="408"/>
      <c r="AI69" s="312"/>
      <c r="AJ69" s="312"/>
      <c r="AK69" s="312"/>
      <c r="AL69" s="312"/>
    </row>
    <row r="70" spans="1:46" s="316" customFormat="1" ht="30" customHeight="1" x14ac:dyDescent="0.3">
      <c r="A70" s="447"/>
      <c r="B70" s="312"/>
      <c r="C70" s="408"/>
      <c r="D70" s="312"/>
      <c r="E70" s="312"/>
      <c r="F70" s="312"/>
      <c r="G70" s="408"/>
      <c r="H70" s="312"/>
      <c r="J70" s="447"/>
      <c r="L70" s="317"/>
      <c r="R70" s="312"/>
      <c r="S70" s="408"/>
      <c r="T70" s="312"/>
      <c r="U70" s="312"/>
      <c r="X70" s="312"/>
      <c r="Y70" s="312"/>
      <c r="Z70" s="408"/>
      <c r="AA70" s="312"/>
      <c r="AB70" s="312"/>
      <c r="AC70" s="312"/>
      <c r="AD70" s="312"/>
      <c r="AE70" s="312"/>
      <c r="AF70" s="447"/>
      <c r="AG70" s="312"/>
      <c r="AH70" s="408"/>
      <c r="AI70" s="312"/>
      <c r="AJ70" s="312"/>
      <c r="AK70" s="312"/>
      <c r="AL70" s="312"/>
      <c r="AP70" s="312"/>
      <c r="AQ70" s="312"/>
      <c r="AR70" s="312"/>
      <c r="AS70" s="312"/>
      <c r="AT70" s="312"/>
    </row>
    <row r="71" spans="1:46" s="316" customFormat="1" ht="30" customHeight="1" x14ac:dyDescent="0.3">
      <c r="A71" s="447"/>
      <c r="B71" s="312"/>
      <c r="C71" s="408"/>
      <c r="D71" s="312"/>
      <c r="E71" s="312"/>
      <c r="F71" s="312"/>
      <c r="G71" s="408"/>
      <c r="H71" s="312"/>
      <c r="J71" s="447"/>
      <c r="L71" s="317"/>
      <c r="R71" s="312"/>
      <c r="S71" s="408"/>
      <c r="T71" s="312"/>
      <c r="U71" s="312"/>
      <c r="X71" s="312"/>
      <c r="Y71" s="312"/>
      <c r="Z71" s="408"/>
      <c r="AA71" s="312"/>
      <c r="AB71" s="312"/>
      <c r="AC71" s="312"/>
      <c r="AD71" s="312"/>
      <c r="AE71" s="312"/>
      <c r="AF71" s="447"/>
      <c r="AG71" s="312"/>
      <c r="AH71" s="408"/>
      <c r="AI71" s="312"/>
      <c r="AJ71" s="312"/>
      <c r="AK71" s="312"/>
      <c r="AL71" s="312"/>
      <c r="AP71" s="312"/>
      <c r="AQ71" s="312"/>
      <c r="AR71" s="312"/>
      <c r="AS71" s="312"/>
      <c r="AT71" s="312"/>
    </row>
    <row r="72" spans="1:46" ht="30" customHeight="1" x14ac:dyDescent="0.3">
      <c r="I72" s="408"/>
      <c r="J72" s="312"/>
      <c r="L72" s="312"/>
      <c r="P72" s="316"/>
      <c r="V72" s="316"/>
      <c r="W72" s="316"/>
    </row>
    <row r="73" spans="1:46" ht="30" customHeight="1" x14ac:dyDescent="0.3">
      <c r="I73" s="408"/>
      <c r="J73" s="312"/>
      <c r="L73" s="312"/>
      <c r="P73" s="316"/>
    </row>
    <row r="74" spans="1:46" ht="30" customHeight="1" x14ac:dyDescent="0.3">
      <c r="I74" s="408"/>
      <c r="J74" s="312"/>
      <c r="L74" s="312"/>
    </row>
    <row r="75" spans="1:46" ht="30" customHeight="1" x14ac:dyDescent="0.3">
      <c r="I75" s="408"/>
      <c r="J75" s="312"/>
      <c r="L75" s="312"/>
    </row>
    <row r="76" spans="1:46" ht="30" customHeight="1" x14ac:dyDescent="0.3">
      <c r="I76" s="408"/>
      <c r="J76" s="312"/>
      <c r="L76" s="312"/>
    </row>
    <row r="77" spans="1:46" ht="30" customHeight="1" x14ac:dyDescent="0.3">
      <c r="I77" s="408"/>
      <c r="J77" s="312"/>
      <c r="L77" s="312"/>
    </row>
    <row r="78" spans="1:46" ht="30" customHeight="1" x14ac:dyDescent="0.3">
      <c r="I78" s="408"/>
      <c r="J78" s="312"/>
      <c r="L78" s="312"/>
    </row>
    <row r="79" spans="1:46" ht="30" customHeight="1" x14ac:dyDescent="0.3"/>
  </sheetData>
  <sheetProtection algorithmName="SHA-512" hashValue="KqS5XcQXEu4sEfaZ8Xyyv5km6gFpiRbuwk1gI89PqE4Z7uXnUI4UDQotQ2V4nyK8ShGHEqxm0oFr6lwBV/QwrA==" saltValue="5xklCRp9atWsdPoMPpuiiQ==" spinCount="100000" sheet="1" objects="1" scenarios="1"/>
  <customSheetViews>
    <customSheetView guid="{7E571F1D-D438-4605-90D6-3F831F76D652}" scale="40" showGridLines="0" fitToPage="1" printArea="1">
      <selection activeCell="AO12" sqref="AO12"/>
      <pageMargins left="0.7" right="0.7" top="0.75" bottom="0.75" header="0.3" footer="0.3"/>
      <pageSetup paperSize="8" scale="30" orientation="landscape" r:id="rId1"/>
    </customSheetView>
    <customSheetView guid="{466708C2-41CE-4656-AB81-E1E49DF5945D}" scale="55" showGridLines="0" fitToPage="1" printArea="1" topLeftCell="F41">
      <selection activeCell="AZ4" sqref="AZ4"/>
      <pageMargins left="0.7" right="0.7" top="0.75" bottom="0.75" header="0.3" footer="0.3"/>
      <pageSetup paperSize="8" scale="30" orientation="landscape" r:id="rId2"/>
    </customSheetView>
    <customSheetView guid="{B84DA703-8C5B-4100-91A4-8807E303D379}" scale="55" showGridLines="0" fitToPage="1" printArea="1">
      <selection activeCell="AZ4" sqref="AZ4"/>
      <pageMargins left="0.7" right="0.7" top="0.75" bottom="0.75" header="0.3" footer="0.3"/>
      <pageSetup paperSize="8" scale="32" orientation="landscape" r:id="rId3"/>
    </customSheetView>
    <customSheetView guid="{527A2BDE-37CE-4B02-9F2C-CD7E7AC81C63}" scale="55" showGridLines="0" fitToPage="1">
      <selection activeCell="AZ4" sqref="AZ4"/>
      <pageMargins left="0.7" right="0.7" top="0.75" bottom="0.75" header="0.3" footer="0.3"/>
      <pageSetup paperSize="8" scale="30" orientation="landscape" r:id="rId4"/>
    </customSheetView>
    <customSheetView guid="{BDCD1595-C0B8-4F6C-B01C-3472C895B827}" scale="55" showGridLines="0" fitToPage="1" printArea="1">
      <selection activeCell="AZ4" sqref="AZ4"/>
      <pageMargins left="0.7" right="0.7" top="0.75" bottom="0.75" header="0.3" footer="0.3"/>
      <pageSetup paperSize="8" scale="32" orientation="landscape" r:id="rId5"/>
    </customSheetView>
    <customSheetView guid="{C57A83F1-F5A3-470B-9579-6A222C54F4E8}" scale="70" showGridLines="0" fitToPage="1" printArea="1" topLeftCell="E1">
      <selection activeCell="H38" sqref="H38"/>
      <pageMargins left="0.7" right="0.7" top="0.75" bottom="0.75" header="0.3" footer="0.3"/>
      <pageSetup paperSize="8" scale="32" orientation="landscape" r:id="rId6"/>
    </customSheetView>
    <customSheetView guid="{3827E543-57D2-48C8-B786-7077EA079DD2}" scale="55" showGridLines="0" fitToPage="1" printArea="1">
      <selection activeCell="L8" sqref="L8"/>
      <pageMargins left="0.7" right="0.7" top="0.75" bottom="0.75" header="0.3" footer="0.3"/>
      <pageSetup paperSize="8" scale="30" orientation="landscape" r:id="rId7"/>
    </customSheetView>
    <customSheetView guid="{F5FA2A23-9E46-4C2F-B1EE-B71787F95C57}" scale="55" showGridLines="0" fitToPage="1" printArea="1">
      <selection activeCell="AZ4" sqref="AZ4"/>
      <pageMargins left="0.7" right="0.7" top="0.75" bottom="0.75" header="0.3" footer="0.3"/>
      <pageSetup paperSize="8" scale="32" orientation="landscape" r:id="rId8"/>
    </customSheetView>
    <customSheetView guid="{42B0E8B1-ADFA-49AE-A83B-82D384737703}" scale="70" showGridLines="0" fitToPage="1" printArea="1" topLeftCell="E1">
      <selection activeCell="H38" sqref="H38"/>
      <pageMargins left="0.7" right="0.7" top="0.75" bottom="0.75" header="0.3" footer="0.3"/>
      <pageSetup paperSize="8" scale="30" orientation="landscape" r:id="rId9"/>
    </customSheetView>
    <customSheetView guid="{602520CD-F98C-43A6-AA0D-88893E9CB6E8}" scale="55" showGridLines="0" fitToPage="1" printArea="1">
      <selection activeCell="L8" sqref="L8"/>
      <pageMargins left="0.7" right="0.7" top="0.75" bottom="0.75" header="0.3" footer="0.3"/>
      <pageSetup paperSize="8" scale="30" orientation="landscape" r:id="rId10"/>
    </customSheetView>
    <customSheetView guid="{B8317A9A-0FFD-4A18-80F7-203DB2FC8CA5}" scale="55" showGridLines="0" fitToPage="1" printArea="1">
      <selection activeCell="L8" sqref="L8"/>
      <pageMargins left="0.7" right="0.7" top="0.75" bottom="0.75" header="0.3" footer="0.3"/>
      <pageSetup paperSize="8" scale="30" orientation="landscape" r:id="rId11"/>
    </customSheetView>
    <customSheetView guid="{2608BE9B-66AC-4D4C-8EE0-E88C94E88140}" scale="55" showGridLines="0" fitToPage="1">
      <selection activeCell="AZ4" sqref="AZ4"/>
      <pageMargins left="0.7" right="0.7" top="0.75" bottom="0.75" header="0.3" footer="0.3"/>
      <pageSetup paperSize="8" scale="32" orientation="landscape" r:id="rId12"/>
    </customSheetView>
    <customSheetView guid="{D850720D-4A1C-48F2-8E1D-8E09B7414A1A}" scale="55" showGridLines="0" fitToPage="1" printArea="1">
      <selection activeCell="AZ4" sqref="AZ4"/>
      <pageMargins left="0.7" right="0.7" top="0.75" bottom="0.75" header="0.3" footer="0.3"/>
      <pageSetup paperSize="8" scale="30" orientation="landscape" r:id="rId13"/>
    </customSheetView>
    <customSheetView guid="{A8E976B8-D767-4DB4-82BD-ABE90880F33F}" scale="55" showGridLines="0" fitToPage="1" printArea="1">
      <selection activeCell="L8" sqref="L8"/>
      <pageMargins left="0.7" right="0.7" top="0.75" bottom="0.75" header="0.3" footer="0.3"/>
      <pageSetup paperSize="8" scale="32" orientation="landscape" r:id="rId14"/>
    </customSheetView>
    <customSheetView guid="{B95D32C7-1418-4EF6-8936-849885C54A4A}" scale="25" showGridLines="0" fitToPage="1" printArea="1">
      <selection activeCell="G15" sqref="G15"/>
      <pageMargins left="0.7" right="0.7" top="0.75" bottom="0.75" header="0.3" footer="0.3"/>
      <pageSetup paperSize="8" scale="32" orientation="landscape" r:id="rId15"/>
    </customSheetView>
    <customSheetView guid="{9355C9F4-9C07-4A93-B7F2-69F1D1526716}" scale="55" showGridLines="0" fitToPage="1" printArea="1" topLeftCell="A19">
      <selection activeCell="R41" sqref="R41"/>
      <pageMargins left="0.7" right="0.7" top="0.75" bottom="0.75" header="0.3" footer="0.3"/>
      <pageSetup paperSize="8" scale="30" orientation="landscape" r:id="rId16"/>
    </customSheetView>
    <customSheetView guid="{1ECD6E30-299B-4354-A416-2DAFF33C7022}" scale="55" showGridLines="0" fitToPage="1">
      <selection activeCell="AZ4" sqref="AZ4"/>
      <pageMargins left="0.7" right="0.7" top="0.75" bottom="0.75" header="0.3" footer="0.3"/>
      <pageSetup paperSize="8" scale="34" orientation="landscape" r:id="rId17"/>
    </customSheetView>
    <customSheetView guid="{9AF6E233-883D-48B4-95AB-42B37199AB9E}" scale="55" showGridLines="0" fitToPage="1" printArea="1">
      <selection activeCell="AZ4" sqref="AZ4"/>
      <pageMargins left="0.7" right="0.7" top="0.75" bottom="0.75" header="0.3" footer="0.3"/>
      <pageSetup paperSize="8" scale="30" orientation="landscape" r:id="rId18"/>
    </customSheetView>
    <customSheetView guid="{451730E2-FFE9-4FCE-B8B5-64952C26C672}" scale="55" showGridLines="0" fitToPage="1" printArea="1">
      <selection activeCell="AZ4" sqref="AZ4"/>
      <pageMargins left="0.7" right="0.7" top="0.75" bottom="0.75" header="0.3" footer="0.3"/>
      <pageSetup paperSize="8" scale="30" orientation="landscape" r:id="rId19"/>
    </customSheetView>
    <customSheetView guid="{4EBEE699-7DEF-4A50-9CB7-490835CF0B98}" scale="55" showGridLines="0" fitToPage="1" printArea="1">
      <selection activeCell="AZ4" sqref="AZ4"/>
      <pageMargins left="0.7" right="0.7" top="0.75" bottom="0.75" header="0.3" footer="0.3"/>
      <pageSetup paperSize="8" scale="30" orientation="landscape" r:id="rId20"/>
    </customSheetView>
    <customSheetView guid="{A03C6B09-6B58-4DDE-A3B2-41A27A7049D9}" scale="55" showGridLines="0" fitToPage="1" printArea="1">
      <selection activeCell="AZ4" sqref="AZ4"/>
      <pageMargins left="0.7" right="0.7" top="0.75" bottom="0.75" header="0.3" footer="0.3"/>
      <pageSetup paperSize="8" scale="31" orientation="landscape" r:id="rId21"/>
    </customSheetView>
    <customSheetView guid="{3C97F0B0-2F3C-4E03-96E0-0C4FEC2F24AC}" scale="55" showGridLines="0" fitToPage="1" printArea="1">
      <selection activeCell="L8" sqref="L8"/>
      <pageMargins left="0.7" right="0.7" top="0.75" bottom="0.75" header="0.3" footer="0.3"/>
      <pageSetup paperSize="8" scale="30" orientation="landscape" r:id="rId22"/>
    </customSheetView>
    <customSheetView guid="{B0A28FD4-D7F6-428C-A7F7-92132DCD74BB}" scale="55" showGridLines="0" fitToPage="1" printArea="1">
      <selection activeCell="AZ4" sqref="AZ4"/>
      <pageMargins left="0.7" right="0.7" top="0.75" bottom="0.75" header="0.3" footer="0.3"/>
      <pageSetup paperSize="8" scale="30" orientation="landscape" r:id="rId23"/>
    </customSheetView>
    <customSheetView guid="{3BB18945-69B5-4B22-8D55-989F8F233459}" scale="70" showGridLines="0" fitToPage="1" printArea="1" topLeftCell="E1">
      <selection activeCell="H38" sqref="H38"/>
      <pageMargins left="0.7" right="0.7" top="0.75" bottom="0.75" header="0.3" footer="0.3"/>
      <pageSetup paperSize="8" scale="32" orientation="landscape" r:id="rId24"/>
    </customSheetView>
    <customSheetView guid="{D16D941B-FC89-4FEC-A49B-5FA2532584DE}" scale="55" showGridLines="0" fitToPage="1" printArea="1">
      <selection activeCell="AZ4" sqref="AZ4"/>
      <pageMargins left="0.7" right="0.7" top="0.75" bottom="0.75" header="0.3" footer="0.3"/>
      <pageSetup paperSize="8" scale="30" orientation="landscape" r:id="rId25"/>
    </customSheetView>
    <customSheetView guid="{C39AE06A-FC0A-4D7D-B287-2FA9CA174191}" scale="55" showGridLines="0" fitToPage="1">
      <selection activeCell="I22" sqref="I22"/>
      <pageMargins left="0.7" right="0.7" top="0.75" bottom="0.75" header="0.3" footer="0.3"/>
      <pageSetup paperSize="8" scale="36" orientation="landscape" r:id="rId26"/>
    </customSheetView>
    <customSheetView guid="{4E6F9C2D-76F2-4884-BBF6-E02A7BAE11EF}" scale="55" showGridLines="0" fitToPage="1">
      <selection activeCell="AZ4" sqref="AZ4"/>
      <pageMargins left="0.7" right="0.7" top="0.75" bottom="0.75" header="0.3" footer="0.3"/>
      <pageSetup paperSize="8" scale="35" orientation="landscape" r:id="rId27"/>
    </customSheetView>
    <customSheetView guid="{008CCD98-7480-4C51-806A-4B55C801DDC2}" scale="55" showGridLines="0" fitToPage="1">
      <selection activeCell="AZ4" sqref="AZ4"/>
      <pageMargins left="0.7" right="0.7" top="0.75" bottom="0.75" header="0.3" footer="0.3"/>
      <pageSetup paperSize="8" scale="36" orientation="landscape" r:id="rId28"/>
    </customSheetView>
    <customSheetView guid="{016CEBB2-C827-48F4-95E1-85D8C5129F41}" scale="55" showGridLines="0" fitToPage="1" printArea="1">
      <selection activeCell="AZ4" sqref="AZ4"/>
      <pageMargins left="0.7" right="0.7" top="0.75" bottom="0.75" header="0.3" footer="0.3"/>
      <pageSetup paperSize="8" scale="36" orientation="landscape" r:id="rId29"/>
    </customSheetView>
    <customSheetView guid="{EB96DBE4-2D64-4388-853C-CB52A0CB79BA}" scale="55" showGridLines="0" fitToPage="1">
      <selection activeCell="AZ4" sqref="AZ4"/>
      <pageMargins left="0.7" right="0.7" top="0.75" bottom="0.75" header="0.3" footer="0.3"/>
      <pageSetup paperSize="8" scale="32" orientation="landscape" r:id="rId30"/>
    </customSheetView>
    <customSheetView guid="{351EFD38-BF62-4E34-A37F-0EEB3E165043}" scale="55" showGridLines="0" fitToPage="1" printArea="1" topLeftCell="F41">
      <selection activeCell="AZ4" sqref="AZ4"/>
      <pageMargins left="0.7" right="0.7" top="0.75" bottom="0.75" header="0.3" footer="0.3"/>
      <pageSetup paperSize="8" scale="30" orientation="landscape" r:id="rId31"/>
    </customSheetView>
    <customSheetView guid="{593284E7-E32C-4D6C-8C2F-3DEEF9DEE1DF}" scale="55" showGridLines="0" fitToPage="1" printArea="1">
      <selection activeCell="AZ4" sqref="AZ4"/>
      <pageMargins left="0.7" right="0.7" top="0.75" bottom="0.75" header="0.3" footer="0.3"/>
      <pageSetup paperSize="8" scale="30" orientation="landscape" r:id="rId32"/>
    </customSheetView>
    <customSheetView guid="{E06B4FE8-6127-47B2-A6A5-4FAC9EEB4538}" scale="55" showGridLines="0" fitToPage="1" printArea="1">
      <selection activeCell="AZ4" sqref="AZ4"/>
      <pageMargins left="0.7" right="0.7" top="0.75" bottom="0.75" header="0.3" footer="0.3"/>
      <pageSetup paperSize="8" scale="30" orientation="landscape" r:id="rId33"/>
    </customSheetView>
    <customSheetView guid="{51B3083F-A103-41AB-A137-63549C54B838}" scale="55" showGridLines="0" fitToPage="1" printArea="1">
      <selection activeCell="L8" sqref="L8"/>
      <pageMargins left="0.7" right="0.7" top="0.75" bottom="0.75" header="0.3" footer="0.3"/>
      <pageSetup paperSize="8" scale="30" orientation="landscape" r:id="rId34"/>
    </customSheetView>
    <customSheetView guid="{8CB67476-3FD4-42E0-ACD6-62ACA9412843}" scale="55" showGridLines="0" fitToPage="1" printArea="1">
      <selection activeCell="AZ4" sqref="AZ4"/>
      <pageMargins left="0.7" right="0.7" top="0.75" bottom="0.75" header="0.3" footer="0.3"/>
      <pageSetup paperSize="8" scale="30" orientation="landscape" r:id="rId35"/>
    </customSheetView>
    <customSheetView guid="{151EB58C-4EFD-4330-8D1A-8AACF5F7C679}" scale="55" showGridLines="0" fitToPage="1">
      <selection activeCell="AZ4" sqref="AZ4"/>
      <pageMargins left="0.7" right="0.7" top="0.75" bottom="0.75" header="0.3" footer="0.3"/>
      <pageSetup paperSize="8" scale="32" orientation="landscape" r:id="rId36"/>
    </customSheetView>
    <customSheetView guid="{8263C9D2-452D-46FA-AFA0-452B42DC0298}" scale="80" showGridLines="0" fitToPage="1" printArea="1" topLeftCell="D1">
      <selection activeCell="V9" sqref="V9"/>
      <pageMargins left="0.7" right="0.7" top="0.75" bottom="0.75" header="0.3" footer="0.3"/>
      <pageSetup paperSize="8" scale="32" orientation="landscape" r:id="rId37"/>
    </customSheetView>
    <customSheetView guid="{DF265C7B-1EEB-47EB-982A-6938E81F7AC2}" scale="55" showGridLines="0" fitToPage="1" printArea="1">
      <selection activeCell="AZ4" sqref="AZ4"/>
      <pageMargins left="0.7" right="0.7" top="0.75" bottom="0.75" header="0.3" footer="0.3"/>
      <pageSetup paperSize="8" scale="30" orientation="landscape" r:id="rId38"/>
    </customSheetView>
    <customSheetView guid="{9F91FBC4-6A13-42C2-A2D9-42A2AC814E28}" scale="55" showGridLines="0" fitToPage="1" printArea="1">
      <selection activeCell="AZ4" sqref="AZ4"/>
      <pageMargins left="0.7" right="0.7" top="0.75" bottom="0.75" header="0.3" footer="0.3"/>
      <pageSetup paperSize="8" scale="30" orientation="landscape" r:id="rId39"/>
    </customSheetView>
    <customSheetView guid="{F4A6298C-1A75-4FA9-A6A4-2BE13CCFE545}" scale="70" showGridLines="0" fitToPage="1" printArea="1" topLeftCell="E1">
      <selection activeCell="H38" sqref="H38"/>
      <pageMargins left="0.7" right="0.7" top="0.75" bottom="0.75" header="0.3" footer="0.3"/>
      <pageSetup paperSize="8" scale="32" orientation="landscape" r:id="rId40"/>
    </customSheetView>
    <customSheetView guid="{29AC9BE3-332A-4738-949C-1F8C0D32BAEE}" scale="70" showGridLines="0" fitToPage="1" topLeftCell="E1">
      <selection activeCell="H38" sqref="H38"/>
      <pageMargins left="0.7" right="0.7" top="0.75" bottom="0.75" header="0.3" footer="0.3"/>
      <pageSetup paperSize="8" scale="30" orientation="landscape" r:id="rId41"/>
    </customSheetView>
    <customSheetView guid="{75EE3B92-AF4D-4E93-A70E-6ADE60CC674F}" scale="55" showGridLines="0" fitToPage="1" topLeftCell="L1">
      <selection activeCell="AZ4" sqref="AZ4"/>
      <pageMargins left="0.7" right="0.7" top="0.75" bottom="0.75" header="0.3" footer="0.3"/>
      <pageSetup paperSize="8" scale="33" orientation="landscape" r:id="rId42"/>
    </customSheetView>
    <customSheetView guid="{CA7E8063-5145-49E1-8E00-2E1025705A81}" scale="55" showGridLines="0" fitToPage="1" printArea="1">
      <selection activeCell="AZ4" sqref="AZ4"/>
      <pageMargins left="0.7" right="0.7" top="0.75" bottom="0.75" header="0.3" footer="0.3"/>
      <pageSetup paperSize="8" scale="32" orientation="landscape" r:id="rId43"/>
    </customSheetView>
    <customSheetView guid="{51DFD3D6-BC25-47B4-B28F-D640534DB3A9}" scale="55" showGridLines="0" fitToPage="1" printArea="1" topLeftCell="A9">
      <selection activeCell="C45" sqref="C45"/>
      <pageMargins left="0.7" right="0.7" top="0.75" bottom="0.75" header="0.3" footer="0.3"/>
      <pageSetup paperSize="8" scale="32" orientation="landscape" r:id="rId44"/>
    </customSheetView>
    <customSheetView guid="{37F5A0AB-EB39-4832-9D67-F67D908BF486}" scale="40" showGridLines="0" fitToPage="1" printArea="1" topLeftCell="A2">
      <selection activeCell="O13" sqref="O13"/>
      <pageMargins left="0.7" right="0.7" top="0.75" bottom="0.75" header="0.3" footer="0.3"/>
      <pageSetup paperSize="8" scale="30" orientation="landscape" r:id="rId45"/>
    </customSheetView>
    <customSheetView guid="{70582C04-BB53-4A99-A3C1-673011D9AE1C}" scale="55" showGridLines="0" fitToPage="1" printArea="1">
      <selection activeCell="AZ4" sqref="AZ4"/>
      <pageMargins left="0.7" right="0.7" top="0.75" bottom="0.75" header="0.3" footer="0.3"/>
      <pageSetup paperSize="8" scale="30" orientation="landscape" r:id="rId46"/>
    </customSheetView>
    <customSheetView guid="{442F9A23-CA6E-4109-B10C-ACF5FD36B859}" scale="55" showGridLines="0" fitToPage="1" printArea="1">
      <selection activeCell="AZ4" sqref="AZ4"/>
      <pageMargins left="0.7" right="0.7" top="0.75" bottom="0.75" header="0.3" footer="0.3"/>
      <pageSetup paperSize="8" scale="32" orientation="landscape" r:id="rId47"/>
    </customSheetView>
    <customSheetView guid="{E4713981-DD11-40CE-BE52-873D93BDDE05}" scale="55" showGridLines="0" fitToPage="1">
      <selection activeCell="AZ4" sqref="AZ4"/>
      <pageMargins left="0.7" right="0.7" top="0.75" bottom="0.75" header="0.3" footer="0.3"/>
      <pageSetup paperSize="8" scale="32" orientation="landscape" r:id="rId48"/>
    </customSheetView>
    <customSheetView guid="{83044EFE-7F92-4F81-B034-85D9567158C2}" scale="55" showGridLines="0" fitToPage="1" printArea="1">
      <selection activeCell="AZ4" sqref="AZ4"/>
      <pageMargins left="0.7" right="0.7" top="0.75" bottom="0.75" header="0.3" footer="0.3"/>
      <pageSetup paperSize="8" scale="30" orientation="landscape" r:id="rId49"/>
    </customSheetView>
    <customSheetView guid="{E3A3AE56-8881-4A6F-9299-803C489AD1B4}" scale="70" showGridLines="0" fitToPage="1" printArea="1" topLeftCell="E1">
      <selection activeCell="H38" sqref="H38"/>
      <pageMargins left="0.7" right="0.7" top="0.75" bottom="0.75" header="0.3" footer="0.3"/>
      <pageSetup paperSize="8" scale="30" orientation="landscape" r:id="rId50"/>
    </customSheetView>
    <customSheetView guid="{FBC63E8F-69FE-4648-B709-FA1212EFFB29}" scale="80" showGridLines="0" fitToPage="1" printArea="1" topLeftCell="D1">
      <selection activeCell="V9" sqref="V9"/>
      <pageMargins left="0.7" right="0.7" top="0.75" bottom="0.75" header="0.3" footer="0.3"/>
      <pageSetup paperSize="8" scale="31" orientation="landscape" r:id="rId51"/>
    </customSheetView>
    <customSheetView guid="{0EDA65D2-43FB-421C-9D8C-D8082C64B09A}" scale="55" showGridLines="0" fitToPage="1" printArea="1">
      <selection activeCell="L8" sqref="L8"/>
      <pageMargins left="0.7" right="0.7" top="0.75" bottom="0.75" header="0.3" footer="0.3"/>
      <pageSetup paperSize="8" scale="30" orientation="landscape" r:id="rId52"/>
    </customSheetView>
    <customSheetView guid="{B434A8A8-5A4C-48C0-82E7-2458B9D2EEEF}" scale="55" showGridLines="0" fitToPage="1" printArea="1">
      <selection activeCell="AZ4" sqref="AZ4"/>
      <pageMargins left="0.7" right="0.7" top="0.75" bottom="0.75" header="0.3" footer="0.3"/>
      <pageSetup paperSize="8" scale="32" orientation="landscape" r:id="rId53"/>
    </customSheetView>
    <customSheetView guid="{EDD5A64E-02C0-4DD6-80BA-449123FCDAA2}" scale="65" showGridLines="0" fitToPage="1" printArea="1" topLeftCell="A16">
      <selection activeCell="C39" sqref="C39"/>
      <pageMargins left="0.7" right="0.7" top="0.75" bottom="0.75" header="0.3" footer="0.3"/>
      <pageSetup paperSize="8" scale="30" orientation="landscape" r:id="rId54"/>
    </customSheetView>
    <customSheetView guid="{97D58294-343B-4B62-A826-0DDDE29B5F0D}" scale="55" showGridLines="0" fitToPage="1" printArea="1">
      <selection activeCell="AZ4" sqref="AZ4"/>
      <pageMargins left="0.7" right="0.7" top="0.75" bottom="0.75" header="0.3" footer="0.3"/>
      <pageSetup paperSize="8" scale="32" orientation="landscape" r:id="rId55"/>
    </customSheetView>
    <customSheetView guid="{800416AC-1374-44AC-811C-612C85EF24E6}" scale="70" showGridLines="0" fitToPage="1" printArea="1" topLeftCell="I20">
      <selection activeCell="AE38" sqref="AE38"/>
      <pageMargins left="0.7" right="0.7" top="0.75" bottom="0.75" header="0.3" footer="0.3"/>
      <pageSetup paperSize="8" scale="30" orientation="landscape" r:id="rId56"/>
    </customSheetView>
    <customSheetView guid="{2EA8DBF7-9763-457C-AA9F-1EEB2F136D1F}" scale="55" showGridLines="0" fitToPage="1" printArea="1">
      <selection activeCell="AZ4" sqref="AZ4"/>
      <pageMargins left="0.7" right="0.7" top="0.75" bottom="0.75" header="0.3" footer="0.3"/>
      <pageSetup paperSize="8" scale="30" orientation="landscape" r:id="rId57"/>
    </customSheetView>
    <customSheetView guid="{78AA4A71-CE17-4C4D-849E-E3E1A44EA907}" scale="70" showGridLines="0" fitToPage="1" printArea="1" topLeftCell="E1">
      <selection activeCell="H38" sqref="H38"/>
      <pageMargins left="0.7" right="0.7" top="0.75" bottom="0.75" header="0.3" footer="0.3"/>
      <pageSetup paperSize="8" scale="32" orientation="landscape" r:id="rId58"/>
    </customSheetView>
    <customSheetView guid="{C7C13768-4A8D-4CBA-978C-F4A7B5550C00}" scale="70" showGridLines="0" fitToPage="1" printArea="1">
      <selection activeCell="L9" sqref="L9"/>
      <pageMargins left="0.7" right="0.7" top="0.75" bottom="0.75" header="0.3" footer="0.3"/>
      <pageSetup paperSize="8" scale="30" orientation="landscape" r:id="rId59"/>
    </customSheetView>
    <customSheetView guid="{D59DDBAA-620D-43B7-A6D9-759808D3397A}" scale="55" showGridLines="0" fitToPage="1" printArea="1">
      <selection activeCell="AZ4" sqref="AZ4"/>
      <pageMargins left="0.7" right="0.7" top="0.75" bottom="0.75" header="0.3" footer="0.3"/>
      <pageSetup paperSize="8" scale="30" orientation="landscape" r:id="rId60"/>
    </customSheetView>
  </customSheetViews>
  <mergeCells count="18">
    <mergeCell ref="AG10:AI10"/>
    <mergeCell ref="D6:F6"/>
    <mergeCell ref="K6:M6"/>
    <mergeCell ref="R6:T6"/>
    <mergeCell ref="AC6:AE6"/>
    <mergeCell ref="Y8:AD8"/>
    <mergeCell ref="AG8:AL8"/>
    <mergeCell ref="A1:AL1"/>
    <mergeCell ref="A2:F2"/>
    <mergeCell ref="D4:I4"/>
    <mergeCell ref="K4:P4"/>
    <mergeCell ref="R4:W4"/>
    <mergeCell ref="AC4:AK4"/>
    <mergeCell ref="Y27:AD27"/>
    <mergeCell ref="F57:H62"/>
    <mergeCell ref="D9:E9"/>
    <mergeCell ref="H9:I9"/>
    <mergeCell ref="Y9:AA9"/>
  </mergeCells>
  <pageMargins left="0.7" right="0.7" top="0.75" bottom="0.75" header="0.3" footer="0.3"/>
  <pageSetup paperSize="8" scale="33" orientation="landscape" r:id="rId61"/>
  <drawing r:id="rId6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657240-7DA6-4B43-9929-0D4FE09759C9}">
  <sheetPr codeName="Sheet6">
    <pageSetUpPr fitToPage="1"/>
  </sheetPr>
  <dimension ref="A1:AL65"/>
  <sheetViews>
    <sheetView showGridLines="0" topLeftCell="A24" zoomScale="55" zoomScaleNormal="70" workbookViewId="0">
      <selection activeCell="G39" sqref="G39"/>
    </sheetView>
  </sheetViews>
  <sheetFormatPr defaultColWidth="9.453125" defaultRowHeight="13" x14ac:dyDescent="0.3"/>
  <cols>
    <col min="1" max="1" width="3.453125" style="312" customWidth="1"/>
    <col min="2" max="2" width="11.54296875" style="312" customWidth="1"/>
    <col min="3" max="3" width="30.54296875" style="408" customWidth="1"/>
    <col min="4" max="5" width="9.453125" style="312"/>
    <col min="6" max="6" width="11.54296875" style="312" customWidth="1"/>
    <col min="7" max="7" width="30.54296875" style="408" customWidth="1"/>
    <col min="8" max="9" width="9.453125" style="312"/>
    <col min="10" max="10" width="3.54296875" style="312" customWidth="1"/>
    <col min="11" max="11" width="11.54296875" style="312" customWidth="1"/>
    <col min="12" max="12" width="30.54296875" style="408" customWidth="1"/>
    <col min="13" max="13" width="9.453125" style="312"/>
    <col min="14" max="16" width="7.453125" style="312" customWidth="1"/>
    <col min="17" max="17" width="3.54296875" style="312" customWidth="1"/>
    <col min="18" max="18" width="11.54296875" style="312" customWidth="1"/>
    <col min="19" max="19" width="30.54296875" style="408" customWidth="1"/>
    <col min="20" max="20" width="9.453125" style="312"/>
    <col min="21" max="22" width="7.453125" style="312" customWidth="1"/>
    <col min="23" max="23" width="7.54296875" style="312" customWidth="1"/>
    <col min="24" max="24" width="3.54296875" style="312" customWidth="1"/>
    <col min="25" max="25" width="11.54296875" style="312" customWidth="1"/>
    <col min="26" max="26" width="30.54296875" style="408" customWidth="1"/>
    <col min="27" max="27" width="9.453125" style="312"/>
    <col min="28" max="31" width="7.453125" style="312" customWidth="1"/>
    <col min="32" max="32" width="7.54296875" style="312" customWidth="1"/>
    <col min="33" max="33" width="11.54296875" style="312" customWidth="1"/>
    <col min="34" max="34" width="30.54296875" style="408" customWidth="1"/>
    <col min="35" max="36" width="7.453125" style="312" customWidth="1"/>
    <col min="37" max="37" width="7.54296875" style="312" customWidth="1"/>
    <col min="38" max="16384" width="9.453125" style="312"/>
  </cols>
  <sheetData>
    <row r="1" spans="1:38" ht="36" customHeight="1" thickBot="1" x14ac:dyDescent="0.35">
      <c r="A1" s="654" t="s">
        <v>384</v>
      </c>
      <c r="B1" s="654"/>
      <c r="C1" s="654"/>
      <c r="D1" s="654"/>
      <c r="E1" s="654"/>
      <c r="F1" s="654"/>
      <c r="G1" s="654"/>
      <c r="H1" s="654"/>
      <c r="I1" s="654"/>
      <c r="J1" s="654"/>
      <c r="K1" s="654"/>
      <c r="L1" s="654"/>
      <c r="M1" s="654"/>
      <c r="N1" s="654"/>
      <c r="O1" s="654"/>
      <c r="P1" s="654"/>
      <c r="Q1" s="654"/>
      <c r="R1" s="654"/>
      <c r="S1" s="654"/>
      <c r="T1" s="654"/>
      <c r="U1" s="654"/>
      <c r="V1" s="654"/>
      <c r="W1" s="654"/>
      <c r="X1" s="654"/>
      <c r="Y1" s="654"/>
      <c r="Z1" s="654"/>
      <c r="AA1" s="654"/>
      <c r="AB1" s="654"/>
      <c r="AC1" s="654"/>
      <c r="AD1" s="654"/>
      <c r="AE1" s="654"/>
      <c r="AF1" s="654"/>
      <c r="AG1" s="654"/>
      <c r="AH1" s="654"/>
      <c r="AI1" s="654"/>
      <c r="AJ1" s="654"/>
      <c r="AK1" s="654"/>
      <c r="AL1" s="654"/>
    </row>
    <row r="2" spans="1:38" ht="19.5" customHeight="1" thickBot="1" x14ac:dyDescent="0.5">
      <c r="A2" s="655" t="s">
        <v>385</v>
      </c>
      <c r="B2" s="655"/>
      <c r="C2" s="655"/>
      <c r="D2" s="655"/>
      <c r="E2" s="655"/>
      <c r="F2" s="656"/>
      <c r="G2" s="421" t="e">
        <f>I5+P5+W5+AH5+P53</f>
        <v>#N/A</v>
      </c>
      <c r="H2" s="313"/>
      <c r="I2" s="314"/>
      <c r="J2" s="315"/>
      <c r="K2" s="315"/>
      <c r="L2" s="315"/>
      <c r="M2" s="315"/>
      <c r="N2" s="315"/>
      <c r="O2" s="315"/>
      <c r="P2" s="315"/>
      <c r="Q2" s="315"/>
      <c r="R2" s="315"/>
      <c r="S2" s="315"/>
      <c r="T2" s="315"/>
      <c r="U2" s="315"/>
      <c r="V2" s="315"/>
      <c r="W2" s="315"/>
      <c r="X2" s="315"/>
      <c r="Y2" s="315"/>
      <c r="Z2" s="315"/>
      <c r="AA2" s="315"/>
      <c r="AB2" s="315"/>
      <c r="AC2" s="315"/>
      <c r="AD2" s="315"/>
      <c r="AE2" s="315"/>
      <c r="AF2" s="315"/>
      <c r="AG2" s="315"/>
      <c r="AH2" s="315"/>
      <c r="AI2" s="315"/>
      <c r="AJ2" s="315"/>
      <c r="AK2" s="315"/>
      <c r="AL2" s="315"/>
    </row>
    <row r="3" spans="1:38" s="316" customFormat="1" ht="13.5" thickBot="1" x14ac:dyDescent="0.4">
      <c r="C3" s="317"/>
      <c r="G3" s="317"/>
      <c r="L3" s="317"/>
      <c r="S3" s="317"/>
      <c r="Z3" s="317"/>
      <c r="AH3" s="317"/>
    </row>
    <row r="4" spans="1:38" s="316" customFormat="1" ht="30" customHeight="1" thickBot="1" x14ac:dyDescent="0.4">
      <c r="C4" s="317"/>
      <c r="D4" s="657" t="s">
        <v>386</v>
      </c>
      <c r="E4" s="658"/>
      <c r="F4" s="658"/>
      <c r="G4" s="658"/>
      <c r="H4" s="658"/>
      <c r="I4" s="659"/>
      <c r="K4" s="657" t="s">
        <v>387</v>
      </c>
      <c r="L4" s="658"/>
      <c r="M4" s="658"/>
      <c r="N4" s="658"/>
      <c r="O4" s="658"/>
      <c r="P4" s="659"/>
      <c r="R4" s="657" t="s">
        <v>388</v>
      </c>
      <c r="S4" s="658"/>
      <c r="T4" s="658"/>
      <c r="U4" s="658"/>
      <c r="V4" s="658"/>
      <c r="W4" s="659"/>
      <c r="Z4" s="317"/>
      <c r="AC4" s="657" t="s">
        <v>389</v>
      </c>
      <c r="AD4" s="658"/>
      <c r="AE4" s="658"/>
      <c r="AF4" s="658"/>
      <c r="AG4" s="658"/>
      <c r="AH4" s="659"/>
    </row>
    <row r="5" spans="1:38" s="316" customFormat="1" ht="30" customHeight="1" thickBot="1" x14ac:dyDescent="0.4">
      <c r="C5" s="317"/>
      <c r="D5" s="318" t="s">
        <v>390</v>
      </c>
      <c r="E5" s="319"/>
      <c r="F5" s="320"/>
      <c r="G5" s="321" t="s">
        <v>391</v>
      </c>
      <c r="H5" s="322"/>
      <c r="I5" s="422" t="e">
        <f>C14+C19+C24+C29+C34+C39+C44+C49+G14+G19+G24+G29</f>
        <v>#N/A</v>
      </c>
      <c r="K5" s="318" t="s">
        <v>392</v>
      </c>
      <c r="L5" s="324"/>
      <c r="M5" s="320"/>
      <c r="N5" s="322" t="s">
        <v>391</v>
      </c>
      <c r="O5" s="322"/>
      <c r="P5" s="422" t="e">
        <f>L14+L19+L24+L29+L34+L39</f>
        <v>#N/A</v>
      </c>
      <c r="R5" s="318" t="s">
        <v>393</v>
      </c>
      <c r="S5" s="324"/>
      <c r="T5" s="320"/>
      <c r="U5" s="322" t="s">
        <v>391</v>
      </c>
      <c r="V5" s="322"/>
      <c r="W5" s="323" t="e">
        <f>S14+S19+S24+S29+S34+S39+S44+S49</f>
        <v>#N/A</v>
      </c>
      <c r="Z5" s="317"/>
      <c r="AC5" s="318" t="s">
        <v>394</v>
      </c>
      <c r="AD5" s="319"/>
      <c r="AE5" s="320"/>
      <c r="AF5" s="322" t="s">
        <v>391</v>
      </c>
      <c r="AG5" s="322"/>
      <c r="AH5" s="423" t="e">
        <f>AD9+AD47+AD60+AL9</f>
        <v>#N/A</v>
      </c>
    </row>
    <row r="6" spans="1:38" s="316" customFormat="1" ht="30" customHeight="1" thickBot="1" x14ac:dyDescent="0.4">
      <c r="C6" s="317"/>
      <c r="D6" s="645" t="s">
        <v>395</v>
      </c>
      <c r="E6" s="646"/>
      <c r="F6" s="647"/>
      <c r="G6" s="325"/>
      <c r="H6" s="326"/>
      <c r="I6" s="327"/>
      <c r="K6" s="645" t="s">
        <v>396</v>
      </c>
      <c r="L6" s="646"/>
      <c r="M6" s="647"/>
      <c r="N6" s="328"/>
      <c r="O6" s="326"/>
      <c r="P6" s="327"/>
      <c r="R6" s="645" t="s">
        <v>397</v>
      </c>
      <c r="S6" s="646"/>
      <c r="T6" s="647"/>
      <c r="U6" s="328"/>
      <c r="V6" s="326"/>
      <c r="W6" s="327"/>
      <c r="Z6" s="317"/>
      <c r="AC6" s="645" t="s">
        <v>398</v>
      </c>
      <c r="AD6" s="646"/>
      <c r="AE6" s="647"/>
      <c r="AF6" s="329"/>
      <c r="AG6" s="329"/>
      <c r="AH6" s="330"/>
    </row>
    <row r="7" spans="1:38" s="316" customFormat="1" ht="13.5" thickBot="1" x14ac:dyDescent="0.4">
      <c r="C7" s="317"/>
      <c r="E7" s="331"/>
      <c r="F7" s="332"/>
      <c r="G7" s="333"/>
      <c r="H7" s="331"/>
      <c r="L7" s="334"/>
      <c r="M7" s="335"/>
      <c r="S7" s="334"/>
      <c r="T7" s="335"/>
      <c r="Z7" s="317"/>
      <c r="AC7" s="336"/>
      <c r="AE7" s="335"/>
      <c r="AH7" s="317"/>
    </row>
    <row r="8" spans="1:38" s="316" customFormat="1" ht="30" customHeight="1" thickBot="1" x14ac:dyDescent="0.4">
      <c r="C8" s="317"/>
      <c r="D8" s="337"/>
      <c r="G8" s="317"/>
      <c r="H8" s="338"/>
      <c r="L8" s="317"/>
      <c r="M8" s="339"/>
      <c r="S8" s="317"/>
      <c r="T8" s="339"/>
      <c r="Y8" s="657" t="s">
        <v>399</v>
      </c>
      <c r="Z8" s="658"/>
      <c r="AA8" s="658"/>
      <c r="AB8" s="658"/>
      <c r="AC8" s="658"/>
      <c r="AD8" s="659"/>
      <c r="AE8" s="418"/>
      <c r="AF8" s="419"/>
      <c r="AG8" s="657" t="s">
        <v>400</v>
      </c>
      <c r="AH8" s="658"/>
      <c r="AI8" s="658"/>
      <c r="AJ8" s="658"/>
      <c r="AK8" s="658"/>
      <c r="AL8" s="659"/>
    </row>
    <row r="9" spans="1:38" s="316" customFormat="1" ht="30" customHeight="1" thickBot="1" x14ac:dyDescent="0.4">
      <c r="C9" s="317"/>
      <c r="D9" s="649" t="s">
        <v>401</v>
      </c>
      <c r="E9" s="650"/>
      <c r="G9" s="317"/>
      <c r="H9" s="651" t="s">
        <v>402</v>
      </c>
      <c r="I9" s="652"/>
      <c r="L9" s="317"/>
      <c r="M9" s="339"/>
      <c r="S9" s="317"/>
      <c r="T9" s="339"/>
      <c r="Y9" s="645" t="s">
        <v>403</v>
      </c>
      <c r="Z9" s="646"/>
      <c r="AA9" s="647"/>
      <c r="AB9" s="322" t="s">
        <v>391</v>
      </c>
      <c r="AC9" s="322"/>
      <c r="AD9" s="422">
        <f>Z14+Z19+Z24+Z29+Z34+Z39+Z44</f>
        <v>660.95838686000002</v>
      </c>
      <c r="AE9" s="420"/>
      <c r="AF9" s="344"/>
      <c r="AG9" s="318" t="s">
        <v>404</v>
      </c>
      <c r="AH9" s="324"/>
      <c r="AI9" s="320"/>
      <c r="AJ9" s="322" t="s">
        <v>391</v>
      </c>
      <c r="AK9" s="322"/>
      <c r="AL9" s="422" t="e">
        <f>AH16+AH22+AH28</f>
        <v>#N/A</v>
      </c>
    </row>
    <row r="10" spans="1:38" s="316" customFormat="1" ht="15" thickBot="1" x14ac:dyDescent="0.4">
      <c r="C10" s="317"/>
      <c r="D10" s="335"/>
      <c r="G10" s="317"/>
      <c r="H10" s="335"/>
      <c r="L10" s="317"/>
      <c r="M10" s="339"/>
      <c r="R10" s="344" t="s">
        <v>405</v>
      </c>
      <c r="S10" s="317"/>
      <c r="T10" s="339"/>
      <c r="Z10" s="317"/>
      <c r="AA10" s="339"/>
      <c r="AE10" s="339"/>
      <c r="AG10" s="645" t="s">
        <v>406</v>
      </c>
      <c r="AH10" s="646"/>
      <c r="AI10" s="647"/>
      <c r="AJ10" s="345"/>
      <c r="AK10" s="345"/>
      <c r="AL10" s="346"/>
    </row>
    <row r="11" spans="1:38" s="316" customFormat="1" ht="30" customHeight="1" x14ac:dyDescent="0.35">
      <c r="B11" s="347" t="s">
        <v>407</v>
      </c>
      <c r="C11" s="348" t="s">
        <v>112</v>
      </c>
      <c r="D11" s="340"/>
      <c r="F11" s="349" t="s">
        <v>407</v>
      </c>
      <c r="G11" s="350" t="s">
        <v>99</v>
      </c>
      <c r="H11" s="340"/>
      <c r="K11" s="351" t="s">
        <v>407</v>
      </c>
      <c r="L11" s="352" t="s">
        <v>108</v>
      </c>
      <c r="M11" s="340"/>
      <c r="R11" s="349" t="s">
        <v>407</v>
      </c>
      <c r="S11" s="350" t="s">
        <v>102</v>
      </c>
      <c r="T11" s="340"/>
      <c r="Y11" s="353" t="s">
        <v>407</v>
      </c>
      <c r="Z11" s="354" t="s">
        <v>116</v>
      </c>
      <c r="AA11" s="340"/>
      <c r="AE11" s="339"/>
      <c r="AH11" s="317"/>
      <c r="AI11" s="339"/>
    </row>
    <row r="12" spans="1:38" s="316" customFormat="1" ht="30" customHeight="1" thickBot="1" x14ac:dyDescent="0.4">
      <c r="B12" s="355" t="s">
        <v>408</v>
      </c>
      <c r="C12" s="356" t="s">
        <v>111</v>
      </c>
      <c r="D12" s="339"/>
      <c r="F12" s="357" t="s">
        <v>408</v>
      </c>
      <c r="G12" s="358" t="s">
        <v>98</v>
      </c>
      <c r="H12" s="339"/>
      <c r="K12" s="359" t="s">
        <v>408</v>
      </c>
      <c r="L12" s="360" t="s">
        <v>13</v>
      </c>
      <c r="M12" s="339"/>
      <c r="R12" s="357" t="s">
        <v>408</v>
      </c>
      <c r="S12" s="358" t="s">
        <v>101</v>
      </c>
      <c r="T12" s="339"/>
      <c r="Y12" s="361" t="s">
        <v>408</v>
      </c>
      <c r="Z12" s="362" t="s">
        <v>115</v>
      </c>
      <c r="AA12" s="339"/>
      <c r="AE12" s="339"/>
      <c r="AG12" s="316" t="s">
        <v>400</v>
      </c>
      <c r="AH12" s="317"/>
      <c r="AJ12" s="363"/>
    </row>
    <row r="13" spans="1:38" s="316" customFormat="1" ht="30" customHeight="1" x14ac:dyDescent="0.35">
      <c r="B13" s="364" t="s">
        <v>409</v>
      </c>
      <c r="C13" s="356" t="s">
        <v>410</v>
      </c>
      <c r="D13" s="339"/>
      <c r="F13" s="365" t="s">
        <v>411</v>
      </c>
      <c r="G13" s="358" t="s">
        <v>412</v>
      </c>
      <c r="H13" s="339"/>
      <c r="K13" s="359" t="s">
        <v>411</v>
      </c>
      <c r="L13" s="360" t="s">
        <v>413</v>
      </c>
      <c r="M13" s="339"/>
      <c r="R13" s="357" t="s">
        <v>411</v>
      </c>
      <c r="S13" s="358" t="s">
        <v>414</v>
      </c>
      <c r="T13" s="339"/>
      <c r="Y13" s="361" t="s">
        <v>409</v>
      </c>
      <c r="Z13" s="362" t="s">
        <v>415</v>
      </c>
      <c r="AA13" s="339"/>
      <c r="AE13" s="339"/>
      <c r="AG13" s="353" t="s">
        <v>407</v>
      </c>
      <c r="AH13" s="354" t="s">
        <v>349</v>
      </c>
      <c r="AI13" s="339"/>
    </row>
    <row r="14" spans="1:38" s="316" customFormat="1" ht="30" customHeight="1" thickBot="1" x14ac:dyDescent="0.4">
      <c r="B14" s="366" t="s">
        <v>416</v>
      </c>
      <c r="C14" s="367">
        <f>VLOOKUP(C12,'5a)NDA MPPR'!$B$9:$AK$61,21,FALSE)</f>
        <v>1466.5526999799999</v>
      </c>
      <c r="D14" s="339"/>
      <c r="F14" s="368" t="s">
        <v>416</v>
      </c>
      <c r="G14" s="369">
        <f>VLOOKUP(G12,'5a)NDA MPPR'!$B$9:$AK$61,21,FALSE)</f>
        <v>1474.73089903</v>
      </c>
      <c r="H14" s="339"/>
      <c r="K14" s="370" t="s">
        <v>416</v>
      </c>
      <c r="L14" s="371">
        <f>VLOOKUP(L12,'5a)NDA MPPR'!$B$9:$AK$61,21,FALSE)</f>
        <v>138.83421663999999</v>
      </c>
      <c r="M14" s="339"/>
      <c r="R14" s="368" t="s">
        <v>416</v>
      </c>
      <c r="S14" s="369">
        <f>VLOOKUP(S12,'5a)NDA MPPR'!$B$9:$AK$61,21,FALSE)</f>
        <v>458.24501213000002</v>
      </c>
      <c r="T14" s="339"/>
      <c r="Y14" s="372" t="s">
        <v>416</v>
      </c>
      <c r="Z14" s="373">
        <f>VLOOKUP(Z12,'5a)NDA MPPR'!$B$9:$AK$61,21,FALSE)</f>
        <v>427.83868386</v>
      </c>
      <c r="AA14" s="339"/>
      <c r="AE14" s="339"/>
      <c r="AG14" s="361" t="s">
        <v>408</v>
      </c>
      <c r="AH14" s="362" t="s">
        <v>350</v>
      </c>
      <c r="AI14" s="340"/>
    </row>
    <row r="15" spans="1:38" s="316" customFormat="1" ht="30" customHeight="1" thickBot="1" x14ac:dyDescent="0.4">
      <c r="C15" s="317"/>
      <c r="D15" s="339"/>
      <c r="G15" s="317"/>
      <c r="H15" s="339"/>
      <c r="L15" s="317"/>
      <c r="M15" s="339"/>
      <c r="S15" s="317"/>
      <c r="U15" s="363"/>
      <c r="Z15" s="317"/>
      <c r="AA15" s="339"/>
      <c r="AE15" s="339"/>
      <c r="AG15" s="361" t="s">
        <v>411</v>
      </c>
      <c r="AH15" s="362" t="s">
        <v>417</v>
      </c>
      <c r="AI15" s="339"/>
    </row>
    <row r="16" spans="1:38" s="316" customFormat="1" ht="30" customHeight="1" thickBot="1" x14ac:dyDescent="0.4">
      <c r="B16" s="347" t="s">
        <v>407</v>
      </c>
      <c r="C16" s="348" t="s">
        <v>114</v>
      </c>
      <c r="D16" s="340"/>
      <c r="F16" s="353" t="s">
        <v>407</v>
      </c>
      <c r="G16" s="354" t="s">
        <v>123</v>
      </c>
      <c r="H16" s="340"/>
      <c r="K16" s="351" t="s">
        <v>407</v>
      </c>
      <c r="L16" s="352" t="s">
        <v>107</v>
      </c>
      <c r="M16" s="340"/>
      <c r="R16" s="351" t="s">
        <v>407</v>
      </c>
      <c r="S16" s="352" t="s">
        <v>100</v>
      </c>
      <c r="T16" s="340"/>
      <c r="Y16" s="374" t="s">
        <v>407</v>
      </c>
      <c r="Z16" s="375" t="s">
        <v>301</v>
      </c>
      <c r="AA16" s="340"/>
      <c r="AE16" s="339"/>
      <c r="AG16" s="372" t="s">
        <v>416</v>
      </c>
      <c r="AH16" s="373">
        <f>VLOOKUP(AH14,'4b) SL EPO Extended Data Sheet'!$A$5:$AB$168,16,FALSE)/1000000</f>
        <v>32.152518999999998</v>
      </c>
      <c r="AI16" s="339"/>
    </row>
    <row r="17" spans="2:36" s="316" customFormat="1" ht="30" customHeight="1" x14ac:dyDescent="0.35">
      <c r="B17" s="355" t="s">
        <v>408</v>
      </c>
      <c r="C17" s="356" t="s">
        <v>113</v>
      </c>
      <c r="D17" s="339"/>
      <c r="F17" s="361" t="s">
        <v>408</v>
      </c>
      <c r="G17" s="362" t="s">
        <v>5</v>
      </c>
      <c r="H17" s="339"/>
      <c r="K17" s="359" t="s">
        <v>408</v>
      </c>
      <c r="L17" s="360" t="s">
        <v>233</v>
      </c>
      <c r="M17" s="339"/>
      <c r="R17" s="359" t="s">
        <v>408</v>
      </c>
      <c r="S17" s="360" t="s">
        <v>7</v>
      </c>
      <c r="T17" s="339"/>
      <c r="Y17" s="376" t="s">
        <v>408</v>
      </c>
      <c r="Z17" s="377" t="s">
        <v>317</v>
      </c>
      <c r="AA17" s="339"/>
      <c r="AE17" s="339"/>
      <c r="AH17" s="378"/>
      <c r="AJ17" s="363"/>
    </row>
    <row r="18" spans="2:36" s="316" customFormat="1" ht="30" customHeight="1" thickBot="1" x14ac:dyDescent="0.4">
      <c r="B18" s="364" t="s">
        <v>409</v>
      </c>
      <c r="C18" s="356" t="s">
        <v>410</v>
      </c>
      <c r="D18" s="339"/>
      <c r="F18" s="361" t="s">
        <v>411</v>
      </c>
      <c r="G18" s="362" t="s">
        <v>418</v>
      </c>
      <c r="H18" s="339"/>
      <c r="K18" s="359" t="s">
        <v>411</v>
      </c>
      <c r="L18" s="360" t="s">
        <v>413</v>
      </c>
      <c r="M18" s="339"/>
      <c r="R18" s="379" t="s">
        <v>411</v>
      </c>
      <c r="S18" s="360" t="s">
        <v>412</v>
      </c>
      <c r="T18" s="339"/>
      <c r="Y18" s="376" t="s">
        <v>411</v>
      </c>
      <c r="Z18" s="377" t="s">
        <v>419</v>
      </c>
      <c r="AA18" s="339"/>
      <c r="AE18" s="339"/>
      <c r="AG18" s="316" t="s">
        <v>420</v>
      </c>
      <c r="AH18" s="317"/>
      <c r="AJ18" s="363"/>
    </row>
    <row r="19" spans="2:36" s="316" customFormat="1" ht="30" customHeight="1" thickBot="1" x14ac:dyDescent="0.4">
      <c r="B19" s="366" t="s">
        <v>416</v>
      </c>
      <c r="C19" s="367">
        <f>VLOOKUP(C17,'5a)NDA MPPR'!$B$9:$AK$61,21,FALSE)</f>
        <v>1121.70881876</v>
      </c>
      <c r="D19" s="339"/>
      <c r="F19" s="372" t="s">
        <v>416</v>
      </c>
      <c r="G19" s="373">
        <f>VLOOKUP(G17,'5a)NDA MPPR'!$B$9:$AK$61,21,FALSE)</f>
        <v>315.08837662000002</v>
      </c>
      <c r="H19" s="339"/>
      <c r="K19" s="370" t="s">
        <v>416</v>
      </c>
      <c r="L19" s="371">
        <f>VLOOKUP(L17,'5a)NDA MPPR'!$B$9:$AK$61,21,FALSE)</f>
        <v>87.702751090000007</v>
      </c>
      <c r="M19" s="339"/>
      <c r="R19" s="370" t="s">
        <v>416</v>
      </c>
      <c r="S19" s="371">
        <f>VLOOKUP(S17,'5a)NDA MPPR'!$B$9:$AK$61,21,FALSE)</f>
        <v>889.66115429000001</v>
      </c>
      <c r="T19" s="339"/>
      <c r="Y19" s="380" t="s">
        <v>416</v>
      </c>
      <c r="Z19" s="381">
        <f>VLOOKUP(Z17,'4b) SL EPO Extended Data Sheet'!$A$5:$AB$168,16,FALSE)/1000000</f>
        <v>20.914988999999998</v>
      </c>
      <c r="AA19" s="339"/>
      <c r="AE19" s="339"/>
      <c r="AG19" s="374" t="s">
        <v>407</v>
      </c>
      <c r="AH19" s="375" t="s">
        <v>358</v>
      </c>
      <c r="AI19" s="332"/>
      <c r="AJ19" s="363"/>
    </row>
    <row r="20" spans="2:36" s="316" customFormat="1" ht="30" customHeight="1" thickBot="1" x14ac:dyDescent="0.4">
      <c r="C20" s="317"/>
      <c r="D20" s="339"/>
      <c r="G20" s="317"/>
      <c r="H20" s="339"/>
      <c r="L20" s="317"/>
      <c r="M20" s="339"/>
      <c r="S20" s="317"/>
      <c r="T20" s="339"/>
      <c r="Z20" s="317"/>
      <c r="AA20" s="339"/>
      <c r="AE20" s="339"/>
      <c r="AG20" s="376" t="s">
        <v>408</v>
      </c>
      <c r="AH20" s="377" t="s">
        <v>361</v>
      </c>
      <c r="AJ20" s="363"/>
    </row>
    <row r="21" spans="2:36" s="316" customFormat="1" ht="30" customHeight="1" x14ac:dyDescent="0.35">
      <c r="B21" s="347" t="s">
        <v>407</v>
      </c>
      <c r="C21" s="348" t="s">
        <v>118</v>
      </c>
      <c r="D21" s="340"/>
      <c r="F21" s="351" t="s">
        <v>407</v>
      </c>
      <c r="G21" s="352" t="s">
        <v>120</v>
      </c>
      <c r="H21" s="340"/>
      <c r="K21" s="351" t="s">
        <v>407</v>
      </c>
      <c r="L21" s="352" t="s">
        <v>290</v>
      </c>
      <c r="M21" s="340"/>
      <c r="R21" s="351" t="s">
        <v>407</v>
      </c>
      <c r="S21" s="352" t="s">
        <v>300</v>
      </c>
      <c r="T21" s="340"/>
      <c r="Y21" s="374" t="s">
        <v>407</v>
      </c>
      <c r="Z21" s="375" t="s">
        <v>335</v>
      </c>
      <c r="AA21" s="340"/>
      <c r="AE21" s="339"/>
      <c r="AG21" s="376" t="s">
        <v>409</v>
      </c>
      <c r="AH21" s="382" t="s">
        <v>415</v>
      </c>
      <c r="AJ21" s="363"/>
    </row>
    <row r="22" spans="2:36" s="316" customFormat="1" ht="30" customHeight="1" thickBot="1" x14ac:dyDescent="0.4">
      <c r="B22" s="355" t="s">
        <v>408</v>
      </c>
      <c r="C22" s="356" t="s">
        <v>117</v>
      </c>
      <c r="D22" s="339"/>
      <c r="F22" s="359" t="s">
        <v>408</v>
      </c>
      <c r="G22" s="360" t="s">
        <v>119</v>
      </c>
      <c r="H22" s="339"/>
      <c r="K22" s="359" t="s">
        <v>408</v>
      </c>
      <c r="L22" s="360" t="s">
        <v>295</v>
      </c>
      <c r="M22" s="339"/>
      <c r="R22" s="359" t="s">
        <v>408</v>
      </c>
      <c r="S22" s="360" t="s">
        <v>304</v>
      </c>
      <c r="T22" s="339"/>
      <c r="Y22" s="376" t="s">
        <v>408</v>
      </c>
      <c r="Z22" s="377" t="s">
        <v>336</v>
      </c>
      <c r="AA22" s="339"/>
      <c r="AE22" s="339"/>
      <c r="AG22" s="380" t="s">
        <v>416</v>
      </c>
      <c r="AH22" s="381" t="e">
        <f>VLOOKUP(AH20,'4b) SL EPO Extended Data Sheet'!$A$5:$AB$168,16,FALSE)/1000000</f>
        <v>#N/A</v>
      </c>
      <c r="AJ22" s="363"/>
    </row>
    <row r="23" spans="2:36" s="316" customFormat="1" ht="30" customHeight="1" x14ac:dyDescent="0.35">
      <c r="B23" s="355" t="s">
        <v>409</v>
      </c>
      <c r="C23" s="356" t="s">
        <v>415</v>
      </c>
      <c r="D23" s="339"/>
      <c r="F23" s="359" t="s">
        <v>411</v>
      </c>
      <c r="G23" s="360" t="s">
        <v>418</v>
      </c>
      <c r="H23" s="339"/>
      <c r="K23" s="359" t="s">
        <v>411</v>
      </c>
      <c r="L23" s="360" t="s">
        <v>413</v>
      </c>
      <c r="M23" s="339"/>
      <c r="R23" s="359" t="s">
        <v>411</v>
      </c>
      <c r="S23" s="360" t="s">
        <v>412</v>
      </c>
      <c r="T23" s="339"/>
      <c r="Y23" s="376" t="s">
        <v>411</v>
      </c>
      <c r="Z23" s="377" t="s">
        <v>421</v>
      </c>
      <c r="AA23" s="339"/>
      <c r="AE23" s="339"/>
      <c r="AH23" s="317"/>
      <c r="AJ23" s="363"/>
    </row>
    <row r="24" spans="2:36" s="316" customFormat="1" ht="30" customHeight="1" thickBot="1" x14ac:dyDescent="0.4">
      <c r="B24" s="366" t="s">
        <v>416</v>
      </c>
      <c r="C24" s="367" t="e">
        <f>VLOOKUP(C22,'5a)NDA MPPR'!$B$9:$AK$61,21,FALSE)</f>
        <v>#N/A</v>
      </c>
      <c r="D24" s="339"/>
      <c r="F24" s="370" t="s">
        <v>416</v>
      </c>
      <c r="G24" s="371">
        <f>VLOOKUP(G22,'5a)NDA MPPR'!$B$9:$AK$61,21,FALSE)</f>
        <v>71.943748249999999</v>
      </c>
      <c r="H24" s="339"/>
      <c r="K24" s="370" t="s">
        <v>416</v>
      </c>
      <c r="L24" s="371">
        <f>VLOOKUP(L22,'5a)NDA MPPR'!$B$9:$AK$61,21,FALSE)</f>
        <v>53.217743929999997</v>
      </c>
      <c r="M24" s="339"/>
      <c r="R24" s="370" t="s">
        <v>416</v>
      </c>
      <c r="S24" s="371">
        <f>VLOOKUP(S22,'4b) SL EPO Extended Data Sheet'!$A$5:$AB$168,16,FALSE)/1000000</f>
        <v>103.818153</v>
      </c>
      <c r="T24" s="339"/>
      <c r="Y24" s="380" t="s">
        <v>416</v>
      </c>
      <c r="Z24" s="381">
        <f>VLOOKUP(Z22,'4b) SL EPO Extended Data Sheet'!$A$5:$AB$168,16,FALSE)/1000000</f>
        <v>26.545166999999999</v>
      </c>
      <c r="AA24" s="339"/>
      <c r="AE24" s="339"/>
      <c r="AG24" s="316" t="s">
        <v>422</v>
      </c>
      <c r="AH24" s="317"/>
      <c r="AJ24" s="363"/>
    </row>
    <row r="25" spans="2:36" s="316" customFormat="1" ht="30" customHeight="1" thickBot="1" x14ac:dyDescent="0.4">
      <c r="B25" s="344" t="s">
        <v>423</v>
      </c>
      <c r="C25" s="317"/>
      <c r="D25" s="339"/>
      <c r="G25" s="317"/>
      <c r="H25" s="339"/>
      <c r="L25" s="317"/>
      <c r="M25" s="339"/>
      <c r="S25" s="317"/>
      <c r="T25" s="339"/>
      <c r="Z25" s="317"/>
      <c r="AA25" s="339"/>
      <c r="AE25" s="339"/>
      <c r="AG25" s="374" t="s">
        <v>407</v>
      </c>
      <c r="AH25" s="375" t="s">
        <v>343</v>
      </c>
      <c r="AI25" s="339"/>
      <c r="AJ25" s="363"/>
    </row>
    <row r="26" spans="2:36" s="316" customFormat="1" ht="30" customHeight="1" x14ac:dyDescent="0.35">
      <c r="B26" s="347" t="s">
        <v>407</v>
      </c>
      <c r="C26" s="348" t="s">
        <v>97</v>
      </c>
      <c r="D26" s="340"/>
      <c r="F26" s="383" t="s">
        <v>407</v>
      </c>
      <c r="G26" s="384" t="s">
        <v>122</v>
      </c>
      <c r="H26" s="340"/>
      <c r="K26" s="351" t="s">
        <v>407</v>
      </c>
      <c r="L26" s="352" t="s">
        <v>170</v>
      </c>
      <c r="M26" s="340"/>
      <c r="R26" s="351" t="s">
        <v>407</v>
      </c>
      <c r="S26" s="352" t="s">
        <v>104</v>
      </c>
      <c r="T26" s="340"/>
      <c r="Y26" s="374" t="s">
        <v>407</v>
      </c>
      <c r="Z26" s="375" t="s">
        <v>329</v>
      </c>
      <c r="AA26" s="340"/>
      <c r="AE26" s="339"/>
      <c r="AG26" s="376" t="s">
        <v>408</v>
      </c>
      <c r="AH26" s="377" t="s">
        <v>344</v>
      </c>
      <c r="AI26" s="340"/>
    </row>
    <row r="27" spans="2:36" s="316" customFormat="1" ht="30" customHeight="1" x14ac:dyDescent="0.35">
      <c r="B27" s="355" t="s">
        <v>408</v>
      </c>
      <c r="C27" s="356" t="s">
        <v>96</v>
      </c>
      <c r="D27" s="339"/>
      <c r="F27" s="385" t="s">
        <v>408</v>
      </c>
      <c r="G27" s="386" t="s">
        <v>121</v>
      </c>
      <c r="K27" s="359" t="s">
        <v>408</v>
      </c>
      <c r="L27" s="360" t="s">
        <v>294</v>
      </c>
      <c r="M27" s="339"/>
      <c r="R27" s="359" t="s">
        <v>408</v>
      </c>
      <c r="S27" s="360" t="s">
        <v>103</v>
      </c>
      <c r="T27" s="339"/>
      <c r="Y27" s="376" t="s">
        <v>408</v>
      </c>
      <c r="Z27" s="377" t="s">
        <v>330</v>
      </c>
      <c r="AA27" s="339"/>
      <c r="AE27" s="339"/>
      <c r="AG27" s="376" t="s">
        <v>409</v>
      </c>
      <c r="AH27" s="377" t="s">
        <v>415</v>
      </c>
    </row>
    <row r="28" spans="2:36" s="316" customFormat="1" ht="30" customHeight="1" thickBot="1" x14ac:dyDescent="0.4">
      <c r="B28" s="355" t="s">
        <v>409</v>
      </c>
      <c r="C28" s="356" t="s">
        <v>424</v>
      </c>
      <c r="D28" s="339"/>
      <c r="F28" s="385" t="s">
        <v>411</v>
      </c>
      <c r="G28" s="386" t="s">
        <v>418</v>
      </c>
      <c r="K28" s="359" t="s">
        <v>411</v>
      </c>
      <c r="L28" s="360" t="s">
        <v>410</v>
      </c>
      <c r="M28" s="339"/>
      <c r="R28" s="359" t="s">
        <v>411</v>
      </c>
      <c r="S28" s="360" t="s">
        <v>414</v>
      </c>
      <c r="T28" s="339"/>
      <c r="Y28" s="376" t="s">
        <v>409</v>
      </c>
      <c r="Z28" s="377" t="s">
        <v>415</v>
      </c>
      <c r="AA28" s="339"/>
      <c r="AE28" s="339"/>
      <c r="AG28" s="380" t="s">
        <v>416</v>
      </c>
      <c r="AH28" s="381" t="e">
        <f>VLOOKUP(AH26,'4b) SL EPO Extended Data Sheet'!$A$5:$AB$168,16,FALSE)/1000000</f>
        <v>#N/A</v>
      </c>
    </row>
    <row r="29" spans="2:36" s="316" customFormat="1" ht="30" customHeight="1" thickBot="1" x14ac:dyDescent="0.4">
      <c r="B29" s="366" t="s">
        <v>416</v>
      </c>
      <c r="C29" s="367">
        <f>VLOOKUP(C27,'5a)NDA MPPR'!$B$9:$AK$61,21,FALSE)</f>
        <v>746.06353805999993</v>
      </c>
      <c r="D29" s="339"/>
      <c r="F29" s="387" t="s">
        <v>416</v>
      </c>
      <c r="G29" s="388">
        <f>VLOOKUP(G27,'5a)NDA MPPR'!$B$9:$AK$61,21,FALSE)</f>
        <v>18.769073489999997</v>
      </c>
      <c r="K29" s="370" t="s">
        <v>416</v>
      </c>
      <c r="L29" s="371">
        <f>VLOOKUP(L27,'4b) SL EPO Extended Data Sheet'!$A$5:$AB$168,16,FALSE)/1000000</f>
        <v>38.593831999999999</v>
      </c>
      <c r="M29" s="339"/>
      <c r="R29" s="370" t="s">
        <v>416</v>
      </c>
      <c r="S29" s="371" t="e">
        <f>VLOOKUP(S27,'5a)NDA MPPR'!$B$9:$AK$61,21,FALSE)</f>
        <v>#N/A</v>
      </c>
      <c r="T29" s="339"/>
      <c r="Y29" s="380" t="s">
        <v>416</v>
      </c>
      <c r="Z29" s="381">
        <f>VLOOKUP(Z27,'4b) SL EPO Extended Data Sheet'!$A$5:$AB$168,16,FALSE)/1000000</f>
        <v>69.236480999999998</v>
      </c>
      <c r="AA29" s="339"/>
      <c r="AE29" s="339"/>
      <c r="AH29" s="317"/>
    </row>
    <row r="30" spans="2:36" s="316" customFormat="1" ht="30" customHeight="1" thickBot="1" x14ac:dyDescent="0.4">
      <c r="C30" s="317"/>
      <c r="D30" s="339"/>
      <c r="F30" s="344" t="s">
        <v>423</v>
      </c>
      <c r="G30" s="317"/>
      <c r="L30" s="317"/>
      <c r="M30" s="339"/>
      <c r="S30" s="317"/>
      <c r="T30" s="339"/>
      <c r="Z30" s="317"/>
      <c r="AA30" s="339"/>
      <c r="AE30" s="339"/>
      <c r="AH30" s="317"/>
    </row>
    <row r="31" spans="2:36" s="316" customFormat="1" ht="30" customHeight="1" x14ac:dyDescent="0.35">
      <c r="B31" s="347" t="s">
        <v>407</v>
      </c>
      <c r="C31" s="348" t="s">
        <v>110</v>
      </c>
      <c r="D31" s="340"/>
      <c r="G31" s="317"/>
      <c r="K31" s="374" t="s">
        <v>407</v>
      </c>
      <c r="L31" s="375" t="s">
        <v>337</v>
      </c>
      <c r="M31" s="340"/>
      <c r="R31" s="351" t="s">
        <v>407</v>
      </c>
      <c r="S31" s="352" t="s">
        <v>106</v>
      </c>
      <c r="T31" s="340"/>
      <c r="Y31" s="353" t="s">
        <v>407</v>
      </c>
      <c r="Z31" s="354" t="s">
        <v>351</v>
      </c>
      <c r="AA31" s="340"/>
      <c r="AE31" s="339"/>
      <c r="AG31" s="417" t="s">
        <v>425</v>
      </c>
      <c r="AH31" s="317"/>
    </row>
    <row r="32" spans="2:36" s="316" customFormat="1" ht="30" customHeight="1" thickBot="1" x14ac:dyDescent="0.4">
      <c r="B32" s="355" t="s">
        <v>408</v>
      </c>
      <c r="C32" s="356" t="s">
        <v>109</v>
      </c>
      <c r="D32" s="339"/>
      <c r="G32" s="317"/>
      <c r="K32" s="376" t="s">
        <v>408</v>
      </c>
      <c r="L32" s="377" t="s">
        <v>338</v>
      </c>
      <c r="M32" s="389"/>
      <c r="R32" s="359" t="s">
        <v>408</v>
      </c>
      <c r="S32" s="360" t="s">
        <v>105</v>
      </c>
      <c r="T32" s="339"/>
      <c r="Y32" s="361" t="s">
        <v>408</v>
      </c>
      <c r="Z32" s="362" t="s">
        <v>352</v>
      </c>
      <c r="AB32" s="363"/>
      <c r="AE32" s="339"/>
      <c r="AG32" s="390"/>
      <c r="AH32" s="317"/>
    </row>
    <row r="33" spans="2:34" s="316" customFormat="1" ht="30" customHeight="1" thickBot="1" x14ac:dyDescent="0.4">
      <c r="B33" s="355" t="s">
        <v>409</v>
      </c>
      <c r="C33" s="356" t="s">
        <v>424</v>
      </c>
      <c r="D33" s="339"/>
      <c r="G33" s="317"/>
      <c r="K33" s="376" t="s">
        <v>409</v>
      </c>
      <c r="L33" s="377" t="s">
        <v>424</v>
      </c>
      <c r="M33" s="391"/>
      <c r="R33" s="359" t="s">
        <v>411</v>
      </c>
      <c r="S33" s="360" t="s">
        <v>414</v>
      </c>
      <c r="T33" s="339"/>
      <c r="Y33" s="361" t="s">
        <v>411</v>
      </c>
      <c r="Z33" s="362" t="s">
        <v>426</v>
      </c>
      <c r="AB33" s="363"/>
      <c r="AE33" s="339"/>
      <c r="AG33" s="392"/>
      <c r="AH33" s="317" t="s">
        <v>427</v>
      </c>
    </row>
    <row r="34" spans="2:34" s="316" customFormat="1" ht="30" customHeight="1" thickBot="1" x14ac:dyDescent="0.4">
      <c r="B34" s="366" t="s">
        <v>416</v>
      </c>
      <c r="C34" s="367">
        <f>VLOOKUP(C32,'4b) SL EPO Extended Data Sheet'!$A$5:$AB$168,16,FALSE)/1000000</f>
        <v>142.42993999999999</v>
      </c>
      <c r="D34" s="339"/>
      <c r="G34" s="317"/>
      <c r="K34" s="380" t="s">
        <v>416</v>
      </c>
      <c r="L34" s="381" t="e">
        <f>VLOOKUP(L32,'4b) SL EPO Extended Data Sheet'!$A$5:$AB$168,16,FALSE)/1000000</f>
        <v>#N/A</v>
      </c>
      <c r="N34" s="363"/>
      <c r="R34" s="370" t="s">
        <v>416</v>
      </c>
      <c r="S34" s="371" t="e">
        <f>VLOOKUP(S32,'4b) SL EPO Extended Data Sheet'!$A$5:$AB$168,16,FALSE)/1000000</f>
        <v>#N/A</v>
      </c>
      <c r="T34" s="339"/>
      <c r="Y34" s="372" t="s">
        <v>416</v>
      </c>
      <c r="Z34" s="373">
        <f>VLOOKUP(Z32,'4b) SL EPO Extended Data Sheet'!$A$5:$AB$168,16,FALSE)/1000000</f>
        <v>30.826938999999999</v>
      </c>
      <c r="AB34" s="363"/>
      <c r="AE34" s="339"/>
      <c r="AH34" s="317"/>
    </row>
    <row r="35" spans="2:34" s="316" customFormat="1" ht="30" customHeight="1" thickBot="1" x14ac:dyDescent="0.4">
      <c r="C35" s="317"/>
      <c r="D35" s="339"/>
      <c r="G35" s="317"/>
      <c r="L35" s="317"/>
      <c r="M35" s="339"/>
      <c r="S35" s="317"/>
      <c r="T35" s="339"/>
      <c r="Z35" s="317"/>
      <c r="AA35" s="339"/>
      <c r="AE35" s="339"/>
      <c r="AG35" s="393"/>
      <c r="AH35" s="317" t="s">
        <v>428</v>
      </c>
    </row>
    <row r="36" spans="2:34" s="316" customFormat="1" ht="30" customHeight="1" thickBot="1" x14ac:dyDescent="0.4">
      <c r="B36" s="347" t="s">
        <v>407</v>
      </c>
      <c r="C36" s="348" t="s">
        <v>327</v>
      </c>
      <c r="D36" s="340"/>
      <c r="G36" s="317"/>
      <c r="K36" s="374" t="s">
        <v>407</v>
      </c>
      <c r="L36" s="375" t="s">
        <v>339</v>
      </c>
      <c r="M36" s="340"/>
      <c r="R36" s="351" t="s">
        <v>407</v>
      </c>
      <c r="S36" s="352" t="s">
        <v>94</v>
      </c>
      <c r="T36" s="340"/>
      <c r="Y36" s="374" t="s">
        <v>407</v>
      </c>
      <c r="Z36" s="375" t="s">
        <v>345</v>
      </c>
      <c r="AA36" s="340"/>
      <c r="AE36" s="339"/>
      <c r="AG36" s="390"/>
      <c r="AH36" s="317"/>
    </row>
    <row r="37" spans="2:34" s="316" customFormat="1" ht="30" customHeight="1" thickBot="1" x14ac:dyDescent="0.4">
      <c r="B37" s="355" t="s">
        <v>408</v>
      </c>
      <c r="C37" s="356" t="s">
        <v>328</v>
      </c>
      <c r="D37" s="339"/>
      <c r="G37" s="317"/>
      <c r="K37" s="376" t="s">
        <v>408</v>
      </c>
      <c r="L37" s="377" t="s">
        <v>340</v>
      </c>
      <c r="R37" s="359" t="s">
        <v>408</v>
      </c>
      <c r="S37" s="360" t="s">
        <v>93</v>
      </c>
      <c r="T37" s="389"/>
      <c r="Y37" s="376" t="s">
        <v>408</v>
      </c>
      <c r="Z37" s="377" t="s">
        <v>346</v>
      </c>
      <c r="AB37" s="363"/>
      <c r="AE37" s="339"/>
      <c r="AG37" s="394"/>
      <c r="AH37" s="317" t="s">
        <v>430</v>
      </c>
    </row>
    <row r="38" spans="2:34" s="316" customFormat="1" ht="30" customHeight="1" thickBot="1" x14ac:dyDescent="0.4">
      <c r="B38" s="355" t="s">
        <v>411</v>
      </c>
      <c r="C38" s="356" t="s">
        <v>429</v>
      </c>
      <c r="D38" s="339"/>
      <c r="G38" s="317"/>
      <c r="K38" s="376" t="s">
        <v>409</v>
      </c>
      <c r="L38" s="377" t="s">
        <v>424</v>
      </c>
      <c r="R38" s="359" t="s">
        <v>411</v>
      </c>
      <c r="S38" s="360" t="s">
        <v>429</v>
      </c>
      <c r="T38" s="391"/>
      <c r="Y38" s="376" t="s">
        <v>409</v>
      </c>
      <c r="Z38" s="382" t="s">
        <v>415</v>
      </c>
      <c r="AB38" s="363"/>
      <c r="AE38" s="339"/>
      <c r="AH38" s="317"/>
    </row>
    <row r="39" spans="2:34" s="316" customFormat="1" ht="30" customHeight="1" thickBot="1" x14ac:dyDescent="0.4">
      <c r="B39" s="366" t="s">
        <v>416</v>
      </c>
      <c r="C39" s="367">
        <f>VLOOKUP(C37,'4b) SL EPO Extended Data Sheet'!$A$5:$AB$168,16,FALSE)/1000000</f>
        <v>340</v>
      </c>
      <c r="D39" s="339"/>
      <c r="G39" s="317"/>
      <c r="K39" s="380" t="s">
        <v>416</v>
      </c>
      <c r="L39" s="381" t="e">
        <f>VLOOKUP(L37,'4b) SL EPO Extended Data Sheet'!$A$5:$AB$168,16,FALSE)/1000000</f>
        <v>#N/A</v>
      </c>
      <c r="R39" s="370" t="s">
        <v>416</v>
      </c>
      <c r="S39" s="371" t="e">
        <f>VLOOKUP(S37,'4b) SL EPO Extended Data Sheet'!$A$5:$AB$168,16,FALSE)/1000000</f>
        <v>#N/A</v>
      </c>
      <c r="U39" s="363"/>
      <c r="Y39" s="380" t="s">
        <v>416</v>
      </c>
      <c r="Z39" s="381">
        <f>VLOOKUP(Z37,'4b) SL EPO Extended Data Sheet'!$A$5:$AB$168,16,FALSE)/1000000</f>
        <v>42.841253999999999</v>
      </c>
      <c r="AB39" s="363"/>
      <c r="AE39" s="339"/>
      <c r="AG39" s="396"/>
      <c r="AH39" s="317" t="s">
        <v>431</v>
      </c>
    </row>
    <row r="40" spans="2:34" s="316" customFormat="1" ht="30" customHeight="1" thickBot="1" x14ac:dyDescent="0.4">
      <c r="C40" s="317"/>
      <c r="D40" s="339"/>
      <c r="G40" s="317"/>
      <c r="L40" s="317"/>
      <c r="S40" s="317"/>
      <c r="T40" s="339"/>
      <c r="Z40" s="317"/>
      <c r="AB40" s="363"/>
      <c r="AE40" s="339"/>
      <c r="AH40" s="317"/>
    </row>
    <row r="41" spans="2:34" s="316" customFormat="1" ht="30" customHeight="1" thickBot="1" x14ac:dyDescent="0.4">
      <c r="B41" s="347" t="s">
        <v>407</v>
      </c>
      <c r="C41" s="348" t="s">
        <v>171</v>
      </c>
      <c r="D41" s="340"/>
      <c r="G41" s="317"/>
      <c r="L41" s="317"/>
      <c r="R41" s="351" t="s">
        <v>407</v>
      </c>
      <c r="S41" s="352" t="s">
        <v>302</v>
      </c>
      <c r="T41" s="340"/>
      <c r="Y41" s="374" t="s">
        <v>407</v>
      </c>
      <c r="Z41" s="375" t="s">
        <v>347</v>
      </c>
      <c r="AA41" s="395"/>
      <c r="AB41" s="363"/>
      <c r="AE41" s="339"/>
      <c r="AG41" s="397"/>
      <c r="AH41" s="317" t="s">
        <v>432</v>
      </c>
    </row>
    <row r="42" spans="2:34" s="316" customFormat="1" ht="30" customHeight="1" x14ac:dyDescent="0.35">
      <c r="B42" s="355" t="s">
        <v>408</v>
      </c>
      <c r="C42" s="356" t="s">
        <v>235</v>
      </c>
      <c r="D42" s="339"/>
      <c r="G42" s="317"/>
      <c r="L42" s="317"/>
      <c r="R42" s="359" t="s">
        <v>408</v>
      </c>
      <c r="S42" s="360" t="s">
        <v>305</v>
      </c>
      <c r="T42" s="389"/>
      <c r="Y42" s="376" t="s">
        <v>408</v>
      </c>
      <c r="Z42" s="377" t="s">
        <v>348</v>
      </c>
      <c r="AE42" s="339"/>
      <c r="AH42" s="317"/>
    </row>
    <row r="43" spans="2:34" s="316" customFormat="1" ht="30" customHeight="1" x14ac:dyDescent="0.35">
      <c r="B43" s="355" t="s">
        <v>411</v>
      </c>
      <c r="C43" s="356" t="s">
        <v>415</v>
      </c>
      <c r="D43" s="339"/>
      <c r="G43" s="317"/>
      <c r="L43" s="317"/>
      <c r="R43" s="359" t="s">
        <v>411</v>
      </c>
      <c r="S43" s="360" t="s">
        <v>412</v>
      </c>
      <c r="T43" s="391"/>
      <c r="Y43" s="376" t="s">
        <v>409</v>
      </c>
      <c r="Z43" s="382" t="s">
        <v>415</v>
      </c>
      <c r="AE43" s="339"/>
      <c r="AH43" s="317"/>
    </row>
    <row r="44" spans="2:34" s="316" customFormat="1" ht="30" customHeight="1" thickBot="1" x14ac:dyDescent="0.4">
      <c r="B44" s="366" t="s">
        <v>416</v>
      </c>
      <c r="C44" s="367">
        <f>VLOOKUP(C42,'5a)NDA MPPR'!$B$9:$AK$61,21,FALSE)</f>
        <v>35.886955310000005</v>
      </c>
      <c r="D44" s="339"/>
      <c r="G44" s="317"/>
      <c r="L44" s="317"/>
      <c r="R44" s="370" t="s">
        <v>416</v>
      </c>
      <c r="S44" s="371">
        <f>VLOOKUP(S42,'4b) SL EPO Extended Data Sheet'!$A$5:$AB$168,16,FALSE)/1000000</f>
        <v>19.192466</v>
      </c>
      <c r="U44" s="363"/>
      <c r="Y44" s="380" t="s">
        <v>416</v>
      </c>
      <c r="Z44" s="381">
        <f>VLOOKUP(Z42,'4b) SL EPO Extended Data Sheet'!$A$5:$AB$168,16,FALSE)/1000000</f>
        <v>42.754873000000003</v>
      </c>
      <c r="AE44" s="339"/>
      <c r="AH44" s="317"/>
    </row>
    <row r="45" spans="2:34" s="316" customFormat="1" ht="30" customHeight="1" thickBot="1" x14ac:dyDescent="0.4">
      <c r="C45" s="317"/>
      <c r="D45" s="339"/>
      <c r="G45" s="317"/>
      <c r="L45" s="317"/>
      <c r="S45" s="317"/>
      <c r="T45" s="339"/>
      <c r="Z45" s="317"/>
      <c r="AE45" s="339"/>
      <c r="AH45" s="317"/>
    </row>
    <row r="46" spans="2:34" s="316" customFormat="1" ht="30" customHeight="1" thickBot="1" x14ac:dyDescent="0.4">
      <c r="B46" s="347" t="s">
        <v>407</v>
      </c>
      <c r="C46" s="348" t="s">
        <v>284</v>
      </c>
      <c r="D46" s="340"/>
      <c r="G46" s="317"/>
      <c r="L46" s="317"/>
      <c r="R46" s="351" t="s">
        <v>407</v>
      </c>
      <c r="S46" s="352" t="s">
        <v>359</v>
      </c>
      <c r="T46" s="340"/>
      <c r="Y46" s="657" t="s">
        <v>433</v>
      </c>
      <c r="Z46" s="658"/>
      <c r="AA46" s="658"/>
      <c r="AB46" s="658"/>
      <c r="AC46" s="658"/>
      <c r="AD46" s="659"/>
      <c r="AE46" s="340"/>
      <c r="AH46" s="317"/>
    </row>
    <row r="47" spans="2:34" s="316" customFormat="1" ht="30" customHeight="1" thickBot="1" x14ac:dyDescent="0.4">
      <c r="B47" s="355" t="s">
        <v>408</v>
      </c>
      <c r="C47" s="356" t="s">
        <v>279</v>
      </c>
      <c r="E47" s="398"/>
      <c r="G47" s="317"/>
      <c r="L47" s="317"/>
      <c r="R47" s="359" t="s">
        <v>408</v>
      </c>
      <c r="S47" s="360" t="s">
        <v>360</v>
      </c>
      <c r="Y47" s="318" t="s">
        <v>434</v>
      </c>
      <c r="Z47" s="342"/>
      <c r="AA47" s="343"/>
      <c r="AB47" s="322" t="s">
        <v>391</v>
      </c>
      <c r="AC47" s="341"/>
      <c r="AD47" s="422">
        <f>Z52+Z57</f>
        <v>128.80838699999998</v>
      </c>
      <c r="AE47" s="339"/>
      <c r="AH47" s="317"/>
    </row>
    <row r="48" spans="2:34" s="316" customFormat="1" ht="30" customHeight="1" thickBot="1" x14ac:dyDescent="0.4">
      <c r="B48" s="355" t="s">
        <v>409</v>
      </c>
      <c r="C48" s="356" t="s">
        <v>410</v>
      </c>
      <c r="E48" s="398"/>
      <c r="G48" s="317"/>
      <c r="L48" s="317"/>
      <c r="R48" s="359" t="s">
        <v>411</v>
      </c>
      <c r="S48" s="360" t="s">
        <v>412</v>
      </c>
      <c r="Z48" s="317"/>
      <c r="AA48" s="339"/>
      <c r="AB48" s="345"/>
      <c r="AC48" s="345"/>
      <c r="AD48" s="346"/>
      <c r="AE48" s="339"/>
      <c r="AH48" s="317"/>
    </row>
    <row r="49" spans="2:38" s="316" customFormat="1" ht="30" customHeight="1" thickBot="1" x14ac:dyDescent="0.4">
      <c r="B49" s="366" t="s">
        <v>416</v>
      </c>
      <c r="C49" s="367">
        <f>VLOOKUP(C47,'4b) SL EPO Extended Data Sheet'!$A$5:$AB$168,16,FALSE)/1000000</f>
        <v>919.61825599999997</v>
      </c>
      <c r="E49" s="398"/>
      <c r="G49" s="317"/>
      <c r="L49" s="317"/>
      <c r="R49" s="370" t="s">
        <v>416</v>
      </c>
      <c r="S49" s="371">
        <f>VLOOKUP(S47,'4b) SL EPO Extended Data Sheet'!$A$5:$AB$168,16,FALSE)/1000000</f>
        <v>18.788383</v>
      </c>
      <c r="Y49" s="374" t="s">
        <v>407</v>
      </c>
      <c r="Z49" s="375" t="s">
        <v>331</v>
      </c>
      <c r="AA49" s="340"/>
      <c r="AE49" s="339"/>
      <c r="AH49" s="317"/>
    </row>
    <row r="50" spans="2:38" s="316" customFormat="1" ht="30" customHeight="1" thickBot="1" x14ac:dyDescent="0.4">
      <c r="B50" s="344" t="s">
        <v>435</v>
      </c>
      <c r="C50" s="399"/>
      <c r="E50" s="398"/>
      <c r="G50" s="317"/>
      <c r="L50" s="317"/>
      <c r="S50" s="317"/>
      <c r="Y50" s="376" t="s">
        <v>408</v>
      </c>
      <c r="Z50" s="377" t="s">
        <v>332</v>
      </c>
      <c r="AA50" s="400"/>
      <c r="AE50" s="339"/>
      <c r="AH50" s="317"/>
    </row>
    <row r="51" spans="2:38" s="316" customFormat="1" ht="30" customHeight="1" thickBot="1" x14ac:dyDescent="0.35">
      <c r="B51" s="401" t="s">
        <v>407</v>
      </c>
      <c r="C51" s="402" t="s">
        <v>436</v>
      </c>
      <c r="D51" s="331"/>
      <c r="E51" s="398"/>
      <c r="G51" s="317"/>
      <c r="L51" s="317"/>
      <c r="S51" s="317"/>
      <c r="Y51" s="376" t="s">
        <v>411</v>
      </c>
      <c r="Z51" s="377" t="s">
        <v>437</v>
      </c>
      <c r="AA51" s="339"/>
      <c r="AE51" s="339"/>
      <c r="AH51" s="317"/>
      <c r="AJ51" s="312"/>
      <c r="AK51" s="312"/>
    </row>
    <row r="52" spans="2:38" s="316" customFormat="1" ht="30" customHeight="1" thickBot="1" x14ac:dyDescent="0.35">
      <c r="B52" s="403" t="s">
        <v>408</v>
      </c>
      <c r="C52" s="404" t="s">
        <v>438</v>
      </c>
      <c r="D52" s="405"/>
      <c r="E52" s="398"/>
      <c r="G52" s="317"/>
      <c r="K52" s="657" t="s">
        <v>439</v>
      </c>
      <c r="L52" s="658"/>
      <c r="M52" s="658"/>
      <c r="N52" s="658"/>
      <c r="O52" s="658"/>
      <c r="P52" s="659"/>
      <c r="S52" s="317"/>
      <c r="Y52" s="380" t="s">
        <v>416</v>
      </c>
      <c r="Z52" s="381">
        <f>VLOOKUP(Z50,'4b) SL EPO Extended Data Sheet'!$A$5:$AB$168,16,FALSE)/1000000</f>
        <v>92.707031999999998</v>
      </c>
      <c r="AA52" s="339"/>
      <c r="AE52" s="339"/>
      <c r="AH52" s="317"/>
      <c r="AJ52" s="312"/>
      <c r="AK52" s="312"/>
    </row>
    <row r="53" spans="2:38" s="316" customFormat="1" ht="30" customHeight="1" thickBot="1" x14ac:dyDescent="0.35">
      <c r="B53" s="406" t="s">
        <v>416</v>
      </c>
      <c r="C53" s="407" t="s">
        <v>436</v>
      </c>
      <c r="E53" s="398"/>
      <c r="G53" s="317"/>
      <c r="K53" s="645" t="s">
        <v>451</v>
      </c>
      <c r="L53" s="646"/>
      <c r="M53" s="647"/>
      <c r="N53" s="322" t="s">
        <v>391</v>
      </c>
      <c r="O53" s="322"/>
      <c r="P53" s="422" t="e">
        <f>L59+L64</f>
        <v>#N/A</v>
      </c>
      <c r="R53" s="312"/>
      <c r="S53" s="408"/>
      <c r="T53" s="312"/>
      <c r="Z53" s="378"/>
      <c r="AA53" s="339"/>
      <c r="AE53" s="339"/>
      <c r="AG53" s="312"/>
      <c r="AH53" s="408"/>
      <c r="AJ53" s="312"/>
      <c r="AK53" s="312"/>
    </row>
    <row r="54" spans="2:38" s="316" customFormat="1" ht="30" customHeight="1" thickBot="1" x14ac:dyDescent="0.35">
      <c r="B54" s="409"/>
      <c r="C54" s="399"/>
      <c r="E54" s="398"/>
      <c r="F54" s="648" t="s">
        <v>440</v>
      </c>
      <c r="G54" s="648"/>
      <c r="H54" s="648"/>
      <c r="K54" s="645" t="s">
        <v>441</v>
      </c>
      <c r="L54" s="646"/>
      <c r="M54" s="647"/>
      <c r="N54" s="329"/>
      <c r="O54" s="329"/>
      <c r="P54" s="327"/>
      <c r="R54" s="312"/>
      <c r="S54" s="408"/>
      <c r="T54" s="312"/>
      <c r="U54" s="312"/>
      <c r="V54" s="312"/>
      <c r="W54" s="312"/>
      <c r="Y54" s="374" t="s">
        <v>407</v>
      </c>
      <c r="Z54" s="375" t="s">
        <v>333</v>
      </c>
      <c r="AA54" s="340"/>
      <c r="AE54" s="339"/>
      <c r="AG54" s="312"/>
      <c r="AH54" s="408"/>
      <c r="AJ54" s="312"/>
      <c r="AK54" s="312"/>
    </row>
    <row r="55" spans="2:38" s="316" customFormat="1" ht="30" customHeight="1" thickBot="1" x14ac:dyDescent="0.35">
      <c r="B55" s="401" t="s">
        <v>407</v>
      </c>
      <c r="C55" s="402" t="s">
        <v>442</v>
      </c>
      <c r="D55" s="331"/>
      <c r="E55" s="398"/>
      <c r="F55" s="648"/>
      <c r="G55" s="648"/>
      <c r="H55" s="648"/>
      <c r="L55" s="317"/>
      <c r="M55" s="339"/>
      <c r="S55" s="317"/>
      <c r="Y55" s="376" t="s">
        <v>408</v>
      </c>
      <c r="Z55" s="377" t="s">
        <v>334</v>
      </c>
      <c r="AE55" s="339"/>
      <c r="AF55" s="312"/>
      <c r="AG55" s="312"/>
      <c r="AH55" s="408"/>
      <c r="AJ55" s="312"/>
      <c r="AK55" s="312"/>
    </row>
    <row r="56" spans="2:38" s="316" customFormat="1" ht="30" customHeight="1" x14ac:dyDescent="0.3">
      <c r="B56" s="403" t="s">
        <v>408</v>
      </c>
      <c r="C56" s="404" t="s">
        <v>443</v>
      </c>
      <c r="D56" s="410"/>
      <c r="F56" s="648"/>
      <c r="G56" s="648"/>
      <c r="H56" s="648"/>
      <c r="K56" s="349" t="s">
        <v>407</v>
      </c>
      <c r="L56" s="350" t="s">
        <v>362</v>
      </c>
      <c r="M56" s="340"/>
      <c r="S56" s="317"/>
      <c r="Y56" s="411" t="s">
        <v>444</v>
      </c>
      <c r="Z56" s="377" t="s">
        <v>445</v>
      </c>
      <c r="AE56" s="339"/>
      <c r="AF56" s="312"/>
      <c r="AG56" s="312"/>
      <c r="AH56" s="408"/>
      <c r="AI56" s="312"/>
      <c r="AJ56" s="312"/>
      <c r="AK56" s="312"/>
      <c r="AL56" s="312"/>
    </row>
    <row r="57" spans="2:38" s="316" customFormat="1" ht="30" customHeight="1" thickBot="1" x14ac:dyDescent="0.35">
      <c r="B57" s="406" t="s">
        <v>416</v>
      </c>
      <c r="C57" s="407" t="s">
        <v>436</v>
      </c>
      <c r="D57" s="412"/>
      <c r="F57" s="648"/>
      <c r="G57" s="648"/>
      <c r="H57" s="648"/>
      <c r="K57" s="357" t="s">
        <v>408</v>
      </c>
      <c r="L57" s="358" t="s">
        <v>364</v>
      </c>
      <c r="M57" s="339"/>
      <c r="S57" s="317"/>
      <c r="Y57" s="380" t="s">
        <v>416</v>
      </c>
      <c r="Z57" s="381">
        <f>VLOOKUP(Z55,'4b) SL EPO Extended Data Sheet'!$A$5:$AB$168,16,FALSE)/1000000</f>
        <v>36.101354999999998</v>
      </c>
      <c r="AB57" s="413"/>
      <c r="AC57" s="413"/>
      <c r="AD57" s="413"/>
      <c r="AE57" s="339"/>
      <c r="AF57" s="312"/>
      <c r="AG57" s="312"/>
      <c r="AH57" s="408"/>
      <c r="AI57" s="312"/>
      <c r="AJ57" s="312"/>
      <c r="AK57" s="312"/>
      <c r="AL57" s="312"/>
    </row>
    <row r="58" spans="2:38" ht="30" customHeight="1" thickBot="1" x14ac:dyDescent="0.35">
      <c r="D58" s="412"/>
      <c r="F58" s="648"/>
      <c r="G58" s="648"/>
      <c r="H58" s="648"/>
      <c r="K58" s="357" t="s">
        <v>411</v>
      </c>
      <c r="L58" s="358" t="s">
        <v>452</v>
      </c>
      <c r="M58" s="339"/>
      <c r="N58" s="316"/>
      <c r="O58" s="316"/>
      <c r="P58" s="316"/>
      <c r="U58" s="316"/>
      <c r="V58" s="316"/>
      <c r="W58" s="316"/>
      <c r="Y58" s="316"/>
      <c r="Z58" s="414"/>
      <c r="AA58" s="413"/>
      <c r="AB58" s="413"/>
      <c r="AC58" s="413"/>
      <c r="AD58" s="413"/>
      <c r="AE58" s="332"/>
    </row>
    <row r="59" spans="2:38" ht="30" customHeight="1" thickBot="1" x14ac:dyDescent="0.35">
      <c r="B59" s="401" t="s">
        <v>407</v>
      </c>
      <c r="C59" s="402" t="s">
        <v>436</v>
      </c>
      <c r="D59" s="415"/>
      <c r="K59" s="368" t="s">
        <v>416</v>
      </c>
      <c r="L59" s="369" t="e">
        <f>VLOOKUP(L57,'4b) SL EPO Extended Data Sheet'!$A$5:$AB$168,16,FALSE)/1000000</f>
        <v>#N/A</v>
      </c>
      <c r="M59" s="339"/>
      <c r="N59" s="316"/>
      <c r="O59" s="316"/>
      <c r="P59" s="316"/>
      <c r="Y59" s="657" t="s">
        <v>446</v>
      </c>
      <c r="Z59" s="658"/>
      <c r="AA59" s="658"/>
      <c r="AB59" s="658"/>
      <c r="AC59" s="658"/>
      <c r="AD59" s="659"/>
      <c r="AE59" s="316"/>
    </row>
    <row r="60" spans="2:38" ht="30" customHeight="1" thickBot="1" x14ac:dyDescent="0.35">
      <c r="B60" s="403" t="s">
        <v>408</v>
      </c>
      <c r="C60" s="404" t="s">
        <v>447</v>
      </c>
      <c r="K60" s="316"/>
      <c r="L60" s="317"/>
      <c r="M60" s="339"/>
      <c r="N60" s="316"/>
      <c r="O60" s="316"/>
      <c r="P60" s="316"/>
      <c r="Y60" s="318" t="s">
        <v>448</v>
      </c>
      <c r="Z60" s="416"/>
      <c r="AA60" s="343"/>
      <c r="AB60" s="322" t="s">
        <v>391</v>
      </c>
      <c r="AC60" s="341"/>
      <c r="AD60" s="422">
        <f>Z65</f>
        <v>155.655666</v>
      </c>
      <c r="AE60" s="316"/>
    </row>
    <row r="61" spans="2:38" ht="30" customHeight="1" thickBot="1" x14ac:dyDescent="0.35">
      <c r="B61" s="406" t="s">
        <v>416</v>
      </c>
      <c r="C61" s="407" t="s">
        <v>436</v>
      </c>
      <c r="K61" s="349" t="s">
        <v>407</v>
      </c>
      <c r="L61" s="350" t="s">
        <v>303</v>
      </c>
      <c r="M61" s="340"/>
      <c r="N61" s="316"/>
      <c r="O61" s="316"/>
      <c r="P61" s="316"/>
      <c r="Y61" s="336"/>
      <c r="Z61" s="336"/>
      <c r="AA61" s="335"/>
      <c r="AB61" s="316"/>
      <c r="AC61" s="316"/>
      <c r="AD61" s="316"/>
    </row>
    <row r="62" spans="2:38" ht="30" customHeight="1" x14ac:dyDescent="0.3">
      <c r="K62" s="357" t="s">
        <v>408</v>
      </c>
      <c r="L62" s="358" t="s">
        <v>306</v>
      </c>
      <c r="M62" s="316"/>
      <c r="N62" s="316"/>
      <c r="O62" s="316"/>
      <c r="P62" s="316"/>
      <c r="Y62" s="374" t="s">
        <v>407</v>
      </c>
      <c r="Z62" s="375" t="s">
        <v>341</v>
      </c>
      <c r="AA62" s="340"/>
      <c r="AB62" s="316"/>
      <c r="AC62" s="316"/>
      <c r="AD62" s="316"/>
    </row>
    <row r="63" spans="2:38" ht="30" customHeight="1" x14ac:dyDescent="0.3">
      <c r="K63" s="357" t="s">
        <v>411</v>
      </c>
      <c r="L63" s="358" t="s">
        <v>449</v>
      </c>
      <c r="M63" s="316"/>
      <c r="Y63" s="376" t="s">
        <v>408</v>
      </c>
      <c r="Z63" s="377" t="s">
        <v>342</v>
      </c>
      <c r="AA63" s="316"/>
      <c r="AB63" s="316"/>
      <c r="AC63" s="316"/>
      <c r="AD63" s="316"/>
    </row>
    <row r="64" spans="2:38" ht="30" customHeight="1" thickBot="1" x14ac:dyDescent="0.35">
      <c r="K64" s="368" t="s">
        <v>416</v>
      </c>
      <c r="L64" s="369">
        <f>VLOOKUP(L62,'4b) SL EPO Extended Data Sheet'!$A$5:$AB$168,16,FALSE)/1000000</f>
        <v>31.971081999999999</v>
      </c>
      <c r="Y64" s="376" t="s">
        <v>411</v>
      </c>
      <c r="Z64" s="377" t="s">
        <v>450</v>
      </c>
      <c r="AB64" s="316"/>
      <c r="AC64" s="316"/>
      <c r="AD64" s="316"/>
    </row>
    <row r="65" spans="25:26" ht="30" customHeight="1" thickBot="1" x14ac:dyDescent="0.35">
      <c r="Y65" s="380" t="s">
        <v>416</v>
      </c>
      <c r="Z65" s="381">
        <f>VLOOKUP(Z63,'4b) SL EPO Extended Data Sheet'!$A$5:$AB$168,16,FALSE)/1000000</f>
        <v>155.655666</v>
      </c>
    </row>
  </sheetData>
  <sheetProtection algorithmName="SHA-512" hashValue="EXtRA8BOdhEUdCgoG6fPg60X/qs08OPmfZfRZ4E05fROcP3Klu8WO2k2C+uvcKQzdovBt2kXvbkD4iZ0G9h62A==" saltValue="LrF94rbNH04APNoqZGXGoQ==" spinCount="100000" sheet="1" objects="1" scenarios="1"/>
  <customSheetViews>
    <customSheetView guid="{7E571F1D-D438-4605-90D6-3F831F76D652}" scale="55" showGridLines="0" fitToPage="1" printArea="1" state="hidden" topLeftCell="A24">
      <selection activeCell="G39" sqref="G39"/>
      <pageMargins left="0.7" right="0.7" top="0.75" bottom="0.75" header="0.3" footer="0.3"/>
      <pageSetup paperSize="8" scale="37" orientation="landscape" r:id="rId1"/>
    </customSheetView>
    <customSheetView guid="{466708C2-41CE-4656-AB81-E1E49DF5945D}" scale="55" showGridLines="0" fitToPage="1" printArea="1" state="hidden" topLeftCell="A24">
      <selection activeCell="G39" sqref="G39"/>
      <pageMargins left="0.7" right="0.7" top="0.75" bottom="0.75" header="0.3" footer="0.3"/>
      <pageSetup paperSize="8" scale="37" orientation="landscape" r:id="rId2"/>
    </customSheetView>
    <customSheetView guid="{B84DA703-8C5B-4100-91A4-8807E303D379}" scale="55" showGridLines="0" fitToPage="1" printArea="1" state="hidden">
      <selection sqref="A1:AL1"/>
      <pageMargins left="0.7" right="0.7" top="0.75" bottom="0.75" header="0.3" footer="0.3"/>
      <pageSetup paperSize="8" scale="39" orientation="landscape" r:id="rId3"/>
    </customSheetView>
    <customSheetView guid="{527A2BDE-37CE-4B02-9F2C-CD7E7AC81C63}" scale="55" showGridLines="0" fitToPage="1" state="hidden">
      <selection sqref="A1:AL1"/>
      <pageMargins left="0.7" right="0.7" top="0.75" bottom="0.75" header="0.3" footer="0.3"/>
      <pageSetup paperSize="8" scale="37" orientation="landscape" r:id="rId4"/>
    </customSheetView>
    <customSheetView guid="{BDCD1595-C0B8-4F6C-B01C-3472C895B827}" scale="55" showGridLines="0" fitToPage="1" printArea="1" state="hidden" topLeftCell="A24">
      <selection activeCell="G39" sqref="G39"/>
      <pageMargins left="0.7" right="0.7" top="0.75" bottom="0.75" header="0.3" footer="0.3"/>
      <pageSetup paperSize="8" scale="39" orientation="landscape" r:id="rId5"/>
    </customSheetView>
    <customSheetView guid="{C57A83F1-F5A3-470B-9579-6A222C54F4E8}" scale="55" showGridLines="0" fitToPage="1" printArea="1" state="hidden" topLeftCell="A24">
      <selection activeCell="G39" sqref="G39"/>
      <pageMargins left="0.7" right="0.7" top="0.75" bottom="0.75" header="0.3" footer="0.3"/>
      <pageSetup paperSize="8" scale="39" orientation="landscape" r:id="rId6"/>
    </customSheetView>
    <customSheetView guid="{3827E543-57D2-48C8-B786-7077EA079DD2}" scale="55" showGridLines="0" fitToPage="1" printArea="1" state="hidden" topLeftCell="A24">
      <selection activeCell="G39" sqref="G39"/>
      <pageMargins left="0.7" right="0.7" top="0.75" bottom="0.75" header="0.3" footer="0.3"/>
      <pageSetup paperSize="8" scale="37" orientation="landscape" r:id="rId7"/>
    </customSheetView>
    <customSheetView guid="{F5FA2A23-9E46-4C2F-B1EE-B71787F95C57}" scale="55" showGridLines="0" fitToPage="1" printArea="1" topLeftCell="A24">
      <selection activeCell="G39" sqref="G39"/>
      <pageMargins left="0.7" right="0.7" top="0.75" bottom="0.75" header="0.3" footer="0.3"/>
      <pageSetup paperSize="8" scale="39" orientation="landscape" r:id="rId8"/>
    </customSheetView>
    <customSheetView guid="{42B0E8B1-ADFA-49AE-A83B-82D384737703}" scale="55" showGridLines="0" fitToPage="1" printArea="1" state="hidden" topLeftCell="A24">
      <selection activeCell="G39" sqref="G39"/>
      <pageMargins left="0.7" right="0.7" top="0.75" bottom="0.75" header="0.3" footer="0.3"/>
      <pageSetup paperSize="8" scale="37" orientation="landscape" r:id="rId9"/>
    </customSheetView>
    <customSheetView guid="{602520CD-F98C-43A6-AA0D-88893E9CB6E8}" scale="55" showGridLines="0" fitToPage="1" state="hidden" topLeftCell="A24">
      <selection activeCell="G39" sqref="G39"/>
      <pageMargins left="0.7" right="0.7" top="0.75" bottom="0.75" header="0.3" footer="0.3"/>
      <pageSetup paperSize="8" scale="37" orientation="landscape" r:id="rId10"/>
    </customSheetView>
    <customSheetView guid="{B8317A9A-0FFD-4A18-80F7-203DB2FC8CA5}" scale="55" showGridLines="0" fitToPage="1" state="hidden" topLeftCell="A24">
      <selection activeCell="G39" sqref="G39"/>
      <pageMargins left="0.7" right="0.7" top="0.75" bottom="0.75" header="0.3" footer="0.3"/>
      <pageSetup paperSize="8" scale="37" orientation="landscape" r:id="rId11"/>
    </customSheetView>
    <customSheetView guid="{2608BE9B-66AC-4D4C-8EE0-E88C94E88140}" scale="55" showGridLines="0" fitToPage="1" state="hidden" topLeftCell="A24">
      <selection activeCell="G39" sqref="G39"/>
      <pageMargins left="0.7" right="0.7" top="0.75" bottom="0.75" header="0.3" footer="0.3"/>
      <pageSetup paperSize="8" scale="37" orientation="landscape" r:id="rId12"/>
    </customSheetView>
    <customSheetView guid="{D850720D-4A1C-48F2-8E1D-8E09B7414A1A}" scale="55" showGridLines="0" fitToPage="1" state="hidden" topLeftCell="A24">
      <selection activeCell="G39" sqref="G39"/>
      <pageMargins left="0.7" right="0.7" top="0.75" bottom="0.75" header="0.3" footer="0.3"/>
      <pageSetup paperSize="8" scale="37" orientation="landscape" r:id="rId13"/>
    </customSheetView>
    <customSheetView guid="{A8E976B8-D767-4DB4-82BD-ABE90880F33F}" scale="55" showGridLines="0" fitToPage="1" state="hidden" topLeftCell="A24">
      <selection activeCell="G39" sqref="G39"/>
      <pageMargins left="0.7" right="0.7" top="0.75" bottom="0.75" header="0.3" footer="0.3"/>
      <pageSetup paperSize="8" scale="37" orientation="landscape" r:id="rId14"/>
    </customSheetView>
    <customSheetView guid="{B95D32C7-1418-4EF6-8936-849885C54A4A}" scale="55" showGridLines="0" fitToPage="1" printArea="1" state="hidden">
      <selection sqref="A1:AL1"/>
      <pageMargins left="0.7" right="0.7" top="0.75" bottom="0.75" header="0.3" footer="0.3"/>
      <pageSetup paperSize="8" scale="39" orientation="landscape" r:id="rId15"/>
    </customSheetView>
    <customSheetView guid="{9355C9F4-9C07-4A93-B7F2-69F1D1526716}" scale="55" showGridLines="0" fitToPage="1" printArea="1" state="hidden">
      <selection sqref="A1:AL1"/>
      <pageMargins left="0.7" right="0.7" top="0.75" bottom="0.75" header="0.3" footer="0.3"/>
      <pageSetup paperSize="8" scale="37" orientation="landscape" r:id="rId16"/>
    </customSheetView>
    <customSheetView guid="{1ECD6E30-299B-4354-A416-2DAFF33C7022}" scale="55" showGridLines="0" fitToPage="1" state="hidden">
      <selection sqref="A1:AL1"/>
      <pageMargins left="0.7" right="0.7" top="0.75" bottom="0.75" header="0.3" footer="0.3"/>
      <pageSetup paperSize="8" scale="39" orientation="landscape" r:id="rId17"/>
    </customSheetView>
    <customSheetView guid="{9AF6E233-883D-48B4-95AB-42B37199AB9E}" scale="55" showGridLines="0" fitToPage="1" printArea="1" topLeftCell="A24">
      <selection activeCell="G39" sqref="G39"/>
      <pageMargins left="0.7" right="0.7" top="0.75" bottom="0.75" header="0.3" footer="0.3"/>
      <pageSetup paperSize="8" scale="37" orientation="landscape" r:id="rId18"/>
    </customSheetView>
    <customSheetView guid="{451730E2-FFE9-4FCE-B8B5-64952C26C672}" scale="55" showGridLines="0" fitToPage="1" printArea="1" state="hidden" topLeftCell="A24">
      <selection activeCell="G39" sqref="G39"/>
      <pageMargins left="0.7" right="0.7" top="0.75" bottom="0.75" header="0.3" footer="0.3"/>
      <pageSetup paperSize="8" scale="37" orientation="landscape" r:id="rId19"/>
    </customSheetView>
    <customSheetView guid="{4EBEE699-7DEF-4A50-9CB7-490835CF0B98}" scale="55" showGridLines="0" fitToPage="1" printArea="1" state="hidden" topLeftCell="A24">
      <selection activeCell="G39" sqref="G39"/>
      <pageMargins left="0.7" right="0.7" top="0.75" bottom="0.75" header="0.3" footer="0.3"/>
      <pageSetup paperSize="8" scale="37" orientation="landscape" r:id="rId20"/>
    </customSheetView>
    <customSheetView guid="{A03C6B09-6B58-4DDE-A3B2-41A27A7049D9}" scale="55" showGridLines="0" fitToPage="1" printArea="1" state="hidden" topLeftCell="A24">
      <selection activeCell="G39" sqref="G39"/>
      <pageMargins left="0.7" right="0.7" top="0.75" bottom="0.75" header="0.3" footer="0.3"/>
      <pageSetup paperSize="8" scale="38" orientation="landscape" r:id="rId21"/>
    </customSheetView>
    <customSheetView guid="{3C97F0B0-2F3C-4E03-96E0-0C4FEC2F24AC}" scale="55" showGridLines="0" fitToPage="1" printArea="1" state="hidden">
      <selection sqref="A1:AL1"/>
      <pageMargins left="0.7" right="0.7" top="0.75" bottom="0.75" header="0.3" footer="0.3"/>
      <pageSetup paperSize="8" scale="37" orientation="landscape" r:id="rId22"/>
    </customSheetView>
    <customSheetView guid="{B0A28FD4-D7F6-428C-A7F7-92132DCD74BB}" scale="55" showGridLines="0" fitToPage="1" printArea="1" state="hidden">
      <selection sqref="A1:AL1"/>
      <pageMargins left="0.7" right="0.7" top="0.75" bottom="0.75" header="0.3" footer="0.3"/>
      <pageSetup paperSize="8" scale="37" orientation="landscape" r:id="rId23"/>
    </customSheetView>
    <customSheetView guid="{3BB18945-69B5-4B22-8D55-989F8F233459}" scale="70" showGridLines="0" fitToPage="1" printArea="1" state="hidden">
      <selection activeCell="S39" sqref="S39"/>
      <pageMargins left="0.7" right="0.7" top="0.75" bottom="0.75" header="0.3" footer="0.3"/>
      <pageSetup paperSize="8" scale="39" orientation="landscape" r:id="rId24"/>
    </customSheetView>
    <customSheetView guid="{D16D941B-FC89-4FEC-A49B-5FA2532584DE}" scale="55" showGridLines="0" fitToPage="1" printArea="1" topLeftCell="A24">
      <selection activeCell="G39" sqref="G39"/>
      <pageMargins left="0.7" right="0.7" top="0.75" bottom="0.75" header="0.3" footer="0.3"/>
      <pageSetup paperSize="8" scale="37" orientation="landscape" r:id="rId25"/>
    </customSheetView>
    <customSheetView guid="{C39AE06A-FC0A-4D7D-B287-2FA9CA174191}" scale="55" showGridLines="0" fitToPage="1" printArea="1" topLeftCell="A24">
      <selection activeCell="G39" sqref="G39"/>
      <pageMargins left="0.7" right="0.7" top="0.75" bottom="0.75" header="0.3" footer="0.3"/>
      <pageSetup paperSize="8" scale="39" orientation="landscape" r:id="rId26"/>
    </customSheetView>
    <customSheetView guid="{4E6F9C2D-76F2-4884-BBF6-E02A7BAE11EF}" scale="55" showGridLines="0" fitToPage="1" topLeftCell="A24">
      <selection activeCell="G39" sqref="G39"/>
      <pageMargins left="0.7" right="0.7" top="0.75" bottom="0.75" header="0.3" footer="0.3"/>
      <pageSetup paperSize="8" scale="37" orientation="landscape" r:id="rId27"/>
    </customSheetView>
    <customSheetView guid="{008CCD98-7480-4C51-806A-4B55C801DDC2}" scale="55" showGridLines="0" fitToPage="1" state="hidden">
      <selection sqref="A1:AL1"/>
      <pageMargins left="0.7" right="0.7" top="0.75" bottom="0.75" header="0.3" footer="0.3"/>
      <pageSetup paperSize="8" scale="38" orientation="landscape" r:id="rId28"/>
    </customSheetView>
    <customSheetView guid="{D27C51BB-BB54-4F37-8171-98067C39697C}" scale="55" showGridLines="0" fitToPage="1" topLeftCell="A24">
      <selection activeCell="G39" sqref="G39"/>
      <pageMargins left="0.7" right="0.7" top="0.75" bottom="0.75" header="0.3" footer="0.3"/>
      <pageSetup paperSize="8" scale="37" orientation="landscape" r:id="rId29"/>
    </customSheetView>
    <customSheetView guid="{016CEBB2-C827-48F4-95E1-85D8C5129F41}" scale="55" showGridLines="0" fitToPage="1" printArea="1" topLeftCell="A24">
      <selection activeCell="G39" sqref="G39"/>
      <pageMargins left="0.7" right="0.7" top="0.75" bottom="0.75" header="0.3" footer="0.3"/>
      <pageSetup paperSize="8" scale="37" orientation="landscape" r:id="rId30"/>
    </customSheetView>
    <customSheetView guid="{EB96DBE4-2D64-4388-853C-CB52A0CB79BA}" scale="55" showGridLines="0" fitToPage="1" state="hidden">
      <selection sqref="A1:AL1"/>
      <pageMargins left="0.7" right="0.7" top="0.75" bottom="0.75" header="0.3" footer="0.3"/>
      <pageSetup paperSize="8" scale="39" orientation="landscape" r:id="rId31"/>
    </customSheetView>
    <customSheetView guid="{351EFD38-BF62-4E34-A37F-0EEB3E165043}" scale="55" showGridLines="0" fitToPage="1" printArea="1" state="hidden">
      <selection sqref="A1:AL1"/>
      <pageMargins left="0.7" right="0.7" top="0.75" bottom="0.75" header="0.3" footer="0.3"/>
      <pageSetup paperSize="8" scale="37" orientation="landscape" r:id="rId32"/>
    </customSheetView>
    <customSheetView guid="{593284E7-E32C-4D6C-8C2F-3DEEF9DEE1DF}" scale="55" showGridLines="0" fitToPage="1" printArea="1" topLeftCell="A24">
      <selection activeCell="G39" sqref="G39"/>
      <pageMargins left="0.7" right="0.7" top="0.75" bottom="0.75" header="0.3" footer="0.3"/>
      <pageSetup paperSize="8" scale="37" orientation="landscape" r:id="rId33"/>
    </customSheetView>
    <customSheetView guid="{E06B4FE8-6127-47B2-A6A5-4FAC9EEB4538}" scale="55" showGridLines="0" fitToPage="1" printArea="1" topLeftCell="A24">
      <selection activeCell="G39" sqref="G39"/>
      <pageMargins left="0.7" right="0.7" top="0.75" bottom="0.75" header="0.3" footer="0.3"/>
      <pageSetup paperSize="8" scale="37" orientation="landscape" r:id="rId34"/>
    </customSheetView>
    <customSheetView guid="{51B3083F-A103-41AB-A137-63549C54B838}" scale="55" showGridLines="0" fitToPage="1" printArea="1" state="hidden">
      <selection sqref="A1:AL1"/>
      <pageMargins left="0.7" right="0.7" top="0.75" bottom="0.75" header="0.3" footer="0.3"/>
      <pageSetup paperSize="8" scale="37" orientation="landscape" r:id="rId35"/>
    </customSheetView>
    <customSheetView guid="{8CB67476-3FD4-42E0-ACD6-62ACA9412843}" scale="55" showGridLines="0" fitToPage="1" printArea="1" state="hidden" topLeftCell="A24">
      <selection activeCell="G39" sqref="G39"/>
      <pageMargins left="0.7" right="0.7" top="0.75" bottom="0.75" header="0.3" footer="0.3"/>
      <pageSetup paperSize="8" scale="37" orientation="landscape" r:id="rId36"/>
    </customSheetView>
    <customSheetView guid="{151EB58C-4EFD-4330-8D1A-8AACF5F7C679}" scale="55" showGridLines="0" fitToPage="1" topLeftCell="A24">
      <selection activeCell="G39" sqref="G39"/>
      <pageMargins left="0.7" right="0.7" top="0.75" bottom="0.75" header="0.3" footer="0.3"/>
      <pageSetup paperSize="8" scale="39" orientation="landscape" r:id="rId37"/>
    </customSheetView>
    <customSheetView guid="{8263C9D2-452D-46FA-AFA0-452B42DC0298}" scale="55" showGridLines="0" fitToPage="1" printArea="1" state="hidden">
      <selection sqref="A1:AL1"/>
      <pageMargins left="0.7" right="0.7" top="0.75" bottom="0.75" header="0.3" footer="0.3"/>
      <pageSetup paperSize="8" scale="39" orientation="landscape" r:id="rId38"/>
    </customSheetView>
    <customSheetView guid="{DF265C7B-1EEB-47EB-982A-6938E81F7AC2}" scale="55" showGridLines="0" fitToPage="1" printArea="1" state="hidden">
      <selection sqref="A1:AL1"/>
      <pageMargins left="0.7" right="0.7" top="0.75" bottom="0.75" header="0.3" footer="0.3"/>
      <pageSetup paperSize="8" scale="37" orientation="landscape" r:id="rId39"/>
    </customSheetView>
    <customSheetView guid="{9F91FBC4-6A13-42C2-A2D9-42A2AC814E28}" scale="55" showGridLines="0" fitToPage="1" printArea="1" topLeftCell="A24">
      <selection activeCell="G39" sqref="G39"/>
      <pageMargins left="0.7" right="0.7" top="0.75" bottom="0.75" header="0.3" footer="0.3"/>
      <pageSetup paperSize="8" scale="37" orientation="landscape" r:id="rId40"/>
    </customSheetView>
    <customSheetView guid="{F4A6298C-1A75-4FA9-A6A4-2BE13CCFE545}" scale="55" showGridLines="0" fitToPage="1" printArea="1" state="hidden" topLeftCell="A24">
      <selection activeCell="G39" sqref="G39"/>
      <pageMargins left="0.7" right="0.7" top="0.75" bottom="0.75" header="0.3" footer="0.3"/>
      <pageSetup paperSize="8" scale="39" orientation="landscape" r:id="rId41"/>
    </customSheetView>
    <customSheetView guid="{29AC9BE3-332A-4738-949C-1F8C0D32BAEE}" scale="55" showGridLines="0" fitToPage="1" printArea="1" topLeftCell="A24">
      <selection activeCell="G39" sqref="G39"/>
      <pageMargins left="0.7" right="0.7" top="0.75" bottom="0.75" header="0.3" footer="0.3"/>
      <pageSetup paperSize="8" scale="39" orientation="landscape" r:id="rId42"/>
    </customSheetView>
    <customSheetView guid="{75EE3B92-AF4D-4E93-A70E-6ADE60CC674F}" scale="55" showGridLines="0" fitToPage="1" state="hidden" topLeftCell="A24">
      <selection activeCell="G39" sqref="G39"/>
      <pageMargins left="0.7" right="0.7" top="0.75" bottom="0.75" header="0.3" footer="0.3"/>
      <pageSetup paperSize="8" scale="37" orientation="landscape" r:id="rId43"/>
    </customSheetView>
    <customSheetView guid="{CA7E8063-5145-49E1-8E00-2E1025705A81}" scale="55" showGridLines="0" fitToPage="1" printArea="1" state="hidden" topLeftCell="A24">
      <selection activeCell="G39" sqref="G39"/>
      <pageMargins left="0.7" right="0.7" top="0.75" bottom="0.75" header="0.3" footer="0.3"/>
      <pageSetup paperSize="8" scale="39" orientation="landscape" r:id="rId44"/>
    </customSheetView>
    <customSheetView guid="{51DFD3D6-BC25-47B4-B28F-D640534DB3A9}" scale="55" showGridLines="0" fitToPage="1" printArea="1" topLeftCell="A7">
      <selection activeCell="G39" sqref="G39"/>
      <pageMargins left="0.7" right="0.7" top="0.75" bottom="0.75" header="0.3" footer="0.3"/>
      <pageSetup paperSize="8" scale="39" orientation="landscape" r:id="rId45"/>
    </customSheetView>
    <customSheetView guid="{37F5A0AB-EB39-4832-9D67-F67D908BF486}" scale="55" showGridLines="0" fitToPage="1" printArea="1" state="hidden">
      <selection sqref="A1:AL1"/>
      <pageMargins left="0.7" right="0.7" top="0.75" bottom="0.75" header="0.3" footer="0.3"/>
      <pageSetup paperSize="8" scale="37" orientation="landscape" r:id="rId46"/>
    </customSheetView>
    <customSheetView guid="{70582C04-BB53-4A99-A3C1-673011D9AE1C}" scale="55" showGridLines="0" fitToPage="1" printArea="1" state="hidden">
      <selection sqref="A1:AL1"/>
      <pageMargins left="0.7" right="0.7" top="0.75" bottom="0.75" header="0.3" footer="0.3"/>
      <pageSetup paperSize="8" scale="37" orientation="landscape" r:id="rId47"/>
    </customSheetView>
    <customSheetView guid="{442F9A23-CA6E-4109-B10C-ACF5FD36B859}" scale="55" showGridLines="0" fitToPage="1" state="hidden" topLeftCell="A24">
      <selection activeCell="G39" sqref="G39"/>
      <pageMargins left="0.7" right="0.7" top="0.75" bottom="0.75" header="0.3" footer="0.3"/>
      <pageSetup paperSize="8" scale="37" orientation="landscape" r:id="rId48"/>
    </customSheetView>
    <customSheetView guid="{E4713981-DD11-40CE-BE52-873D93BDDE05}" scale="55" showGridLines="0" fitToPage="1" state="hidden" topLeftCell="A24">
      <selection activeCell="G39" sqref="G39"/>
      <pageMargins left="0.7" right="0.7" top="0.75" bottom="0.75" header="0.3" footer="0.3"/>
      <pageSetup paperSize="8" scale="37" orientation="landscape" r:id="rId49"/>
    </customSheetView>
    <customSheetView guid="{83044EFE-7F92-4F81-B034-85D9567158C2}" scale="55" showGridLines="0" fitToPage="1" state="hidden" topLeftCell="A24">
      <selection activeCell="G39" sqref="G39"/>
      <pageMargins left="0.7" right="0.7" top="0.75" bottom="0.75" header="0.3" footer="0.3"/>
      <pageSetup paperSize="8" scale="37" orientation="landscape" r:id="rId50"/>
    </customSheetView>
    <customSheetView guid="{E3A3AE56-8881-4A6F-9299-803C489AD1B4}" scale="55" showGridLines="0" fitToPage="1" state="hidden" topLeftCell="A24">
      <selection activeCell="G39" sqref="G39"/>
      <pageMargins left="0.7" right="0.7" top="0.75" bottom="0.75" header="0.3" footer="0.3"/>
      <pageSetup paperSize="8" scale="37" orientation="landscape" r:id="rId51"/>
    </customSheetView>
    <customSheetView guid="{FBC63E8F-69FE-4648-B709-FA1212EFFB29}" scale="55" showGridLines="0" fitToPage="1" state="hidden" topLeftCell="A24">
      <selection activeCell="G39" sqref="G39"/>
      <pageMargins left="0.7" right="0.7" top="0.75" bottom="0.75" header="0.3" footer="0.3"/>
      <pageSetup paperSize="8" scale="37" orientation="landscape" r:id="rId52"/>
    </customSheetView>
    <customSheetView guid="{0EDA65D2-43FB-421C-9D8C-D8082C64B09A}" scale="55" showGridLines="0" fitToPage="1" state="hidden" topLeftCell="A24">
      <selection activeCell="G39" sqref="G39"/>
      <pageMargins left="0.7" right="0.7" top="0.75" bottom="0.75" header="0.3" footer="0.3"/>
      <pageSetup paperSize="8" scale="37" orientation="landscape" r:id="rId53"/>
    </customSheetView>
    <customSheetView guid="{B434A8A8-5A4C-48C0-82E7-2458B9D2EEEF}" scale="55" showGridLines="0" fitToPage="1" printArea="1" state="hidden" topLeftCell="A24">
      <selection activeCell="G39" sqref="G39"/>
      <pageMargins left="0.7" right="0.7" top="0.75" bottom="0.75" header="0.3" footer="0.3"/>
      <pageSetup paperSize="8" scale="39" orientation="landscape" r:id="rId54"/>
    </customSheetView>
    <customSheetView guid="{EDD5A64E-02C0-4DD6-80BA-449123FCDAA2}" scale="55" showGridLines="0" fitToPage="1" printArea="1" state="hidden" topLeftCell="A24">
      <selection activeCell="G39" sqref="G39"/>
      <pageMargins left="0.7" right="0.7" top="0.75" bottom="0.75" header="0.3" footer="0.3"/>
      <pageSetup paperSize="8" scale="37" orientation="landscape" r:id="rId55"/>
    </customSheetView>
    <customSheetView guid="{97D58294-343B-4B62-A826-0DDDE29B5F0D}" scale="55" showGridLines="0" fitToPage="1" printArea="1" state="hidden">
      <selection sqref="A1:AL1"/>
      <pageMargins left="0.7" right="0.7" top="0.75" bottom="0.75" header="0.3" footer="0.3"/>
      <pageSetup paperSize="8" scale="39" orientation="landscape" r:id="rId56"/>
    </customSheetView>
    <customSheetView guid="{800416AC-1374-44AC-811C-612C85EF24E6}" scale="55" showGridLines="0" fitToPage="1" state="hidden" topLeftCell="A24">
      <selection activeCell="G39" sqref="G39"/>
      <pageMargins left="0.7" right="0.7" top="0.75" bottom="0.75" header="0.3" footer="0.3"/>
      <pageSetup paperSize="8" scale="37" orientation="landscape" r:id="rId57"/>
    </customSheetView>
    <customSheetView guid="{2EA8DBF7-9763-457C-AA9F-1EEB2F136D1F}" scale="55" showGridLines="0" fitToPage="1" printArea="1" state="hidden" topLeftCell="A24">
      <selection activeCell="G39" sqref="G39"/>
      <pageMargins left="0.7" right="0.7" top="0.75" bottom="0.75" header="0.3" footer="0.3"/>
      <pageSetup paperSize="8" scale="37" orientation="landscape" r:id="rId58"/>
    </customSheetView>
    <customSheetView guid="{78AA4A71-CE17-4C4D-849E-E3E1A44EA907}" scale="55" showGridLines="0" fitToPage="1" printArea="1" state="hidden" topLeftCell="A24">
      <selection activeCell="G39" sqref="G39"/>
      <pageMargins left="0.7" right="0.7" top="0.75" bottom="0.75" header="0.3" footer="0.3"/>
      <pageSetup paperSize="8" scale="39" orientation="landscape" r:id="rId59"/>
    </customSheetView>
    <customSheetView guid="{C7C13768-4A8D-4CBA-978C-F4A7B5550C00}" scale="55" showGridLines="0" fitToPage="1" printArea="1" state="hidden" topLeftCell="A24">
      <selection activeCell="G39" sqref="G39"/>
      <pageMargins left="0.7" right="0.7" top="0.75" bottom="0.75" header="0.3" footer="0.3"/>
      <pageSetup paperSize="8" scale="37" orientation="landscape" r:id="rId60"/>
    </customSheetView>
    <customSheetView guid="{D59DDBAA-620D-43B7-A6D9-759808D3397A}" scale="55" showGridLines="0" fitToPage="1" printArea="1" state="hidden">
      <selection sqref="A1:AL1"/>
      <pageMargins left="0.7" right="0.7" top="0.75" bottom="0.75" header="0.3" footer="0.3"/>
      <pageSetup paperSize="8" scale="37" orientation="landscape" r:id="rId61"/>
    </customSheetView>
  </customSheetViews>
  <mergeCells count="22">
    <mergeCell ref="K53:M53"/>
    <mergeCell ref="F54:H58"/>
    <mergeCell ref="K54:M54"/>
    <mergeCell ref="Y59:AD59"/>
    <mergeCell ref="D9:E9"/>
    <mergeCell ref="H9:I9"/>
    <mergeCell ref="Y9:AA9"/>
    <mergeCell ref="AG10:AI10"/>
    <mergeCell ref="Y46:AD46"/>
    <mergeCell ref="K52:P52"/>
    <mergeCell ref="D6:F6"/>
    <mergeCell ref="K6:M6"/>
    <mergeCell ref="R6:T6"/>
    <mergeCell ref="AC6:AE6"/>
    <mergeCell ref="Y8:AD8"/>
    <mergeCell ref="AG8:AL8"/>
    <mergeCell ref="A1:AL1"/>
    <mergeCell ref="A2:F2"/>
    <mergeCell ref="D4:I4"/>
    <mergeCell ref="K4:P4"/>
    <mergeCell ref="R4:W4"/>
    <mergeCell ref="AC4:AH4"/>
  </mergeCells>
  <pageMargins left="0.7" right="0.7" top="0.75" bottom="0.75" header="0.3" footer="0.3"/>
  <pageSetup paperSize="8" scale="37" orientation="landscape" r:id="rId62"/>
  <drawing r:id="rId6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6A98AA-A1B5-4985-8790-C4F4707E9C8A}">
  <sheetPr codeName="Sheet1">
    <pageSetUpPr autoPageBreaks="0" fitToPage="1"/>
  </sheetPr>
  <dimension ref="A1:BD297"/>
  <sheetViews>
    <sheetView showGridLines="0" topLeftCell="A2" zoomScaleNormal="100" zoomScaleSheetLayoutView="100" zoomScalePageLayoutView="70" workbookViewId="0">
      <pane xSplit="1" ySplit="6" topLeftCell="J66" activePane="bottomRight" state="frozen"/>
      <selection activeCell="A2" sqref="A2"/>
      <selection pane="topRight" activeCell="B2" sqref="B2"/>
      <selection pane="bottomLeft" activeCell="A8" sqref="A8"/>
      <selection pane="bottomRight" activeCell="BA75" sqref="BA75"/>
    </sheetView>
  </sheetViews>
  <sheetFormatPr defaultColWidth="8.54296875" defaultRowHeight="14.5" x14ac:dyDescent="0.35"/>
  <cols>
    <col min="1" max="1" width="1.54296875" style="269" customWidth="1"/>
    <col min="2" max="2" width="12" style="15" customWidth="1"/>
    <col min="3" max="3" width="36.54296875" style="251" customWidth="1"/>
    <col min="4" max="4" width="9.54296875" style="1" customWidth="1"/>
    <col min="5" max="5" width="0.54296875" style="15" customWidth="1"/>
    <col min="6" max="6" width="8.54296875" style="15" customWidth="1"/>
    <col min="7" max="7" width="8.54296875" customWidth="1"/>
    <col min="8" max="8" width="0.453125" style="15" customWidth="1"/>
    <col min="9" max="9" width="9.54296875" style="15" customWidth="1"/>
    <col min="10" max="11" width="9.453125" style="15" customWidth="1"/>
    <col min="12" max="12" width="15.54296875" style="15" bestFit="1" customWidth="1"/>
    <col min="13" max="13" width="10.54296875" style="15" customWidth="1"/>
    <col min="14" max="14" width="0.453125" style="15" customWidth="1"/>
    <col min="15" max="16" width="9.54296875" style="15" customWidth="1"/>
    <col min="17" max="17" width="0.54296875" style="15" customWidth="1"/>
    <col min="18" max="19" width="8.54296875" style="15" customWidth="1"/>
    <col min="20" max="20" width="0.453125" style="15" customWidth="1"/>
    <col min="21" max="21" width="9.453125" style="15" customWidth="1"/>
    <col min="22" max="22" width="0.453125" style="15" customWidth="1"/>
    <col min="23" max="24" width="9.54296875" style="15" customWidth="1"/>
    <col min="25" max="25" width="8.54296875" style="15" customWidth="1"/>
    <col min="26" max="26" width="0.453125" style="15" customWidth="1"/>
    <col min="27" max="27" width="15.453125" style="15" customWidth="1"/>
    <col min="28" max="28" width="11" style="15" customWidth="1"/>
    <col min="29" max="29" width="9.453125" style="15" customWidth="1"/>
    <col min="30" max="30" width="0.453125" style="15" customWidth="1"/>
    <col min="31" max="31" width="11.453125" style="1" customWidth="1"/>
    <col min="32" max="32" width="12.54296875" style="1" customWidth="1"/>
    <col min="33" max="33" width="10.453125" style="1" customWidth="1"/>
    <col min="34" max="34" width="11.54296875" style="1" bestFit="1" customWidth="1"/>
    <col min="35" max="35" width="10.54296875" style="1" customWidth="1"/>
    <col min="36" max="37" width="8.453125" style="1" customWidth="1"/>
    <col min="38" max="38" width="0.453125" style="1" customWidth="1"/>
    <col min="39" max="39" width="8.54296875" style="15" customWidth="1"/>
    <col min="40" max="40" width="8.54296875" style="15"/>
    <col min="41" max="47" width="0" style="15" hidden="1" customWidth="1"/>
    <col min="48" max="48" width="12.453125" style="608" bestFit="1" customWidth="1"/>
    <col min="49" max="49" width="9.54296875" style="608" customWidth="1"/>
    <col min="50" max="50" width="2.54296875" style="186" customWidth="1"/>
    <col min="51" max="51" width="10.54296875" style="80" bestFit="1" customWidth="1"/>
    <col min="52" max="52" width="9.453125" style="186" bestFit="1" customWidth="1"/>
    <col min="53" max="53" width="10.453125" style="80" bestFit="1" customWidth="1"/>
    <col min="54" max="54" width="9.453125" style="186" bestFit="1" customWidth="1"/>
    <col min="55" max="16384" width="8.54296875" style="15"/>
  </cols>
  <sheetData>
    <row r="1" spans="1:56" ht="11.9" hidden="1" customHeight="1" x14ac:dyDescent="0.35">
      <c r="F1" s="1"/>
      <c r="G1" s="1"/>
      <c r="AE1" s="42"/>
      <c r="AF1" s="42"/>
      <c r="AG1" s="42"/>
      <c r="AH1" s="42"/>
      <c r="AI1" s="42"/>
      <c r="AJ1" s="42"/>
      <c r="AK1" s="42"/>
    </row>
    <row r="2" spans="1:56" ht="12" customHeight="1" x14ac:dyDescent="0.35">
      <c r="A2" s="616"/>
      <c r="B2" s="94"/>
      <c r="C2" s="460"/>
      <c r="F2" s="1"/>
      <c r="G2" s="1"/>
    </row>
    <row r="3" spans="1:56" ht="23.25" customHeight="1" x14ac:dyDescent="0.35">
      <c r="B3" s="665" t="s">
        <v>363</v>
      </c>
      <c r="C3" s="665" t="s">
        <v>0</v>
      </c>
      <c r="D3" s="664" t="s">
        <v>474</v>
      </c>
      <c r="F3" s="660" t="s">
        <v>47</v>
      </c>
      <c r="G3" s="661"/>
      <c r="H3" s="661"/>
      <c r="I3" s="661"/>
      <c r="J3" s="661"/>
      <c r="K3" s="661"/>
      <c r="L3" s="661"/>
      <c r="M3" s="661"/>
      <c r="N3" s="661"/>
      <c r="O3" s="661"/>
      <c r="P3" s="661"/>
      <c r="R3" s="670" t="s">
        <v>69</v>
      </c>
      <c r="S3" s="670"/>
      <c r="T3" s="670"/>
      <c r="U3" s="670"/>
      <c r="V3" s="670"/>
      <c r="W3" s="670"/>
      <c r="X3" s="670"/>
      <c r="Y3" s="670"/>
      <c r="Z3" s="670"/>
      <c r="AA3" s="670"/>
      <c r="AB3" s="670"/>
      <c r="AC3" s="670"/>
      <c r="AD3" s="670"/>
      <c r="AE3" s="670"/>
      <c r="AF3" s="670"/>
      <c r="AG3" s="670"/>
      <c r="AH3" s="670"/>
      <c r="AI3" s="670"/>
      <c r="AJ3" s="670"/>
      <c r="AK3" s="670"/>
      <c r="AM3" s="674" t="s">
        <v>70</v>
      </c>
      <c r="AO3" s="720" t="s">
        <v>135</v>
      </c>
      <c r="AP3" s="720"/>
      <c r="AQ3" s="720"/>
      <c r="AS3" s="720" t="s">
        <v>136</v>
      </c>
      <c r="AT3" s="720"/>
      <c r="AV3" s="705" t="s">
        <v>137</v>
      </c>
      <c r="AW3" s="705"/>
      <c r="AY3" s="706" t="s">
        <v>147</v>
      </c>
      <c r="AZ3" s="707"/>
      <c r="BA3" s="707"/>
      <c r="BB3" s="708"/>
    </row>
    <row r="4" spans="1:56" ht="23.25" customHeight="1" x14ac:dyDescent="0.35">
      <c r="B4" s="665"/>
      <c r="C4" s="665"/>
      <c r="D4" s="664"/>
      <c r="E4" s="1"/>
      <c r="F4" s="668" t="s">
        <v>169</v>
      </c>
      <c r="G4" s="669"/>
      <c r="H4" s="44"/>
      <c r="I4" s="677" t="s">
        <v>48</v>
      </c>
      <c r="J4" s="660"/>
      <c r="K4" s="660"/>
      <c r="L4" s="660"/>
      <c r="M4" s="660"/>
      <c r="N4" s="1"/>
      <c r="O4" s="670" t="s">
        <v>30</v>
      </c>
      <c r="P4" s="671"/>
      <c r="Q4" s="1"/>
      <c r="R4" s="683" t="s">
        <v>71</v>
      </c>
      <c r="S4" s="684"/>
      <c r="T4" s="28"/>
      <c r="U4" s="678" t="s">
        <v>72</v>
      </c>
      <c r="V4" s="28"/>
      <c r="W4" s="679" t="s">
        <v>33</v>
      </c>
      <c r="X4" s="680"/>
      <c r="Y4" s="680"/>
      <c r="Z4" s="680"/>
      <c r="AA4" s="680"/>
      <c r="AB4" s="680"/>
      <c r="AC4" s="681"/>
      <c r="AD4" s="45"/>
      <c r="AE4" s="675" t="s">
        <v>217</v>
      </c>
      <c r="AF4" s="675"/>
      <c r="AG4" s="675"/>
      <c r="AH4" s="675"/>
      <c r="AI4" s="675"/>
      <c r="AJ4" s="675"/>
      <c r="AK4" s="676"/>
      <c r="AL4" s="46"/>
      <c r="AM4" s="674"/>
      <c r="AO4" s="720"/>
      <c r="AP4" s="720"/>
      <c r="AQ4" s="720"/>
      <c r="AS4" s="720"/>
      <c r="AT4" s="720"/>
      <c r="AV4" s="705"/>
      <c r="AW4" s="705"/>
      <c r="AY4" s="709"/>
      <c r="AZ4" s="710"/>
      <c r="BA4" s="710"/>
      <c r="BB4" s="711"/>
    </row>
    <row r="5" spans="1:56" ht="23.25" customHeight="1" x14ac:dyDescent="0.35">
      <c r="B5" s="665"/>
      <c r="C5" s="665"/>
      <c r="D5" s="664"/>
      <c r="E5" s="1"/>
      <c r="F5" s="668"/>
      <c r="G5" s="669"/>
      <c r="H5" s="28"/>
      <c r="I5" s="672" t="s">
        <v>142</v>
      </c>
      <c r="J5" s="676" t="s">
        <v>73</v>
      </c>
      <c r="K5" s="718"/>
      <c r="L5" s="676" t="s">
        <v>74</v>
      </c>
      <c r="M5" s="719"/>
      <c r="N5" s="1"/>
      <c r="O5" s="666" t="s">
        <v>51</v>
      </c>
      <c r="P5" s="662" t="s">
        <v>2</v>
      </c>
      <c r="Q5" s="1"/>
      <c r="R5" s="668"/>
      <c r="S5" s="669"/>
      <c r="T5" s="28"/>
      <c r="U5" s="678"/>
      <c r="V5" s="28"/>
      <c r="W5" s="675" t="s">
        <v>73</v>
      </c>
      <c r="X5" s="682"/>
      <c r="Y5" s="682"/>
      <c r="Z5" s="29"/>
      <c r="AA5" s="675" t="s">
        <v>74</v>
      </c>
      <c r="AB5" s="682"/>
      <c r="AC5" s="682"/>
      <c r="AD5" s="45"/>
      <c r="AE5" s="675" t="s">
        <v>75</v>
      </c>
      <c r="AF5" s="675" t="s">
        <v>76</v>
      </c>
      <c r="AG5" s="675" t="s">
        <v>77</v>
      </c>
      <c r="AH5" s="675" t="s">
        <v>78</v>
      </c>
      <c r="AI5" s="675" t="s">
        <v>79</v>
      </c>
      <c r="AJ5" s="675" t="s">
        <v>80</v>
      </c>
      <c r="AK5" s="676"/>
      <c r="AL5" s="46"/>
      <c r="AM5" s="674"/>
      <c r="AO5" s="720" t="s">
        <v>130</v>
      </c>
      <c r="AP5" s="720" t="s">
        <v>131</v>
      </c>
      <c r="AQ5" s="720" t="s">
        <v>133</v>
      </c>
      <c r="AS5" s="720" t="s">
        <v>132</v>
      </c>
      <c r="AT5" s="720" t="s">
        <v>134</v>
      </c>
      <c r="AV5" s="607" t="s">
        <v>160</v>
      </c>
      <c r="AW5" s="607" t="s">
        <v>161</v>
      </c>
      <c r="AY5" s="712" t="s">
        <v>73</v>
      </c>
      <c r="AZ5" s="713"/>
      <c r="BA5" s="712" t="s">
        <v>74</v>
      </c>
      <c r="BB5" s="713"/>
    </row>
    <row r="6" spans="1:56" ht="45" customHeight="1" x14ac:dyDescent="0.35">
      <c r="B6" s="665"/>
      <c r="C6" s="665"/>
      <c r="D6" s="664"/>
      <c r="E6" s="1"/>
      <c r="F6" s="670"/>
      <c r="G6" s="671"/>
      <c r="H6" s="30"/>
      <c r="I6" s="673"/>
      <c r="J6" s="65" t="s">
        <v>177</v>
      </c>
      <c r="K6" s="64" t="s">
        <v>178</v>
      </c>
      <c r="L6" s="66" t="s">
        <v>177</v>
      </c>
      <c r="M6" s="67" t="s">
        <v>178</v>
      </c>
      <c r="N6" s="1"/>
      <c r="O6" s="667"/>
      <c r="P6" s="663"/>
      <c r="Q6" s="1"/>
      <c r="R6" s="670"/>
      <c r="S6" s="671"/>
      <c r="T6" s="30"/>
      <c r="U6" s="678"/>
      <c r="V6" s="30"/>
      <c r="W6" s="18" t="s">
        <v>81</v>
      </c>
      <c r="X6" s="18" t="s">
        <v>82</v>
      </c>
      <c r="Y6" s="18" t="s">
        <v>83</v>
      </c>
      <c r="Z6" s="30"/>
      <c r="AA6" s="18" t="s">
        <v>81</v>
      </c>
      <c r="AB6" s="18" t="s">
        <v>84</v>
      </c>
      <c r="AC6" s="18" t="s">
        <v>85</v>
      </c>
      <c r="AD6" s="47"/>
      <c r="AE6" s="672"/>
      <c r="AF6" s="672"/>
      <c r="AG6" s="672"/>
      <c r="AH6" s="672"/>
      <c r="AI6" s="672"/>
      <c r="AJ6" s="268" t="s">
        <v>214</v>
      </c>
      <c r="AK6" s="55" t="s">
        <v>86</v>
      </c>
      <c r="AL6" s="46"/>
      <c r="AM6" s="674"/>
      <c r="AO6" s="720"/>
      <c r="AP6" s="720"/>
      <c r="AQ6" s="720"/>
      <c r="AS6" s="720"/>
      <c r="AT6" s="720"/>
      <c r="AV6" s="607" t="s">
        <v>87</v>
      </c>
      <c r="AW6" s="607" t="s">
        <v>162</v>
      </c>
      <c r="AY6" s="607" t="s">
        <v>148</v>
      </c>
      <c r="AZ6" s="607" t="s">
        <v>149</v>
      </c>
      <c r="BA6" s="607" t="s">
        <v>148</v>
      </c>
      <c r="BB6" s="607" t="s">
        <v>149</v>
      </c>
    </row>
    <row r="7" spans="1:56" ht="5.25" customHeight="1" thickBot="1" x14ac:dyDescent="0.4">
      <c r="C7" s="461"/>
      <c r="G7" s="15"/>
      <c r="W7" s="1"/>
      <c r="X7" s="1"/>
      <c r="Y7" s="1"/>
      <c r="Z7" s="1"/>
      <c r="AA7" s="1"/>
      <c r="AB7" s="1"/>
      <c r="AC7" s="1"/>
    </row>
    <row r="8" spans="1:56" s="475" customFormat="1" ht="24" customHeight="1" thickBot="1" x14ac:dyDescent="0.4">
      <c r="A8" s="269"/>
      <c r="B8" s="685" t="s">
        <v>308</v>
      </c>
      <c r="C8" s="686"/>
      <c r="D8" s="686"/>
      <c r="E8" s="686"/>
      <c r="F8" s="686"/>
      <c r="G8" s="686"/>
      <c r="H8" s="686"/>
      <c r="I8" s="686"/>
      <c r="J8" s="686"/>
      <c r="K8" s="686"/>
      <c r="L8" s="686"/>
      <c r="M8" s="686"/>
      <c r="N8" s="686"/>
      <c r="O8" s="686"/>
      <c r="P8" s="686"/>
      <c r="Q8" s="686"/>
      <c r="R8" s="686"/>
      <c r="S8" s="686"/>
      <c r="T8" s="686"/>
      <c r="U8" s="686"/>
      <c r="V8" s="686"/>
      <c r="W8" s="686"/>
      <c r="X8" s="686"/>
      <c r="Y8" s="686"/>
      <c r="Z8" s="686"/>
      <c r="AA8" s="686"/>
      <c r="AB8" s="686"/>
      <c r="AC8" s="686"/>
      <c r="AD8" s="686"/>
      <c r="AE8" s="686"/>
      <c r="AF8" s="686"/>
      <c r="AG8" s="686"/>
      <c r="AH8" s="686"/>
      <c r="AI8" s="686"/>
      <c r="AJ8" s="686"/>
      <c r="AK8" s="686"/>
      <c r="AL8" s="686"/>
      <c r="AM8" s="687"/>
      <c r="AV8" s="591"/>
      <c r="AW8" s="614"/>
      <c r="AX8" s="611"/>
      <c r="AY8" s="591"/>
      <c r="AZ8" s="593"/>
      <c r="BA8" s="592"/>
      <c r="BB8" s="594"/>
    </row>
    <row r="9" spans="1:56" s="475" customFormat="1" ht="5.25" customHeight="1" thickBot="1" x14ac:dyDescent="0.4">
      <c r="A9" s="269"/>
      <c r="B9" s="78"/>
      <c r="C9" s="78"/>
      <c r="D9" s="79"/>
      <c r="E9" s="79"/>
      <c r="F9" s="79"/>
      <c r="G9" s="79"/>
      <c r="H9" s="79"/>
      <c r="I9" s="79"/>
      <c r="J9" s="79"/>
      <c r="K9" s="79"/>
      <c r="L9" s="79"/>
      <c r="M9" s="79"/>
      <c r="N9" s="79"/>
      <c r="O9" s="79"/>
      <c r="P9" s="79"/>
      <c r="Q9" s="79"/>
      <c r="R9" s="79"/>
      <c r="S9" s="79"/>
      <c r="T9" s="79"/>
      <c r="U9" s="79"/>
      <c r="V9" s="79"/>
      <c r="W9" s="79"/>
      <c r="X9" s="79"/>
      <c r="Y9" s="79"/>
      <c r="Z9" s="79"/>
      <c r="AA9" s="79"/>
      <c r="AB9" s="79"/>
      <c r="AC9" s="79"/>
      <c r="AD9" s="79"/>
      <c r="AE9" s="79"/>
      <c r="AF9" s="79"/>
      <c r="AG9" s="79"/>
      <c r="AH9" s="79"/>
      <c r="AI9" s="79"/>
      <c r="AJ9" s="79"/>
      <c r="AK9" s="79"/>
      <c r="AL9" s="79"/>
      <c r="AM9" s="79"/>
      <c r="AO9" s="81"/>
      <c r="AP9" s="81"/>
      <c r="AQ9" s="81"/>
      <c r="AR9" s="81"/>
      <c r="AS9" s="81"/>
      <c r="AT9" s="81"/>
      <c r="AU9" s="81"/>
      <c r="AV9" s="608"/>
      <c r="AW9" s="615"/>
      <c r="AX9" s="611"/>
      <c r="AY9" s="613"/>
      <c r="AZ9" s="578"/>
      <c r="BA9" s="574"/>
      <c r="BB9" s="579"/>
      <c r="BC9" s="81"/>
      <c r="BD9" s="81"/>
    </row>
    <row r="10" spans="1:56" s="475" customFormat="1" ht="51.75" hidden="1" customHeight="1" thickBot="1" x14ac:dyDescent="0.4">
      <c r="A10" s="269"/>
      <c r="B10" s="688" t="s">
        <v>383</v>
      </c>
      <c r="C10" s="689"/>
      <c r="D10" s="689"/>
      <c r="E10" s="689"/>
      <c r="F10" s="689"/>
      <c r="G10" s="689"/>
      <c r="H10" s="689"/>
      <c r="I10" s="689"/>
      <c r="J10" s="689"/>
      <c r="K10" s="689"/>
      <c r="L10" s="689"/>
      <c r="M10" s="689"/>
      <c r="N10" s="689"/>
      <c r="O10" s="689"/>
      <c r="P10" s="689"/>
      <c r="Q10" s="689"/>
      <c r="R10" s="689"/>
      <c r="S10" s="689"/>
      <c r="T10" s="689"/>
      <c r="U10" s="689"/>
      <c r="V10" s="689"/>
      <c r="W10" s="689"/>
      <c r="X10" s="689"/>
      <c r="Y10" s="689"/>
      <c r="Z10" s="689"/>
      <c r="AA10" s="689"/>
      <c r="AB10" s="689"/>
      <c r="AC10" s="689"/>
      <c r="AD10" s="689"/>
      <c r="AE10" s="689"/>
      <c r="AF10" s="689"/>
      <c r="AG10" s="689"/>
      <c r="AH10" s="689"/>
      <c r="AI10" s="689"/>
      <c r="AJ10" s="689"/>
      <c r="AK10" s="689"/>
      <c r="AL10" s="689"/>
      <c r="AM10" s="690"/>
      <c r="AV10" s="608"/>
      <c r="AW10" s="615"/>
      <c r="AX10" s="611"/>
      <c r="AY10" s="613"/>
      <c r="AZ10" s="578"/>
      <c r="BA10" s="574"/>
      <c r="BB10" s="579"/>
    </row>
    <row r="11" spans="1:56" s="475" customFormat="1" ht="36" customHeight="1" x14ac:dyDescent="0.35">
      <c r="A11" s="269"/>
      <c r="B11" s="233" t="s">
        <v>164</v>
      </c>
      <c r="C11" s="558" t="s">
        <v>299</v>
      </c>
      <c r="D11" s="221" t="s">
        <v>3</v>
      </c>
      <c r="E11" s="222"/>
      <c r="F11" s="216" t="str">
        <f>VLOOKUP(C11,'5a)NDA MPPR'!$B$9:$AK$61,3,FALSE)</f>
        <v>G</v>
      </c>
      <c r="G11" s="218">
        <f>VLOOKUP(C11,'5a)NDA MPPR'!$B$9:$AK$61,4,FALSE)</f>
        <v>0</v>
      </c>
      <c r="H11" s="235"/>
      <c r="I11" s="224" t="str">
        <f>VLOOKUP(C11,'5a)NDA MPPR'!$B$9:$AK$61,6,FALSE)</f>
        <v>PBC 
(Jun-24)</v>
      </c>
      <c r="J11" s="48">
        <f>VLOOKUP(C11,'5a)NDA MPPR'!$B$9:$AK$61,7,FALSE)</f>
        <v>904</v>
      </c>
      <c r="K11" s="48">
        <f>VLOOKUP(C11,'5a)NDA MPPR'!$B$9:$AK$61,8,FALSE)</f>
        <v>921.8</v>
      </c>
      <c r="L11" s="226">
        <f>VLOOKUP(C11,'5a)NDA MPPR'!$B$9:$AK$61,9,FALSE)</f>
        <v>46022</v>
      </c>
      <c r="M11" s="226">
        <f>VLOOKUP(C11,'5a)NDA MPPR'!$B$9:$AK$61,10,FALSE)</f>
        <v>46234</v>
      </c>
      <c r="N11" s="222"/>
      <c r="O11" s="48">
        <f>VLOOKUP(C11,'5a)NDA MPPR'!$B$9:$AK$61,12,FALSE)</f>
        <v>921.8</v>
      </c>
      <c r="P11" s="48">
        <f>VLOOKUP(C11,'5a)NDA MPPR'!$B$9:$AK$61,13,FALSE)</f>
        <v>921.8</v>
      </c>
      <c r="Q11" s="222"/>
      <c r="R11" s="216" t="str">
        <f>VLOOKUP(C11,'5a)NDA MPPR'!$B$9:$AK$61,15,FALSE)</f>
        <v>N/A</v>
      </c>
      <c r="S11" s="218">
        <f>VLOOKUP(C11,'5a)NDA MPPR'!$B$9:$AK$61,16,FALSE)</f>
        <v>0</v>
      </c>
      <c r="T11" s="223"/>
      <c r="U11" s="227" t="str">
        <f>VLOOKUP(C11,'5a)NDA MPPR'!$B$9:$AK$61,18,FALSE)</f>
        <v>PBC
 (Oct-21)</v>
      </c>
      <c r="V11" s="223"/>
      <c r="W11" s="49" t="str">
        <f>VLOOKUP(C11,'5a)NDA MPPR'!$B$9:$AK$61,20,FALSE)</f>
        <v>-</v>
      </c>
      <c r="X11" s="49">
        <f>VLOOKUP(C11,'5a)NDA MPPR'!$B$9:$AK$61,21,FALSE)</f>
        <v>915.43623643000012</v>
      </c>
      <c r="Y11" s="49">
        <f>VLOOKUP(C11,'5a)NDA MPPR'!$B$9:$AK$61,22,FALSE)</f>
        <v>0.6</v>
      </c>
      <c r="Z11" s="50"/>
      <c r="AA11" s="226" t="str">
        <f>VLOOKUP(C11,'5a)NDA MPPR'!$B$9:$AK$61,24,FALSE)</f>
        <v>-</v>
      </c>
      <c r="AB11" s="226">
        <f>VLOOKUP(C11,'5a)NDA MPPR'!$B$9:$AK$61,25,FALSE)</f>
        <v>46234</v>
      </c>
      <c r="AC11" s="236">
        <f>VLOOKUP(C11,'5a)NDA MPPR'!$B$9:$AK$61,26,FALSE)</f>
        <v>0</v>
      </c>
      <c r="AD11" s="222"/>
      <c r="AE11" s="49">
        <f>VLOOKUP(C11,'5a)NDA MPPR'!$B$9:$AK$61,28,FALSE)</f>
        <v>0</v>
      </c>
      <c r="AF11" s="49">
        <f>VLOOKUP(C11,'5a)NDA MPPR'!$B$9:$AK$61,29,FALSE)</f>
        <v>0</v>
      </c>
      <c r="AG11" s="52">
        <f>VLOOKUP(C11,'5a)NDA MPPR'!$B$9:$AK$61,30,FALSE)</f>
        <v>910.61684878999995</v>
      </c>
      <c r="AH11" s="228">
        <f>VLOOKUP(C11,'5a)NDA MPPR'!$B$9:$AK$61,31,FALSE)</f>
        <v>0</v>
      </c>
      <c r="AI11" s="228">
        <f>VLOOKUP(C11,'5a)NDA MPPR'!$B$9:$AK$61,32,FALSE)</f>
        <v>0</v>
      </c>
      <c r="AJ11" s="230">
        <f>VLOOKUP(C11,'5a)NDA MPPR'!$B$9:$AK$61,33,FALSE)</f>
        <v>0</v>
      </c>
      <c r="AK11" s="231">
        <f>VLOOKUP(C11,'5a)NDA MPPR'!$B$9:$AK$61,34,FALSE)</f>
        <v>0</v>
      </c>
      <c r="AL11" s="221"/>
      <c r="AM11" s="219" t="str">
        <f>VLOOKUP(C11,'5a)NDA MPPR'!$B$9:$AK$61,36,FALSE)</f>
        <v>N/A</v>
      </c>
      <c r="AV11" s="600">
        <v>914.87870664000002</v>
      </c>
      <c r="AW11" s="576">
        <v>46234</v>
      </c>
      <c r="AX11" s="611"/>
      <c r="AY11" s="600">
        <v>0</v>
      </c>
      <c r="AZ11" s="610"/>
      <c r="BA11" s="576" t="s">
        <v>319</v>
      </c>
      <c r="BB11" s="582"/>
    </row>
    <row r="12" spans="1:56" s="475" customFormat="1" ht="97" customHeight="1" thickBot="1" x14ac:dyDescent="0.4">
      <c r="A12" s="269" t="str">
        <f>C11</f>
        <v>Sellafield Security Enhancement Programme (SSEP)</v>
      </c>
      <c r="B12" s="702" t="str">
        <f>VLOOKUP($C11,'5a)NDA MPPR'!$A$9:$AK$61,2,FALSE)</f>
        <v>The Sellafield Security Enhancement Programme (SSEP) represents a series of interdependent security enhancement projects, which encompass site-wide improvement initiatives, and some facility-specific asset improvements. The Delivery Confidence Assessment remains Green. The NDA revised Programme Business Case value of £921.8m was released to SL in June 2024, with Department for Energy Security and Net Zero (DESNZ) PIC holding the upper range figure of £929.8m. The SSAU and CNC OU P80 sanction request submissions were approved at the NDA Group Investment Committee (GIC) in September 2024. The assessment work on Encrypted Comms project is complete resulting in a significant reduction in the project scope. The project EAC has previously been reduced accordingly and formal governance steps completed to down scope the project. The programme lifecycle EAC has increased by £0.6m this period due to prolongation on the CNCOU project, as in period the contractor have completed commissioning resequencing workshops due to the previously reported gland issues and strike action compounded by the union imposed weekend working overtime ban, and the output of the workshops has moved the forecast end date. The Programme Ready for Full Operating Capability (FOC), based on the latest SSAU project data, remains forecast as March 2026 due to delays to the progression of the Legacy SMS migrations, which are scheduled to take place after the L1 commissioning of the new boundaries.. This is subject to ongoing reviews of the available operational, engineering and maintenance resources needed to review and sign off the various systems and assets being delivered by the projects to underpin the Custody Transfer Certificate (CTC). The overall outturn project delivery performance remains in line with sanctioned plans. Security Systems Architecture Upgrade (SSAU), Encrypted Comms (EC) &amp; Civil Nuclear Constabulary (CNC) Operational Unit (CNC OU) Projects (all reported as projects in their own right on the MPPR) are, based on the respective projects latest EAC figures, affordable within the released SSEP sanction. The Main Site Command Facility (MSCF) continues to improve its operational capability with Phases 1 &amp; 2 of the revised 3 Phase Capability Delivery Plan now complete. (Phase 1: The High Security Area (HSA)1 Boundary declared operational in March 2024 &amp; Phase 2: The achievement of a Green rating for the complex and challenging Level 1 Regulator Evaluated Demonstration Exercise in November 2024). As a consequence the Regulator confirmed in December 2024, Physical Security no longer needs to be monitored at the “Enhanced Level” and has therefore been returned to “Routine Level” with the Nuclear Site Security Plan (NSSP) and Security Improvement Schedule (SIS) updated accordingly; a significant achievement for the Sellafield Site. Phase 3 will achieve the agreed security outcomes and associated security risk reduction benefits by no later than May 2027 for FOC. The latest programme forecast aligns with the current CNC OU P80 sanction date of 31 July 2026. The programme remains within its sanctioned tolerances.</v>
      </c>
      <c r="C12" s="703"/>
      <c r="D12" s="703"/>
      <c r="E12" s="703"/>
      <c r="F12" s="703"/>
      <c r="G12" s="703"/>
      <c r="H12" s="703"/>
      <c r="I12" s="703"/>
      <c r="J12" s="703"/>
      <c r="K12" s="703"/>
      <c r="L12" s="703"/>
      <c r="M12" s="703"/>
      <c r="N12" s="703"/>
      <c r="O12" s="703"/>
      <c r="P12" s="703"/>
      <c r="Q12" s="703"/>
      <c r="R12" s="703"/>
      <c r="S12" s="703"/>
      <c r="T12" s="703"/>
      <c r="U12" s="703"/>
      <c r="V12" s="703"/>
      <c r="W12" s="703"/>
      <c r="X12" s="703"/>
      <c r="Y12" s="703"/>
      <c r="Z12" s="703"/>
      <c r="AA12" s="703"/>
      <c r="AB12" s="703"/>
      <c r="AC12" s="703"/>
      <c r="AD12" s="703"/>
      <c r="AE12" s="703"/>
      <c r="AF12" s="703"/>
      <c r="AG12" s="703"/>
      <c r="AH12" s="703"/>
      <c r="AI12" s="703"/>
      <c r="AJ12" s="703"/>
      <c r="AK12" s="703"/>
      <c r="AL12" s="703"/>
      <c r="AM12" s="704"/>
      <c r="AV12" s="575"/>
      <c r="AW12" s="577"/>
      <c r="AX12" s="611"/>
      <c r="AY12" s="575"/>
      <c r="AZ12" s="581"/>
      <c r="BA12" s="577"/>
      <c r="BB12" s="583"/>
    </row>
    <row r="13" spans="1:56" s="475" customFormat="1" ht="5.25" customHeight="1" thickBot="1" x14ac:dyDescent="0.4">
      <c r="A13" s="269"/>
      <c r="B13" s="471"/>
      <c r="C13" s="461"/>
      <c r="D13" s="471"/>
      <c r="E13" s="471"/>
      <c r="F13" s="471"/>
      <c r="G13" s="471"/>
      <c r="H13" s="471"/>
      <c r="I13" s="471"/>
      <c r="J13" s="471"/>
      <c r="K13" s="471"/>
      <c r="L13" s="471"/>
      <c r="M13" s="471"/>
      <c r="N13" s="471"/>
      <c r="O13" s="471"/>
      <c r="P13" s="471"/>
      <c r="Q13" s="471"/>
      <c r="R13" s="471"/>
      <c r="S13" s="471"/>
      <c r="T13" s="471"/>
      <c r="U13" s="471"/>
      <c r="V13" s="471"/>
      <c r="W13" s="471"/>
      <c r="X13" s="471"/>
      <c r="Y13" s="471"/>
      <c r="Z13" s="471"/>
      <c r="AA13" s="471"/>
      <c r="AB13" s="471"/>
      <c r="AC13" s="471"/>
      <c r="AD13" s="471"/>
      <c r="AE13" s="471"/>
      <c r="AF13" s="471"/>
      <c r="AG13" s="471"/>
      <c r="AH13" s="471"/>
      <c r="AI13" s="471"/>
      <c r="AJ13" s="471"/>
      <c r="AK13" s="471"/>
      <c r="AL13" s="471"/>
      <c r="AM13" s="471"/>
      <c r="AV13" s="622"/>
      <c r="AW13" s="615"/>
      <c r="AX13" s="611"/>
      <c r="AY13" s="613"/>
      <c r="AZ13" s="578"/>
      <c r="BA13" s="574"/>
      <c r="BB13" s="579"/>
    </row>
    <row r="14" spans="1:56" ht="24" customHeight="1" thickBot="1" x14ac:dyDescent="0.4">
      <c r="B14" s="699" t="s">
        <v>192</v>
      </c>
      <c r="C14" s="700"/>
      <c r="D14" s="700"/>
      <c r="E14" s="700"/>
      <c r="F14" s="700"/>
      <c r="G14" s="700"/>
      <c r="H14" s="700"/>
      <c r="I14" s="700"/>
      <c r="J14" s="700"/>
      <c r="K14" s="700"/>
      <c r="L14" s="700"/>
      <c r="M14" s="700"/>
      <c r="N14" s="700"/>
      <c r="O14" s="700"/>
      <c r="P14" s="700"/>
      <c r="Q14" s="700"/>
      <c r="R14" s="700"/>
      <c r="S14" s="700"/>
      <c r="T14" s="700"/>
      <c r="U14" s="700"/>
      <c r="V14" s="700"/>
      <c r="W14" s="700"/>
      <c r="X14" s="700"/>
      <c r="Y14" s="700"/>
      <c r="Z14" s="700"/>
      <c r="AA14" s="700"/>
      <c r="AB14" s="700"/>
      <c r="AC14" s="700"/>
      <c r="AD14" s="700"/>
      <c r="AE14" s="700"/>
      <c r="AF14" s="700"/>
      <c r="AG14" s="700"/>
      <c r="AH14" s="700"/>
      <c r="AI14" s="700"/>
      <c r="AJ14" s="700"/>
      <c r="AK14" s="700"/>
      <c r="AL14" s="700"/>
      <c r="AM14" s="701"/>
      <c r="AV14" s="591"/>
      <c r="AW14" s="614"/>
      <c r="AX14" s="611"/>
      <c r="AY14" s="591"/>
      <c r="AZ14" s="593"/>
      <c r="BA14" s="592"/>
      <c r="BB14" s="594"/>
    </row>
    <row r="15" spans="1:56" ht="5.25" customHeight="1" thickBot="1" x14ac:dyDescent="0.4">
      <c r="C15" s="461"/>
      <c r="G15" s="15"/>
      <c r="W15" s="1"/>
      <c r="X15" s="1"/>
      <c r="Y15" s="1"/>
      <c r="Z15" s="1"/>
      <c r="AA15" s="1"/>
      <c r="AB15" s="1"/>
      <c r="AC15" s="1"/>
      <c r="AO15" s="475"/>
      <c r="AP15" s="475"/>
      <c r="AQ15" s="475"/>
      <c r="AR15" s="475"/>
      <c r="AS15" s="475"/>
      <c r="AT15" s="475"/>
      <c r="AU15" s="475"/>
      <c r="AW15" s="615"/>
      <c r="AX15" s="611"/>
      <c r="AY15" s="613"/>
      <c r="AZ15" s="578"/>
      <c r="BA15" s="574"/>
      <c r="BB15" s="579"/>
      <c r="BC15" s="475"/>
      <c r="BD15" s="475"/>
    </row>
    <row r="16" spans="1:56" s="239" customFormat="1" ht="56.25" hidden="1" customHeight="1" thickBot="1" x14ac:dyDescent="0.4">
      <c r="A16" s="269"/>
      <c r="B16" s="688" t="s">
        <v>383</v>
      </c>
      <c r="C16" s="689"/>
      <c r="D16" s="689"/>
      <c r="E16" s="689"/>
      <c r="F16" s="689"/>
      <c r="G16" s="689"/>
      <c r="H16" s="689"/>
      <c r="I16" s="689"/>
      <c r="J16" s="689"/>
      <c r="K16" s="689"/>
      <c r="L16" s="689"/>
      <c r="M16" s="689"/>
      <c r="N16" s="689"/>
      <c r="O16" s="689"/>
      <c r="P16" s="689"/>
      <c r="Q16" s="689"/>
      <c r="R16" s="689"/>
      <c r="S16" s="689"/>
      <c r="T16" s="689"/>
      <c r="U16" s="689"/>
      <c r="V16" s="689"/>
      <c r="W16" s="689"/>
      <c r="X16" s="689"/>
      <c r="Y16" s="689"/>
      <c r="Z16" s="689"/>
      <c r="AA16" s="689"/>
      <c r="AB16" s="689"/>
      <c r="AC16" s="689"/>
      <c r="AD16" s="689"/>
      <c r="AE16" s="689"/>
      <c r="AF16" s="689"/>
      <c r="AG16" s="689"/>
      <c r="AH16" s="689"/>
      <c r="AI16" s="689"/>
      <c r="AJ16" s="689"/>
      <c r="AK16" s="689"/>
      <c r="AL16" s="689"/>
      <c r="AM16" s="690"/>
      <c r="AO16" s="475"/>
      <c r="AP16" s="475"/>
      <c r="AQ16" s="475"/>
      <c r="AR16" s="475"/>
      <c r="AS16" s="475"/>
      <c r="AT16" s="475"/>
      <c r="AU16" s="475"/>
      <c r="AV16" s="608"/>
      <c r="AW16" s="615"/>
      <c r="AX16" s="611"/>
      <c r="AY16" s="613"/>
      <c r="AZ16" s="578"/>
      <c r="BA16" s="574"/>
      <c r="BB16" s="579"/>
      <c r="BC16" s="475"/>
      <c r="BD16" s="475"/>
    </row>
    <row r="17" spans="1:56" ht="36" customHeight="1" x14ac:dyDescent="0.35">
      <c r="B17" s="193" t="s">
        <v>122</v>
      </c>
      <c r="C17" s="556" t="s">
        <v>121</v>
      </c>
      <c r="D17" s="509" t="s">
        <v>3</v>
      </c>
      <c r="E17" s="504"/>
      <c r="F17" s="216" t="str">
        <f>VLOOKUP(C17,'5a)NDA MPPR'!$B$9:$AK$61,3,FALSE)</f>
        <v>R</v>
      </c>
      <c r="G17" s="218">
        <f>VLOOKUP(C17,'5a)NDA MPPR'!$B$9:$AK$61,4,FALSE)</f>
        <v>0</v>
      </c>
      <c r="H17" s="505"/>
      <c r="I17" s="506" t="str">
        <f>VLOOKUP(C17,'5a)NDA MPPR'!$B$9:$AK$61,6,FALSE)</f>
        <v>OBC
(Mar-20)</v>
      </c>
      <c r="J17" s="162">
        <f>VLOOKUP(C17,'5a)NDA MPPR'!$B$9:$AK$61,7,FALSE)</f>
        <v>25.838000000000001</v>
      </c>
      <c r="K17" s="49">
        <f>VLOOKUP(C17,'5a)NDA MPPR'!$B$9:$AK$61,8,FALSE)</f>
        <v>31.94</v>
      </c>
      <c r="L17" s="507">
        <f>VLOOKUP(C17,'5a)NDA MPPR'!$B$9:$AK$61,9,FALSE)</f>
        <v>45058</v>
      </c>
      <c r="M17" s="507">
        <f>VLOOKUP(C17,'5a)NDA MPPR'!$B$9:$AK$61,10,FALSE)</f>
        <v>45412</v>
      </c>
      <c r="N17" s="504">
        <f>'3) BC and Sanction'!I94</f>
        <v>0</v>
      </c>
      <c r="O17" s="49">
        <f>VLOOKUP(C17,'5a)NDA MPPR'!$B$9:$AK$61,12,FALSE)</f>
        <v>31.9</v>
      </c>
      <c r="P17" s="48">
        <f>VLOOKUP(C17,'5a)NDA MPPR'!$B$9:$AK$61,13,FALSE)</f>
        <v>25.8</v>
      </c>
      <c r="Q17" s="504"/>
      <c r="R17" s="216" t="str">
        <f>VLOOKUP(C17,'5a)NDA MPPR'!$B$9:$AK$61,15,FALSE)</f>
        <v>R</v>
      </c>
      <c r="S17" s="218">
        <f>VLOOKUP(C17,'5a)NDA MPPR'!$B$9:$AK$61,16,FALSE)</f>
        <v>0</v>
      </c>
      <c r="T17" s="505"/>
      <c r="U17" s="523" t="str">
        <f>VLOOKUP(C17,'5a)NDA MPPR'!$B$9:$AK$61,18,FALSE)</f>
        <v>OBC
 (Mar-25)</v>
      </c>
      <c r="V17" s="505"/>
      <c r="W17" s="49">
        <f>VLOOKUP(C17,'5a)NDA MPPR'!$B$9:$AK$61,20,FALSE)</f>
        <v>25.979194</v>
      </c>
      <c r="X17" s="49">
        <f>VLOOKUP(C17,'5a)NDA MPPR'!$B$9:$AK$61,21,FALSE)</f>
        <v>18.769073489999997</v>
      </c>
      <c r="Y17" s="49">
        <f>VLOOKUP(C17,'5a)NDA MPPR'!$B$9:$AK$61,22,FALSE)</f>
        <v>0</v>
      </c>
      <c r="Z17" s="50"/>
      <c r="AA17" s="507">
        <f>VLOOKUP(C17,'5a)NDA MPPR'!$B$9:$AK$61,24,FALSE)</f>
        <v>45058</v>
      </c>
      <c r="AB17" s="507">
        <f>VLOOKUP(C17,'5a)NDA MPPR'!$B$9:$AK$61,25,FALSE)</f>
        <v>46175</v>
      </c>
      <c r="AC17" s="51">
        <f>VLOOKUP(C17,'5a)NDA MPPR'!$B$9:$AK$61,26,FALSE)</f>
        <v>0</v>
      </c>
      <c r="AD17" s="504"/>
      <c r="AE17" s="49">
        <f>VLOOKUP(C17,'5a)NDA MPPR'!$B$9:$AK$61,28,FALSE)</f>
        <v>19.634302820000002</v>
      </c>
      <c r="AF17" s="49">
        <f>VLOOKUP(C17,'5a)NDA MPPR'!$B$9:$AK$61,29,FALSE)</f>
        <v>19.634302982700003</v>
      </c>
      <c r="AG17" s="52">
        <f>VLOOKUP(C17,'5a)NDA MPPR'!$B$9:$AK$61,30,FALSE)</f>
        <v>16.96907349</v>
      </c>
      <c r="AH17" s="508">
        <f>VLOOKUP(C17,'5a)NDA MPPR'!$B$9:$AK$61,31,FALSE)</f>
        <v>1.1570639371837619</v>
      </c>
      <c r="AI17" s="90">
        <f>VLOOKUP(C17,'5a)NDA MPPR'!$B$9:$AK$61,32,FALSE)</f>
        <v>1.0000000082865179</v>
      </c>
      <c r="AJ17" s="544">
        <f>VLOOKUP(C17,'5a)NDA MPPR'!$B$9:$AK$61,33,FALSE)</f>
        <v>0.75577028371242005</v>
      </c>
      <c r="AK17" s="543">
        <f>VLOOKUP(C17,'5a)NDA MPPR'!$B$9:$AK$61,34,FALSE)</f>
        <v>0.75577028997512397</v>
      </c>
      <c r="AL17" s="509"/>
      <c r="AM17" s="219" t="str">
        <f>VLOOKUP(C17,'5a)NDA MPPR'!$B$9:$AK$61,36,FALSE)</f>
        <v>G</v>
      </c>
      <c r="AO17" s="15" t="e">
        <f>#REF!-#REF!</f>
        <v>#REF!</v>
      </c>
      <c r="AP17" s="15" t="e">
        <f>#REF!-#REF!</f>
        <v>#REF!</v>
      </c>
      <c r="AQ17" s="15" t="e">
        <f>#REF!-#REF!</f>
        <v>#REF!</v>
      </c>
      <c r="AS17" s="15" t="e">
        <f>#REF!-#REF!</f>
        <v>#REF!</v>
      </c>
      <c r="AT17" s="15" t="e">
        <f>#REF!-#REF!</f>
        <v>#REF!</v>
      </c>
      <c r="AV17" s="600">
        <v>18.769073489999997</v>
      </c>
      <c r="AW17" s="576">
        <v>46175</v>
      </c>
      <c r="AX17" s="611"/>
      <c r="AY17" s="600">
        <v>25.979194</v>
      </c>
      <c r="AZ17" s="580">
        <f>W17-AY17</f>
        <v>0</v>
      </c>
      <c r="BA17" s="576">
        <v>45058</v>
      </c>
      <c r="BB17" s="582">
        <f>AA17-BA17</f>
        <v>0</v>
      </c>
    </row>
    <row r="18" spans="1:56" ht="67" customHeight="1" thickBot="1" x14ac:dyDescent="0.4">
      <c r="A18" s="269" t="str">
        <f>C17</f>
        <v>Enhanced CNC Airwave System (Encrypted Comms)</v>
      </c>
      <c r="B18" s="702" t="str">
        <f>VLOOKUP($C17,'5a)NDA MPPR'!$A$9:$AK$61,2,FALSE)</f>
        <v xml:space="preserve">The Encrypted Communications (EC) project will deliver the ability for the Civil Nuclear Constabulary (CNC), and other emergency responders utilising current Airwave and/or future Emergency Services Network, to clearly communicate with their Command and Control, both during routine patrols and in emergency response, within a number of identified facilities. The Delivery Confidence Assessment remains Red, since the forecast end date is outside of the Business Case P80 date due to the project having been on hold pending a future scope delivery decision by the Security &amp; Resilience (S&amp;R) Programme. The project has now competed the installation and commissioning of the full new communications system installed in SMP, and shown that this is functioning, with coverage signal strength tested and proven to meet design requirements throughout. The decision timeline for further scope delivery was linked to the production by S&amp;R of Facility Security Plans and their associated Physical Security Vulnerability Assessments (PSVA), since this would give the most robust answer (for both the EC project and the PSVA process) in terms of need. The assessment work on Encrypted Comms project is now complete, resulting in a significant reduction in the project scope. The project EAC has therefore been reduced accordingly and formal governance steps completed to down scope the project. The Baseline status is Red, reflective of the current pause. The project has implemented a deferral change control reflecting the impact of the pause to the project; this is within SL delegation and went to the Group Investment Panel (GIC) for noting in late April. Capability and Capacity RAG is Green and it should be noted minimal resource is assigned as the project is on hold. </v>
      </c>
      <c r="C18" s="703"/>
      <c r="D18" s="703"/>
      <c r="E18" s="703"/>
      <c r="F18" s="703"/>
      <c r="G18" s="703"/>
      <c r="H18" s="703"/>
      <c r="I18" s="703"/>
      <c r="J18" s="703"/>
      <c r="K18" s="703"/>
      <c r="L18" s="703"/>
      <c r="M18" s="703"/>
      <c r="N18" s="703"/>
      <c r="O18" s="703"/>
      <c r="P18" s="703"/>
      <c r="Q18" s="703"/>
      <c r="R18" s="703"/>
      <c r="S18" s="703"/>
      <c r="T18" s="703"/>
      <c r="U18" s="703"/>
      <c r="V18" s="703"/>
      <c r="W18" s="703"/>
      <c r="X18" s="703"/>
      <c r="Y18" s="703"/>
      <c r="Z18" s="703"/>
      <c r="AA18" s="703"/>
      <c r="AB18" s="703"/>
      <c r="AC18" s="703"/>
      <c r="AD18" s="703"/>
      <c r="AE18" s="703"/>
      <c r="AF18" s="703"/>
      <c r="AG18" s="703"/>
      <c r="AH18" s="703"/>
      <c r="AI18" s="703"/>
      <c r="AJ18" s="703"/>
      <c r="AK18" s="703"/>
      <c r="AL18" s="703"/>
      <c r="AM18" s="704"/>
      <c r="AV18" s="575"/>
      <c r="AW18" s="577"/>
      <c r="AX18" s="611"/>
      <c r="AY18" s="575"/>
      <c r="AZ18" s="581"/>
      <c r="BA18" s="577"/>
      <c r="BB18" s="583"/>
    </row>
    <row r="19" spans="1:56" s="436" customFormat="1" ht="5.25" customHeight="1" thickBot="1" x14ac:dyDescent="0.4">
      <c r="A19" s="269"/>
      <c r="B19" s="96"/>
      <c r="C19" s="96"/>
      <c r="D19" s="96"/>
      <c r="E19" s="96"/>
      <c r="F19" s="96"/>
      <c r="G19" s="96"/>
      <c r="H19" s="96"/>
      <c r="I19" s="96"/>
      <c r="J19" s="96"/>
      <c r="K19" s="96"/>
      <c r="L19" s="96"/>
      <c r="M19" s="96"/>
      <c r="N19" s="96"/>
      <c r="O19" s="96"/>
      <c r="P19" s="96"/>
      <c r="Q19" s="96"/>
      <c r="R19" s="96"/>
      <c r="S19" s="96"/>
      <c r="T19" s="96"/>
      <c r="U19" s="96"/>
      <c r="V19" s="96"/>
      <c r="W19" s="96"/>
      <c r="X19" s="96"/>
      <c r="Y19" s="96"/>
      <c r="Z19" s="96"/>
      <c r="AA19" s="96"/>
      <c r="AB19" s="96"/>
      <c r="AC19" s="96"/>
      <c r="AD19" s="96"/>
      <c r="AE19" s="96"/>
      <c r="AF19" s="96"/>
      <c r="AG19" s="96"/>
      <c r="AH19" s="96"/>
      <c r="AI19" s="96"/>
      <c r="AJ19" s="96"/>
      <c r="AK19" s="96"/>
      <c r="AL19" s="96"/>
      <c r="AM19" s="96"/>
      <c r="AO19" s="15"/>
      <c r="AP19" s="15"/>
      <c r="AQ19" s="15"/>
      <c r="AR19" s="15"/>
      <c r="AS19" s="15"/>
      <c r="AT19" s="15"/>
      <c r="AU19" s="15"/>
      <c r="AV19" s="608"/>
      <c r="AW19" s="615"/>
      <c r="AX19" s="611"/>
      <c r="AY19" s="613"/>
      <c r="AZ19" s="578"/>
      <c r="BA19" s="574"/>
      <c r="BB19" s="579"/>
      <c r="BC19" s="15"/>
      <c r="BD19" s="15"/>
    </row>
    <row r="20" spans="1:56" ht="36" customHeight="1" x14ac:dyDescent="0.35">
      <c r="B20" s="193" t="s">
        <v>99</v>
      </c>
      <c r="C20" s="556" t="s">
        <v>98</v>
      </c>
      <c r="D20" s="509" t="s">
        <v>3</v>
      </c>
      <c r="E20" s="504"/>
      <c r="F20" s="216" t="str">
        <f>VLOOKUP(C20,'5a)NDA MPPR'!$B$9:$AK$61,3,FALSE)</f>
        <v>A</v>
      </c>
      <c r="G20" s="217">
        <f>VLOOKUP(C20,'5a)NDA MPPR'!$B$9:$AK$61,4,FALSE)</f>
        <v>0</v>
      </c>
      <c r="H20" s="505"/>
      <c r="I20" s="506" t="str">
        <f>VLOOKUP(C20,'5a)NDA MPPR'!$B$9:$AK$61,6,FALSE)</f>
        <v>FBC
(Jul-22)</v>
      </c>
      <c r="J20" s="72">
        <f>VLOOKUP(C20,'5a)NDA MPPR'!$B$9:$AK$61,7,FALSE)</f>
        <v>1316</v>
      </c>
      <c r="K20" s="48">
        <f>VLOOKUP(C20,'5a)NDA MPPR'!$B$9:$AK$61,8,FALSE)</f>
        <v>1512</v>
      </c>
      <c r="L20" s="507">
        <f>VLOOKUP(C20,'5a)NDA MPPR'!$B$9:$AK$61,9,FALSE)</f>
        <v>46609</v>
      </c>
      <c r="M20" s="507">
        <f>VLOOKUP(C20,'5a)NDA MPPR'!$B$9:$AK$61,10,FALSE)</f>
        <v>46847</v>
      </c>
      <c r="N20" s="504">
        <f>'3) BC and Sanction'!I97</f>
        <v>0</v>
      </c>
      <c r="O20" s="48">
        <f>VLOOKUP(C20,'5a)NDA MPPR'!$B$9:$AK$61,12,FALSE)</f>
        <v>1512</v>
      </c>
      <c r="P20" s="48">
        <f>VLOOKUP(C20,'5a)NDA MPPR'!$B$9:$AK$61,13,FALSE)</f>
        <v>1447.5</v>
      </c>
      <c r="Q20" s="504"/>
      <c r="R20" s="216" t="str">
        <f>VLOOKUP(C20,'5a)NDA MPPR'!$B$9:$AK$61,15,FALSE)</f>
        <v>A</v>
      </c>
      <c r="S20" s="217">
        <f>VLOOKUP(C20,'5a)NDA MPPR'!$B$9:$AK$61,16,FALSE)</f>
        <v>0</v>
      </c>
      <c r="T20" s="505"/>
      <c r="U20" s="523" t="str">
        <f>VLOOKUP(C20,'5a)NDA MPPR'!$B$9:$AK$61,18,FALSE)</f>
        <v>FBC Re.
 (Nov-24)</v>
      </c>
      <c r="V20" s="505"/>
      <c r="W20" s="49">
        <f>VLOOKUP(C20,'5a)NDA MPPR'!$B$9:$AK$61,20,FALSE)</f>
        <v>1335.4604200000001</v>
      </c>
      <c r="X20" s="49">
        <f>VLOOKUP(C20,'5a)NDA MPPR'!$B$9:$AK$61,21,FALSE)</f>
        <v>1474.73089903</v>
      </c>
      <c r="Y20" s="49">
        <f>VLOOKUP(C20,'5a)NDA MPPR'!$B$9:$AK$61,22,FALSE)</f>
        <v>0</v>
      </c>
      <c r="Z20" s="50"/>
      <c r="AA20" s="507">
        <f>VLOOKUP(C20,'5a)NDA MPPR'!$B$9:$AK$61,24,FALSE)</f>
        <v>46402</v>
      </c>
      <c r="AB20" s="507">
        <f>VLOOKUP(C20,'5a)NDA MPPR'!$B$9:$AK$61,25,FALSE)</f>
        <v>46721</v>
      </c>
      <c r="AC20" s="51">
        <f>VLOOKUP(C20,'5a)NDA MPPR'!$B$9:$AK$61,26,FALSE)</f>
        <v>20</v>
      </c>
      <c r="AD20" s="504"/>
      <c r="AE20" s="49">
        <f>VLOOKUP(C20,'5a)NDA MPPR'!$B$9:$AK$61,28,FALSE)</f>
        <v>1282.9507228299999</v>
      </c>
      <c r="AF20" s="49">
        <f>VLOOKUP(C20,'5a)NDA MPPR'!$B$9:$AK$61,29,FALSE)</f>
        <v>1223.4460228145001</v>
      </c>
      <c r="AG20" s="52">
        <f>VLOOKUP(C20,'5a)NDA MPPR'!$B$9:$AK$61,30,FALSE)</f>
        <v>1355.3227560099999</v>
      </c>
      <c r="AH20" s="508">
        <f>VLOOKUP(C20,'5a)NDA MPPR'!$B$9:$AK$61,31,FALSE)</f>
        <v>0.90269717481632328</v>
      </c>
      <c r="AI20" s="98">
        <f>VLOOKUP(C20,'5a)NDA MPPR'!$B$9:$AK$61,32,FALSE)</f>
        <v>0.95361887330774375</v>
      </c>
      <c r="AJ20" s="544">
        <f>VLOOKUP(C20,'5a)NDA MPPR'!$B$9:$AK$61,33,FALSE)</f>
        <v>0.96068045418373382</v>
      </c>
      <c r="AK20" s="543">
        <f>VLOOKUP(C20,'5a)NDA MPPR'!$B$9:$AK$61,34,FALSE)</f>
        <v>0.91612301232746385</v>
      </c>
      <c r="AL20" s="509"/>
      <c r="AM20" s="219" t="str">
        <f>VLOOKUP(C20,'5a)NDA MPPR'!$B$9:$AK$61,36,FALSE)</f>
        <v>G</v>
      </c>
      <c r="AO20" s="15">
        <f>T30-G30</f>
        <v>0</v>
      </c>
      <c r="AP20" s="15">
        <f>T30-K30</f>
        <v>0</v>
      </c>
      <c r="AQ20" s="15">
        <f>X30-I30</f>
        <v>0</v>
      </c>
      <c r="AS20" s="15">
        <f>T30-S30</f>
        <v>0</v>
      </c>
      <c r="AT20" s="15">
        <f>X30-W30</f>
        <v>0</v>
      </c>
      <c r="AV20" s="600">
        <v>1474.7308989999999</v>
      </c>
      <c r="AW20" s="576">
        <v>46701</v>
      </c>
      <c r="AX20" s="611"/>
      <c r="AY20" s="600">
        <v>1335.4604200000001</v>
      </c>
      <c r="AZ20" s="580">
        <f>W20-AY20</f>
        <v>0</v>
      </c>
      <c r="BA20" s="576">
        <v>46402</v>
      </c>
      <c r="BB20" s="582">
        <f>AA20-BA20</f>
        <v>0</v>
      </c>
    </row>
    <row r="21" spans="1:56" ht="119.5" customHeight="1" thickBot="1" x14ac:dyDescent="0.4">
      <c r="A21" s="269" t="str">
        <f>C20</f>
        <v>Box Encapsulation Plant</v>
      </c>
      <c r="B21" s="702" t="str">
        <f>VLOOKUP($C20,'5a)NDA MPPR'!$A$9:$AK$61,2,FALSE)</f>
        <v>The BEP Project provides the Magnox Swarf Storage Silos (MSSS) Programme the capability to receive, package, inspect, and transfer Intermediate Level Waste to interim stores. At completion, BEP will enable waste retrieval at pace, to maintain an As Low as Reasonably Practicable (ALARP) position, a fundamental requirement of Sellafield Ltd site license conditions.  The first project benefit: Regulatory approval to Start Active Commissioning is now forecast November 2027. First MSSS box into BEP and Active Commissioning of MSSS waste is February 2028, with benefits realisation associated with the start of Operations July 2028. Project Completion including governance is currently forecast as November 2028, within the period of ‘up to 12 months’ after the Start of Active Commissioning defined in the approved Resubmitted Business Case. The Delivery Confidence Assessment (DCA) remains Amber recognising the Project challenges that are being managed, the Baseline RAG remains Amber,  Lifetime EAC is beyond P50 but within P80. P80 Drawdown was presented and endorsed at NDA GIC on 16th December 2025 and sanction released to the project by the NDA on 18th December 2025. The P50 cost and schedule: Lifecycle EAC is £1,475m and Start Active Commissioning is forecast 30th November 2027. The project continues to be impacted by industrial action in the supply chain resulting in productivity losses, key skills unavailable, and constraints on work scope delivery. Impact assessment will be finalised on conclusion of the action with the intent to seek appropriate sanction relief subject to further review.  This is not a dispute directly with Sellafield Ltd; Sellafield is engaged with the Supply Chain and Stakeholders to ensure effective management of the impacts; correct mitigations are in place and to effectively mobilise resources upon return to work. The project acknowledges pressure on the P80 position following cost growth and schedule slippage in the deterministic Joint Venture (JV) cost forecast and programme from the impact of Fault Observations (FOBs), on-going construction delays impacting the handover of Safety Transfer Certificates (STCs) to commissioning and ongoing industrial relations action. Cost impact of delays on the projects strategic decision to target more complex STCs first has been compounded by significant resource load deployed at the same time. Action is being taken to address each of these issues through an executive sponsored BEP Special Delivery Board. Whilst these delays have resulted in deterministic float erosion and with a potential range of (November 2027 to February 2028 and £1,475m to £1,494m) confidence remains in delivering within sanction P80 cost. We note, however, that on-going industrial relations action, since determination of the current range, has significantly impacted the deterministic programme in recent periods and is pressurising the forecast date range and potentially P80 date of April 2028 itself.  Highlights in period are the endorsement of P80 drawdown paper at NDA GIC and confirmation of additional sanction release to the project by NDA.  The Capability and Capacity RAG status remains Green this period as the project continues the transition from Construction to Commissioning, with resource transition plans developed. Sanction protection measures have been put in place to ensure resource redeployment achieves cost reduction targets whilst still maintaining capability and capacity to deliver remaining scope.</v>
      </c>
      <c r="C21" s="703"/>
      <c r="D21" s="703"/>
      <c r="E21" s="703"/>
      <c r="F21" s="703"/>
      <c r="G21" s="703"/>
      <c r="H21" s="703"/>
      <c r="I21" s="703"/>
      <c r="J21" s="703"/>
      <c r="K21" s="703"/>
      <c r="L21" s="703"/>
      <c r="M21" s="703"/>
      <c r="N21" s="703"/>
      <c r="O21" s="703"/>
      <c r="P21" s="703"/>
      <c r="Q21" s="703"/>
      <c r="R21" s="703"/>
      <c r="S21" s="703"/>
      <c r="T21" s="703"/>
      <c r="U21" s="703"/>
      <c r="V21" s="703"/>
      <c r="W21" s="703"/>
      <c r="X21" s="703"/>
      <c r="Y21" s="703"/>
      <c r="Z21" s="703"/>
      <c r="AA21" s="703"/>
      <c r="AB21" s="703"/>
      <c r="AC21" s="703"/>
      <c r="AD21" s="703"/>
      <c r="AE21" s="703"/>
      <c r="AF21" s="703"/>
      <c r="AG21" s="703"/>
      <c r="AH21" s="703"/>
      <c r="AI21" s="703"/>
      <c r="AJ21" s="703"/>
      <c r="AK21" s="703"/>
      <c r="AL21" s="703"/>
      <c r="AM21" s="704"/>
      <c r="AO21" s="436"/>
      <c r="AP21" s="436"/>
      <c r="AQ21" s="436"/>
      <c r="AR21" s="436"/>
      <c r="AS21" s="436"/>
      <c r="AT21" s="436"/>
      <c r="AU21" s="436"/>
      <c r="AV21" s="575"/>
      <c r="AW21" s="577"/>
      <c r="AX21" s="611"/>
      <c r="AY21" s="575"/>
      <c r="AZ21" s="581"/>
      <c r="BA21" s="577"/>
      <c r="BB21" s="583"/>
      <c r="BC21" s="436"/>
      <c r="BD21" s="436"/>
    </row>
    <row r="22" spans="1:56" ht="5.15" customHeight="1" thickBot="1" x14ac:dyDescent="0.4">
      <c r="B22" s="73"/>
      <c r="C22" s="437"/>
      <c r="D22" s="61"/>
      <c r="E22" s="61"/>
      <c r="F22" s="61"/>
      <c r="G22" s="61"/>
      <c r="H22" s="61"/>
      <c r="I22" s="61"/>
      <c r="J22" s="61"/>
      <c r="K22" s="61"/>
      <c r="L22" s="61"/>
      <c r="M22" s="61"/>
      <c r="N22" s="61"/>
      <c r="O22" s="61"/>
      <c r="P22" s="61"/>
      <c r="Q22" s="61"/>
      <c r="R22" s="61"/>
      <c r="S22" s="61"/>
      <c r="T22" s="61"/>
      <c r="U22" s="61"/>
      <c r="V22" s="61"/>
      <c r="W22" s="61"/>
      <c r="X22" s="61"/>
      <c r="Y22" s="61"/>
      <c r="Z22" s="61"/>
      <c r="AA22" s="61"/>
      <c r="AB22" s="61"/>
      <c r="AC22" s="61"/>
      <c r="AD22" s="61"/>
      <c r="AE22" s="61"/>
      <c r="AF22" s="61"/>
      <c r="AG22" s="61"/>
      <c r="AH22" s="61"/>
      <c r="AI22" s="61"/>
      <c r="AJ22" s="61"/>
      <c r="AK22" s="61"/>
      <c r="AL22" s="61"/>
      <c r="AM22" s="73"/>
      <c r="AW22" s="615"/>
      <c r="AX22" s="611"/>
      <c r="AY22" s="613"/>
      <c r="AZ22" s="578"/>
      <c r="BA22" s="574"/>
      <c r="BB22" s="579"/>
    </row>
    <row r="23" spans="1:56" ht="36" customHeight="1" x14ac:dyDescent="0.35">
      <c r="B23" s="193" t="s">
        <v>112</v>
      </c>
      <c r="C23" s="556" t="s">
        <v>111</v>
      </c>
      <c r="D23" s="509" t="s">
        <v>3</v>
      </c>
      <c r="E23" s="504"/>
      <c r="F23" s="216" t="str">
        <f>VLOOKUP(C23,'5a)NDA MPPR'!$B$9:$AK$61,3,FALSE)</f>
        <v>A</v>
      </c>
      <c r="G23" s="217">
        <f>VLOOKUP(C23,'5a)NDA MPPR'!$B$9:$AK$61,4,FALSE)</f>
        <v>0</v>
      </c>
      <c r="H23" s="505"/>
      <c r="I23" s="506" t="str">
        <f>VLOOKUP(C23,'5a)NDA MPPR'!$B$9:$AK$61,6,FALSE)</f>
        <v>FBC
(Jul-21)</v>
      </c>
      <c r="J23" s="215">
        <f>VLOOKUP(C23,'5a)NDA MPPR'!$B$9:$AK$61,7,FALSE)</f>
        <v>1335.43</v>
      </c>
      <c r="K23" s="215">
        <f>VLOOKUP(C23,'5a)NDA MPPR'!$B$9:$AK$61,8,FALSE)</f>
        <v>1673</v>
      </c>
      <c r="L23" s="507">
        <f>VLOOKUP(C23,'5a)NDA MPPR'!$B$9:$AK$61,9,FALSE)</f>
        <v>47400</v>
      </c>
      <c r="M23" s="507">
        <f>VLOOKUP(C23,'5a)NDA MPPR'!$B$9:$AK$61,10,FALSE)</f>
        <v>48274</v>
      </c>
      <c r="N23" s="506">
        <f>'3) BC and Sanction'!I106</f>
        <v>0</v>
      </c>
      <c r="O23" s="215">
        <f>VLOOKUP(C23,'5a)NDA MPPR'!$B$9:$AK$61,12,FALSE)</f>
        <v>1673</v>
      </c>
      <c r="P23" s="215">
        <f>VLOOKUP(C23,'5a)NDA MPPR'!$B$9:$AK$61,13,FALSE)</f>
        <v>1482.9</v>
      </c>
      <c r="Q23" s="504"/>
      <c r="R23" s="216" t="str">
        <f>VLOOKUP(C23,'5a)NDA MPPR'!$B$9:$AK$61,15,FALSE)</f>
        <v>A</v>
      </c>
      <c r="S23" s="217">
        <f>VLOOKUP(C23,'5a)NDA MPPR'!$B$9:$AK$61,16,FALSE)</f>
        <v>0</v>
      </c>
      <c r="T23" s="505"/>
      <c r="U23" s="523" t="str">
        <f>VLOOKUP(C23,'5a)NDA MPPR'!$B$9:$AK$61,18,FALSE)</f>
        <v>FBC
 (Oct-25)</v>
      </c>
      <c r="V23" s="505"/>
      <c r="W23" s="49">
        <f>VLOOKUP(C23,'5a)NDA MPPR'!$B$9:$AK$61,20,FALSE)</f>
        <v>1479.319029</v>
      </c>
      <c r="X23" s="49">
        <f>VLOOKUP(C23,'5a)NDA MPPR'!$B$9:$AK$61,21,FALSE)</f>
        <v>1466.5526999799999</v>
      </c>
      <c r="Y23" s="49">
        <f>VLOOKUP(C23,'5a)NDA MPPR'!$B$9:$AK$61,22,FALSE)</f>
        <v>0</v>
      </c>
      <c r="Z23" s="50"/>
      <c r="AA23" s="507">
        <f>VLOOKUP(C23,'5a)NDA MPPR'!$B$9:$AK$61,24,FALSE)</f>
        <v>47574</v>
      </c>
      <c r="AB23" s="507">
        <f>VLOOKUP(C23,'5a)NDA MPPR'!$B$9:$AK$61,25,FALSE)</f>
        <v>47574</v>
      </c>
      <c r="AC23" s="51">
        <f>VLOOKUP(C23,'5a)NDA MPPR'!$B$9:$AK$61,26,FALSE)</f>
        <v>0</v>
      </c>
      <c r="AD23" s="504"/>
      <c r="AE23" s="49">
        <f>VLOOKUP(C23,'5a)NDA MPPR'!$B$9:$AK$61,28,FALSE)</f>
        <v>1159.6947185899999</v>
      </c>
      <c r="AF23" s="49">
        <f>VLOOKUP(C23,'5a)NDA MPPR'!$B$9:$AK$61,29,FALSE)</f>
        <v>988.78109291859994</v>
      </c>
      <c r="AG23" s="52">
        <f>VLOOKUP(C23,'5a)NDA MPPR'!$B$9:$AK$61,30,FALSE)</f>
        <v>1063.11631794</v>
      </c>
      <c r="AH23" s="508">
        <f>VLOOKUP(C23,'5a)NDA MPPR'!$B$9:$AK$61,31,FALSE)</f>
        <v>0.93007799450822148</v>
      </c>
      <c r="AI23" s="98">
        <f>VLOOKUP(C23,'5a)NDA MPPR'!$B$9:$AK$61,32,FALSE)</f>
        <v>0.85262188149032603</v>
      </c>
      <c r="AJ23" s="544">
        <f>VLOOKUP(C23,'5a)NDA MPPR'!$B$9:$AK$61,33,FALSE)</f>
        <v>0.78393821471622527</v>
      </c>
      <c r="AK23" s="543">
        <f>VLOOKUP(C23,'5a)NDA MPPR'!$B$9:$AK$61,34,FALSE)</f>
        <v>0.6684028756035153</v>
      </c>
      <c r="AL23" s="509"/>
      <c r="AM23" s="219" t="str">
        <f>VLOOKUP(C23,'5a)NDA MPPR'!$B$9:$AK$61,36,FALSE)</f>
        <v>A</v>
      </c>
      <c r="AO23" s="15">
        <f>T21-G21</f>
        <v>0</v>
      </c>
      <c r="AP23" s="15">
        <f>T21-K21</f>
        <v>0</v>
      </c>
      <c r="AQ23" s="15">
        <f>X21-I21</f>
        <v>0</v>
      </c>
      <c r="AS23" s="15">
        <f>T21-S21</f>
        <v>0</v>
      </c>
      <c r="AT23" s="15">
        <f>X21-W21</f>
        <v>0</v>
      </c>
      <c r="AV23" s="600">
        <v>1466.5526997100001</v>
      </c>
      <c r="AW23" s="576">
        <v>47574</v>
      </c>
      <c r="AX23" s="611"/>
      <c r="AY23" s="600">
        <v>1479.3190300000001</v>
      </c>
      <c r="AZ23" s="580">
        <f>W23-AY23</f>
        <v>-1.0000001111620804E-6</v>
      </c>
      <c r="BA23" s="576">
        <v>47574</v>
      </c>
      <c r="BB23" s="582">
        <f>AA23-BA23</f>
        <v>0</v>
      </c>
    </row>
    <row r="24" spans="1:56" ht="127.5" customHeight="1" thickBot="1" x14ac:dyDescent="0.4">
      <c r="A24" s="269" t="str">
        <f>C23</f>
        <v>Sellafield Product &amp; Residue Store Retreatment Plant</v>
      </c>
      <c r="B24" s="702" t="str">
        <f>VLOOKUP($C23,'5a)NDA MPPR'!$A$9:$AK$61,2,FALSE)</f>
        <v>The Sellafield Product &amp; Residue Store Retreatment Plant (SRP) project is a key element of the Sellafield Ltd ‘Special Nuclear Materials (SNM) Future State Programme’. The SRP is a complex major project required to provide the capability to receive special nuclear material in existing packages, from existing stores on the Sellafield site, and process the material into a form and package suitable for safe and secure long-term interim storage. The SRO Delivery Confidence Assessment (DCA) remains Amber against the P80 cost and schedule from the Full Business Case (FBC) approved by HMG in July 2021. This is primarily reflective of the previously reported emerging issue relating to legislative changes to Passive Fire Protection standards and the implementation of the changes to the Building Safety Act (2022) following the Grenfell Tower Inquiry. The impact of the changes to the Passive Fire Protection standards will require a significant amount of engineering design rework and additional installation work in the new facility; the key impact is expected to be on the schedule to achieve readiness of the facility for Glove box installation, which has now become the critical path for the project. The schedule and cost impact assessment of the additional work is being carried out and will be complete in Quarter 4 2026, this will include an assessment as to how this issue should be considered in terms of the projects current P80 sanctioned cost and schedule. The project continues to be impacted by industrial action in the supply chain resulting in productivity losses, key skills unavailable, and constraints on work scope delivery. Impact assessment will be finalised on conclusion of the action with the intent to seek appropriate sanction relief subject to further review.  This is not a dispute directly with Sellafield Ltd; Sellafield is engaged with the Supply Chain and Stakeholders to ensure effective management of the impacts; correct mitigations are in place and to effectively mobilise resources upon return to work. Additionally, as previously reported, the project P80 contingency has already been impacted by having to manage extraordinary inflation incurred on the project to date.  To date £128.9m of the P50 – P80 sanctioned contingency for the project has been utilised to absorb the impact of the inflation thereby substantially eroding the remaining contingency available (there is £190m of P50-P80 sanction remaining). This is in the context of an increasing likelihood of a future re-sanction request of additional P50-P80 contingency due to further events arising that potentially impact the remaining P50 – P80 contingency available. The project will be submitting a request to the DESNZ PIC when appropriate to enable these issues to be managed accordingly.   In period: On site, installation of primary steelwork is ongoing, with secondary steel install progressing towards readiness for cladding. Off-site, Integrated Works Testing progressing on Residues and Repackaging glovebox lines, other glovebox line and support systems are completing final assembly and Factory Acceptance Testing. The Capability and Capacity RAG status remains Amber with ongoing challenges in recruitment principally across several disciplines including construction, engineering, commissioning, and quality. Finally, the successful active commissioning and future operations of the SRP facility are contingent upon several dependencies managed within the SNM Future State Programme. A critical dependency is the availability of SNM analytical capability, which is essential to support both commissioning and ongoing operational activities. To address this, a dedicated project is being developed and delivered through the PPP to ensure the required analytical capability is in place. The SNM Future State Programme team is responsible for managing all dependencies associated with SRP, with the overarching goal of ensuring that all necessary capabilities are aligned and available to enable the delivery of SRP outcomes and the realisation of associated benefits.</v>
      </c>
      <c r="C24" s="703"/>
      <c r="D24" s="703"/>
      <c r="E24" s="703"/>
      <c r="F24" s="703"/>
      <c r="G24" s="703"/>
      <c r="H24" s="703"/>
      <c r="I24" s="703"/>
      <c r="J24" s="703"/>
      <c r="K24" s="703"/>
      <c r="L24" s="703"/>
      <c r="M24" s="703"/>
      <c r="N24" s="703"/>
      <c r="O24" s="703"/>
      <c r="P24" s="703"/>
      <c r="Q24" s="703"/>
      <c r="R24" s="703"/>
      <c r="S24" s="703"/>
      <c r="T24" s="703"/>
      <c r="U24" s="703"/>
      <c r="V24" s="703"/>
      <c r="W24" s="703"/>
      <c r="X24" s="703"/>
      <c r="Y24" s="703"/>
      <c r="Z24" s="703"/>
      <c r="AA24" s="703"/>
      <c r="AB24" s="703"/>
      <c r="AC24" s="703"/>
      <c r="AD24" s="703"/>
      <c r="AE24" s="703"/>
      <c r="AF24" s="703"/>
      <c r="AG24" s="703"/>
      <c r="AH24" s="703"/>
      <c r="AI24" s="703"/>
      <c r="AJ24" s="703"/>
      <c r="AK24" s="703"/>
      <c r="AL24" s="703"/>
      <c r="AM24" s="704"/>
      <c r="AO24" s="475"/>
      <c r="AP24" s="475"/>
      <c r="AQ24" s="475"/>
      <c r="AR24" s="475"/>
      <c r="AS24" s="475"/>
      <c r="AT24" s="475"/>
      <c r="AU24" s="475"/>
      <c r="AV24" s="575"/>
      <c r="AW24" s="577"/>
      <c r="AX24" s="611"/>
      <c r="AY24" s="575"/>
      <c r="AZ24" s="581"/>
      <c r="BA24" s="577"/>
      <c r="BB24" s="583"/>
      <c r="BC24" s="475"/>
      <c r="BD24" s="475"/>
    </row>
    <row r="25" spans="1:56" s="436" customFormat="1" ht="5.25" customHeight="1" thickBot="1" x14ac:dyDescent="0.4">
      <c r="A25" s="269"/>
      <c r="B25" s="96"/>
      <c r="C25" s="96"/>
      <c r="D25" s="96"/>
      <c r="E25" s="96"/>
      <c r="F25" s="96"/>
      <c r="G25" s="96"/>
      <c r="H25" s="96"/>
      <c r="I25" s="96"/>
      <c r="J25" s="96"/>
      <c r="K25" s="96"/>
      <c r="L25" s="96"/>
      <c r="M25" s="96"/>
      <c r="N25" s="96"/>
      <c r="O25" s="96"/>
      <c r="P25" s="96"/>
      <c r="Q25" s="96"/>
      <c r="R25" s="96"/>
      <c r="S25" s="96"/>
      <c r="T25" s="96"/>
      <c r="U25" s="96"/>
      <c r="V25" s="96"/>
      <c r="W25" s="96"/>
      <c r="X25" s="96"/>
      <c r="Y25" s="96"/>
      <c r="Z25" s="96"/>
      <c r="AA25" s="96"/>
      <c r="AB25" s="96"/>
      <c r="AC25" s="96"/>
      <c r="AD25" s="96"/>
      <c r="AE25" s="96"/>
      <c r="AF25" s="96"/>
      <c r="AG25" s="96"/>
      <c r="AH25" s="96"/>
      <c r="AI25" s="96"/>
      <c r="AJ25" s="96"/>
      <c r="AK25" s="96"/>
      <c r="AL25" s="96"/>
      <c r="AM25" s="96"/>
      <c r="AO25" s="15"/>
      <c r="AP25" s="15"/>
      <c r="AQ25" s="15"/>
      <c r="AR25" s="15"/>
      <c r="AS25" s="15"/>
      <c r="AT25" s="15"/>
      <c r="AU25" s="15"/>
      <c r="AV25" s="608"/>
      <c r="AW25" s="615"/>
      <c r="AX25" s="611"/>
      <c r="AY25" s="613"/>
      <c r="AZ25" s="578"/>
      <c r="BA25" s="574"/>
      <c r="BB25" s="579"/>
      <c r="BC25" s="15"/>
      <c r="BD25" s="15"/>
    </row>
    <row r="26" spans="1:56" ht="36" customHeight="1" x14ac:dyDescent="0.35">
      <c r="B26" s="193" t="s">
        <v>97</v>
      </c>
      <c r="C26" s="556" t="s">
        <v>96</v>
      </c>
      <c r="D26" s="509" t="s">
        <v>3</v>
      </c>
      <c r="E26" s="504"/>
      <c r="F26" s="216" t="str">
        <f>VLOOKUP(C26,'5a)NDA MPPR'!$B$9:$AK$61,3,FALSE)</f>
        <v>A</v>
      </c>
      <c r="G26" s="217">
        <f>VLOOKUP(C26,'5a)NDA MPPR'!$B$9:$AK$61,4,FALSE)</f>
        <v>-1</v>
      </c>
      <c r="H26" s="505"/>
      <c r="I26" s="506" t="str">
        <f>VLOOKUP(C26,'5a)NDA MPPR'!$B$9:$AK$61,6,FALSE)</f>
        <v>OBC
(Sep-23)</v>
      </c>
      <c r="J26" s="72">
        <f>VLOOKUP(C26,'5a)NDA MPPR'!$B$9:$AK$61,7,FALSE)</f>
        <v>776</v>
      </c>
      <c r="K26" s="48">
        <f>VLOOKUP(C26,'5a)NDA MPPR'!$B$9:$AK$61,8,FALSE)</f>
        <v>837</v>
      </c>
      <c r="L26" s="507">
        <f>VLOOKUP(C26,'5a)NDA MPPR'!$B$9:$AK$61,9,FALSE)</f>
        <v>49490</v>
      </c>
      <c r="M26" s="507">
        <f>VLOOKUP(C26,'5a)NDA MPPR'!$B$9:$AK$61,10,FALSE)</f>
        <v>49795</v>
      </c>
      <c r="N26" s="504">
        <f>'3) BC and Sanction'!I103</f>
        <v>0</v>
      </c>
      <c r="O26" s="48">
        <f>VLOOKUP(C26,'5a)NDA MPPR'!$B$9:$AK$61,12,FALSE)</f>
        <v>382</v>
      </c>
      <c r="P26" s="48">
        <f>VLOOKUP(C26,'5a)NDA MPPR'!$B$9:$AK$61,13,FALSE)</f>
        <v>186</v>
      </c>
      <c r="Q26" s="504"/>
      <c r="R26" s="216" t="str">
        <f>VLOOKUP(C26,'5a)NDA MPPR'!$B$9:$AK$61,15,FALSE)</f>
        <v>A</v>
      </c>
      <c r="S26" s="217">
        <f>VLOOKUP(C26,'5a)NDA MPPR'!$B$9:$AK$61,16,FALSE)</f>
        <v>-1</v>
      </c>
      <c r="T26" s="505"/>
      <c r="U26" s="523" t="str">
        <f>VLOOKUP(C26,'5a)NDA MPPR'!$B$9:$AK$61,18,FALSE)</f>
        <v>OBC
 (Mar-23)</v>
      </c>
      <c r="V26" s="505"/>
      <c r="W26" s="49">
        <f>VLOOKUP(C26,'5a)NDA MPPR'!$B$9:$AK$61,20,FALSE)</f>
        <v>751.17471699999999</v>
      </c>
      <c r="X26" s="49">
        <f>VLOOKUP(C26,'5a)NDA MPPR'!$B$9:$AK$61,21,FALSE)</f>
        <v>746.06353805999993</v>
      </c>
      <c r="Y26" s="49">
        <f>VLOOKUP(C26,'5a)NDA MPPR'!$B$9:$AK$61,22,FALSE)</f>
        <v>-3.1</v>
      </c>
      <c r="Z26" s="50"/>
      <c r="AA26" s="507">
        <f>VLOOKUP(C26,'5a)NDA MPPR'!$B$9:$AK$61,24,FALSE)</f>
        <v>49490</v>
      </c>
      <c r="AB26" s="507">
        <f>VLOOKUP(C26,'5a)NDA MPPR'!$B$9:$AK$61,25,FALSE)</f>
        <v>49490</v>
      </c>
      <c r="AC26" s="51">
        <f>VLOOKUP(C26,'5a)NDA MPPR'!$B$9:$AK$61,26,FALSE)</f>
        <v>0</v>
      </c>
      <c r="AD26" s="504"/>
      <c r="AE26" s="49">
        <f>VLOOKUP(C26,'5a)NDA MPPR'!$B$9:$AK$61,28,FALSE)</f>
        <v>130.87673981</v>
      </c>
      <c r="AF26" s="49">
        <f>VLOOKUP(C26,'5a)NDA MPPR'!$B$9:$AK$61,29,FALSE)</f>
        <v>122.09890768449999</v>
      </c>
      <c r="AG26" s="52">
        <f>VLOOKUP(C26,'5a)NDA MPPR'!$B$9:$AK$61,30,FALSE)</f>
        <v>109.74899343999999</v>
      </c>
      <c r="AH26" s="508">
        <f>VLOOKUP(C26,'5a)NDA MPPR'!$B$9:$AK$61,31,FALSE)</f>
        <v>1.1125287244775663</v>
      </c>
      <c r="AI26" s="98">
        <f>VLOOKUP(C26,'5a)NDA MPPR'!$B$9:$AK$61,32,FALSE)</f>
        <v>0.93293054107060436</v>
      </c>
      <c r="AJ26" s="544">
        <f>VLOOKUP(C26,'5a)NDA MPPR'!$B$9:$AK$61,33,FALSE)</f>
        <v>0.17422942605508379</v>
      </c>
      <c r="AK26" s="543">
        <f>VLOOKUP(C26,'5a)NDA MPPR'!$B$9:$AK$61,34,FALSE)</f>
        <v>0.16254395271999017</v>
      </c>
      <c r="AL26" s="509"/>
      <c r="AM26" s="219" t="str">
        <f>VLOOKUP(C26,'5a)NDA MPPR'!$B$9:$AK$61,36,FALSE)</f>
        <v>G</v>
      </c>
      <c r="AO26" s="15">
        <f>T33-G33</f>
        <v>0</v>
      </c>
      <c r="AP26" s="15">
        <f>T33-K33</f>
        <v>0</v>
      </c>
      <c r="AQ26" s="15">
        <f>X33-I33</f>
        <v>0</v>
      </c>
      <c r="AS26" s="15">
        <f>T33-S33</f>
        <v>0</v>
      </c>
      <c r="AT26" s="15">
        <f>X33-W33</f>
        <v>0</v>
      </c>
      <c r="AV26" s="600">
        <v>749.16802832000008</v>
      </c>
      <c r="AW26" s="576">
        <v>49490</v>
      </c>
      <c r="AX26" s="611"/>
      <c r="AY26" s="600">
        <v>751.17471699999999</v>
      </c>
      <c r="AZ26" s="580">
        <f>W26-AY26</f>
        <v>0</v>
      </c>
      <c r="BA26" s="576">
        <v>49490</v>
      </c>
      <c r="BB26" s="582">
        <f>AA26-BA26</f>
        <v>0</v>
      </c>
    </row>
    <row r="27" spans="1:56" ht="98.25" customHeight="1" thickBot="1" x14ac:dyDescent="0.4">
      <c r="A27" s="269" t="str">
        <f>C26</f>
        <v>BEPPS2</v>
      </c>
      <c r="B27" s="702" t="str">
        <f>VLOOKUP($C26,'5a)NDA MPPR'!$A$9:$AK$61,2,FALSE)</f>
        <v>The Box Encapsulation Plant Product Store 2 (BEPPS2) is a critical enabler for continued high hazard retrievals from the Magnox Swarf Storage Silo (MSSS) and Pile Fuel Cladding Silo (PFCS). It will provide modern, safe and secure long term interim storage for approximately 7,500 packages of Intermediate Level Waste. The strategic requirement has been confirmed. The first project benefit is the ability to receive packages from MSSS and PFCS without constraining hazard reduction programmes. The Senior Responsible Owner (SRO) Delivery Confidence Assessment has been changed to Amber. The Baseline RAG has also changed to amber in line with this decision. Close out of actions this month will enable confirmation that target design maturity has been achieved. Good progress continues in bulk excavation and preparation for construction on the site.  A decision has been made to hold up the placement of the civil substructure sub-contract to allow more time to challenge procurement plans to ensure value for money. The client is also undertaking an independent review of cost and schedule ahead of negotiations on the Major Project Baseline. The OBC sanction hold point release is dependent on these activities being successfully achieved; therefore, a prudent assessment of Amber recognises the potential to impact future key commitments required to progress project delivery.  The project is in the Define Phase, completing the detailed design for transition to civil construction and procurement of long-lead items. The critical path runs through civil construction, mechanical and electrical installation, and commissioning. Engagement with Programme and Project Partnership (PPP) Key Delivery Partners is ongoing to underpin delivery phase planning, cost estimation, and Quantitative Risk Analysis (QRA), informing both the OBC sanction hold point release in Quarter 4 FY2025/26 and the Full Business Case (FBC) submission planned for FY2026/27. The project continues to be impacted by industrial action in the supply chain resulting in productivity losses, key skills unavailable, and constraints on work scope delivery. Impact assessment will be finalised on conclusion of the action with the intent to seek appropriate sanction relief subject to further review.  This is not a dispute directly with Sellafield Ltd; Sellafield is engaged with the Supply Chain and Stakeholders to ensure effective management of the impacts; correct mitigations are in place and to effectively mobilise resources upon return to work. The SPI reflects both historic design delays due to historic resource constraints and the non-utilisation of risk and estimating uncertainty. The forthcoming OBC sanction hold point release will include updates on the lifecycle cost estimates that will be underpinned by an updated QRA and will reflect proactive management of opportunities and realisation of threats during the Define Stage. Capability RAG remains Green.  The reduction in Lifecycle EAC is an error in AIF forecasting that will be rectified next period.</v>
      </c>
      <c r="C27" s="703"/>
      <c r="D27" s="703"/>
      <c r="E27" s="703"/>
      <c r="F27" s="703"/>
      <c r="G27" s="703"/>
      <c r="H27" s="703"/>
      <c r="I27" s="703"/>
      <c r="J27" s="703"/>
      <c r="K27" s="703"/>
      <c r="L27" s="703"/>
      <c r="M27" s="703"/>
      <c r="N27" s="703"/>
      <c r="O27" s="703"/>
      <c r="P27" s="703"/>
      <c r="Q27" s="703"/>
      <c r="R27" s="703"/>
      <c r="S27" s="703"/>
      <c r="T27" s="703"/>
      <c r="U27" s="703"/>
      <c r="V27" s="703"/>
      <c r="W27" s="703"/>
      <c r="X27" s="703"/>
      <c r="Y27" s="703"/>
      <c r="Z27" s="703"/>
      <c r="AA27" s="703"/>
      <c r="AB27" s="703"/>
      <c r="AC27" s="703"/>
      <c r="AD27" s="703"/>
      <c r="AE27" s="703"/>
      <c r="AF27" s="703"/>
      <c r="AG27" s="703"/>
      <c r="AH27" s="703"/>
      <c r="AI27" s="703"/>
      <c r="AJ27" s="703"/>
      <c r="AK27" s="703"/>
      <c r="AL27" s="703"/>
      <c r="AM27" s="704"/>
      <c r="AV27" s="575"/>
      <c r="AW27" s="577"/>
      <c r="AX27" s="611"/>
      <c r="AY27" s="575"/>
      <c r="AZ27" s="581"/>
      <c r="BA27" s="577"/>
      <c r="BB27" s="583"/>
    </row>
    <row r="28" spans="1:56" s="475" customFormat="1" ht="5.25" customHeight="1" thickBot="1" x14ac:dyDescent="0.4">
      <c r="A28" s="269"/>
      <c r="B28" s="96"/>
      <c r="C28" s="96"/>
      <c r="D28" s="96"/>
      <c r="E28" s="96"/>
      <c r="F28" s="96"/>
      <c r="G28" s="96"/>
      <c r="H28" s="96"/>
      <c r="I28" s="96"/>
      <c r="J28" s="96"/>
      <c r="K28" s="96"/>
      <c r="L28" s="96"/>
      <c r="M28" s="96"/>
      <c r="N28" s="96"/>
      <c r="O28" s="96"/>
      <c r="P28" s="96"/>
      <c r="Q28" s="96"/>
      <c r="R28" s="96"/>
      <c r="S28" s="96"/>
      <c r="T28" s="96"/>
      <c r="U28" s="96"/>
      <c r="V28" s="96"/>
      <c r="W28" s="96"/>
      <c r="X28" s="96"/>
      <c r="Y28" s="96"/>
      <c r="Z28" s="96"/>
      <c r="AA28" s="96"/>
      <c r="AB28" s="96"/>
      <c r="AC28" s="96"/>
      <c r="AD28" s="96"/>
      <c r="AE28" s="96"/>
      <c r="AF28" s="96"/>
      <c r="AG28" s="96"/>
      <c r="AH28" s="96"/>
      <c r="AI28" s="96"/>
      <c r="AJ28" s="96"/>
      <c r="AK28" s="96"/>
      <c r="AL28" s="96"/>
      <c r="AM28" s="96"/>
      <c r="AV28" s="623"/>
      <c r="AW28" s="615"/>
      <c r="AX28" s="611"/>
      <c r="AY28" s="613"/>
      <c r="AZ28" s="578"/>
      <c r="BA28" s="574"/>
      <c r="BB28" s="579"/>
    </row>
    <row r="29" spans="1:56" ht="36" customHeight="1" x14ac:dyDescent="0.35">
      <c r="B29" s="220" t="s">
        <v>123</v>
      </c>
      <c r="C29" s="557" t="s">
        <v>5</v>
      </c>
      <c r="D29" s="221" t="s">
        <v>3</v>
      </c>
      <c r="E29" s="222"/>
      <c r="F29" s="216" t="str">
        <f>VLOOKUP(C29,'5a)NDA MPPR'!$B$9:$AK$61,3,FALSE)</f>
        <v>G</v>
      </c>
      <c r="G29" s="217">
        <f>VLOOKUP(C29,'5a)NDA MPPR'!$B$9:$AK$61,4,FALSE)</f>
        <v>0</v>
      </c>
      <c r="H29" s="223"/>
      <c r="I29" s="224" t="str">
        <f>VLOOKUP(C29,'5a)NDA MPPR'!$B$9:$AK$61,6,FALSE)</f>
        <v>FBC
(Mar-20)</v>
      </c>
      <c r="J29" s="49">
        <f>VLOOKUP(C29,'5a)NDA MPPR'!$B$9:$AK$61,7,FALSE)</f>
        <v>305.90000000000003</v>
      </c>
      <c r="K29" s="48">
        <f>VLOOKUP(C29,'5a)NDA MPPR'!$B$9:$AK$61,8,FALSE)</f>
        <v>315.39999999999998</v>
      </c>
      <c r="L29" s="232">
        <f>VLOOKUP(C29,'5a)NDA MPPR'!$B$9:$AK$61,9,FALSE)</f>
        <v>46053</v>
      </c>
      <c r="M29" s="226">
        <f>VLOOKUP(C29,'5a)NDA MPPR'!$B$9:$AK$61,10,FALSE)</f>
        <v>46112</v>
      </c>
      <c r="N29" s="222">
        <f>'3) BC and Sanction'!I91</f>
        <v>0</v>
      </c>
      <c r="O29" s="48">
        <f>VLOOKUP(C29,'5a)NDA MPPR'!$B$9:$AK$61,12,FALSE)</f>
        <v>315.39999999999998</v>
      </c>
      <c r="P29" s="48">
        <f>VLOOKUP(C29,'5a)NDA MPPR'!$B$9:$AK$61,13,FALSE)</f>
        <v>315.39999999999998</v>
      </c>
      <c r="Q29" s="222"/>
      <c r="R29" s="216" t="str">
        <f>VLOOKUP(C29,'5a)NDA MPPR'!$B$9:$AK$61,15,FALSE)</f>
        <v>R</v>
      </c>
      <c r="S29" s="217">
        <f>VLOOKUP(C29,'5a)NDA MPPR'!$B$9:$AK$61,16,FALSE)</f>
        <v>0</v>
      </c>
      <c r="T29" s="223"/>
      <c r="U29" s="227" t="str">
        <f>VLOOKUP(C29,'5a)NDA MPPR'!$B$9:$AK$61,18,FALSE)</f>
        <v>OBC
 (Oct-24)</v>
      </c>
      <c r="V29" s="223"/>
      <c r="W29" s="49">
        <f>VLOOKUP(C29,'5a)NDA MPPR'!$B$9:$AK$61,20,FALSE)</f>
        <v>297.38168000000002</v>
      </c>
      <c r="X29" s="49">
        <f>VLOOKUP(C29,'5a)NDA MPPR'!$B$9:$AK$61,21,FALSE)</f>
        <v>315.08837662000002</v>
      </c>
      <c r="Y29" s="49">
        <f>VLOOKUP(C29,'5a)NDA MPPR'!$B$9:$AK$61,22,FALSE)</f>
        <v>0</v>
      </c>
      <c r="Z29" s="50"/>
      <c r="AA29" s="226">
        <f>VLOOKUP(C29,'5a)NDA MPPR'!$B$9:$AK$61,24,FALSE)</f>
        <v>46107</v>
      </c>
      <c r="AB29" s="226">
        <f>VLOOKUP(C29,'5a)NDA MPPR'!$B$9:$AK$61,25,FALSE)</f>
        <v>46107</v>
      </c>
      <c r="AC29" s="51">
        <f>VLOOKUP(C29,'5a)NDA MPPR'!$B$9:$AK$61,26,FALSE)</f>
        <v>0</v>
      </c>
      <c r="AD29" s="222"/>
      <c r="AE29" s="49">
        <f>VLOOKUP(C29,'5a)NDA MPPR'!$B$9:$AK$61,28,FALSE)</f>
        <v>293.87326624000002</v>
      </c>
      <c r="AF29" s="49">
        <f>VLOOKUP(C29,'5a)NDA MPPR'!$B$9:$AK$61,29,FALSE)</f>
        <v>292.93551980010005</v>
      </c>
      <c r="AG29" s="52">
        <f>VLOOKUP(C29,'5a)NDA MPPR'!$B$9:$AK$61,30,FALSE)</f>
        <v>314.06940757999996</v>
      </c>
      <c r="AH29" s="228">
        <f>VLOOKUP(C29,'5a)NDA MPPR'!$B$9:$AK$61,31,FALSE)</f>
        <v>0.93270949901570166</v>
      </c>
      <c r="AI29" s="228">
        <f>VLOOKUP(C29,'5a)NDA MPPR'!$B$9:$AK$61,32,FALSE)</f>
        <v>0.9968090107279981</v>
      </c>
      <c r="AJ29" s="230">
        <f>VLOOKUP(C29,'5a)NDA MPPR'!$B$9:$AK$61,33,FALSE)</f>
        <v>0.98820232046573953</v>
      </c>
      <c r="AK29" s="231">
        <f>VLOOKUP(C29,'5a)NDA MPPR'!$B$9:$AK$61,34,FALSE)</f>
        <v>0.98504897746256603</v>
      </c>
      <c r="AL29" s="221"/>
      <c r="AM29" s="219" t="str">
        <f>VLOOKUP(C29,'5a)NDA MPPR'!$B$9:$AK$61,36,FALSE)</f>
        <v>A</v>
      </c>
      <c r="AO29" s="15">
        <f>T18-G18</f>
        <v>0</v>
      </c>
      <c r="AP29" s="15">
        <f>T18-K18</f>
        <v>0</v>
      </c>
      <c r="AQ29" s="15">
        <f>X18-I18</f>
        <v>0</v>
      </c>
      <c r="AS29" s="15">
        <f>T18-S18</f>
        <v>0</v>
      </c>
      <c r="AT29" s="15">
        <f>X18-W18</f>
        <v>0</v>
      </c>
      <c r="AV29" s="600">
        <v>315.13482794999999</v>
      </c>
      <c r="AW29" s="576">
        <v>46107</v>
      </c>
      <c r="AX29" s="611"/>
      <c r="AY29" s="600">
        <v>297.38168000000002</v>
      </c>
      <c r="AZ29" s="580">
        <f>W29-AY29</f>
        <v>0</v>
      </c>
      <c r="BA29" s="576">
        <v>46107</v>
      </c>
      <c r="BB29" s="582">
        <f>AA29-BA29</f>
        <v>0</v>
      </c>
    </row>
    <row r="30" spans="1:56" ht="67" customHeight="1" thickBot="1" x14ac:dyDescent="0.4">
      <c r="A30" s="269" t="str">
        <f>C29</f>
        <v>Security Systems Architecture Upgrade (SSAU)</v>
      </c>
      <c r="B30" s="702" t="str">
        <f>VLOOKUP($C29,'5a)NDA MPPR'!$A$9:$AK$61,2,FALSE)</f>
        <v>The SSAU project will provide infrastructure and equipment that will provide security and emergency response teams with a significantly improved capability to react to and manage security and/or emergency events on the Sellafield site. The first project benefit is equipment which, once operational in the command centre, will provide a significantly improved capability to react and manage security and/or emergency events on the Sellafield site - thereby complying with the standards, expectations and objectives set by nuclear regulators. The Delivery Confidence Assessment remains stable at Green recognising forecast delivery within the Projects P80 Sanction. The Baseline RAG has remained Red in period, as the Cost forecast remains beyond the P50 baseline. The Project is still however forecasting to deliver within the P80 Sanction released to Sellafield. The project continues to be impacted by industrial action in the supply chain resulting in productivity losses, key skills unavailable, and constraints on work scope delivery. Impact assessment will be finalised on conclusion of the action with the intent to seek appropriate sanction relief subject to further review.  This is not a dispute directly with Sellafield Ltd; Sellafield is engaged with the Supply Chain and Stakeholders to ensure effective management of the impacts; correct mitigations are in place and to effectively mobilise resources upon return to work. In period the Lifecycle EAC has remained stable at £315.1m and within the P80 Sanction. Level 2 commissioning has been successfully completed in the period, which has enabled the script updates to commence, and the Level 1 commissioning to commence in early January, the Completion of Level 1 commissioning Report remains in early March. The Amber rating on the Capability and Capacity RAG recognises that schedule adherence is reliant on skilled resources and the project team is now a very thin layer and any loss of resources would impact delivery as has occurred in this period with sickness and a pass issue.</v>
      </c>
      <c r="C30" s="703"/>
      <c r="D30" s="703"/>
      <c r="E30" s="703"/>
      <c r="F30" s="703"/>
      <c r="G30" s="703"/>
      <c r="H30" s="703"/>
      <c r="I30" s="703"/>
      <c r="J30" s="703"/>
      <c r="K30" s="703"/>
      <c r="L30" s="703"/>
      <c r="M30" s="703"/>
      <c r="N30" s="703"/>
      <c r="O30" s="703"/>
      <c r="P30" s="703"/>
      <c r="Q30" s="703"/>
      <c r="R30" s="703"/>
      <c r="S30" s="703"/>
      <c r="T30" s="703"/>
      <c r="U30" s="703"/>
      <c r="V30" s="703"/>
      <c r="W30" s="703"/>
      <c r="X30" s="703"/>
      <c r="Y30" s="703"/>
      <c r="Z30" s="703"/>
      <c r="AA30" s="703"/>
      <c r="AB30" s="703"/>
      <c r="AC30" s="703"/>
      <c r="AD30" s="703"/>
      <c r="AE30" s="703"/>
      <c r="AF30" s="703"/>
      <c r="AG30" s="703"/>
      <c r="AH30" s="703"/>
      <c r="AI30" s="703"/>
      <c r="AJ30" s="703"/>
      <c r="AK30" s="703"/>
      <c r="AL30" s="703"/>
      <c r="AM30" s="704"/>
      <c r="AO30" s="436"/>
      <c r="AP30" s="436"/>
      <c r="AQ30" s="436"/>
      <c r="AR30" s="436"/>
      <c r="AS30" s="436"/>
      <c r="AT30" s="436"/>
      <c r="AU30" s="436"/>
      <c r="AV30" s="575"/>
      <c r="AW30" s="577"/>
      <c r="AX30" s="611"/>
      <c r="AY30" s="575"/>
      <c r="AZ30" s="581"/>
      <c r="BA30" s="577"/>
      <c r="BB30" s="583"/>
      <c r="BC30" s="436"/>
      <c r="BD30" s="436"/>
    </row>
    <row r="31" spans="1:56" s="436" customFormat="1" ht="5.25" customHeight="1" thickBot="1" x14ac:dyDescent="0.4">
      <c r="A31" s="269"/>
      <c r="B31" s="96"/>
      <c r="C31" s="96"/>
      <c r="D31" s="96"/>
      <c r="E31" s="96"/>
      <c r="F31" s="96"/>
      <c r="G31" s="96"/>
      <c r="H31" s="96"/>
      <c r="I31" s="96"/>
      <c r="J31" s="96"/>
      <c r="K31" s="96"/>
      <c r="L31" s="96"/>
      <c r="M31" s="96"/>
      <c r="N31" s="96"/>
      <c r="O31" s="96"/>
      <c r="P31" s="96"/>
      <c r="Q31" s="96"/>
      <c r="R31" s="96"/>
      <c r="S31" s="96"/>
      <c r="T31" s="96"/>
      <c r="U31" s="96"/>
      <c r="V31" s="96"/>
      <c r="W31" s="96"/>
      <c r="X31" s="96"/>
      <c r="Y31" s="96"/>
      <c r="Z31" s="96"/>
      <c r="AA31" s="96"/>
      <c r="AB31" s="96"/>
      <c r="AC31" s="96"/>
      <c r="AD31" s="96"/>
      <c r="AE31" s="96"/>
      <c r="AF31" s="96"/>
      <c r="AG31" s="96"/>
      <c r="AH31" s="96"/>
      <c r="AI31" s="96"/>
      <c r="AJ31" s="96"/>
      <c r="AK31" s="96"/>
      <c r="AL31" s="96"/>
      <c r="AM31" s="96"/>
      <c r="AO31" s="15"/>
      <c r="AP31" s="15"/>
      <c r="AQ31" s="15"/>
      <c r="AR31" s="15"/>
      <c r="AS31" s="15"/>
      <c r="AT31" s="15"/>
      <c r="AU31" s="15"/>
      <c r="AV31" s="608"/>
      <c r="AW31" s="615"/>
      <c r="AX31" s="611"/>
      <c r="AY31" s="613"/>
      <c r="AZ31" s="578"/>
      <c r="BA31" s="574"/>
      <c r="BB31" s="579"/>
      <c r="BC31" s="15"/>
      <c r="BD31" s="15"/>
    </row>
    <row r="32" spans="1:56" ht="36" customHeight="1" x14ac:dyDescent="0.35">
      <c r="B32" s="220" t="s">
        <v>120</v>
      </c>
      <c r="C32" s="557" t="s">
        <v>119</v>
      </c>
      <c r="D32" s="221" t="s">
        <v>3</v>
      </c>
      <c r="E32" s="222"/>
      <c r="F32" s="216" t="str">
        <f>VLOOKUP(C32,'5a)NDA MPPR'!$B$9:$AK$61,3,FALSE)</f>
        <v>G</v>
      </c>
      <c r="G32" s="217">
        <f>VLOOKUP(C32,'5a)NDA MPPR'!$B$9:$AK$61,4,FALSE)</f>
        <v>0</v>
      </c>
      <c r="H32" s="223"/>
      <c r="I32" s="506" t="str">
        <f>VLOOKUP(C32,'5a)NDA MPPR'!$B$9:$AK$61,6,FALSE)</f>
        <v>FBC
(Jun-24)</v>
      </c>
      <c r="J32" s="72">
        <f>VLOOKUP(C32,'5a)NDA MPPR'!$B$9:$AK$61,7,FALSE)</f>
        <v>72.599999999999994</v>
      </c>
      <c r="K32" s="72">
        <f>VLOOKUP(C32,'5a)NDA MPPR'!$B$9:$AK$61,8,FALSE)</f>
        <v>79</v>
      </c>
      <c r="L32" s="507">
        <f>VLOOKUP(C32,'5a)NDA MPPR'!$B$9:$AK$61,9,FALSE)</f>
        <v>46106</v>
      </c>
      <c r="M32" s="507">
        <f>VLOOKUP(C32,'5a)NDA MPPR'!$B$9:$AK$61,10,FALSE)</f>
        <v>46234</v>
      </c>
      <c r="N32" s="506">
        <f>'3) BC and Sanction'!I85</f>
        <v>0</v>
      </c>
      <c r="O32" s="48">
        <f>VLOOKUP(C32,'5a)NDA MPPR'!$B$9:$AK$61,12,FALSE)</f>
        <v>72.599999999999994</v>
      </c>
      <c r="P32" s="48">
        <f>VLOOKUP(C32,'5a)NDA MPPR'!$B$9:$AK$61,13,FALSE)</f>
        <v>72.599999999999994</v>
      </c>
      <c r="Q32" s="222"/>
      <c r="R32" s="216" t="str">
        <f>VLOOKUP(C32,'5a)NDA MPPR'!$B$9:$AK$61,15,FALSE)</f>
        <v>G</v>
      </c>
      <c r="S32" s="217">
        <f>VLOOKUP(C32,'5a)NDA MPPR'!$B$9:$AK$61,16,FALSE)</f>
        <v>0</v>
      </c>
      <c r="T32" s="223"/>
      <c r="U32" s="523" t="str">
        <f>VLOOKUP(C32,'5a)NDA MPPR'!$B$9:$AK$61,18,FALSE)</f>
        <v>FBC
 (Sep-24)</v>
      </c>
      <c r="V32" s="223"/>
      <c r="W32" s="49">
        <f>VLOOKUP(C32,'5a)NDA MPPR'!$B$9:$AK$61,20,FALSE)</f>
        <v>72.672543000000005</v>
      </c>
      <c r="X32" s="49">
        <f>VLOOKUP(C32,'5a)NDA MPPR'!$B$9:$AK$61,21,FALSE)</f>
        <v>71.943748249999999</v>
      </c>
      <c r="Y32" s="49">
        <f>VLOOKUP(C32,'5a)NDA MPPR'!$B$9:$AK$61,22,FALSE)</f>
        <v>0.6</v>
      </c>
      <c r="Z32" s="50"/>
      <c r="AA32" s="507">
        <f>VLOOKUP(C32,'5a)NDA MPPR'!$B$9:$AK$61,24,FALSE)</f>
        <v>46106</v>
      </c>
      <c r="AB32" s="507">
        <f>VLOOKUP(C32,'5a)NDA MPPR'!$B$9:$AK$61,25,FALSE)</f>
        <v>46231</v>
      </c>
      <c r="AC32" s="51">
        <f>VLOOKUP(C32,'5a)NDA MPPR'!$B$9:$AK$61,26,FALSE)</f>
        <v>99</v>
      </c>
      <c r="AD32" s="222"/>
      <c r="AE32" s="49">
        <f>VLOOKUP(C32,'5a)NDA MPPR'!$B$9:$AK$61,28,FALSE)</f>
        <v>72.642746889999998</v>
      </c>
      <c r="AF32" s="49">
        <f>VLOOKUP(C32,'5a)NDA MPPR'!$B$9:$AK$61,29,FALSE)</f>
        <v>65.985415277599998</v>
      </c>
      <c r="AG32" s="52">
        <f>VLOOKUP(C32,'5a)NDA MPPR'!$B$9:$AK$61,30,FALSE)</f>
        <v>70.043329650000004</v>
      </c>
      <c r="AH32" s="228">
        <f>VLOOKUP(C32,'5a)NDA MPPR'!$B$9:$AK$61,31,FALSE)</f>
        <v>0.94206565574941936</v>
      </c>
      <c r="AI32" s="229">
        <f>VLOOKUP(C32,'5a)NDA MPPR'!$B$9:$AK$61,32,FALSE)</f>
        <v>0.90835517794390497</v>
      </c>
      <c r="AJ32" s="230">
        <f>VLOOKUP(C32,'5a)NDA MPPR'!$B$9:$AK$61,33,FALSE)</f>
        <v>0.99958999494485834</v>
      </c>
      <c r="AK32" s="231">
        <f>VLOOKUP(C32,'5a)NDA MPPR'!$B$9:$AK$61,34,FALSE)</f>
        <v>0.90798274772908383</v>
      </c>
      <c r="AL32" s="221"/>
      <c r="AM32" s="219" t="str">
        <f>VLOOKUP(C32,'5a)NDA MPPR'!$B$9:$AK$61,36,FALSE)</f>
        <v>G</v>
      </c>
      <c r="AO32" s="15">
        <f>T24-G24</f>
        <v>0</v>
      </c>
      <c r="AP32" s="15">
        <f>T24-K24</f>
        <v>0</v>
      </c>
      <c r="AQ32" s="15">
        <f>X24-I24</f>
        <v>0</v>
      </c>
      <c r="AS32" s="15">
        <f>T24-S24</f>
        <v>0</v>
      </c>
      <c r="AT32" s="15">
        <f>X24-W24</f>
        <v>0</v>
      </c>
      <c r="AV32" s="600">
        <v>71.339767129999998</v>
      </c>
      <c r="AW32" s="576">
        <v>46132</v>
      </c>
      <c r="AX32" s="611"/>
      <c r="AY32" s="600">
        <v>72.672543000000005</v>
      </c>
      <c r="AZ32" s="580">
        <f>W32-AY32</f>
        <v>0</v>
      </c>
      <c r="BA32" s="576">
        <v>46106</v>
      </c>
      <c r="BB32" s="582">
        <f>AA32-BA32</f>
        <v>0</v>
      </c>
    </row>
    <row r="33" spans="1:56" ht="111.75" customHeight="1" thickBot="1" x14ac:dyDescent="0.4">
      <c r="A33" s="269" t="str">
        <f>C32</f>
        <v>CNC Operational Unit</v>
      </c>
      <c r="B33" s="702" t="str">
        <f>VLOOKUP($C32,'5a)NDA MPPR'!$A$9:$AK$61,2,FALSE)</f>
        <v>The Civil Nuclear Constabulary (CNC) Operational Unit project will provide one location on site to house all CNC personnel, with space allowance for future uplift of officers, whilst mitigating health and safety risks associated with the current facilities. The Delivery Confidence Assessment (DCA) is stable at Green as the Resubmission Full Business Case (FBC) has received approval from His Majesty’s Treasury (HMT) in June 2024. Bulk Construction was claimed as complete on the 19th of December by CNSL. This milestone has been used to reduce the amount of construction resources on the project, there will be some remaining Construction works ongoing in parallel with the Commissioning works. The project continues to be impacted by industrial action in the supply chain resulting in productivity losses, key skills unavailable, and constraints on work scope delivery. Impact assessment will be finalised on conclusion of the action with the intent to seek appropriate sanction relief subject to further review.  This is not a dispute directly with Sellafield Ltd; Sellafield is engaged with the Supply Chain and Stakeholders to ensure effective management of the impacts; correct mitigations are in place and to effectively mobilise resources upon return to work. The completion of the Level 1 Board rooms was initially impacted by the replacement of the non-complaint glands, yet it has continued to be further impacted by the industrial action as well as slower than anticipated progress of the other works required to be completed and higher level of snagging than anticipated following contractor and client inspections. These delays have been compounded through the loss of opportunity to recover through additional weekend working due the Union imposed overtime ban related to the on-going industrial action. Level 1 boards pre-commissioning is forecast to commence in early January 2026. As reported last period, CNSL were still undertaking commissioning workshops to resequence the planned works and decouple the Level 1 Board commissioning from the critical path. The output of these workshops has been bought into by CNSL executives and was presented to SL in P9 reporting. The impact of this resequencing, in addition to the industrial action impact to date, the loss of opportunity of weekend working and the rework associated with the Level 1 boards, has seen the SL project end date move from 20th April 2026 to the 28th July 2026. However, it is important to note that July 2026 includes an SL risk buffer, and Commissioning is forecasted to complete in April 2026 with Building Handover forecast to take place in May 2026. There remains an opportunity within Commissioning to increase working hours through varied shift patterns and overtime working as these resources are not affected by the industrial action. The change in end date has also seen the EAC increase by £0.6m from £71.3m to £71.9m, this remains below the P50 value of £72.5m. On-site work continues to progress well, civils scope is focused on external works and building finishes, Control, Electrical &amp; Instrumentation (CE&amp;I) works is focused on ensuring the Level 1 boards are ready for commissioning starting in the new year with the Project working closely with Utilities. Heat, Ventilation and Air Conditioning (HVAC) installation works is almost complete. The Capability and Capacity RAG remains Green for the period with no current vacancies.</v>
      </c>
      <c r="C33" s="703"/>
      <c r="D33" s="703"/>
      <c r="E33" s="703"/>
      <c r="F33" s="703"/>
      <c r="G33" s="703"/>
      <c r="H33" s="703"/>
      <c r="I33" s="703"/>
      <c r="J33" s="703"/>
      <c r="K33" s="703"/>
      <c r="L33" s="703"/>
      <c r="M33" s="703"/>
      <c r="N33" s="703"/>
      <c r="O33" s="703"/>
      <c r="P33" s="703"/>
      <c r="Q33" s="703"/>
      <c r="R33" s="703"/>
      <c r="S33" s="703"/>
      <c r="T33" s="703"/>
      <c r="U33" s="703"/>
      <c r="V33" s="703"/>
      <c r="W33" s="703"/>
      <c r="X33" s="703"/>
      <c r="Y33" s="703"/>
      <c r="Z33" s="703"/>
      <c r="AA33" s="703"/>
      <c r="AB33" s="703"/>
      <c r="AC33" s="703"/>
      <c r="AD33" s="703"/>
      <c r="AE33" s="703"/>
      <c r="AF33" s="703"/>
      <c r="AG33" s="703"/>
      <c r="AH33" s="703"/>
      <c r="AI33" s="703"/>
      <c r="AJ33" s="703"/>
      <c r="AK33" s="703"/>
      <c r="AL33" s="703"/>
      <c r="AM33" s="704"/>
      <c r="AO33" s="436"/>
      <c r="AP33" s="436"/>
      <c r="AQ33" s="436"/>
      <c r="AR33" s="436"/>
      <c r="AS33" s="436"/>
      <c r="AT33" s="436"/>
      <c r="AU33" s="436"/>
      <c r="AV33" s="575"/>
      <c r="AW33" s="577"/>
      <c r="AX33" s="611"/>
      <c r="AY33" s="575"/>
      <c r="AZ33" s="581"/>
      <c r="BA33" s="577"/>
      <c r="BB33" s="583"/>
      <c r="BC33" s="436"/>
      <c r="BD33" s="436"/>
    </row>
    <row r="34" spans="1:56" s="475" customFormat="1" ht="5.25" customHeight="1" thickBot="1" x14ac:dyDescent="0.4">
      <c r="A34" s="269"/>
      <c r="B34" s="96"/>
      <c r="C34" s="96"/>
      <c r="D34" s="96"/>
      <c r="E34" s="96"/>
      <c r="F34" s="96"/>
      <c r="G34" s="96"/>
      <c r="H34" s="96"/>
      <c r="I34" s="96"/>
      <c r="J34" s="96"/>
      <c r="K34" s="96"/>
      <c r="L34" s="96"/>
      <c r="M34" s="96"/>
      <c r="N34" s="96"/>
      <c r="O34" s="96"/>
      <c r="P34" s="96"/>
      <c r="Q34" s="96"/>
      <c r="R34" s="96"/>
      <c r="S34" s="96"/>
      <c r="T34" s="96"/>
      <c r="U34" s="96"/>
      <c r="V34" s="96"/>
      <c r="W34" s="96"/>
      <c r="X34" s="96"/>
      <c r="Y34" s="96"/>
      <c r="Z34" s="96"/>
      <c r="AA34" s="96"/>
      <c r="AB34" s="96"/>
      <c r="AC34" s="96"/>
      <c r="AD34" s="96"/>
      <c r="AE34" s="96"/>
      <c r="AF34" s="96"/>
      <c r="AG34" s="96"/>
      <c r="AH34" s="96"/>
      <c r="AI34" s="96"/>
      <c r="AJ34" s="96"/>
      <c r="AK34" s="96"/>
      <c r="AL34" s="96"/>
      <c r="AM34" s="96"/>
      <c r="AO34" s="15"/>
      <c r="AP34" s="15"/>
      <c r="AQ34" s="15"/>
      <c r="AR34" s="15"/>
      <c r="AS34" s="15"/>
      <c r="AT34" s="15"/>
      <c r="AU34" s="15"/>
      <c r="AV34" s="608"/>
      <c r="AW34" s="615"/>
      <c r="AX34" s="611"/>
      <c r="AY34" s="613"/>
      <c r="AZ34" s="578"/>
      <c r="BA34" s="574"/>
      <c r="BB34" s="579"/>
      <c r="BC34" s="15"/>
      <c r="BD34" s="15"/>
    </row>
    <row r="35" spans="1:56" ht="36" customHeight="1" x14ac:dyDescent="0.35">
      <c r="B35" s="193" t="s">
        <v>114</v>
      </c>
      <c r="C35" s="556" t="s">
        <v>113</v>
      </c>
      <c r="D35" s="509" t="s">
        <v>3</v>
      </c>
      <c r="E35" s="504"/>
      <c r="F35" s="216" t="str">
        <f>VLOOKUP(C35,'5a)NDA MPPR'!$B$9:$AK$61,3,FALSE)</f>
        <v>G</v>
      </c>
      <c r="G35" s="217">
        <f>VLOOKUP(C35,'5a)NDA MPPR'!$B$9:$AK$61,4,FALSE)</f>
        <v>0</v>
      </c>
      <c r="H35" s="505"/>
      <c r="I35" s="506" t="str">
        <f>VLOOKUP(C35,'5a)NDA MPPR'!$B$9:$AK$61,6,FALSE)</f>
        <v>FBC
(Dec-21)</v>
      </c>
      <c r="J35" s="72">
        <f>VLOOKUP(C35,'5a)NDA MPPR'!$B$9:$AK$61,7,FALSE)</f>
        <v>1007</v>
      </c>
      <c r="K35" s="48">
        <f>VLOOKUP(C35,'5a)NDA MPPR'!$B$9:$AK$61,8,FALSE)</f>
        <v>1182</v>
      </c>
      <c r="L35" s="507">
        <f>VLOOKUP(C35,'5a)NDA MPPR'!$B$9:$AK$61,9,FALSE)</f>
        <v>47849</v>
      </c>
      <c r="M35" s="507">
        <f>VLOOKUP(C35,'5a)NDA MPPR'!$B$9:$AK$61,10,FALSE)</f>
        <v>48611</v>
      </c>
      <c r="N35" s="504">
        <f>'3) BC and Sanction'!I109</f>
        <v>0</v>
      </c>
      <c r="O35" s="48">
        <f>VLOOKUP(C35,'5a)NDA MPPR'!$B$9:$AK$61,12,FALSE)</f>
        <v>1182</v>
      </c>
      <c r="P35" s="48">
        <f>VLOOKUP(C35,'5a)NDA MPPR'!$B$9:$AK$61,13,FALSE)</f>
        <v>1150.7</v>
      </c>
      <c r="Q35" s="504"/>
      <c r="R35" s="216" t="str">
        <f>VLOOKUP(C35,'5a)NDA MPPR'!$B$9:$AK$61,15,FALSE)</f>
        <v>G</v>
      </c>
      <c r="S35" s="217">
        <f>VLOOKUP(C35,'5a)NDA MPPR'!$B$9:$AK$61,16,FALSE)</f>
        <v>0</v>
      </c>
      <c r="T35" s="505"/>
      <c r="U35" s="523" t="str">
        <f>VLOOKUP(C35,'5a)NDA MPPR'!$B$9:$AK$61,18,FALSE)</f>
        <v>FBC
 (Dec-25)</v>
      </c>
      <c r="V35" s="505"/>
      <c r="W35" s="49">
        <f>VLOOKUP(C35,'5a)NDA MPPR'!$B$9:$AK$61,20,FALSE)</f>
        <v>1161.839471</v>
      </c>
      <c r="X35" s="49">
        <f>VLOOKUP(C35,'5a)NDA MPPR'!$B$9:$AK$61,21,FALSE)</f>
        <v>1121.70881876</v>
      </c>
      <c r="Y35" s="49">
        <f>VLOOKUP(C35,'5a)NDA MPPR'!$B$9:$AK$61,22,FALSE)</f>
        <v>0.8</v>
      </c>
      <c r="Z35" s="50"/>
      <c r="AA35" s="507">
        <f>VLOOKUP(C35,'5a)NDA MPPR'!$B$9:$AK$61,24,FALSE)</f>
        <v>48142</v>
      </c>
      <c r="AB35" s="507">
        <f>VLOOKUP(C35,'5a)NDA MPPR'!$B$9:$AK$61,25,FALSE)</f>
        <v>48142</v>
      </c>
      <c r="AC35" s="51">
        <f>VLOOKUP(C35,'5a)NDA MPPR'!$B$9:$AK$61,26,FALSE)</f>
        <v>0</v>
      </c>
      <c r="AD35" s="504"/>
      <c r="AE35" s="49">
        <f>VLOOKUP(C35,'5a)NDA MPPR'!$B$9:$AK$61,28,FALSE)</f>
        <v>780.42669770999998</v>
      </c>
      <c r="AF35" s="49">
        <f>VLOOKUP(C35,'5a)NDA MPPR'!$B$9:$AK$61,29,FALSE)</f>
        <v>733.71602588909991</v>
      </c>
      <c r="AG35" s="52">
        <f>VLOOKUP(C35,'5a)NDA MPPR'!$B$9:$AK$61,30,FALSE)</f>
        <v>764.57701873999997</v>
      </c>
      <c r="AH35" s="508">
        <f>VLOOKUP(C35,'5a)NDA MPPR'!$B$9:$AK$61,31,FALSE)</f>
        <v>0.95963651523065918</v>
      </c>
      <c r="AI35" s="98">
        <f>VLOOKUP(C35,'5a)NDA MPPR'!$B$9:$AK$61,32,FALSE)</f>
        <v>0.94014726564587969</v>
      </c>
      <c r="AJ35" s="544">
        <f>VLOOKUP(C35,'5a)NDA MPPR'!$B$9:$AK$61,33,FALSE)</f>
        <v>0.6717164609998002</v>
      </c>
      <c r="AK35" s="543">
        <f>VLOOKUP(C35,'5a)NDA MPPR'!$B$9:$AK$61,34,FALSE)</f>
        <v>0.6315123940982893</v>
      </c>
      <c r="AL35" s="509"/>
      <c r="AM35" s="219" t="str">
        <f>VLOOKUP(C35,'5a)NDA MPPR'!$B$9:$AK$61,36,FALSE)</f>
        <v>G</v>
      </c>
      <c r="AO35" s="15">
        <f>T27-G27</f>
        <v>0</v>
      </c>
      <c r="AP35" s="15">
        <f>T27-K27</f>
        <v>0</v>
      </c>
      <c r="AQ35" s="15">
        <f>X27-I27</f>
        <v>0</v>
      </c>
      <c r="AS35" s="15">
        <f>T27-S27</f>
        <v>0</v>
      </c>
      <c r="AT35" s="15">
        <f>X27-W27</f>
        <v>0</v>
      </c>
      <c r="AV35" s="600">
        <v>1120.8756529300001</v>
      </c>
      <c r="AW35" s="576">
        <v>48142</v>
      </c>
      <c r="AX35" s="611"/>
      <c r="AY35" s="600">
        <v>1133.0636360000001</v>
      </c>
      <c r="AZ35" s="580">
        <f>W35-AY35</f>
        <v>28.775834999999915</v>
      </c>
      <c r="BA35" s="576">
        <v>48142</v>
      </c>
      <c r="BB35" s="582">
        <f>AA35-BA35</f>
        <v>0</v>
      </c>
    </row>
    <row r="36" spans="1:56" ht="112.5" customHeight="1" thickBot="1" x14ac:dyDescent="0.4">
      <c r="A36" s="269" t="str">
        <f>C35</f>
        <v>SIXEP Continuity Plant</v>
      </c>
      <c r="B36" s="702" t="str">
        <f>VLOOKUP($C35,'5a)NDA MPPR'!$A$9:$AK$61,2,FALSE)</f>
        <v xml:space="preserve">The SIXEP Continuity Plant (SCP) is required to deliver a continued site effluent treatment capability in support of radioactive liquid effluent discharge permits, fuel pond management, high hazard reduction projects and the overall NDA mission. This project provides a replacement for the existing SIXEP Sea Discharge Treatment plant and is therefore mission critical to the safe operation of the site.  The SRO DCA RAG currently remains green echoed by National Infrastructure and Service Transformation Authority (NISTA) Green rating received in June 2025.  However, there is a significant risk posed by the impact of extraordinary inflation that has been incurred to date.  This follows the decision made by DESNZ Project Investment Committee (PIC) in Q2 24/25 to not approve the P80 Inflation Sanction relief for SCP.  As an interim measure to mitigate the inflation impact, in December 2024 the NDA released £108.7m sanction to SL from P80, however this substantially erodes the P80 contingency.  The scope driven P80 sanction drawdown, Adjustment Event (AE) for the project has been approved by SL Investment Review Panel (IRP) in November 2025 , This drawdown leaves a net £31m P80 contingency remaining.  The SRO considers that this is likely to be insufficient for the next four years and has submitted a sanction release paper to  DESNZ September 2025.   The paper has now been endorsed by PIC and the Permanent Secretary for onward submission to Treasury Approval Process (TAP) &amp; Chief Secretary to the Treasury (CST), targeting approval in Q4 25/26.  Without this additional sanction the current DCA rating would change from Green to Red, hence this will be kept under review by the SRO.  The Baseline RAG remains Green as the project forecast is within P50 cost and schedule parameters.  A Change Control Request (CCR) was implemented in period to update the baseline as a result of the impact of an agreed AE post-Grenfell for fire safety. The project continues to be impacted by industrial action in the supply chain resulting in productivity losses, key skills unavailable, and constraints on work scope delivery. Impact assessment will be finalised on conclusion of the action with the intent to seek appropriate sanction relief subject to further review.  This is not a dispute directly with Sellafield Ltd; Sellafield is engaged with the Supply Chain and Stakeholders to ensure effective management of the impacts; correct mitigations are in place and to effectively mobilise resources upon return to work.  Fabrication of off-site pipework planned for completion Q4 25/26.  Site pipework, vessel install, and welding of BST rings have been impacted by ongoing Industrial action in both the Effluent Treatment Cell (ETC) and Bulk Storage Tank (BST) cells.  Progress continues across all floors within the Service Building, although the industrial relations impact has hindered productivity and subsequent handover to Mechanical, Electrical, Instrumentation, Control &amp; Automation (MEICA) trades.  Industrial relations issues have impacted delivery on the Project Wide Objectives (PWO) 4 - Handover of BST cell to Commissioning, PWO 5 - Handover Services Building to Commissioning and PWO 6 - Handover of ETC to Commissioning.  Issues in period are there are increasing concerns due to the impact of industrial action between supply chain organisations and their employees impacting projects at Sellafield.  At this time, productivity, efficiency and interim milestones are being affected.  The Capability and Capacity RAG: remains Green with no issues to report.     </v>
      </c>
      <c r="C36" s="703"/>
      <c r="D36" s="703"/>
      <c r="E36" s="703"/>
      <c r="F36" s="703"/>
      <c r="G36" s="703"/>
      <c r="H36" s="703"/>
      <c r="I36" s="703"/>
      <c r="J36" s="703"/>
      <c r="K36" s="703"/>
      <c r="L36" s="703"/>
      <c r="M36" s="703"/>
      <c r="N36" s="703"/>
      <c r="O36" s="703"/>
      <c r="P36" s="703"/>
      <c r="Q36" s="703"/>
      <c r="R36" s="703"/>
      <c r="S36" s="703"/>
      <c r="T36" s="703"/>
      <c r="U36" s="703"/>
      <c r="V36" s="703"/>
      <c r="W36" s="703"/>
      <c r="X36" s="703"/>
      <c r="Y36" s="703"/>
      <c r="Z36" s="703"/>
      <c r="AA36" s="703"/>
      <c r="AB36" s="703"/>
      <c r="AC36" s="703"/>
      <c r="AD36" s="703"/>
      <c r="AE36" s="703"/>
      <c r="AF36" s="703"/>
      <c r="AG36" s="703"/>
      <c r="AH36" s="703"/>
      <c r="AI36" s="703"/>
      <c r="AJ36" s="703"/>
      <c r="AK36" s="703"/>
      <c r="AL36" s="703"/>
      <c r="AM36" s="704"/>
      <c r="AV36" s="575"/>
      <c r="AW36" s="577"/>
      <c r="AX36" s="611"/>
      <c r="AY36" s="575"/>
      <c r="AZ36" s="581"/>
      <c r="BA36" s="577"/>
      <c r="BB36" s="583"/>
    </row>
    <row r="37" spans="1:56" ht="5.25" customHeight="1" thickBot="1" x14ac:dyDescent="0.4">
      <c r="B37" s="73"/>
      <c r="C37" s="437"/>
      <c r="D37" s="61"/>
      <c r="E37" s="61"/>
      <c r="F37" s="61"/>
      <c r="G37" s="61"/>
      <c r="H37" s="61"/>
      <c r="I37" s="61"/>
      <c r="J37" s="61"/>
      <c r="K37" s="61"/>
      <c r="L37" s="61"/>
      <c r="M37" s="61"/>
      <c r="N37" s="61"/>
      <c r="O37" s="61"/>
      <c r="P37" s="61"/>
      <c r="Q37" s="61"/>
      <c r="R37" s="61"/>
      <c r="S37" s="61"/>
      <c r="T37" s="61"/>
      <c r="U37" s="61"/>
      <c r="V37" s="61"/>
      <c r="W37" s="61"/>
      <c r="X37" s="61"/>
      <c r="Y37" s="61"/>
      <c r="Z37" s="61"/>
      <c r="AA37" s="61"/>
      <c r="AB37" s="61"/>
      <c r="AC37" s="61"/>
      <c r="AD37" s="61"/>
      <c r="AE37" s="61"/>
      <c r="AF37" s="61"/>
      <c r="AG37" s="61"/>
      <c r="AH37" s="61"/>
      <c r="AI37" s="61"/>
      <c r="AJ37" s="61"/>
      <c r="AK37" s="61"/>
      <c r="AL37" s="61"/>
      <c r="AM37" s="73"/>
      <c r="AW37" s="615"/>
      <c r="AX37" s="611"/>
      <c r="AY37" s="613"/>
      <c r="AZ37" s="578"/>
      <c r="BA37" s="574"/>
      <c r="BB37" s="579"/>
    </row>
    <row r="38" spans="1:56" ht="36" customHeight="1" x14ac:dyDescent="0.35">
      <c r="B38" s="97" t="s">
        <v>171</v>
      </c>
      <c r="C38" s="556" t="s">
        <v>235</v>
      </c>
      <c r="D38" s="509" t="s">
        <v>3</v>
      </c>
      <c r="E38" s="504"/>
      <c r="F38" s="216" t="str">
        <f>VLOOKUP(C38,'5a)NDA MPPR'!$B$9:$AK$61,3,FALSE)</f>
        <v>G</v>
      </c>
      <c r="G38" s="217">
        <f>VLOOKUP(C38,'5a)NDA MPPR'!$B$9:$AK$61,4,FALSE)</f>
        <v>0</v>
      </c>
      <c r="H38" s="505"/>
      <c r="I38" s="506" t="str">
        <f>VLOOKUP(C38,'5a)NDA MPPR'!$B$9:$AK$61,6,FALSE)</f>
        <v>FBC 
(Jun-24)</v>
      </c>
      <c r="J38" s="72">
        <f>VLOOKUP(C38,'5a)NDA MPPR'!$B$9:$AK$61,7,FALSE)</f>
        <v>69.099999999999994</v>
      </c>
      <c r="K38" s="72">
        <f>VLOOKUP(C38,'5a)NDA MPPR'!$B$9:$AK$61,8,FALSE)</f>
        <v>75.8</v>
      </c>
      <c r="L38" s="507">
        <f>VLOOKUP(C38,'5a)NDA MPPR'!$B$9:$AK$61,9,FALSE)</f>
        <v>46295</v>
      </c>
      <c r="M38" s="507">
        <f>VLOOKUP(C38,'5a)NDA MPPR'!$B$9:$AK$61,10,FALSE)</f>
        <v>46446</v>
      </c>
      <c r="N38" s="504">
        <f>'3) BC and Sanction'!I112</f>
        <v>0</v>
      </c>
      <c r="O38" s="48" t="str">
        <f>VLOOKUP(C38,'5a)NDA MPPR'!$B$9:$AK$61,12,FALSE)</f>
        <v>n/a</v>
      </c>
      <c r="P38" s="48">
        <f>VLOOKUP(C38,'5a)NDA MPPR'!$B$9:$AK$61,13,FALSE)</f>
        <v>69.099999999999994</v>
      </c>
      <c r="Q38" s="504"/>
      <c r="R38" s="216" t="str">
        <f>VLOOKUP(C38,'5a)NDA MPPR'!$B$9:$AK$61,15,FALSE)</f>
        <v>G</v>
      </c>
      <c r="S38" s="217">
        <f>VLOOKUP(C38,'5a)NDA MPPR'!$B$9:$AK$61,16,FALSE)</f>
        <v>0</v>
      </c>
      <c r="T38" s="505"/>
      <c r="U38" s="523" t="str">
        <f>VLOOKUP(C38,'5a)NDA MPPR'!$B$9:$AK$61,18,FALSE)</f>
        <v>FBC
 (Mar-23)</v>
      </c>
      <c r="V38" s="505"/>
      <c r="W38" s="49">
        <f>VLOOKUP(C38,'5a)NDA MPPR'!$B$9:$AK$61,20,FALSE)</f>
        <v>67.414677999999995</v>
      </c>
      <c r="X38" s="49">
        <f>VLOOKUP(C38,'5a)NDA MPPR'!$B$9:$AK$61,21,FALSE)</f>
        <v>35.886955310000005</v>
      </c>
      <c r="Y38" s="49">
        <f>VLOOKUP(C38,'5a)NDA MPPR'!$B$9:$AK$61,22,FALSE)</f>
        <v>0.4</v>
      </c>
      <c r="Z38" s="50"/>
      <c r="AA38" s="507">
        <f>VLOOKUP(C38,'5a)NDA MPPR'!$B$9:$AK$61,24,FALSE)</f>
        <v>46266</v>
      </c>
      <c r="AB38" s="507">
        <f>VLOOKUP(C38,'5a)NDA MPPR'!$B$9:$AK$61,25,FALSE)</f>
        <v>46112</v>
      </c>
      <c r="AC38" s="51">
        <f>VLOOKUP(C38,'5a)NDA MPPR'!$B$9:$AK$61,26,FALSE)</f>
        <v>0</v>
      </c>
      <c r="AD38" s="504"/>
      <c r="AE38" s="49">
        <f>VLOOKUP(C38,'5a)NDA MPPR'!$B$9:$AK$61,28,FALSE)</f>
        <v>63.664382700000004</v>
      </c>
      <c r="AF38" s="49">
        <f>VLOOKUP(C38,'5a)NDA MPPR'!$B$9:$AK$61,29,FALSE)</f>
        <v>62.738821667300002</v>
      </c>
      <c r="AG38" s="52">
        <f>VLOOKUP(C38,'5a)NDA MPPR'!$B$9:$AK$61,30,FALSE)</f>
        <v>35.506485310000002</v>
      </c>
      <c r="AH38" s="508">
        <f>VLOOKUP(C38,'5a)NDA MPPR'!$B$9:$AK$61,31,FALSE)</f>
        <v>1.7669679530243541</v>
      </c>
      <c r="AI38" s="90">
        <f>VLOOKUP(C38,'5a)NDA MPPR'!$B$9:$AK$61,32,FALSE)</f>
        <v>0.98546187061827906</v>
      </c>
      <c r="AJ38" s="544">
        <f>VLOOKUP(C38,'5a)NDA MPPR'!$B$9:$AK$61,33,FALSE)</f>
        <v>0.94436975134702861</v>
      </c>
      <c r="AK38" s="543">
        <f>VLOOKUP(C38,'5a)NDA MPPR'!$B$9:$AK$61,34,FALSE)</f>
        <v>0.93064038171776187</v>
      </c>
      <c r="AL38" s="509"/>
      <c r="AM38" s="219" t="str">
        <f>VLOOKUP(C38,'5a)NDA MPPR'!$B$9:$AK$61,36,FALSE)</f>
        <v>G</v>
      </c>
      <c r="AO38" s="15">
        <f>T36-G36</f>
        <v>0</v>
      </c>
      <c r="AP38" s="15">
        <f>T36-K36</f>
        <v>0</v>
      </c>
      <c r="AQ38" s="15">
        <f>X36-I36</f>
        <v>0</v>
      </c>
      <c r="AS38" s="15">
        <f>T36-S36</f>
        <v>0</v>
      </c>
      <c r="AT38" s="15">
        <f>X36-W36</f>
        <v>0</v>
      </c>
      <c r="AV38" s="600">
        <v>35.500378979999994</v>
      </c>
      <c r="AW38" s="576">
        <v>46112</v>
      </c>
      <c r="AX38" s="611"/>
      <c r="AY38" s="600">
        <v>67.414677999999995</v>
      </c>
      <c r="AZ38" s="580">
        <f>W38-AY38</f>
        <v>0</v>
      </c>
      <c r="BA38" s="576">
        <v>46266</v>
      </c>
      <c r="BB38" s="582">
        <f>AA38-BA38</f>
        <v>0</v>
      </c>
    </row>
    <row r="39" spans="1:56" ht="44.5" customHeight="1" thickBot="1" x14ac:dyDescent="0.4">
      <c r="A39" s="269" t="str">
        <f>C38</f>
        <v>ILW East Land Excavation</v>
      </c>
      <c r="B39" s="702" t="str">
        <f>VLOOKUP($C38,'5a)NDA MPPR'!$A$9:$AK$61,2,FALSE)</f>
        <v>The ILW EZ Phase 1 Excavation Project is a key enabler to allow the future major project Lightly Shielded Store 1 (LSS1) to commence construction and also de-risks LSS1 construction. The delays in issuing the Service Commencement Notification (SCN) and late Pre-Construction Information (PCI) caused a 4-month delay to the beginning of delivery, however the excavation work has now recovered. The first project benefit: This project delivers a number of benefits, both direct as a key enabler for LSS1, and indirect in adopting an Enterprise approach to zonal development. The Baseline remains green and phase 1A activities completed. Meeting held with Superintending Officer, post period end, and Custody Transfer Certificate signed off 07th January 2026. Lifecycle EAC and the forecast date for close out of Phase 1A remain stable. The project lifecycle EAC increase includes an initial assessment of the cost to deliver the 25/26 Phase 1B scope. The end date and the EAC for the remaining Phase 1B scope will be updated once the detailed delivery timeline has been agreed for Phase 1B scope.  This is expected to be during Qtr 4. The Capability and Capacity RAG remains Green.</v>
      </c>
      <c r="C39" s="703"/>
      <c r="D39" s="703"/>
      <c r="E39" s="703"/>
      <c r="F39" s="703"/>
      <c r="G39" s="703"/>
      <c r="H39" s="703"/>
      <c r="I39" s="703"/>
      <c r="J39" s="703"/>
      <c r="K39" s="703"/>
      <c r="L39" s="703"/>
      <c r="M39" s="703"/>
      <c r="N39" s="703"/>
      <c r="O39" s="703"/>
      <c r="P39" s="703"/>
      <c r="Q39" s="703"/>
      <c r="R39" s="703"/>
      <c r="S39" s="703"/>
      <c r="T39" s="703"/>
      <c r="U39" s="703"/>
      <c r="V39" s="703"/>
      <c r="W39" s="703"/>
      <c r="X39" s="703"/>
      <c r="Y39" s="703"/>
      <c r="Z39" s="703"/>
      <c r="AA39" s="703"/>
      <c r="AB39" s="703"/>
      <c r="AC39" s="703"/>
      <c r="AD39" s="703"/>
      <c r="AE39" s="703"/>
      <c r="AF39" s="703"/>
      <c r="AG39" s="703"/>
      <c r="AH39" s="703"/>
      <c r="AI39" s="703"/>
      <c r="AJ39" s="703"/>
      <c r="AK39" s="703"/>
      <c r="AL39" s="703"/>
      <c r="AM39" s="704"/>
      <c r="AV39" s="575"/>
      <c r="AW39" s="577"/>
      <c r="AX39" s="611"/>
      <c r="AY39" s="575"/>
      <c r="AZ39" s="581"/>
      <c r="BA39" s="577"/>
      <c r="BB39" s="583"/>
    </row>
    <row r="40" spans="1:56" ht="5.25" customHeight="1" thickBot="1" x14ac:dyDescent="0.4">
      <c r="B40" s="2"/>
      <c r="C40" s="461"/>
      <c r="D40" s="2"/>
      <c r="E40" s="2"/>
      <c r="F40" s="2"/>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W40" s="615"/>
      <c r="AX40" s="611"/>
      <c r="AY40" s="613"/>
      <c r="AZ40" s="578"/>
      <c r="BA40" s="574"/>
      <c r="BB40" s="579"/>
    </row>
    <row r="41" spans="1:56" ht="36" customHeight="1" x14ac:dyDescent="0.25">
      <c r="B41" s="193" t="s">
        <v>110</v>
      </c>
      <c r="C41" s="556" t="s">
        <v>109</v>
      </c>
      <c r="D41" s="509" t="s">
        <v>3</v>
      </c>
      <c r="E41" s="504"/>
      <c r="F41" s="216" t="str">
        <f>VLOOKUP($C41,'4b) SL EPO Extended Data Sheet'!$A$5:$AB$168,2,FALSE)</f>
        <v>N/A</v>
      </c>
      <c r="G41" s="217">
        <f>VLOOKUP($C41,'4b) SL EPO Extended Data Sheet'!$A$5:$AB$168,3, FALSE)</f>
        <v>0</v>
      </c>
      <c r="H41" s="505"/>
      <c r="I41" s="445" t="str">
        <f>VLOOKUP($C41,'4b) SL EPO Extended Data Sheet'!$A$5:$AD$168,30, FALSE)</f>
        <v xml:space="preserve">N/A
</v>
      </c>
      <c r="J41" s="72">
        <f>VLOOKUP($C41,'4b) SL EPO Extended Data Sheet'!$A$5:$AC$168,6, FALSE)/1000000</f>
        <v>46.4</v>
      </c>
      <c r="K41" s="560">
        <f>VLOOKUP($C41,'4b) SL EPO Extended Data Sheet'!$A$5:$AC$168,7, FALSE)/1000000</f>
        <v>0</v>
      </c>
      <c r="L41" s="507">
        <f>VLOOKUP($C41,'4b) SL EPO Extended Data Sheet'!$A$5:$AB$168,8, FALSE)</f>
        <v>46812</v>
      </c>
      <c r="M41" s="507" t="str">
        <f>VLOOKUP($C41,'4b) SL EPO Extended Data Sheet'!$A$5:$AC$168,9, FALSE)</f>
        <v/>
      </c>
      <c r="N41" s="504" t="str">
        <f>VLOOKUP($C41,'4b) SL EPO Extended Data Sheet'!$A$5:$AB$168,5, FALSE)</f>
        <v/>
      </c>
      <c r="O41" s="48">
        <f>VLOOKUP($C41,'4b) SL EPO Extended Data Sheet'!$A$5:$AC$168,10, FALSE)/1000000</f>
        <v>0</v>
      </c>
      <c r="P41" s="48">
        <f>VLOOKUP($C41,'4b) SL EPO Extended Data Sheet'!$A$5:$AC$168,11, FALSE)/1000000</f>
        <v>46.4</v>
      </c>
      <c r="Q41" s="504"/>
      <c r="R41" s="216" t="str">
        <f>VLOOKUP($C41,'4b) SL EPO Extended Data Sheet'!$A$5:$AC$168,12,FALSE)</f>
        <v>N/A</v>
      </c>
      <c r="S41" s="217">
        <f>VLOOKUP($C41,'4b) SL EPO Extended Data Sheet'!$A$5:$AC$168,13,FALSE)</f>
        <v>0</v>
      </c>
      <c r="T41" s="505"/>
      <c r="U41" s="506" t="str">
        <f>VLOOKUP($C41,'4b) SL EPO Extended Data Sheet'!$A$5:$AE$168,31,FALSE)</f>
        <v>N/A
(Aug-23)</v>
      </c>
      <c r="V41" s="505"/>
      <c r="W41" s="49">
        <f>VLOOKUP($C41,'4b) SL EPO Extended Data Sheet'!$A$5:$AC$168,16,FALSE)/1000000</f>
        <v>142.42993999999999</v>
      </c>
      <c r="X41" s="49">
        <f>VLOOKUP($C41,'4b) SL EPO Extended Data Sheet'!$A$5:$AC$168,17,FALSE)/1000000</f>
        <v>158.10700034000001</v>
      </c>
      <c r="Y41" s="49">
        <f>VLOOKUP($C41,'4b) SL EPO Extended Data Sheet'!$A$5:$AC$168,18,FALSE)/1000000</f>
        <v>-3.2267E-4</v>
      </c>
      <c r="Z41" s="49">
        <f>VLOOKUP($C41,'4b) SL EPO Extended Data Sheet'!$A$5:$AB$168,16,FALSE)/1000000</f>
        <v>142.42993999999999</v>
      </c>
      <c r="AA41" s="507">
        <f>VLOOKUP($C41,'4b) SL EPO Extended Data Sheet'!$A$5:$AC$168,19,FALSE)</f>
        <v>46951</v>
      </c>
      <c r="AB41" s="507">
        <f>VLOOKUP($C41,'4b) SL EPO Extended Data Sheet'!$A$5:$AC$168,20,FALSE)</f>
        <v>46951</v>
      </c>
      <c r="AC41" s="51">
        <f>VLOOKUP($C41,'4b) SL EPO Extended Data Sheet'!$A$5:$AC$168,21,FALSE)</f>
        <v>0</v>
      </c>
      <c r="AD41" s="504">
        <f>VLOOKUP($C41,'4b) SL EPO Extended Data Sheet'!$A$5:$AB$168,15,FALSE)/1000000</f>
        <v>4.5163000000000002E-2</v>
      </c>
      <c r="AE41" s="49">
        <f>VLOOKUP($C41,'4b) SL EPO Extended Data Sheet'!$A$5:$AC$168,22,FALSE)/1000000</f>
        <v>30.885831260000003</v>
      </c>
      <c r="AF41" s="49">
        <f>VLOOKUP($C41,'4b) SL EPO Extended Data Sheet'!$A$5:$AC$168,23,FALSE)/1000000</f>
        <v>18.532730934500002</v>
      </c>
      <c r="AG41" s="52">
        <f>VLOOKUP($C41,'4b) SL EPO Extended Data Sheet'!$A$5:$AC$168,24,FALSE)/1000000</f>
        <v>27.223350579999998</v>
      </c>
      <c r="AH41" s="508">
        <f>VLOOKUP($C41,'4b) SL EPO Extended Data Sheet'!$A$5:$AC$168,25,FALSE)</f>
        <v>0.68076597992736865</v>
      </c>
      <c r="AI41" s="508">
        <f>VLOOKUP($C41,'4b) SL EPO Extended Data Sheet'!$A$5:$AC$168,26,FALSE)</f>
        <v>0.60003989461995133</v>
      </c>
      <c r="AJ41" s="544">
        <f>VLOOKUP($C41,'4b) SL EPO Extended Data Sheet'!$A$5:$AC$168,27,FALSE)</f>
        <v>0.21684928927162367</v>
      </c>
      <c r="AK41" s="543">
        <f>VLOOKUP($C41,'4b) SL EPO Extended Data Sheet'!$A$5:$AC$168,28,FALSE)</f>
        <v>0.13011822468295642</v>
      </c>
      <c r="AL41" s="509">
        <f>VLOOKUP($C41,'4b) SL EPO Extended Data Sheet'!$A$6:$AB$168,15,FALSE)</f>
        <v>45163</v>
      </c>
      <c r="AM41" s="219" t="str">
        <f>VLOOKUP($C41,'4b) SL EPO Extended Data Sheet'!$A$5:$AC$168,29,FALSE)</f>
        <v>G</v>
      </c>
      <c r="AO41" s="15">
        <f>T39-G39</f>
        <v>0</v>
      </c>
      <c r="AP41" s="15">
        <f>T39-K39</f>
        <v>0</v>
      </c>
      <c r="AQ41" s="15">
        <f>X39-I39</f>
        <v>0</v>
      </c>
      <c r="AS41" s="15">
        <f>T39-S39</f>
        <v>0</v>
      </c>
      <c r="AT41" s="15">
        <f>X39-W39</f>
        <v>0</v>
      </c>
      <c r="AV41" s="600">
        <v>158.10732300999999</v>
      </c>
      <c r="AW41" s="576">
        <v>46951</v>
      </c>
      <c r="AX41" s="611"/>
      <c r="AY41" s="600">
        <v>142.42993999999999</v>
      </c>
      <c r="AZ41" s="580">
        <f>W41-AY41</f>
        <v>0</v>
      </c>
      <c r="BA41" s="576">
        <v>46951</v>
      </c>
      <c r="BB41" s="582">
        <f>AA41-BA41</f>
        <v>0</v>
      </c>
    </row>
    <row r="42" spans="1:56" ht="63.75" customHeight="1" thickBot="1" x14ac:dyDescent="0.4">
      <c r="A42" s="269" t="str">
        <f>C41</f>
        <v>Lightly Shielded Store (LSS)</v>
      </c>
      <c r="B42" s="694" t="s">
        <v>537</v>
      </c>
      <c r="C42" s="695"/>
      <c r="D42" s="695"/>
      <c r="E42" s="695"/>
      <c r="F42" s="695"/>
      <c r="G42" s="695"/>
      <c r="H42" s="695"/>
      <c r="I42" s="695"/>
      <c r="J42" s="695"/>
      <c r="K42" s="695"/>
      <c r="L42" s="695"/>
      <c r="M42" s="695"/>
      <c r="N42" s="695"/>
      <c r="O42" s="695"/>
      <c r="P42" s="695"/>
      <c r="Q42" s="695"/>
      <c r="R42" s="695"/>
      <c r="S42" s="695"/>
      <c r="T42" s="695"/>
      <c r="U42" s="695"/>
      <c r="V42" s="695"/>
      <c r="W42" s="695"/>
      <c r="X42" s="695"/>
      <c r="Y42" s="695"/>
      <c r="Z42" s="695"/>
      <c r="AA42" s="695"/>
      <c r="AB42" s="695"/>
      <c r="AC42" s="695"/>
      <c r="AD42" s="695"/>
      <c r="AE42" s="695"/>
      <c r="AF42" s="695"/>
      <c r="AG42" s="695"/>
      <c r="AH42" s="695"/>
      <c r="AI42" s="695"/>
      <c r="AJ42" s="695"/>
      <c r="AK42" s="695"/>
      <c r="AL42" s="695"/>
      <c r="AM42" s="696"/>
      <c r="AO42" s="239"/>
      <c r="AP42" s="239"/>
      <c r="AQ42" s="239"/>
      <c r="AR42" s="239"/>
      <c r="AS42" s="239"/>
      <c r="AT42" s="239"/>
      <c r="AU42" s="239"/>
      <c r="AV42" s="575"/>
      <c r="AW42" s="577"/>
      <c r="AX42" s="611"/>
      <c r="AY42" s="575"/>
      <c r="AZ42" s="581"/>
      <c r="BA42" s="577"/>
      <c r="BB42" s="583"/>
      <c r="BC42" s="239"/>
      <c r="BD42" s="239"/>
    </row>
    <row r="43" spans="1:56" s="239" customFormat="1" ht="5.15" customHeight="1" thickBot="1" x14ac:dyDescent="0.4">
      <c r="A43" s="269"/>
      <c r="B43" s="237"/>
      <c r="C43" s="461"/>
      <c r="D43" s="237"/>
      <c r="E43" s="237"/>
      <c r="F43" s="237"/>
      <c r="G43" s="237"/>
      <c r="H43" s="237"/>
      <c r="I43" s="237"/>
      <c r="J43" s="237"/>
      <c r="K43" s="237"/>
      <c r="L43" s="237"/>
      <c r="M43" s="237"/>
      <c r="N43" s="237"/>
      <c r="O43" s="237"/>
      <c r="P43" s="237"/>
      <c r="Q43" s="237"/>
      <c r="R43" s="237"/>
      <c r="S43" s="237"/>
      <c r="T43" s="237"/>
      <c r="U43" s="237"/>
      <c r="V43" s="237"/>
      <c r="W43" s="237"/>
      <c r="X43" s="237"/>
      <c r="Y43" s="237"/>
      <c r="Z43" s="237"/>
      <c r="AA43" s="237"/>
      <c r="AB43" s="237"/>
      <c r="AC43" s="237"/>
      <c r="AD43" s="237"/>
      <c r="AE43" s="237"/>
      <c r="AF43" s="237"/>
      <c r="AG43" s="237"/>
      <c r="AH43" s="237"/>
      <c r="AI43" s="237"/>
      <c r="AJ43" s="237"/>
      <c r="AK43" s="237"/>
      <c r="AL43" s="237"/>
      <c r="AM43" s="237"/>
      <c r="AO43" s="15"/>
      <c r="AP43" s="15"/>
      <c r="AQ43" s="15"/>
      <c r="AR43" s="15"/>
      <c r="AS43" s="15"/>
      <c r="AT43" s="15"/>
      <c r="AU43" s="15"/>
      <c r="AV43" s="608"/>
      <c r="AW43" s="615"/>
      <c r="AX43" s="611"/>
      <c r="AY43" s="613"/>
      <c r="AZ43" s="578"/>
      <c r="BA43" s="574"/>
      <c r="BB43" s="579"/>
      <c r="BC43" s="15"/>
      <c r="BD43" s="15"/>
    </row>
    <row r="44" spans="1:56" s="239" customFormat="1" ht="24" customHeight="1" thickBot="1" x14ac:dyDescent="0.4">
      <c r="A44" s="269"/>
      <c r="B44" s="685" t="s">
        <v>193</v>
      </c>
      <c r="C44" s="686"/>
      <c r="D44" s="686"/>
      <c r="E44" s="686"/>
      <c r="F44" s="686"/>
      <c r="G44" s="686"/>
      <c r="H44" s="686"/>
      <c r="I44" s="686"/>
      <c r="J44" s="686"/>
      <c r="K44" s="686"/>
      <c r="L44" s="686"/>
      <c r="M44" s="686"/>
      <c r="N44" s="686"/>
      <c r="O44" s="686"/>
      <c r="P44" s="686"/>
      <c r="Q44" s="686"/>
      <c r="R44" s="686"/>
      <c r="S44" s="686"/>
      <c r="T44" s="686"/>
      <c r="U44" s="686"/>
      <c r="V44" s="686"/>
      <c r="W44" s="686"/>
      <c r="X44" s="686"/>
      <c r="Y44" s="686"/>
      <c r="Z44" s="686"/>
      <c r="AA44" s="686"/>
      <c r="AB44" s="686"/>
      <c r="AC44" s="686"/>
      <c r="AD44" s="686"/>
      <c r="AE44" s="686"/>
      <c r="AF44" s="686"/>
      <c r="AG44" s="686"/>
      <c r="AH44" s="686"/>
      <c r="AI44" s="686"/>
      <c r="AJ44" s="686"/>
      <c r="AK44" s="686"/>
      <c r="AL44" s="686"/>
      <c r="AM44" s="687"/>
      <c r="AO44" s="15">
        <f>T42-G42</f>
        <v>0</v>
      </c>
      <c r="AP44" s="15">
        <f>T42-K42</f>
        <v>0</v>
      </c>
      <c r="AQ44" s="15">
        <f>X42-I42</f>
        <v>0</v>
      </c>
      <c r="AR44" s="15"/>
      <c r="AS44" s="15">
        <f>T42-S42</f>
        <v>0</v>
      </c>
      <c r="AT44" s="15">
        <f>X42-W42</f>
        <v>0</v>
      </c>
      <c r="AU44" s="15"/>
      <c r="AV44" s="591"/>
      <c r="AW44" s="614"/>
      <c r="AX44" s="611"/>
      <c r="AY44" s="591"/>
      <c r="AZ44" s="593"/>
      <c r="BA44" s="592"/>
      <c r="BB44" s="594"/>
      <c r="BC44" s="15"/>
      <c r="BD44" s="15"/>
    </row>
    <row r="45" spans="1:56" s="475" customFormat="1" ht="57.75" hidden="1" customHeight="1" thickBot="1" x14ac:dyDescent="0.4">
      <c r="A45" s="269"/>
      <c r="B45" s="688" t="s">
        <v>383</v>
      </c>
      <c r="C45" s="689"/>
      <c r="D45" s="689"/>
      <c r="E45" s="689"/>
      <c r="F45" s="689"/>
      <c r="G45" s="689"/>
      <c r="H45" s="689"/>
      <c r="I45" s="689"/>
      <c r="J45" s="689"/>
      <c r="K45" s="689"/>
      <c r="L45" s="689"/>
      <c r="M45" s="689"/>
      <c r="N45" s="689"/>
      <c r="O45" s="689"/>
      <c r="P45" s="689"/>
      <c r="Q45" s="689"/>
      <c r="R45" s="689"/>
      <c r="S45" s="689"/>
      <c r="T45" s="689"/>
      <c r="U45" s="689"/>
      <c r="V45" s="689"/>
      <c r="W45" s="689"/>
      <c r="X45" s="689"/>
      <c r="Y45" s="689"/>
      <c r="Z45" s="689"/>
      <c r="AA45" s="689"/>
      <c r="AB45" s="689"/>
      <c r="AC45" s="689"/>
      <c r="AD45" s="689"/>
      <c r="AE45" s="689"/>
      <c r="AF45" s="689"/>
      <c r="AG45" s="689"/>
      <c r="AH45" s="689"/>
      <c r="AI45" s="689"/>
      <c r="AJ45" s="689"/>
      <c r="AK45" s="689"/>
      <c r="AL45" s="689"/>
      <c r="AM45" s="690"/>
      <c r="AV45" s="608">
        <v>70.5</v>
      </c>
      <c r="AW45" s="615">
        <v>46106</v>
      </c>
      <c r="AX45" s="611"/>
      <c r="AY45" s="613">
        <v>72.617237000000003</v>
      </c>
      <c r="AZ45" s="578">
        <v>-72.617237000000003</v>
      </c>
      <c r="BA45" s="574">
        <v>46106</v>
      </c>
      <c r="BB45" s="579">
        <v>-46106</v>
      </c>
    </row>
    <row r="46" spans="1:56" s="475" customFormat="1" ht="7.4" customHeight="1" thickBot="1" x14ac:dyDescent="0.4">
      <c r="A46" s="269"/>
      <c r="C46" s="461"/>
      <c r="D46" s="599"/>
      <c r="W46" s="599"/>
      <c r="X46" s="599"/>
      <c r="Y46" s="599"/>
      <c r="Z46" s="599"/>
      <c r="AA46" s="599"/>
      <c r="AB46" s="599"/>
      <c r="AC46" s="599"/>
      <c r="AE46" s="599"/>
      <c r="AF46" s="599"/>
      <c r="AG46" s="599"/>
      <c r="AH46" s="599"/>
      <c r="AI46" s="599"/>
      <c r="AJ46" s="599"/>
      <c r="AK46" s="599"/>
      <c r="AL46" s="599"/>
      <c r="AV46" s="608"/>
      <c r="AW46" s="615"/>
      <c r="AX46" s="611"/>
      <c r="AY46" s="613"/>
      <c r="AZ46" s="578"/>
      <c r="BA46" s="574"/>
      <c r="BB46" s="579"/>
    </row>
    <row r="47" spans="1:56" ht="36" customHeight="1" x14ac:dyDescent="0.35">
      <c r="B47" s="233" t="s">
        <v>284</v>
      </c>
      <c r="C47" s="559" t="s">
        <v>279</v>
      </c>
      <c r="D47" s="221" t="s">
        <v>3</v>
      </c>
      <c r="E47" s="222"/>
      <c r="F47" s="198" t="str">
        <f>VLOOKUP($C47,'4b) SL EPO Extended Data Sheet'!$A$5:$AB$168,2,FALSE)</f>
        <v>N/A</v>
      </c>
      <c r="G47" s="217" t="str">
        <f>VLOOKUP($C47,'4b) SL EPO Extended Data Sheet'!$A$5:$AB$168,3, FALSE)</f>
        <v/>
      </c>
      <c r="H47" s="224"/>
      <c r="I47" s="506" t="str">
        <f>VLOOKUP($C47,'4b) SL EPO Extended Data Sheet'!$A$5:$AD$168,30, FALSE)</f>
        <v>SOC
(Mar-24)</v>
      </c>
      <c r="J47" s="225">
        <f>VLOOKUP($C47,'4b) SL EPO Extended Data Sheet'!$A$5:$AB$168,6, FALSE)/1000000</f>
        <v>87</v>
      </c>
      <c r="K47" s="48">
        <f>VLOOKUP($C47,'4b) SL EPO Extended Data Sheet'!$A$5:$AB$168,7, FALSE)/1000000</f>
        <v>91</v>
      </c>
      <c r="L47" s="48" t="str">
        <f>VLOOKUP($C47,'4b) SL EPO Extended Data Sheet'!$A$5:$AB$168,8, FALSE)</f>
        <v/>
      </c>
      <c r="M47" s="226">
        <f>VLOOKUP($C47,'4b) SL EPO Extended Data Sheet'!$A$5:$AB$168,9, FALSE)</f>
        <v>47361</v>
      </c>
      <c r="N47" s="222">
        <f>VLOOKUP($C47,'4b) SL EPO Extended Data Sheet'!$A$5:$AB$168,5, FALSE)</f>
        <v>45371</v>
      </c>
      <c r="O47" s="48">
        <f>VLOOKUP($C47,'4b) SL EPO Extended Data Sheet'!$A$5:$AB$168,10, FALSE)/1000000</f>
        <v>0</v>
      </c>
      <c r="P47" s="48">
        <f>VLOOKUP($C47,'4b) SL EPO Extended Data Sheet'!$A$5:$AB$168,11, FALSE)/1000000</f>
        <v>53</v>
      </c>
      <c r="Q47" s="222"/>
      <c r="R47" s="216" t="str">
        <f>VLOOKUP($C47,'4b) SL EPO Extended Data Sheet'!$A$5:$AB$168,12,FALSE)</f>
        <v>N/A</v>
      </c>
      <c r="S47" s="217">
        <v>0</v>
      </c>
      <c r="T47" s="227"/>
      <c r="U47" s="506" t="str">
        <f>VLOOKUP($C47,'4b) SL EPO Extended Data Sheet'!$A$5:$AE$168,31,FALSE)</f>
        <v>SOC
(Mar-25)</v>
      </c>
      <c r="V47" s="505"/>
      <c r="W47" s="49">
        <f>VLOOKUP($C47,'4b) SL EPO Extended Data Sheet'!$A$5:$AC$168,16,FALSE)/1000000</f>
        <v>919.61825599999997</v>
      </c>
      <c r="X47" s="49">
        <f>VLOOKUP($C47,'4b) SL EPO Extended Data Sheet'!$A$5:$AC$168,17,FALSE)/1000000</f>
        <v>20.678211440000002</v>
      </c>
      <c r="Y47" s="49">
        <f>VLOOKUP($C47,'4b) SL EPO Extended Data Sheet'!$A$5:$AC$168,18,FALSE)/1000000</f>
        <v>3.0839999999999996E-4</v>
      </c>
      <c r="Z47" s="49">
        <f>VLOOKUP($C47,'4b) SL EPO Extended Data Sheet'!$A$5:$AB$168,16,FALSE)/1000000</f>
        <v>919.61825599999997</v>
      </c>
      <c r="AA47" s="507">
        <f>VLOOKUP($C47,'4b) SL EPO Extended Data Sheet'!$A$5:$AC$168,19,FALSE)</f>
        <v>50724</v>
      </c>
      <c r="AB47" s="507">
        <f>VLOOKUP($C47,'4b) SL EPO Extended Data Sheet'!$A$5:$AC$168,20,FALSE)</f>
        <v>50724</v>
      </c>
      <c r="AC47" s="51">
        <f>VLOOKUP($C47,'4b) SL EPO Extended Data Sheet'!$A$5:$AC$168,21,FALSE)</f>
        <v>0</v>
      </c>
      <c r="AD47" s="504">
        <f>VLOOKUP($C47,'4b) SL EPO Extended Data Sheet'!$A$5:$AB$168,15,FALSE)/1000000</f>
        <v>4.573E-2</v>
      </c>
      <c r="AE47" s="49">
        <f>VLOOKUP($C47,'4b) SL EPO Extended Data Sheet'!$A$5:$AC$168,22,FALSE)/1000000</f>
        <v>38.933642290000002</v>
      </c>
      <c r="AF47" s="49">
        <f>VLOOKUP($C47,'4b) SL EPO Extended Data Sheet'!$A$5:$AC$168,23,FALSE)/1000000</f>
        <v>40.103855446000004</v>
      </c>
      <c r="AG47" s="52">
        <f>VLOOKUP($C47,'4b) SL EPO Extended Data Sheet'!$A$5:$AC$168,24,FALSE)/1000000</f>
        <v>19.204409289999997</v>
      </c>
      <c r="AH47" s="508">
        <f>VLOOKUP($C47,'4b) SL EPO Extended Data Sheet'!$A$5:$AC$168,25,FALSE)</f>
        <v>2.0882629004831004</v>
      </c>
      <c r="AI47" s="508">
        <f>VLOOKUP($C47,'4b) SL EPO Extended Data Sheet'!$A$5:$AC$168,26,FALSE)</f>
        <v>1.0300566062451486</v>
      </c>
      <c r="AJ47" s="544">
        <f>VLOOKUP($C47,'4b) SL EPO Extended Data Sheet'!$A$5:$AC$168,27,FALSE)</f>
        <v>4.2336743573737838E-2</v>
      </c>
      <c r="AK47" s="543">
        <f>VLOOKUP($C47,'4b) SL EPO Extended Data Sheet'!$A$5:$AC$168,28,FALSE)</f>
        <v>4.3609242405035512E-2</v>
      </c>
      <c r="AL47" s="509">
        <f>VLOOKUP($C47,'4b) SL EPO Extended Data Sheet'!$A$6:$AB$168,15,FALSE)</f>
        <v>45730</v>
      </c>
      <c r="AM47" s="219" t="str">
        <f>VLOOKUP($C47,'4b) SL EPO Extended Data Sheet'!$A$5:$AC$168,29,FALSE)</f>
        <v>G</v>
      </c>
      <c r="AO47" s="239" t="e">
        <f>#REF!-#REF!</f>
        <v>#REF!</v>
      </c>
      <c r="AP47" s="239" t="e">
        <f>#REF!-#REF!</f>
        <v>#REF!</v>
      </c>
      <c r="AQ47" s="239" t="e">
        <f>#REF!-#REF!</f>
        <v>#REF!</v>
      </c>
      <c r="AR47" s="239"/>
      <c r="AS47" s="239" t="e">
        <f>#REF!-#REF!</f>
        <v>#REF!</v>
      </c>
      <c r="AT47" s="239" t="e">
        <f>#REF!-#REF!</f>
        <v>#REF!</v>
      </c>
      <c r="AU47" s="239"/>
      <c r="AV47" s="600">
        <v>20.67790304</v>
      </c>
      <c r="AW47" s="576">
        <v>50724</v>
      </c>
      <c r="AX47" s="611"/>
      <c r="AY47" s="600">
        <v>919.61825599999997</v>
      </c>
      <c r="AZ47" s="580">
        <f>W47-AY47</f>
        <v>0</v>
      </c>
      <c r="BA47" s="576">
        <v>50724</v>
      </c>
      <c r="BB47" s="582">
        <f>AA47-BA47</f>
        <v>0</v>
      </c>
      <c r="BC47" s="239"/>
      <c r="BD47" s="239"/>
    </row>
    <row r="48" spans="1:56" ht="46.5" customHeight="1" thickBot="1" x14ac:dyDescent="0.4">
      <c r="A48" s="269" t="str">
        <f>C47</f>
        <v>SIXEP Receipt Facility</v>
      </c>
      <c r="B48" s="694" t="s">
        <v>538</v>
      </c>
      <c r="C48" s="695"/>
      <c r="D48" s="695"/>
      <c r="E48" s="695"/>
      <c r="F48" s="695"/>
      <c r="G48" s="695"/>
      <c r="H48" s="695"/>
      <c r="I48" s="695"/>
      <c r="J48" s="695"/>
      <c r="K48" s="695"/>
      <c r="L48" s="695"/>
      <c r="M48" s="695"/>
      <c r="N48" s="695"/>
      <c r="O48" s="695"/>
      <c r="P48" s="695"/>
      <c r="Q48" s="695"/>
      <c r="R48" s="695"/>
      <c r="S48" s="695"/>
      <c r="T48" s="695"/>
      <c r="U48" s="695"/>
      <c r="V48" s="695"/>
      <c r="W48" s="695"/>
      <c r="X48" s="695"/>
      <c r="Y48" s="695"/>
      <c r="Z48" s="695"/>
      <c r="AA48" s="695"/>
      <c r="AB48" s="695"/>
      <c r="AC48" s="695"/>
      <c r="AD48" s="695"/>
      <c r="AE48" s="695"/>
      <c r="AF48" s="695"/>
      <c r="AG48" s="695"/>
      <c r="AH48" s="695"/>
      <c r="AI48" s="695"/>
      <c r="AJ48" s="695"/>
      <c r="AK48" s="695"/>
      <c r="AL48" s="695"/>
      <c r="AM48" s="696"/>
      <c r="AO48" s="239"/>
      <c r="AP48" s="239"/>
      <c r="AQ48" s="239"/>
      <c r="AR48" s="239"/>
      <c r="AS48" s="239"/>
      <c r="AT48" s="239"/>
      <c r="AU48" s="239"/>
      <c r="AV48" s="575"/>
      <c r="AW48" s="577"/>
      <c r="AX48" s="611"/>
      <c r="AY48" s="575"/>
      <c r="AZ48" s="581"/>
      <c r="BA48" s="577"/>
      <c r="BB48" s="583"/>
      <c r="BC48" s="239"/>
      <c r="BD48" s="239"/>
    </row>
    <row r="49" spans="1:56" ht="5.25" customHeight="1" thickBot="1" x14ac:dyDescent="0.4">
      <c r="B49" s="94" t="s">
        <v>353</v>
      </c>
      <c r="C49" s="461"/>
      <c r="G49" s="15"/>
      <c r="W49" s="1"/>
      <c r="X49" s="1"/>
      <c r="Y49" s="1"/>
      <c r="Z49" s="1"/>
      <c r="AA49" s="1"/>
      <c r="AB49" s="1"/>
      <c r="AC49" s="1"/>
      <c r="AW49" s="615"/>
      <c r="AX49" s="611"/>
      <c r="AY49" s="613"/>
      <c r="AZ49" s="578"/>
      <c r="BA49" s="574"/>
      <c r="BB49" s="579"/>
    </row>
    <row r="50" spans="1:56" s="239" customFormat="1" ht="24" customHeight="1" thickBot="1" x14ac:dyDescent="0.4">
      <c r="A50" s="269"/>
      <c r="B50" s="685" t="s">
        <v>486</v>
      </c>
      <c r="C50" s="686"/>
      <c r="D50" s="686"/>
      <c r="E50" s="686"/>
      <c r="F50" s="686"/>
      <c r="G50" s="686"/>
      <c r="H50" s="686"/>
      <c r="I50" s="686"/>
      <c r="J50" s="686"/>
      <c r="K50" s="686"/>
      <c r="L50" s="686"/>
      <c r="M50" s="686"/>
      <c r="N50" s="686"/>
      <c r="O50" s="686"/>
      <c r="P50" s="686"/>
      <c r="Q50" s="686"/>
      <c r="R50" s="686"/>
      <c r="S50" s="686"/>
      <c r="T50" s="686"/>
      <c r="U50" s="686"/>
      <c r="V50" s="686"/>
      <c r="W50" s="686"/>
      <c r="X50" s="686"/>
      <c r="Y50" s="686"/>
      <c r="Z50" s="686"/>
      <c r="AA50" s="686"/>
      <c r="AB50" s="686"/>
      <c r="AC50" s="686"/>
      <c r="AD50" s="686"/>
      <c r="AE50" s="686"/>
      <c r="AF50" s="686"/>
      <c r="AG50" s="686"/>
      <c r="AH50" s="686"/>
      <c r="AI50" s="686"/>
      <c r="AJ50" s="686"/>
      <c r="AK50" s="686"/>
      <c r="AL50" s="686"/>
      <c r="AM50" s="687"/>
      <c r="AO50" s="15">
        <f>T48-G48</f>
        <v>0</v>
      </c>
      <c r="AP50" s="15">
        <f>T48-K48</f>
        <v>0</v>
      </c>
      <c r="AQ50" s="15">
        <f>X48-I48</f>
        <v>0</v>
      </c>
      <c r="AR50" s="15"/>
      <c r="AS50" s="15">
        <f>T48-S48</f>
        <v>0</v>
      </c>
      <c r="AT50" s="15">
        <f>X48-W48</f>
        <v>0</v>
      </c>
      <c r="AU50" s="15"/>
      <c r="AV50" s="591"/>
      <c r="AW50" s="614"/>
      <c r="AX50" s="611"/>
      <c r="AY50" s="591"/>
      <c r="AZ50" s="593"/>
      <c r="BA50" s="592"/>
      <c r="BB50" s="594"/>
      <c r="BC50" s="15"/>
      <c r="BD50" s="15"/>
    </row>
    <row r="51" spans="1:56" ht="5.25" customHeight="1" x14ac:dyDescent="0.35">
      <c r="C51" s="461"/>
      <c r="G51" s="15"/>
      <c r="W51" s="1"/>
      <c r="X51" s="1"/>
      <c r="Y51" s="1"/>
      <c r="Z51" s="1"/>
      <c r="AA51" s="1"/>
      <c r="AB51" s="1"/>
      <c r="AC51" s="1"/>
      <c r="AW51" s="615"/>
      <c r="AX51" s="611"/>
      <c r="AY51" s="613"/>
      <c r="AZ51" s="578"/>
      <c r="BA51" s="574"/>
      <c r="BB51" s="579"/>
    </row>
    <row r="52" spans="1:56" s="239" customFormat="1" ht="57.75" hidden="1" customHeight="1" thickBot="1" x14ac:dyDescent="0.4">
      <c r="A52" s="269"/>
      <c r="B52" s="688" t="s">
        <v>383</v>
      </c>
      <c r="C52" s="689"/>
      <c r="D52" s="689"/>
      <c r="E52" s="689"/>
      <c r="F52" s="689"/>
      <c r="G52" s="689"/>
      <c r="H52" s="689"/>
      <c r="I52" s="689"/>
      <c r="J52" s="689"/>
      <c r="K52" s="689"/>
      <c r="L52" s="689"/>
      <c r="M52" s="689"/>
      <c r="N52" s="689"/>
      <c r="O52" s="689"/>
      <c r="P52" s="689"/>
      <c r="Q52" s="689"/>
      <c r="R52" s="689"/>
      <c r="S52" s="689"/>
      <c r="T52" s="689"/>
      <c r="U52" s="689"/>
      <c r="V52" s="689"/>
      <c r="W52" s="689"/>
      <c r="X52" s="689"/>
      <c r="Y52" s="689"/>
      <c r="Z52" s="689"/>
      <c r="AA52" s="689"/>
      <c r="AB52" s="689"/>
      <c r="AC52" s="689"/>
      <c r="AD52" s="689"/>
      <c r="AE52" s="689"/>
      <c r="AF52" s="689"/>
      <c r="AG52" s="689"/>
      <c r="AH52" s="689"/>
      <c r="AI52" s="689"/>
      <c r="AJ52" s="689"/>
      <c r="AK52" s="689"/>
      <c r="AL52" s="689"/>
      <c r="AM52" s="690"/>
      <c r="AV52" s="608">
        <v>70.5</v>
      </c>
      <c r="AW52" s="615">
        <v>46106</v>
      </c>
      <c r="AX52" s="611"/>
      <c r="AY52" s="613">
        <v>72.617237000000003</v>
      </c>
      <c r="AZ52" s="578">
        <v>-72.617237000000003</v>
      </c>
      <c r="BA52" s="574">
        <v>46106</v>
      </c>
      <c r="BB52" s="579">
        <v>-46106</v>
      </c>
    </row>
    <row r="53" spans="1:56" s="239" customFormat="1" ht="1.5" customHeight="1" thickBot="1" x14ac:dyDescent="0.4">
      <c r="A53" s="269"/>
      <c r="C53" s="461"/>
      <c r="D53" s="270"/>
      <c r="W53" s="270"/>
      <c r="X53" s="270"/>
      <c r="Y53" s="270"/>
      <c r="Z53" s="270"/>
      <c r="AA53" s="270"/>
      <c r="AB53" s="270"/>
      <c r="AC53" s="270"/>
      <c r="AE53" s="270"/>
      <c r="AF53" s="270"/>
      <c r="AG53" s="270"/>
      <c r="AH53" s="270"/>
      <c r="AI53" s="270"/>
      <c r="AJ53" s="270"/>
      <c r="AK53" s="270"/>
      <c r="AL53" s="270"/>
      <c r="AO53" s="15">
        <f>T51-G51</f>
        <v>0</v>
      </c>
      <c r="AP53" s="15">
        <f>T51-K51</f>
        <v>0</v>
      </c>
      <c r="AQ53" s="15">
        <f>X51-I51</f>
        <v>0</v>
      </c>
      <c r="AR53" s="15"/>
      <c r="AS53" s="15">
        <f>T51-S51</f>
        <v>0</v>
      </c>
      <c r="AT53" s="15">
        <f>X51-W51</f>
        <v>0</v>
      </c>
      <c r="AU53" s="15"/>
      <c r="AV53" s="608"/>
      <c r="AW53" s="615"/>
      <c r="AX53" s="611"/>
      <c r="AY53" s="613"/>
      <c r="AZ53" s="578"/>
      <c r="BA53" s="574"/>
      <c r="BB53" s="579"/>
      <c r="BC53" s="15"/>
      <c r="BD53" s="15"/>
    </row>
    <row r="54" spans="1:56" ht="36" customHeight="1" x14ac:dyDescent="0.35">
      <c r="B54" s="207" t="s">
        <v>301</v>
      </c>
      <c r="C54" s="462" t="s">
        <v>317</v>
      </c>
      <c r="D54" s="509" t="s">
        <v>3</v>
      </c>
      <c r="E54" s="504"/>
      <c r="F54" s="216" t="str">
        <f>VLOOKUP($C54,'4b) SL EPO Extended Data Sheet'!$A$5:$AB$168,2,FALSE)</f>
        <v>R</v>
      </c>
      <c r="G54" s="217">
        <f>VLOOKUP($C54,'4b) SL EPO Extended Data Sheet'!$A$5:$AB$168,3, FALSE)</f>
        <v>0</v>
      </c>
      <c r="H54" s="505"/>
      <c r="I54" s="506" t="str">
        <f>VLOOKUP($C54,'4b) SL EPO Extended Data Sheet'!$A$5:$AD$168,30, FALSE)</f>
        <v>N/A
(May-15)</v>
      </c>
      <c r="J54" s="560">
        <f>VLOOKUP($C54,'4b) SL EPO Extended Data Sheet'!$A$5:$AB$168,6, FALSE)/1000000</f>
        <v>0</v>
      </c>
      <c r="K54" s="560">
        <f>VLOOKUP($C54,'4b) SL EPO Extended Data Sheet'!$A$5:$AB$168,7, FALSE)/1000000</f>
        <v>0</v>
      </c>
      <c r="L54" s="48" t="str">
        <f>VLOOKUP($C54,'4b) SL EPO Extended Data Sheet'!$A$5:$AB$168,8, FALSE)</f>
        <v/>
      </c>
      <c r="M54" s="507" t="str">
        <f>VLOOKUP($C54,'4b) SL EPO Extended Data Sheet'!$A$5:$AB$168,9, FALSE)</f>
        <v/>
      </c>
      <c r="N54" s="504">
        <f>VLOOKUP($C54,'4b) SL EPO Extended Data Sheet'!$A$5:$AB$168,5, FALSE)</f>
        <v>42125</v>
      </c>
      <c r="O54" s="48">
        <f>VLOOKUP($C54,'4b) SL EPO Extended Data Sheet'!$A$5:$AB$168,10, FALSE)/1000000</f>
        <v>0</v>
      </c>
      <c r="P54" s="48">
        <f>VLOOKUP($C54,'4b) SL EPO Extended Data Sheet'!$A$5:$AB$168,11, FALSE)/1000000</f>
        <v>11.867767000000001</v>
      </c>
      <c r="Q54" s="504"/>
      <c r="R54" s="216" t="str">
        <f>VLOOKUP($C54,'4b) SL EPO Extended Data Sheet'!$A$5:$AC$168,12,FALSE)</f>
        <v>A</v>
      </c>
      <c r="S54" s="217">
        <f>VLOOKUP($C54,'4b) SL EPO Extended Data Sheet'!$A$5:$AB$168,13,FALSE)</f>
        <v>0</v>
      </c>
      <c r="T54" s="505"/>
      <c r="U54" s="506" t="str">
        <f>VLOOKUP($C54,'4b) SL EPO Extended Data Sheet'!$A$5:$AE$168,31,FALSE)</f>
        <v>N/A
(Nov-25)</v>
      </c>
      <c r="V54" s="505"/>
      <c r="W54" s="49">
        <f>VLOOKUP($C54,'4b) SL EPO Extended Data Sheet'!$A$5:$AC$168,16,FALSE)/1000000</f>
        <v>20.914988999999998</v>
      </c>
      <c r="X54" s="49">
        <f>VLOOKUP($C54,'4b) SL EPO Extended Data Sheet'!$A$5:$AC$168,17,FALSE)/1000000</f>
        <v>13.123351749999999</v>
      </c>
      <c r="Y54" s="49">
        <f>VLOOKUP($C54,'4b) SL EPO Extended Data Sheet'!$A$5:$AC$168,18,FALSE)/1000000</f>
        <v>-10.253977000000001</v>
      </c>
      <c r="Z54" s="49">
        <f>VLOOKUP($C54,'4b) SL EPO Extended Data Sheet'!$A$5:$AB$168,16,FALSE)/1000000</f>
        <v>20.914988999999998</v>
      </c>
      <c r="AA54" s="507">
        <f>VLOOKUP($C54,'4b) SL EPO Extended Data Sheet'!$A$5:$AC$168,19,FALSE)</f>
        <v>48183</v>
      </c>
      <c r="AB54" s="507">
        <f>VLOOKUP($C54,'4b) SL EPO Extended Data Sheet'!$A$5:$AC$168,20,FALSE)</f>
        <v>48934</v>
      </c>
      <c r="AC54" s="51">
        <f>VLOOKUP($C54,'4b) SL EPO Extended Data Sheet'!$A$5:$AC$168,21,FALSE)</f>
        <v>751</v>
      </c>
      <c r="AD54" s="504">
        <f>VLOOKUP($C54,'4b) SL EPO Extended Data Sheet'!$A$5:$AB$168,15,FALSE)/1000000</f>
        <v>4.5968000000000002E-2</v>
      </c>
      <c r="AE54" s="49">
        <f>VLOOKUP($C54,'4b) SL EPO Extended Data Sheet'!$A$5:$AC$168,22,FALSE)/1000000</f>
        <v>9.0356951799999994</v>
      </c>
      <c r="AF54" s="49">
        <f>VLOOKUP($C54,'4b) SL EPO Extended Data Sheet'!$A$5:$AC$168,23,FALSE)/1000000</f>
        <v>7.7445885169000004</v>
      </c>
      <c r="AG54" s="52">
        <f>VLOOKUP($C54,'4b) SL EPO Extended Data Sheet'!$A$5:$AC$168,24,FALSE)/1000000</f>
        <v>9.1474514399999993</v>
      </c>
      <c r="AH54" s="508">
        <f>VLOOKUP($C54,'4b) SL EPO Extended Data Sheet'!$A$5:$AC$168,25,FALSE)</f>
        <v>0.84663893191435191</v>
      </c>
      <c r="AI54" s="508">
        <f>VLOOKUP($C54,'4b) SL EPO Extended Data Sheet'!$A$5:$AC$168,26,FALSE)</f>
        <v>0.85711042289720096</v>
      </c>
      <c r="AJ54" s="544">
        <f>VLOOKUP($C54,'4b) SL EPO Extended Data Sheet'!$A$5:$AC$168,27,FALSE)</f>
        <v>0.43202007804068171</v>
      </c>
      <c r="AK54" s="543">
        <f>VLOOKUP($C54,'4b) SL EPO Extended Data Sheet'!$A$5:$AC$168,28,FALSE)</f>
        <v>0.37028891178953049</v>
      </c>
      <c r="AL54" s="509">
        <f>VLOOKUP($C54,'4b) SL EPO Extended Data Sheet'!$A$6:$AB$168,15,FALSE)</f>
        <v>45968</v>
      </c>
      <c r="AM54" s="219" t="str">
        <f>VLOOKUP($C54,'4b) SL EPO Extended Data Sheet'!$A$5:$AC$168,29,FALSE)</f>
        <v>G</v>
      </c>
      <c r="AO54" s="239"/>
      <c r="AP54" s="239"/>
      <c r="AQ54" s="239"/>
      <c r="AR54" s="239"/>
      <c r="AS54" s="239"/>
      <c r="AT54" s="239"/>
      <c r="AU54" s="239"/>
      <c r="AV54" s="600">
        <v>23.37732875</v>
      </c>
      <c r="AW54" s="576">
        <v>48183</v>
      </c>
      <c r="AX54" s="611"/>
      <c r="AY54" s="600">
        <v>20.914988999999998</v>
      </c>
      <c r="AZ54" s="580">
        <f>W54-AY54</f>
        <v>0</v>
      </c>
      <c r="BA54" s="576">
        <v>48183</v>
      </c>
      <c r="BB54" s="582">
        <f>AA54-BA54</f>
        <v>0</v>
      </c>
      <c r="BC54" s="239"/>
      <c r="BD54" s="239"/>
    </row>
    <row r="55" spans="1:56" ht="47.15" customHeight="1" thickBot="1" x14ac:dyDescent="0.4">
      <c r="A55" s="269" t="str">
        <f>C54</f>
        <v>THORP Receipt &amp; Storage Control Systems Replacement</v>
      </c>
      <c r="B55" s="691" t="s">
        <v>552</v>
      </c>
      <c r="C55" s="692"/>
      <c r="D55" s="692"/>
      <c r="E55" s="692"/>
      <c r="F55" s="692"/>
      <c r="G55" s="692"/>
      <c r="H55" s="692"/>
      <c r="I55" s="692"/>
      <c r="J55" s="692"/>
      <c r="K55" s="692"/>
      <c r="L55" s="692"/>
      <c r="M55" s="692"/>
      <c r="N55" s="692"/>
      <c r="O55" s="692"/>
      <c r="P55" s="692"/>
      <c r="Q55" s="692"/>
      <c r="R55" s="692"/>
      <c r="S55" s="692"/>
      <c r="T55" s="692"/>
      <c r="U55" s="692"/>
      <c r="V55" s="692"/>
      <c r="W55" s="692"/>
      <c r="X55" s="692"/>
      <c r="Y55" s="692"/>
      <c r="Z55" s="692"/>
      <c r="AA55" s="692"/>
      <c r="AB55" s="692"/>
      <c r="AC55" s="692"/>
      <c r="AD55" s="692"/>
      <c r="AE55" s="692"/>
      <c r="AF55" s="692"/>
      <c r="AG55" s="692"/>
      <c r="AH55" s="692"/>
      <c r="AI55" s="692"/>
      <c r="AJ55" s="692"/>
      <c r="AK55" s="692"/>
      <c r="AL55" s="692"/>
      <c r="AM55" s="693"/>
      <c r="AO55" s="239"/>
      <c r="AP55" s="239"/>
      <c r="AQ55" s="239"/>
      <c r="AR55" s="239"/>
      <c r="AS55" s="239"/>
      <c r="AT55" s="239"/>
      <c r="AU55" s="239"/>
      <c r="AV55" s="575"/>
      <c r="AW55" s="577"/>
      <c r="AX55" s="611"/>
      <c r="AY55" s="575"/>
      <c r="AZ55" s="581"/>
      <c r="BA55" s="577"/>
      <c r="BB55" s="583"/>
      <c r="BC55" s="239"/>
      <c r="BD55" s="239"/>
    </row>
    <row r="56" spans="1:56" s="239" customFormat="1" ht="5.25" customHeight="1" thickBot="1" x14ac:dyDescent="0.4">
      <c r="A56" s="269"/>
      <c r="C56" s="461"/>
      <c r="D56" s="260"/>
      <c r="W56" s="260"/>
      <c r="X56" s="260"/>
      <c r="Y56" s="260"/>
      <c r="Z56" s="260"/>
      <c r="AA56" s="260"/>
      <c r="AB56" s="260"/>
      <c r="AC56" s="260"/>
      <c r="AE56" s="260"/>
      <c r="AF56" s="260"/>
      <c r="AG56" s="260"/>
      <c r="AH56" s="260"/>
      <c r="AI56" s="260"/>
      <c r="AJ56" s="260"/>
      <c r="AK56" s="260"/>
      <c r="AL56" s="260"/>
      <c r="AO56" s="15">
        <f>T54-G54</f>
        <v>0</v>
      </c>
      <c r="AP56" s="15">
        <f>T54-K54</f>
        <v>0</v>
      </c>
      <c r="AQ56" s="15" t="e">
        <f>X54-I54</f>
        <v>#VALUE!</v>
      </c>
      <c r="AR56" s="15"/>
      <c r="AS56" s="15">
        <f>T54-S54</f>
        <v>0</v>
      </c>
      <c r="AT56" s="15">
        <f>X54-W54</f>
        <v>-7.7916372499999991</v>
      </c>
      <c r="AU56" s="15"/>
      <c r="AV56" s="608"/>
      <c r="AW56" s="615"/>
      <c r="AX56" s="611"/>
      <c r="AY56" s="613"/>
      <c r="AZ56" s="578"/>
      <c r="BA56" s="574"/>
      <c r="BB56" s="579"/>
      <c r="BC56" s="15"/>
      <c r="BD56" s="15"/>
    </row>
    <row r="57" spans="1:56" s="239" customFormat="1" ht="36" customHeight="1" x14ac:dyDescent="0.35">
      <c r="A57" s="269"/>
      <c r="B57" s="193" t="s">
        <v>116</v>
      </c>
      <c r="C57" s="556" t="s">
        <v>115</v>
      </c>
      <c r="D57" s="509" t="s">
        <v>3</v>
      </c>
      <c r="E57" s="504"/>
      <c r="F57" s="216" t="str">
        <f>VLOOKUP(C57,'5a)NDA MPPR'!$B$9:$AK$61,3,FALSE)</f>
        <v>A</v>
      </c>
      <c r="G57" s="217">
        <f>VLOOKUP(C57,'5a)NDA MPPR'!$B$9:$AK$61,4,FALSE)</f>
        <v>0</v>
      </c>
      <c r="H57" s="505"/>
      <c r="I57" s="506" t="str">
        <f>VLOOKUP(C57,'5a)NDA MPPR'!$B$9:$AK$61,6,FALSE)</f>
        <v>FBC 
(May-23)</v>
      </c>
      <c r="J57" s="72">
        <f>VLOOKUP(C57,'5a)NDA MPPR'!$B$9:$AK$61,7,FALSE)</f>
        <v>403.5</v>
      </c>
      <c r="K57" s="48">
        <f>VLOOKUP(C57,'5a)NDA MPPR'!$B$9:$AK$61,8,FALSE)</f>
        <v>430.4</v>
      </c>
      <c r="L57" s="507">
        <f>VLOOKUP(C57,'5a)NDA MPPR'!$B$9:$AK$61,9,FALSE)</f>
        <v>47362</v>
      </c>
      <c r="M57" s="507">
        <f>VLOOKUP(C57,'5a)NDA MPPR'!$B$9:$AK$61,10,FALSE)</f>
        <v>47665</v>
      </c>
      <c r="N57" s="504"/>
      <c r="O57" s="48">
        <f>VLOOKUP(C57,'5a)NDA MPPR'!$B$9:$AK$61,12,FALSE)</f>
        <v>430.4</v>
      </c>
      <c r="P57" s="48">
        <f>VLOOKUP(C57,'5a)NDA MPPR'!$B$9:$AK$61,13,FALSE)</f>
        <v>403.5</v>
      </c>
      <c r="Q57" s="504"/>
      <c r="R57" s="216" t="str">
        <f>VLOOKUP(C57,'5a)NDA MPPR'!$B$9:$AK$61,15,FALSE)</f>
        <v>A</v>
      </c>
      <c r="S57" s="217">
        <f>VLOOKUP(C57,'5a)NDA MPPR'!$B$9:$AK$61,16,FALSE)</f>
        <v>0</v>
      </c>
      <c r="T57" s="505"/>
      <c r="U57" s="523" t="str">
        <f>VLOOKUP(C57,'5a)NDA MPPR'!$B$9:$AK$61,18,FALSE)</f>
        <v>FBC
 (Jan-23)</v>
      </c>
      <c r="V57" s="505"/>
      <c r="W57" s="49">
        <f>VLOOKUP(C57,'5a)NDA MPPR'!$B$9:$AK$61,20,FALSE)</f>
        <v>435.381978</v>
      </c>
      <c r="X57" s="49">
        <f>VLOOKUP(C57,'5a)NDA MPPR'!$B$9:$AK$61,21,FALSE)</f>
        <v>427.83868386</v>
      </c>
      <c r="Y57" s="49">
        <f>VLOOKUP(C57,'5a)NDA MPPR'!$B$9:$AK$61,22,FALSE)</f>
        <v>0</v>
      </c>
      <c r="Z57" s="50"/>
      <c r="AA57" s="507">
        <f>VLOOKUP(C57,'5a)NDA MPPR'!$B$9:$AK$61,24,FALSE)</f>
        <v>47364</v>
      </c>
      <c r="AB57" s="507">
        <f>VLOOKUP(C57,'5a)NDA MPPR'!$B$9:$AK$61,25,FALSE)</f>
        <v>47826</v>
      </c>
      <c r="AC57" s="51">
        <f>VLOOKUP(C57,'5a)NDA MPPR'!$B$9:$AK$61,26,FALSE)</f>
        <v>0</v>
      </c>
      <c r="AD57" s="504"/>
      <c r="AE57" s="49">
        <f>VLOOKUP(C57,'5a)NDA MPPR'!$B$9:$AK$61,28,FALSE)</f>
        <v>343.16946235</v>
      </c>
      <c r="AF57" s="49">
        <f>VLOOKUP(C57,'5a)NDA MPPR'!$B$9:$AK$61,29,FALSE)</f>
        <v>309.56488580569999</v>
      </c>
      <c r="AG57" s="52">
        <f>VLOOKUP(C57,'5a)NDA MPPR'!$B$9:$AK$61,30,FALSE)</f>
        <v>306.47835002999994</v>
      </c>
      <c r="AH57" s="508">
        <f>VLOOKUP(C57,'5a)NDA MPPR'!$B$9:$AK$61,31,FALSE)</f>
        <v>1.0100709749168184</v>
      </c>
      <c r="AI57" s="90">
        <f>VLOOKUP(C57,'5a)NDA MPPR'!$B$9:$AK$61,32,FALSE)</f>
        <v>0.90207585396970269</v>
      </c>
      <c r="AJ57" s="544">
        <f>VLOOKUP(C57,'5a)NDA MPPR'!$B$9:$AK$61,33,FALSE)</f>
        <v>0.78820318637534426</v>
      </c>
      <c r="AK57" s="543">
        <f>VLOOKUP(C57,'5a)NDA MPPR'!$B$9:$AK$61,34,FALSE)</f>
        <v>0.71101906245117941</v>
      </c>
      <c r="AL57" s="509"/>
      <c r="AM57" s="219" t="str">
        <f>VLOOKUP(C57,'5a)NDA MPPR'!$B$9:$AK$61,36,FALSE)</f>
        <v>A</v>
      </c>
      <c r="AV57" s="600">
        <v>427.82948672000003</v>
      </c>
      <c r="AW57" s="576">
        <v>47826</v>
      </c>
      <c r="AX57" s="611"/>
      <c r="AY57" s="600">
        <v>435.381978</v>
      </c>
      <c r="AZ57" s="580">
        <f>W57-AY57</f>
        <v>0</v>
      </c>
      <c r="BA57" s="576">
        <v>47364</v>
      </c>
      <c r="BB57" s="582">
        <f>AA57-BA57</f>
        <v>0</v>
      </c>
    </row>
    <row r="58" spans="1:56" s="239" customFormat="1" ht="113.25" customHeight="1" thickBot="1" x14ac:dyDescent="0.4">
      <c r="A58" s="269" t="str">
        <f>C57</f>
        <v>Electrical Supply - New Construction</v>
      </c>
      <c r="B58" s="702" t="str">
        <f>VLOOKUP($C57,'5a)NDA MPPR'!$A$9:$AK$61,2,FALSE)</f>
        <v>The Electrical Distribution Network Upgrade Project (EDNUP) relates to the refurbishment of the Sellafield Site’s electricity network. The project will bolster the emergency power generation capability and improve site resilience which is important particularly in the event of a National Grid failure. The Delivery Confidence Assessment remains at Amber noting that the latest forecast for completion exceeds the current P80. An update paper was acknowledged at NDA GIC in June 2025, which noted that a P80 draw down will be necessary  to enable continuity of project delivery (current forecast required in 2026/27 Qtr 1). The project continues to be impacted by industrial action in the supply chain resulting in productivity losses, key skills unavailable, and constraints on work scope delivery. Impact assessment will be finalised on conclusion of the action with the intent to seek appropriate sanction relief subject to further review.  This is not a dispute directly with Sellafield Ltd; Sellafield is engaged with the Supply Chain and Stakeholders to ensure effective management of the impacts; correct mitigations are in place and to effectively mobilise resources upon return to work.The full lifecycle cost forecast is stable in period although under significant and increasing pressure from strike delay costs,  further realised risks with in-ground conditions and increases in subcontract costs. The further review of the P50 to P80 delta and inflationary impact will be included in the next sanction request. The schedule is stable with no overall movement to the end date in period, although  strike action and realised risk are continuing to reduce available schedule float. The baseline RAG remains Amber as the project completion date is beyond the P50 baseline. The current P50 baseline and approved NDA sanction differs as a result of indexation and historical positive cost variance on the project pre implementation of change control associated with the Full Business Case (FBC) resubmission. The project plan and progress to date indicates a steady recovery of the variance.  Reoccurrences of radiological contamination are affecting interconnector critical path progress impacting construction duration. The first downstream connections from Substation 111 has finally been completed and energised after resolution of unexpected issues with existing cables.  The next downstream connection has encountered different issues with existing cables which is being investigated before connections can be made.  Continued strike impacts and existing asset risks have put the Key Target for downstream changeovers in jeopardy.  Cable route construction is progressing on multiple fronts, including a ringfenced risk mitigation advanced dig team who are discovering a significant number of uncharted services and obstructions.  Strike action continues to impact multiple workfaces including waste movements, scaffolding, electrical installations and daily productivity. The temporary cable installation which will mitigate delays to electrical isolations necessary for excavations near aged buried cables has also been impacted. Management and characterisation of waste from the site continues to be onerous.  The Capability and Capacity RAG remains at Amber in period due to Construction and Protection Engineer resource issues, which are now critical and impacting site delivery, with timescales for backfill still to be determined.</v>
      </c>
      <c r="C58" s="703"/>
      <c r="D58" s="703"/>
      <c r="E58" s="703"/>
      <c r="F58" s="703"/>
      <c r="G58" s="703"/>
      <c r="H58" s="703"/>
      <c r="I58" s="703"/>
      <c r="J58" s="703"/>
      <c r="K58" s="703"/>
      <c r="L58" s="703"/>
      <c r="M58" s="703"/>
      <c r="N58" s="703"/>
      <c r="O58" s="703"/>
      <c r="P58" s="703"/>
      <c r="Q58" s="703"/>
      <c r="R58" s="703"/>
      <c r="S58" s="703"/>
      <c r="T58" s="703"/>
      <c r="U58" s="703"/>
      <c r="V58" s="703"/>
      <c r="W58" s="703"/>
      <c r="X58" s="703"/>
      <c r="Y58" s="703"/>
      <c r="Z58" s="703"/>
      <c r="AA58" s="703"/>
      <c r="AB58" s="703"/>
      <c r="AC58" s="703"/>
      <c r="AD58" s="703"/>
      <c r="AE58" s="703"/>
      <c r="AF58" s="703"/>
      <c r="AG58" s="703"/>
      <c r="AH58" s="703"/>
      <c r="AI58" s="703"/>
      <c r="AJ58" s="703"/>
      <c r="AK58" s="703"/>
      <c r="AL58" s="703"/>
      <c r="AM58" s="704"/>
      <c r="AO58" s="475"/>
      <c r="AP58" s="475"/>
      <c r="AQ58" s="475"/>
      <c r="AR58" s="475"/>
      <c r="AS58" s="475"/>
      <c r="AT58" s="475"/>
      <c r="AU58" s="475"/>
      <c r="AV58" s="575"/>
      <c r="AW58" s="577"/>
      <c r="AX58" s="611"/>
      <c r="AY58" s="575"/>
      <c r="AZ58" s="581"/>
      <c r="BA58" s="577"/>
      <c r="BB58" s="583"/>
      <c r="BC58" s="475"/>
      <c r="BD58" s="475"/>
    </row>
    <row r="59" spans="1:56" s="475" customFormat="1" ht="5.25" customHeight="1" thickBot="1" x14ac:dyDescent="0.4">
      <c r="A59" s="269"/>
      <c r="C59" s="461"/>
      <c r="D59" s="569"/>
      <c r="W59" s="569"/>
      <c r="X59" s="569"/>
      <c r="Y59" s="569"/>
      <c r="Z59" s="569"/>
      <c r="AA59" s="569"/>
      <c r="AB59" s="569"/>
      <c r="AC59" s="569"/>
      <c r="AE59" s="569"/>
      <c r="AF59" s="569"/>
      <c r="AG59" s="569"/>
      <c r="AH59" s="569"/>
      <c r="AI59" s="569"/>
      <c r="AJ59" s="569"/>
      <c r="AK59" s="569"/>
      <c r="AL59" s="569"/>
      <c r="AO59" s="239">
        <f>T57-G57</f>
        <v>0</v>
      </c>
      <c r="AP59" s="239">
        <f>T57-K57</f>
        <v>-430.4</v>
      </c>
      <c r="AQ59" s="239" t="e">
        <f>X57-I57</f>
        <v>#VALUE!</v>
      </c>
      <c r="AR59" s="239"/>
      <c r="AS59" s="239">
        <f>T57-S57</f>
        <v>0</v>
      </c>
      <c r="AT59" s="239">
        <f>X57-W57</f>
        <v>-7.5432941400000004</v>
      </c>
      <c r="AU59" s="239"/>
      <c r="AV59" s="608"/>
      <c r="AW59" s="615"/>
      <c r="AX59" s="611"/>
      <c r="AY59" s="613"/>
      <c r="AZ59" s="578"/>
      <c r="BA59" s="574"/>
      <c r="BB59" s="579"/>
      <c r="BC59" s="239"/>
      <c r="BD59" s="239"/>
    </row>
    <row r="60" spans="1:56" s="239" customFormat="1" ht="36" customHeight="1" x14ac:dyDescent="0.35">
      <c r="A60" s="269"/>
      <c r="B60" s="193" t="s">
        <v>341</v>
      </c>
      <c r="C60" s="463" t="s">
        <v>342</v>
      </c>
      <c r="D60" s="509" t="s">
        <v>3</v>
      </c>
      <c r="E60" s="504"/>
      <c r="F60" s="216" t="str">
        <f>VLOOKUP($C60,'4b) SL EPO Extended Data Sheet'!$A$5:$AB$168,2,FALSE)</f>
        <v>A</v>
      </c>
      <c r="G60" s="217">
        <f>VLOOKUP($C60,'4b) SL EPO Extended Data Sheet'!$A$5:$AB$168,3, FALSE)</f>
        <v>0</v>
      </c>
      <c r="H60" s="505"/>
      <c r="I60" s="506" t="str">
        <f>VLOOKUP($C60,'4b) SL EPO Extended Data Sheet'!$A$5:$AD$168,30, FALSE)</f>
        <v>SOC
(Apr-24)</v>
      </c>
      <c r="J60" s="72">
        <f>VLOOKUP($C60,'4b) SL EPO Extended Data Sheet'!$A$5:$AB$168,6, FALSE)/1000000</f>
        <v>16</v>
      </c>
      <c r="K60" s="48">
        <f>VLOOKUP($C60,'4b) SL EPO Extended Data Sheet'!$A$5:$AB$168,7, FALSE)/1000000</f>
        <v>17</v>
      </c>
      <c r="L60" s="507">
        <f>VLOOKUP($C60,'4b) SL EPO Extended Data Sheet'!$A$5:$AB$168,8, FALSE)</f>
        <v>48519</v>
      </c>
      <c r="M60" s="507" t="str">
        <f>VLOOKUP($C60,'4b) SL EPO Extended Data Sheet'!$A$5:$AB$168,9, FALSE)</f>
        <v/>
      </c>
      <c r="N60" s="504">
        <f>VLOOKUP($C60,'4b) SL EPO Extended Data Sheet'!$A$5:$AB$168,5, FALSE)</f>
        <v>45394</v>
      </c>
      <c r="O60" s="48">
        <f>VLOOKUP($C60,'4b) SL EPO Extended Data Sheet'!$A$5:$AB$168,10, FALSE)/1000000</f>
        <v>0</v>
      </c>
      <c r="P60" s="48">
        <f>VLOOKUP($C60,'4b) SL EPO Extended Data Sheet'!$A$5:$AB$168,11, FALSE)/1000000</f>
        <v>16</v>
      </c>
      <c r="Q60" s="504"/>
      <c r="R60" s="216" t="str">
        <f>VLOOKUP($C60,'4b) SL EPO Extended Data Sheet'!$A$5:$AB$168,12,FALSE)</f>
        <v>A</v>
      </c>
      <c r="S60" s="217">
        <f>VLOOKUP($C60,'4b) SL EPO Extended Data Sheet'!$A$5:$AB$168,13,FALSE)</f>
        <v>0</v>
      </c>
      <c r="T60" s="505"/>
      <c r="U60" s="506" t="str">
        <f>VLOOKUP($C60,'4b) SL EPO Extended Data Sheet'!$A$5:$AE$168,31,FALSE)</f>
        <v>SOC
(Feb-24)</v>
      </c>
      <c r="V60" s="505"/>
      <c r="W60" s="49">
        <f>VLOOKUP($C60,'4b) SL EPO Extended Data Sheet'!$A$5:$AC$168,16,FALSE)/1000000</f>
        <v>155.655666</v>
      </c>
      <c r="X60" s="49">
        <f>VLOOKUP($C60,'4b) SL EPO Extended Data Sheet'!$A$5:$AC$168,17,FALSE)/1000000</f>
        <v>159.01214102</v>
      </c>
      <c r="Y60" s="49">
        <f>VLOOKUP($C60,'4b) SL EPO Extended Data Sheet'!$A$5:$AC$168,18,FALSE)/1000000</f>
        <v>-2.3E-5</v>
      </c>
      <c r="Z60" s="49">
        <f>VLOOKUP($C60,'4b) SL EPO Extended Data Sheet'!$A$5:$AB$168,16,FALSE)/1000000</f>
        <v>155.655666</v>
      </c>
      <c r="AA60" s="507">
        <f>VLOOKUP($C60,'4b) SL EPO Extended Data Sheet'!$A$5:$AC$168,19,FALSE)</f>
        <v>48530</v>
      </c>
      <c r="AB60" s="507">
        <f>VLOOKUP($C60,'4b) SL EPO Extended Data Sheet'!$A$5:$AC$168,20,FALSE)</f>
        <v>48530</v>
      </c>
      <c r="AC60" s="51">
        <f>VLOOKUP($C60,'4b) SL EPO Extended Data Sheet'!$A$5:$AC$168,21,FALSE)</f>
        <v>0</v>
      </c>
      <c r="AD60" s="504">
        <f>VLOOKUP($C60,'4b) SL EPO Extended Data Sheet'!$A$5:$AB$168,15,FALSE)/1000000</f>
        <v>4.5330000000000002E-2</v>
      </c>
      <c r="AE60" s="49">
        <f>VLOOKUP($C60,'4b) SL EPO Extended Data Sheet'!$A$5:$AC$168,22,FALSE)/1000000</f>
        <v>10.73322699</v>
      </c>
      <c r="AF60" s="49">
        <f>VLOOKUP($C60,'4b) SL EPO Extended Data Sheet'!$A$5:$AC$168,23,FALSE)/1000000</f>
        <v>7.0608811769000006</v>
      </c>
      <c r="AG60" s="52">
        <f>VLOOKUP($C60,'4b) SL EPO Extended Data Sheet'!$A$5:$AC$168,24,FALSE)/1000000</f>
        <v>11.01734098</v>
      </c>
      <c r="AH60" s="508">
        <f>VLOOKUP($C60,'4b) SL EPO Extended Data Sheet'!$A$5:$AC$168,25,FALSE)</f>
        <v>0.64088795923787412</v>
      </c>
      <c r="AI60" s="508">
        <f>VLOOKUP($C60,'4b) SL EPO Extended Data Sheet'!$A$5:$AC$168,26,FALSE)</f>
        <v>0.65785259023018205</v>
      </c>
      <c r="AJ60" s="544">
        <f>VLOOKUP($C60,'4b) SL EPO Extended Data Sheet'!$A$5:$AC$168,27,FALSE)</f>
        <v>6.8954939231058901E-2</v>
      </c>
      <c r="AK60" s="543">
        <f>VLOOKUP($C60,'4b) SL EPO Extended Data Sheet'!$A$5:$AC$168,28,FALSE)</f>
        <v>4.5362185382316893E-2</v>
      </c>
      <c r="AL60" s="509">
        <f>VLOOKUP($C60,'4b) SL EPO Extended Data Sheet'!$A$6:$AB$168,15,FALSE)</f>
        <v>45330</v>
      </c>
      <c r="AM60" s="219" t="str">
        <f>VLOOKUP($C60,'4b) SL EPO Extended Data Sheet'!$A$5:$AC$168,29,FALSE)</f>
        <v>A</v>
      </c>
      <c r="AV60" s="600">
        <v>159.01216402</v>
      </c>
      <c r="AW60" s="576">
        <v>48530</v>
      </c>
      <c r="AX60" s="611"/>
      <c r="AY60" s="600">
        <v>155.655666</v>
      </c>
      <c r="AZ60" s="580">
        <f>W60-AY60</f>
        <v>0</v>
      </c>
      <c r="BA60" s="576">
        <v>48530</v>
      </c>
      <c r="BB60" s="582">
        <f>AA60-BA60</f>
        <v>0</v>
      </c>
    </row>
    <row r="61" spans="1:56" s="239" customFormat="1" ht="55" customHeight="1" thickBot="1" x14ac:dyDescent="0.4">
      <c r="A61" s="269" t="str">
        <f>C60</f>
        <v>TR&amp;S Replacement Cooling System</v>
      </c>
      <c r="B61" s="694" t="s">
        <v>528</v>
      </c>
      <c r="C61" s="695"/>
      <c r="D61" s="695"/>
      <c r="E61" s="695"/>
      <c r="F61" s="695"/>
      <c r="G61" s="695"/>
      <c r="H61" s="695"/>
      <c r="I61" s="695"/>
      <c r="J61" s="695"/>
      <c r="K61" s="695"/>
      <c r="L61" s="695"/>
      <c r="M61" s="695"/>
      <c r="N61" s="695"/>
      <c r="O61" s="695"/>
      <c r="P61" s="695"/>
      <c r="Q61" s="695"/>
      <c r="R61" s="695"/>
      <c r="S61" s="695"/>
      <c r="T61" s="695"/>
      <c r="U61" s="695"/>
      <c r="V61" s="695"/>
      <c r="W61" s="695"/>
      <c r="X61" s="695"/>
      <c r="Y61" s="695"/>
      <c r="Z61" s="695"/>
      <c r="AA61" s="695"/>
      <c r="AB61" s="695"/>
      <c r="AC61" s="695"/>
      <c r="AD61" s="695"/>
      <c r="AE61" s="695"/>
      <c r="AF61" s="695"/>
      <c r="AG61" s="695"/>
      <c r="AH61" s="695"/>
      <c r="AI61" s="695"/>
      <c r="AJ61" s="695"/>
      <c r="AK61" s="695"/>
      <c r="AL61" s="695"/>
      <c r="AM61" s="696"/>
      <c r="AO61" s="436"/>
      <c r="AP61" s="436"/>
      <c r="AQ61" s="436"/>
      <c r="AR61" s="436"/>
      <c r="AS61" s="436"/>
      <c r="AT61" s="436"/>
      <c r="AU61" s="436"/>
      <c r="AV61" s="575"/>
      <c r="AW61" s="577"/>
      <c r="AX61" s="611"/>
      <c r="AY61" s="575"/>
      <c r="AZ61" s="581"/>
      <c r="BA61" s="577"/>
      <c r="BB61" s="583"/>
      <c r="BC61" s="436"/>
      <c r="BD61" s="436"/>
    </row>
    <row r="62" spans="1:56" s="436" customFormat="1" ht="5.25" customHeight="1" thickBot="1" x14ac:dyDescent="0.4">
      <c r="A62" s="269"/>
      <c r="C62" s="461"/>
      <c r="D62" s="438"/>
      <c r="W62" s="438"/>
      <c r="X62" s="438"/>
      <c r="Y62" s="438"/>
      <c r="Z62" s="438"/>
      <c r="AA62" s="438"/>
      <c r="AB62" s="438"/>
      <c r="AC62" s="438"/>
      <c r="AE62" s="438"/>
      <c r="AF62" s="438"/>
      <c r="AG62" s="438"/>
      <c r="AH62" s="438"/>
      <c r="AI62" s="438"/>
      <c r="AJ62" s="438"/>
      <c r="AK62" s="438"/>
      <c r="AL62" s="438"/>
      <c r="AO62" s="239"/>
      <c r="AP62" s="239"/>
      <c r="AQ62" s="239"/>
      <c r="AR62" s="239"/>
      <c r="AS62" s="239"/>
      <c r="AT62" s="239"/>
      <c r="AU62" s="239"/>
      <c r="AV62" s="608"/>
      <c r="AW62" s="615"/>
      <c r="AX62" s="611"/>
      <c r="AY62" s="613"/>
      <c r="AZ62" s="578"/>
      <c r="BA62" s="574"/>
      <c r="BB62" s="579"/>
      <c r="BC62" s="239"/>
      <c r="BD62" s="239"/>
    </row>
    <row r="63" spans="1:56" s="239" customFormat="1" ht="36" customHeight="1" x14ac:dyDescent="0.35">
      <c r="A63" s="269"/>
      <c r="B63" s="193" t="s">
        <v>331</v>
      </c>
      <c r="C63" s="463" t="s">
        <v>332</v>
      </c>
      <c r="D63" s="509" t="s">
        <v>3</v>
      </c>
      <c r="E63" s="504"/>
      <c r="F63" s="216" t="str">
        <f>VLOOKUP($C63,'4b) SL EPO Extended Data Sheet'!$A$5:$AB$168,2,FALSE)</f>
        <v>G</v>
      </c>
      <c r="G63" s="217">
        <f>VLOOKUP($C63,'4b) SL EPO Extended Data Sheet'!$A$5:$AB$168,3, FALSE)</f>
        <v>0</v>
      </c>
      <c r="H63" s="505"/>
      <c r="I63" s="506" t="str">
        <f>VLOOKUP($C63,'4b) SL EPO Extended Data Sheet'!$A$5:$AD$168,30, FALSE)</f>
        <v>OBC
(Nov-25)</v>
      </c>
      <c r="J63" s="72">
        <f>VLOOKUP($C63,'4b) SL EPO Extended Data Sheet'!$A$5:$AB$168,6, FALSE)/1000000</f>
        <v>67.606999999999999</v>
      </c>
      <c r="K63" s="48">
        <f>VLOOKUP($C63,'4b) SL EPO Extended Data Sheet'!$A$5:$AB$168,7, FALSE)/1000000</f>
        <v>94.587000000000003</v>
      </c>
      <c r="L63" s="49" t="str">
        <f>VLOOKUP($C63,'4b) SL EPO Extended Data Sheet'!$A$5:$AB$168,8, FALSE)</f>
        <v/>
      </c>
      <c r="M63" s="507" t="str">
        <f>VLOOKUP($C63,'4b) SL EPO Extended Data Sheet'!$A$5:$AB$168,9, FALSE)</f>
        <v/>
      </c>
      <c r="N63" s="504"/>
      <c r="O63" s="560">
        <f>VLOOKUP($C63,'4b) SL EPO Extended Data Sheet'!$A$5:$AB$168,10, FALSE)/1000000</f>
        <v>0</v>
      </c>
      <c r="P63" s="48">
        <f>VLOOKUP($C63,'4b) SL EPO Extended Data Sheet'!$A$5:$AB$168,11, FALSE)/1000000</f>
        <v>29.109000000000002</v>
      </c>
      <c r="Q63" s="504"/>
      <c r="R63" s="216" t="str">
        <f>VLOOKUP($C63,'4b) SL EPO Extended Data Sheet'!$A$5:$AB$168,12,FALSE)</f>
        <v>G</v>
      </c>
      <c r="S63" s="217">
        <f>VLOOKUP($C63,'4b) SL EPO Extended Data Sheet'!$A$5:$AB$168,13,FALSE)</f>
        <v>1</v>
      </c>
      <c r="T63" s="505"/>
      <c r="U63" s="506" t="str">
        <f>VLOOKUP($C63,'4b) SL EPO Extended Data Sheet'!$A$5:$AE$168,31,FALSE)</f>
        <v>OBC
(Apr-25)</v>
      </c>
      <c r="V63" s="505"/>
      <c r="W63" s="49">
        <f>VLOOKUP($C63,'4b) SL EPO Extended Data Sheet'!$A$5:$AC$168,16,FALSE)/1000000</f>
        <v>92.707031999999998</v>
      </c>
      <c r="X63" s="49">
        <f>VLOOKUP($C63,'4b) SL EPO Extended Data Sheet'!$A$5:$AC$168,17,FALSE)/1000000</f>
        <v>91.739519310000006</v>
      </c>
      <c r="Y63" s="49">
        <f>VLOOKUP($C63,'4b) SL EPO Extended Data Sheet'!$A$5:$AC$168,18,FALSE)/1000000</f>
        <v>7.5577787599999997</v>
      </c>
      <c r="Z63" s="49">
        <f>VLOOKUP($C63,'4b) SL EPO Extended Data Sheet'!$A$5:$AB$168,16,FALSE)/1000000</f>
        <v>92.707031999999998</v>
      </c>
      <c r="AA63" s="507">
        <f>VLOOKUP($C63,'4b) SL EPO Extended Data Sheet'!$A$5:$AC$168,19,FALSE)</f>
        <v>48982</v>
      </c>
      <c r="AB63" s="507">
        <f>VLOOKUP($C63,'4b) SL EPO Extended Data Sheet'!$A$5:$AC$168,20,FALSE)</f>
        <v>48982</v>
      </c>
      <c r="AC63" s="51">
        <f>VLOOKUP($C63,'4b) SL EPO Extended Data Sheet'!$A$5:$AC$168,21,FALSE)</f>
        <v>-79</v>
      </c>
      <c r="AD63" s="504">
        <f>VLOOKUP($C63,'4b) SL EPO Extended Data Sheet'!$A$5:$AB$168,15,FALSE)/1000000</f>
        <v>4.5747999999999997E-2</v>
      </c>
      <c r="AE63" s="49">
        <f>VLOOKUP($C63,'4b) SL EPO Extended Data Sheet'!$A$5:$AC$168,22,FALSE)/1000000</f>
        <v>22.78239353</v>
      </c>
      <c r="AF63" s="49">
        <f>VLOOKUP($C63,'4b) SL EPO Extended Data Sheet'!$A$5:$AC$168,23,FALSE)/1000000</f>
        <v>22.135460481300001</v>
      </c>
      <c r="AG63" s="52">
        <f>VLOOKUP($C63,'4b) SL EPO Extended Data Sheet'!$A$5:$AC$168,24,FALSE)/1000000</f>
        <v>17.098058630000001</v>
      </c>
      <c r="AH63" s="508">
        <f>VLOOKUP($C63,'4b) SL EPO Extended Data Sheet'!$A$5:$AC$168,25,FALSE)</f>
        <v>1.2946183517268708</v>
      </c>
      <c r="AI63" s="508">
        <f>VLOOKUP($C63,'4b) SL EPO Extended Data Sheet'!$A$5:$AC$168,26,FALSE)</f>
        <v>0.97160381555835584</v>
      </c>
      <c r="AJ63" s="544">
        <f>VLOOKUP($C63,'4b) SL EPO Extended Data Sheet'!$A$5:$AC$168,27,FALSE)</f>
        <v>0.24574612128667866</v>
      </c>
      <c r="AK63" s="543">
        <f>VLOOKUP($C63,'4b) SL EPO Extended Data Sheet'!$A$5:$AC$168,28,FALSE)</f>
        <v>0.2387678691008035</v>
      </c>
      <c r="AL63" s="509">
        <f>VLOOKUP($C63,'4b) SL EPO Extended Data Sheet'!$A$6:$AB$168,15,FALSE)</f>
        <v>45748</v>
      </c>
      <c r="AM63" s="605" t="str">
        <f>VLOOKUP($C63,'4b) SL EPO Extended Data Sheet'!$A$5:$AC$168,29,FALSE)</f>
        <v>A</v>
      </c>
      <c r="AV63" s="600">
        <v>84.181740550000001</v>
      </c>
      <c r="AW63" s="576">
        <v>49061</v>
      </c>
      <c r="AX63" s="611"/>
      <c r="AY63" s="600">
        <v>66.045681999999999</v>
      </c>
      <c r="AZ63" s="580">
        <f>W63-AY63</f>
        <v>26.661349999999999</v>
      </c>
      <c r="BA63" s="576">
        <v>48760</v>
      </c>
      <c r="BB63" s="582">
        <f>AA63-BA63</f>
        <v>222</v>
      </c>
    </row>
    <row r="64" spans="1:56" s="251" customFormat="1" ht="41.15" customHeight="1" thickBot="1" x14ac:dyDescent="0.4">
      <c r="A64" s="269" t="str">
        <f>C63</f>
        <v>FGFL Ventilation Extract System Upgrade</v>
      </c>
      <c r="B64" s="694" t="s">
        <v>575</v>
      </c>
      <c r="C64" s="695"/>
      <c r="D64" s="695"/>
      <c r="E64" s="695"/>
      <c r="F64" s="695"/>
      <c r="G64" s="695"/>
      <c r="H64" s="695"/>
      <c r="I64" s="695"/>
      <c r="J64" s="695"/>
      <c r="K64" s="695"/>
      <c r="L64" s="695"/>
      <c r="M64" s="695"/>
      <c r="N64" s="695"/>
      <c r="O64" s="695"/>
      <c r="P64" s="695"/>
      <c r="Q64" s="695"/>
      <c r="R64" s="695"/>
      <c r="S64" s="695"/>
      <c r="T64" s="695"/>
      <c r="U64" s="695"/>
      <c r="V64" s="695"/>
      <c r="W64" s="695"/>
      <c r="X64" s="695"/>
      <c r="Y64" s="695"/>
      <c r="Z64" s="695"/>
      <c r="AA64" s="695"/>
      <c r="AB64" s="695"/>
      <c r="AC64" s="695"/>
      <c r="AD64" s="695"/>
      <c r="AE64" s="695"/>
      <c r="AF64" s="695"/>
      <c r="AG64" s="695"/>
      <c r="AH64" s="695"/>
      <c r="AI64" s="695"/>
      <c r="AJ64" s="695"/>
      <c r="AK64" s="695"/>
      <c r="AL64" s="695"/>
      <c r="AM64" s="696"/>
      <c r="AO64" s="239"/>
      <c r="AP64" s="239"/>
      <c r="AQ64" s="239"/>
      <c r="AR64" s="239"/>
      <c r="AS64" s="239"/>
      <c r="AT64" s="239"/>
      <c r="AU64" s="239"/>
      <c r="AV64" s="575"/>
      <c r="AW64" s="577"/>
      <c r="AX64" s="611"/>
      <c r="AY64" s="575"/>
      <c r="AZ64" s="581"/>
      <c r="BA64" s="577"/>
      <c r="BB64" s="583"/>
      <c r="BC64" s="239"/>
      <c r="BD64" s="239"/>
    </row>
    <row r="65" spans="1:56" s="239" customFormat="1" ht="5.25" customHeight="1" thickBot="1" x14ac:dyDescent="0.4">
      <c r="A65" s="269"/>
      <c r="B65" s="261"/>
      <c r="C65" s="459"/>
      <c r="D65" s="261"/>
      <c r="E65" s="261"/>
      <c r="F65" s="261"/>
      <c r="G65" s="261"/>
      <c r="H65" s="261"/>
      <c r="I65" s="261"/>
      <c r="J65" s="261"/>
      <c r="K65" s="261"/>
      <c r="L65" s="261"/>
      <c r="M65" s="261"/>
      <c r="N65" s="261"/>
      <c r="O65" s="261"/>
      <c r="P65" s="261"/>
      <c r="Q65" s="261"/>
      <c r="R65" s="261"/>
      <c r="S65" s="261"/>
      <c r="T65" s="261"/>
      <c r="U65" s="261"/>
      <c r="V65" s="261"/>
      <c r="W65" s="261"/>
      <c r="X65" s="261"/>
      <c r="Y65" s="261"/>
      <c r="Z65" s="261"/>
      <c r="AA65" s="261"/>
      <c r="AB65" s="261"/>
      <c r="AC65" s="261"/>
      <c r="AD65" s="261"/>
      <c r="AE65" s="261"/>
      <c r="AF65" s="261"/>
      <c r="AG65" s="261"/>
      <c r="AH65" s="261"/>
      <c r="AI65" s="261"/>
      <c r="AJ65" s="261"/>
      <c r="AK65" s="261"/>
      <c r="AL65" s="261"/>
      <c r="AM65" s="261"/>
      <c r="AV65" s="608"/>
      <c r="AW65" s="615"/>
      <c r="AX65" s="611"/>
      <c r="AY65" s="613"/>
      <c r="AZ65" s="578"/>
      <c r="BA65" s="574"/>
      <c r="BB65" s="579"/>
    </row>
    <row r="66" spans="1:56" s="239" customFormat="1" ht="36" customHeight="1" x14ac:dyDescent="0.35">
      <c r="A66" s="269"/>
      <c r="B66" s="193" t="s">
        <v>333</v>
      </c>
      <c r="C66" s="463" t="s">
        <v>334</v>
      </c>
      <c r="D66" s="509" t="s">
        <v>3</v>
      </c>
      <c r="E66" s="504"/>
      <c r="F66" s="216" t="str">
        <f>VLOOKUP($C66,'4b) SL EPO Extended Data Sheet'!$A$5:$AB$168,2,FALSE)</f>
        <v>G</v>
      </c>
      <c r="G66" s="217">
        <f>VLOOKUP($C66,'4b) SL EPO Extended Data Sheet'!$A$5:$AB$168,3, FALSE)</f>
        <v>0</v>
      </c>
      <c r="H66" s="505"/>
      <c r="I66" s="506" t="str">
        <f>VLOOKUP($C66,'4b) SL EPO Extended Data Sheet'!$A$5:$AD$168,30, FALSE)</f>
        <v>OBC
(Feb-21)</v>
      </c>
      <c r="J66" s="72">
        <f>VLOOKUP($C66,'4b) SL EPO Extended Data Sheet'!$A$5:$AB$168,6, FALSE)/1000000</f>
        <v>30.216000000000001</v>
      </c>
      <c r="K66" s="48">
        <f>VLOOKUP($C66,'4b) SL EPO Extended Data Sheet'!$A$5:$AB$168,7, FALSE)/1000000</f>
        <v>31.312000000000001</v>
      </c>
      <c r="L66" s="507">
        <f>VLOOKUP($C66,'4b) SL EPO Extended Data Sheet'!$A$5:$AB$168,8, FALSE)</f>
        <v>46660</v>
      </c>
      <c r="M66" s="507">
        <f>VLOOKUP($C66,'4b) SL EPO Extended Data Sheet'!$A$5:$AB$168,9, FALSE)</f>
        <v>46782</v>
      </c>
      <c r="N66" s="504"/>
      <c r="O66" s="48">
        <f>VLOOKUP($C66,'4b) SL EPO Extended Data Sheet'!$A$5:$AB$168,10, FALSE)/1000000</f>
        <v>0</v>
      </c>
      <c r="P66" s="48">
        <f>VLOOKUP($C66,'4b) SL EPO Extended Data Sheet'!$A$5:$AB$168,11, FALSE)/1000000</f>
        <v>13.911625000000001</v>
      </c>
      <c r="Q66" s="504"/>
      <c r="R66" s="216" t="str">
        <f>VLOOKUP($C66,'4b) SL EPO Extended Data Sheet'!$A$5:$AB$168,12,FALSE)</f>
        <v>G</v>
      </c>
      <c r="S66" s="217">
        <f>VLOOKUP($C66,'4b) SL EPO Extended Data Sheet'!$A$5:$AB$168,13,FALSE)</f>
        <v>0</v>
      </c>
      <c r="T66" s="505"/>
      <c r="U66" s="506" t="str">
        <f>VLOOKUP($C66,'4b) SL EPO Extended Data Sheet'!$A$5:$AE$168,31,FALSE)</f>
        <v>OBC
(Aug-21)</v>
      </c>
      <c r="V66" s="505"/>
      <c r="W66" s="49">
        <f>VLOOKUP($C66,'4b) SL EPO Extended Data Sheet'!$A$5:$AC$168,16,FALSE)/1000000</f>
        <v>36.101354999999998</v>
      </c>
      <c r="X66" s="49">
        <f>VLOOKUP($C66,'4b) SL EPO Extended Data Sheet'!$A$5:$AC$168,17,FALSE)/1000000</f>
        <v>38.276981479999996</v>
      </c>
      <c r="Y66" s="49">
        <f>VLOOKUP($C66,'4b) SL EPO Extended Data Sheet'!$A$5:$AC$168,18,FALSE)/1000000</f>
        <v>0</v>
      </c>
      <c r="Z66" s="49">
        <f>VLOOKUP($C66,'4b) SL EPO Extended Data Sheet'!$A$5:$AB$168,16,FALSE)/1000000</f>
        <v>36.101354999999998</v>
      </c>
      <c r="AA66" s="507">
        <f>VLOOKUP($C66,'4b) SL EPO Extended Data Sheet'!$A$5:$AC$168,19,FALSE)</f>
        <v>47367</v>
      </c>
      <c r="AB66" s="507">
        <f>VLOOKUP($C66,'4b) SL EPO Extended Data Sheet'!$A$5:$AC$168,20,FALSE)</f>
        <v>47367</v>
      </c>
      <c r="AC66" s="51">
        <f>VLOOKUP($C66,'4b) SL EPO Extended Data Sheet'!$A$5:$AC$168,21,FALSE)</f>
        <v>0</v>
      </c>
      <c r="AD66" s="504">
        <f>VLOOKUP($C66,'4b) SL EPO Extended Data Sheet'!$A$5:$AB$168,15,FALSE)/1000000</f>
        <v>4.4438999999999999E-2</v>
      </c>
      <c r="AE66" s="49">
        <f>VLOOKUP($C66,'4b) SL EPO Extended Data Sheet'!$A$5:$AC$168,22,FALSE)/1000000</f>
        <v>15.557303429999999</v>
      </c>
      <c r="AF66" s="49">
        <f>VLOOKUP($C66,'4b) SL EPO Extended Data Sheet'!$A$5:$AC$168,23,FALSE)/1000000</f>
        <v>15.5311371997</v>
      </c>
      <c r="AG66" s="52">
        <f>VLOOKUP($C66,'4b) SL EPO Extended Data Sheet'!$A$5:$AC$168,24,FALSE)/1000000</f>
        <v>10.956863419999999</v>
      </c>
      <c r="AH66" s="508">
        <f>VLOOKUP($C66,'4b) SL EPO Extended Data Sheet'!$A$5:$AC$168,25,FALSE)</f>
        <v>1.417480222611007</v>
      </c>
      <c r="AI66" s="508">
        <f>VLOOKUP($C66,'4b) SL EPO Extended Data Sheet'!$A$5:$AC$168,26,FALSE)</f>
        <v>0.99831807418183138</v>
      </c>
      <c r="AJ66" s="544">
        <f>VLOOKUP($C66,'4b) SL EPO Extended Data Sheet'!$A$5:$AC$168,27,FALSE)</f>
        <v>0.43093405856926975</v>
      </c>
      <c r="AK66" s="543">
        <f>VLOOKUP($C66,'4b) SL EPO Extended Data Sheet'!$A$5:$AC$168,28,FALSE)</f>
        <v>0.43020925945023392</v>
      </c>
      <c r="AL66" s="509">
        <f>VLOOKUP($C66,'4b) SL EPO Extended Data Sheet'!$A$6:$AB$168,15,FALSE)</f>
        <v>44439</v>
      </c>
      <c r="AM66" s="219" t="str">
        <f>VLOOKUP($C66,'4b) SL EPO Extended Data Sheet'!$A$5:$AC$168,29,FALSE)</f>
        <v>G</v>
      </c>
      <c r="AO66" s="15"/>
      <c r="AP66" s="15"/>
      <c r="AQ66" s="15"/>
      <c r="AR66" s="15"/>
      <c r="AS66" s="15"/>
      <c r="AT66" s="15"/>
      <c r="AU66" s="15"/>
      <c r="AV66" s="600">
        <v>38.276981479999996</v>
      </c>
      <c r="AW66" s="576">
        <v>47367</v>
      </c>
      <c r="AX66" s="611"/>
      <c r="AY66" s="600">
        <v>36.101354999999998</v>
      </c>
      <c r="AZ66" s="580">
        <f>W66-AY66</f>
        <v>0</v>
      </c>
      <c r="BA66" s="576">
        <v>47367</v>
      </c>
      <c r="BB66" s="582">
        <f>AA66-BA66</f>
        <v>0</v>
      </c>
      <c r="BC66" s="15"/>
      <c r="BD66" s="15"/>
    </row>
    <row r="67" spans="1:56" s="239" customFormat="1" ht="43.5" customHeight="1" thickBot="1" x14ac:dyDescent="0.4">
      <c r="A67" s="269" t="str">
        <f>C66</f>
        <v>PMF North Transfers Project</v>
      </c>
      <c r="B67" s="694" t="s">
        <v>529</v>
      </c>
      <c r="C67" s="697"/>
      <c r="D67" s="697"/>
      <c r="E67" s="697"/>
      <c r="F67" s="697"/>
      <c r="G67" s="697"/>
      <c r="H67" s="697"/>
      <c r="I67" s="697"/>
      <c r="J67" s="697"/>
      <c r="K67" s="697"/>
      <c r="L67" s="697"/>
      <c r="M67" s="697"/>
      <c r="N67" s="697"/>
      <c r="O67" s="697"/>
      <c r="P67" s="697"/>
      <c r="Q67" s="697"/>
      <c r="R67" s="697"/>
      <c r="S67" s="697"/>
      <c r="T67" s="697"/>
      <c r="U67" s="697"/>
      <c r="V67" s="697"/>
      <c r="W67" s="697"/>
      <c r="X67" s="697"/>
      <c r="Y67" s="697"/>
      <c r="Z67" s="697"/>
      <c r="AA67" s="697"/>
      <c r="AB67" s="697"/>
      <c r="AC67" s="697"/>
      <c r="AD67" s="697"/>
      <c r="AE67" s="697"/>
      <c r="AF67" s="697"/>
      <c r="AG67" s="697"/>
      <c r="AH67" s="697"/>
      <c r="AI67" s="697"/>
      <c r="AJ67" s="697"/>
      <c r="AK67" s="697"/>
      <c r="AL67" s="697"/>
      <c r="AM67" s="698"/>
      <c r="AV67" s="575"/>
      <c r="AW67" s="577"/>
      <c r="AX67" s="611"/>
      <c r="AY67" s="575"/>
      <c r="AZ67" s="581"/>
      <c r="BA67" s="577"/>
      <c r="BB67" s="583"/>
    </row>
    <row r="68" spans="1:56" s="475" customFormat="1" ht="5.25" customHeight="1" thickBot="1" x14ac:dyDescent="0.4">
      <c r="A68" s="269"/>
      <c r="C68" s="461"/>
      <c r="D68" s="569"/>
      <c r="W68" s="569"/>
      <c r="X68" s="569"/>
      <c r="Y68" s="569"/>
      <c r="Z68" s="569"/>
      <c r="AA68" s="569"/>
      <c r="AB68" s="569"/>
      <c r="AC68" s="569"/>
      <c r="AE68" s="569"/>
      <c r="AF68" s="569"/>
      <c r="AG68" s="569"/>
      <c r="AH68" s="569"/>
      <c r="AI68" s="569"/>
      <c r="AJ68" s="569"/>
      <c r="AK68" s="569"/>
      <c r="AL68" s="569"/>
      <c r="AO68" s="239">
        <f>T66-G66</f>
        <v>0</v>
      </c>
      <c r="AP68" s="239">
        <f>T66-K66</f>
        <v>-31.312000000000001</v>
      </c>
      <c r="AQ68" s="239" t="e">
        <f>X66-I66</f>
        <v>#VALUE!</v>
      </c>
      <c r="AR68" s="239"/>
      <c r="AS68" s="239">
        <f>T66-S66</f>
        <v>0</v>
      </c>
      <c r="AT68" s="239">
        <f>X66-W66</f>
        <v>2.1756264799999983</v>
      </c>
      <c r="AU68" s="239"/>
      <c r="AV68" s="608"/>
      <c r="AW68" s="615"/>
      <c r="AX68" s="611"/>
      <c r="AY68" s="613"/>
      <c r="AZ68" s="578"/>
      <c r="BA68" s="574"/>
      <c r="BB68" s="579"/>
      <c r="BC68" s="239"/>
      <c r="BD68" s="239"/>
    </row>
    <row r="69" spans="1:56" s="239" customFormat="1" ht="36" customHeight="1" x14ac:dyDescent="0.35">
      <c r="A69" s="269"/>
      <c r="B69" s="193" t="s">
        <v>335</v>
      </c>
      <c r="C69" s="463" t="s">
        <v>336</v>
      </c>
      <c r="D69" s="509" t="s">
        <v>3</v>
      </c>
      <c r="E69" s="504"/>
      <c r="F69" s="216" t="str">
        <f>VLOOKUP($C69,'4b) SL EPO Extended Data Sheet'!$A$5:$AB$168,2,FALSE)</f>
        <v>G</v>
      </c>
      <c r="G69" s="217">
        <f>VLOOKUP($C69,'4b) SL EPO Extended Data Sheet'!$A$5:$AB$168,3, FALSE)</f>
        <v>0</v>
      </c>
      <c r="H69" s="505"/>
      <c r="I69" s="506" t="str">
        <f>VLOOKUP($C69,'4b) SL EPO Extended Data Sheet'!$A$5:$AD$168,30, FALSE)</f>
        <v>OBC
(Jan-25)</v>
      </c>
      <c r="J69" s="72">
        <f>VLOOKUP($C69,'4b) SL EPO Extended Data Sheet'!$A$5:$AB$168,6, FALSE)/1000000</f>
        <v>28.585999999999999</v>
      </c>
      <c r="K69" s="48">
        <f>VLOOKUP($C69,'4b) SL EPO Extended Data Sheet'!$A$5:$AB$168,7, FALSE)/1000000</f>
        <v>29.888999999999999</v>
      </c>
      <c r="L69" s="507">
        <f>VLOOKUP($C69,'4b) SL EPO Extended Data Sheet'!$A$5:$AB$168,8, FALSE)</f>
        <v>48373</v>
      </c>
      <c r="M69" s="507">
        <f>VLOOKUP($C69,'4b) SL EPO Extended Data Sheet'!$A$5:$AB$168,9, FALSE)</f>
        <v>48373</v>
      </c>
      <c r="N69" s="504">
        <f>VLOOKUP($C69,'4b) SL EPO Extended Data Sheet'!$A$5:$AB$168,5, FALSE)</f>
        <v>45681</v>
      </c>
      <c r="O69" s="48">
        <f>VLOOKUP($C69,'4b) SL EPO Extended Data Sheet'!$A$5:$AB$168,10, FALSE)/1000000</f>
        <v>0</v>
      </c>
      <c r="P69" s="48">
        <f>VLOOKUP($C69,'4b) SL EPO Extended Data Sheet'!$A$5:$AB$168,11, FALSE)/1000000</f>
        <v>3.3094800000000002</v>
      </c>
      <c r="Q69" s="504"/>
      <c r="R69" s="216" t="str">
        <f>VLOOKUP($C69,'4b) SL EPO Extended Data Sheet'!$A$5:$AB$168,12,FALSE)</f>
        <v>G</v>
      </c>
      <c r="S69" s="217">
        <f>VLOOKUP($C69,'4b) SL EPO Extended Data Sheet'!$A$5:$AB$168,13,FALSE)</f>
        <v>0</v>
      </c>
      <c r="T69" s="505"/>
      <c r="U69" s="506" t="str">
        <f>VLOOKUP($C69,'4b) SL EPO Extended Data Sheet'!$A$5:$AE$168,31,FALSE)</f>
        <v>OBC
(Mar-25)</v>
      </c>
      <c r="V69" s="505"/>
      <c r="W69" s="49">
        <f>VLOOKUP($C69,'4b) SL EPO Extended Data Sheet'!$A$5:$AC$168,16,FALSE)/1000000</f>
        <v>26.545166999999999</v>
      </c>
      <c r="X69" s="49">
        <f>VLOOKUP($C69,'4b) SL EPO Extended Data Sheet'!$A$5:$AC$168,17,FALSE)/1000000</f>
        <v>39.73329906</v>
      </c>
      <c r="Y69" s="49">
        <f>VLOOKUP($C69,'4b) SL EPO Extended Data Sheet'!$A$5:$AC$168,18,FALSE)/1000000</f>
        <v>-7.62439E-3</v>
      </c>
      <c r="Z69" s="49">
        <f>VLOOKUP($C69,'4b) SL EPO Extended Data Sheet'!$A$5:$AB$168,16,FALSE)/1000000</f>
        <v>26.545166999999999</v>
      </c>
      <c r="AA69" s="507">
        <f>VLOOKUP($C69,'4b) SL EPO Extended Data Sheet'!$A$5:$AC$168,19,FALSE)</f>
        <v>48374</v>
      </c>
      <c r="AB69" s="507">
        <f>VLOOKUP($C69,'4b) SL EPO Extended Data Sheet'!$A$5:$AC$168,20,FALSE)</f>
        <v>48410</v>
      </c>
      <c r="AC69" s="51">
        <f>VLOOKUP($C69,'4b) SL EPO Extended Data Sheet'!$A$5:$AC$168,21,FALSE)</f>
        <v>0</v>
      </c>
      <c r="AD69" s="504">
        <f>VLOOKUP($C69,'4b) SL EPO Extended Data Sheet'!$A$5:$AB$168,15,FALSE)/1000000</f>
        <v>4.5719999999999997E-2</v>
      </c>
      <c r="AE69" s="49">
        <f>VLOOKUP($C69,'4b) SL EPO Extended Data Sheet'!$A$5:$AC$168,22,FALSE)/1000000</f>
        <v>3.0711193100000003</v>
      </c>
      <c r="AF69" s="49">
        <f>VLOOKUP($C69,'4b) SL EPO Extended Data Sheet'!$A$5:$AC$168,23,FALSE)/1000000</f>
        <v>3.0464358765999999</v>
      </c>
      <c r="AG69" s="52">
        <f>VLOOKUP($C69,'4b) SL EPO Extended Data Sheet'!$A$5:$AC$168,24,FALSE)/1000000</f>
        <v>3.0384450800000002</v>
      </c>
      <c r="AH69" s="508">
        <f>VLOOKUP($C69,'4b) SL EPO Extended Data Sheet'!$A$5:$AC$168,25,FALSE)</f>
        <v>1.002629896670701</v>
      </c>
      <c r="AI69" s="508">
        <f>VLOOKUP($C69,'4b) SL EPO Extended Data Sheet'!$A$5:$AC$168,26,FALSE)</f>
        <v>0.9919627240401806</v>
      </c>
      <c r="AJ69" s="544">
        <f>VLOOKUP($C69,'4b) SL EPO Extended Data Sheet'!$A$5:$AC$168,27,FALSE)</f>
        <v>0.11569410393989987</v>
      </c>
      <c r="AK69" s="543">
        <f>VLOOKUP($C69,'4b) SL EPO Extended Data Sheet'!$A$5:$AC$168,28,FALSE)</f>
        <v>0.11476423849961087</v>
      </c>
      <c r="AL69" s="509">
        <f>VLOOKUP($C69,'4b) SL EPO Extended Data Sheet'!$A$6:$AB$168,15,FALSE)</f>
        <v>45720</v>
      </c>
      <c r="AM69" s="219" t="str">
        <f>VLOOKUP($C69,'4b) SL EPO Extended Data Sheet'!$A$5:$AC$168,29,FALSE)</f>
        <v>A</v>
      </c>
      <c r="AV69" s="600">
        <v>39.740923450000004</v>
      </c>
      <c r="AW69" s="576">
        <v>48410</v>
      </c>
      <c r="AX69" s="611"/>
      <c r="AY69" s="600">
        <v>26.545166999999999</v>
      </c>
      <c r="AZ69" s="580">
        <f>W69-AY69</f>
        <v>0</v>
      </c>
      <c r="BA69" s="576">
        <v>48374</v>
      </c>
      <c r="BB69" s="582">
        <f>AA69-BA69</f>
        <v>0</v>
      </c>
    </row>
    <row r="70" spans="1:56" s="239" customFormat="1" ht="44.25" customHeight="1" thickBot="1" x14ac:dyDescent="0.4">
      <c r="A70" s="269" t="str">
        <f>C69</f>
        <v>FHP &amp; SIXEP Roof Replacement</v>
      </c>
      <c r="B70" s="694" t="s">
        <v>547</v>
      </c>
      <c r="C70" s="697"/>
      <c r="D70" s="697"/>
      <c r="E70" s="697"/>
      <c r="F70" s="697"/>
      <c r="G70" s="697"/>
      <c r="H70" s="697"/>
      <c r="I70" s="697"/>
      <c r="J70" s="697"/>
      <c r="K70" s="697"/>
      <c r="L70" s="697"/>
      <c r="M70" s="697"/>
      <c r="N70" s="697"/>
      <c r="O70" s="697"/>
      <c r="P70" s="697"/>
      <c r="Q70" s="697"/>
      <c r="R70" s="697"/>
      <c r="S70" s="697"/>
      <c r="T70" s="697"/>
      <c r="U70" s="697"/>
      <c r="V70" s="697"/>
      <c r="W70" s="697"/>
      <c r="X70" s="697"/>
      <c r="Y70" s="697"/>
      <c r="Z70" s="697"/>
      <c r="AA70" s="697"/>
      <c r="AB70" s="697"/>
      <c r="AC70" s="697"/>
      <c r="AD70" s="697"/>
      <c r="AE70" s="697"/>
      <c r="AF70" s="697"/>
      <c r="AG70" s="697"/>
      <c r="AH70" s="697"/>
      <c r="AI70" s="697"/>
      <c r="AJ70" s="697"/>
      <c r="AK70" s="697"/>
      <c r="AL70" s="697"/>
      <c r="AM70" s="698"/>
      <c r="AO70" s="475"/>
      <c r="AP70" s="475"/>
      <c r="AQ70" s="475"/>
      <c r="AR70" s="475"/>
      <c r="AS70" s="475"/>
      <c r="AT70" s="475"/>
      <c r="AU70" s="475"/>
      <c r="AV70" s="575"/>
      <c r="AW70" s="577"/>
      <c r="AX70" s="611"/>
      <c r="AY70" s="575"/>
      <c r="AZ70" s="581"/>
      <c r="BA70" s="577"/>
      <c r="BB70" s="583"/>
      <c r="BC70" s="475"/>
      <c r="BD70" s="475"/>
    </row>
    <row r="71" spans="1:56" s="239" customFormat="1" ht="5.25" customHeight="1" thickBot="1" x14ac:dyDescent="0.4">
      <c r="A71" s="269"/>
      <c r="B71" s="261"/>
      <c r="C71" s="459"/>
      <c r="D71" s="261"/>
      <c r="E71" s="261"/>
      <c r="F71" s="261"/>
      <c r="G71" s="261"/>
      <c r="H71" s="261"/>
      <c r="I71" s="261"/>
      <c r="J71" s="261"/>
      <c r="K71" s="261"/>
      <c r="L71" s="261"/>
      <c r="M71" s="261"/>
      <c r="N71" s="261"/>
      <c r="O71" s="261"/>
      <c r="P71" s="261"/>
      <c r="Q71" s="261"/>
      <c r="R71" s="261"/>
      <c r="S71" s="261"/>
      <c r="T71" s="261"/>
      <c r="U71" s="261"/>
      <c r="V71" s="261"/>
      <c r="W71" s="261"/>
      <c r="X71" s="261"/>
      <c r="Y71" s="261"/>
      <c r="Z71" s="261"/>
      <c r="AA71" s="261"/>
      <c r="AB71" s="261"/>
      <c r="AC71" s="261"/>
      <c r="AD71" s="261"/>
      <c r="AE71" s="261"/>
      <c r="AF71" s="261"/>
      <c r="AG71" s="261"/>
      <c r="AH71" s="261"/>
      <c r="AI71" s="261"/>
      <c r="AJ71" s="261"/>
      <c r="AK71" s="261"/>
      <c r="AL71" s="261"/>
      <c r="AM71" s="261"/>
      <c r="AO71" s="239">
        <f>T69-G69</f>
        <v>0</v>
      </c>
      <c r="AP71" s="239">
        <f>T69-K69</f>
        <v>-29.888999999999999</v>
      </c>
      <c r="AQ71" s="239" t="e">
        <f>X69-I69</f>
        <v>#VALUE!</v>
      </c>
      <c r="AS71" s="239">
        <f>T69-S69</f>
        <v>0</v>
      </c>
      <c r="AT71" s="239">
        <f>X69-W69</f>
        <v>13.188132060000001</v>
      </c>
      <c r="AV71" s="608"/>
      <c r="AW71" s="615"/>
      <c r="AX71" s="611"/>
      <c r="AY71" s="613"/>
      <c r="AZ71" s="578"/>
      <c r="BA71" s="574"/>
      <c r="BB71" s="579"/>
    </row>
    <row r="72" spans="1:56" s="239" customFormat="1" ht="36" customHeight="1" x14ac:dyDescent="0.35">
      <c r="A72" s="269"/>
      <c r="B72" s="193" t="s">
        <v>349</v>
      </c>
      <c r="C72" s="463" t="s">
        <v>350</v>
      </c>
      <c r="D72" s="509" t="s">
        <v>3</v>
      </c>
      <c r="E72" s="504"/>
      <c r="F72" s="216" t="str">
        <f>VLOOKUP($C72,'4b) SL EPO Extended Data Sheet'!$A$5:$AB$168,2,FALSE)</f>
        <v>G</v>
      </c>
      <c r="G72" s="217">
        <f>VLOOKUP($C72,'4b) SL EPO Extended Data Sheet'!$A$5:$AB$168,3, FALSE)</f>
        <v>0</v>
      </c>
      <c r="H72" s="505"/>
      <c r="I72" s="506" t="str">
        <f>VLOOKUP($C72,'4b) SL EPO Extended Data Sheet'!$A$5:$AD$168,30, FALSE)</f>
        <v>SOC
(Sep-23)</v>
      </c>
      <c r="J72" s="72">
        <f>VLOOKUP($C72,'4b) SL EPO Extended Data Sheet'!$A$5:$AB$168,6, FALSE)/1000000</f>
        <v>2.1730960000000001</v>
      </c>
      <c r="K72" s="560">
        <f>VLOOKUP($C72,'4b) SL EPO Extended Data Sheet'!$A$5:$AB$168,7, FALSE)/1000000</f>
        <v>0</v>
      </c>
      <c r="L72" s="524">
        <f>VLOOKUP($C72,'4b) SL EPO Extended Data Sheet'!$A$5:$AB$168,8, FALSE)</f>
        <v>46722</v>
      </c>
      <c r="M72" s="524" t="str">
        <f>VLOOKUP($C72,'4b) SL EPO Extended Data Sheet'!$A$5:$AB$168,9, FALSE)</f>
        <v/>
      </c>
      <c r="N72" s="504">
        <f>VLOOKUP($C72,'4b) SL EPO Extended Data Sheet'!$A$5:$AB$168,5, FALSE)</f>
        <v>45170</v>
      </c>
      <c r="O72" s="560">
        <f>VLOOKUP($C72,'4b) SL EPO Extended Data Sheet'!$A$5:$AB$168,10, FALSE)/1000000</f>
        <v>0</v>
      </c>
      <c r="P72" s="48">
        <f>VLOOKUP($C72,'4b) SL EPO Extended Data Sheet'!$A$5:$AB$168,11, FALSE)/1000000</f>
        <v>2.1730960000000001</v>
      </c>
      <c r="Q72" s="504"/>
      <c r="R72" s="637" t="str">
        <f>VLOOKUP($C72,'4b) SL EPO Extended Data Sheet'!$A$5:$AB$168,12,FALSE)</f>
        <v>G</v>
      </c>
      <c r="S72" s="217">
        <f>VLOOKUP($C72,'4b) SL EPO Extended Data Sheet'!$A$5:$AB$168,13,FALSE)</f>
        <v>0</v>
      </c>
      <c r="T72" s="505"/>
      <c r="U72" s="506" t="str">
        <f>VLOOKUP($C72,'4b) SL EPO Extended Data Sheet'!$A$5:$AE$168,31,FALSE)</f>
        <v>SOC
(Sep-23)</v>
      </c>
      <c r="V72" s="505"/>
      <c r="W72" s="49">
        <f>VLOOKUP($C72,'4b) SL EPO Extended Data Sheet'!$A$5:$AC$168,16,FALSE)/1000000</f>
        <v>32.152518999999998</v>
      </c>
      <c r="X72" s="49">
        <f>VLOOKUP($C72,'4b) SL EPO Extended Data Sheet'!$A$5:$AC$168,17,FALSE)/1000000</f>
        <v>32.004619679999998</v>
      </c>
      <c r="Y72" s="49">
        <f>VLOOKUP($C72,'4b) SL EPO Extended Data Sheet'!$A$5:$AC$168,18,FALSE)/1000000</f>
        <v>-0.19970976000000001</v>
      </c>
      <c r="Z72" s="49">
        <f>VLOOKUP($C72,'4b) SL EPO Extended Data Sheet'!$A$5:$AB$168,16,FALSE)/1000000</f>
        <v>32.152518999999998</v>
      </c>
      <c r="AA72" s="507">
        <f>VLOOKUP($C72,'4b) SL EPO Extended Data Sheet'!$A$5:$AC$168,19,FALSE)</f>
        <v>46744</v>
      </c>
      <c r="AB72" s="507">
        <f>VLOOKUP($C72,'4b) SL EPO Extended Data Sheet'!$A$5:$AC$168,20,FALSE)</f>
        <v>46744</v>
      </c>
      <c r="AC72" s="51">
        <f>VLOOKUP($C72,'4b) SL EPO Extended Data Sheet'!$A$5:$AC$168,21,FALSE)</f>
        <v>0</v>
      </c>
      <c r="AD72" s="504">
        <f>VLOOKUP($C72,'4b) SL EPO Extended Data Sheet'!$A$5:$AB$168,15,FALSE)/1000000</f>
        <v>4.5187999999999999E-2</v>
      </c>
      <c r="AE72" s="49">
        <f>VLOOKUP($C72,'4b) SL EPO Extended Data Sheet'!$A$5:$AC$168,22,FALSE)/1000000</f>
        <v>2.2642280399999999</v>
      </c>
      <c r="AF72" s="49">
        <f>VLOOKUP($C72,'4b) SL EPO Extended Data Sheet'!$A$5:$AC$168,23,FALSE)/1000000</f>
        <v>1.5739049396</v>
      </c>
      <c r="AG72" s="52">
        <f>VLOOKUP($C72,'4b) SL EPO Extended Data Sheet'!$A$5:$AC$168,24,FALSE)/1000000</f>
        <v>1.46327517</v>
      </c>
      <c r="AH72" s="508">
        <f>VLOOKUP($C72,'4b) SL EPO Extended Data Sheet'!$A$5:$AC$168,25,FALSE)</f>
        <v>1.075604214346096</v>
      </c>
      <c r="AI72" s="508">
        <f>VLOOKUP($C72,'4b) SL EPO Extended Data Sheet'!$A$5:$AC$168,26,FALSE)</f>
        <v>0.69511767887125009</v>
      </c>
      <c r="AJ72" s="544">
        <f>VLOOKUP($C72,'4b) SL EPO Extended Data Sheet'!$A$5:$AC$168,27,FALSE)</f>
        <v>7.0421482061794285E-2</v>
      </c>
      <c r="AK72" s="543">
        <f>VLOOKUP($C72,'4b) SL EPO Extended Data Sheet'!$A$5:$AC$168,28,FALSE)</f>
        <v>4.895121715346782E-2</v>
      </c>
      <c r="AL72" s="509">
        <f>VLOOKUP($C72,'4b) SL EPO Extended Data Sheet'!$A$6:$AB$168,15,FALSE)</f>
        <v>45188</v>
      </c>
      <c r="AM72" s="638" t="str">
        <f>VLOOKUP($C72,'4b) SL EPO Extended Data Sheet'!$A$5:$AC$168,29,FALSE)</f>
        <v>A</v>
      </c>
      <c r="AV72" s="600">
        <v>32.204329440000002</v>
      </c>
      <c r="AW72" s="576">
        <v>46744</v>
      </c>
      <c r="AX72" s="611"/>
      <c r="AY72" s="600">
        <v>32.152518999999998</v>
      </c>
      <c r="AZ72" s="580">
        <f>W72-AY72</f>
        <v>0</v>
      </c>
      <c r="BA72" s="576">
        <v>46744</v>
      </c>
      <c r="BB72" s="582">
        <f>AA72-BA72</f>
        <v>0</v>
      </c>
    </row>
    <row r="73" spans="1:56" s="239" customFormat="1" ht="54.65" customHeight="1" thickBot="1" x14ac:dyDescent="0.4">
      <c r="A73" s="269" t="str">
        <f>C72</f>
        <v>EMRMS (Emergency Management Radiological Monitoring System)</v>
      </c>
      <c r="B73" s="694" t="s">
        <v>553</v>
      </c>
      <c r="C73" s="697"/>
      <c r="D73" s="697"/>
      <c r="E73" s="697"/>
      <c r="F73" s="697"/>
      <c r="G73" s="697"/>
      <c r="H73" s="697"/>
      <c r="I73" s="697"/>
      <c r="J73" s="697"/>
      <c r="K73" s="697"/>
      <c r="L73" s="697"/>
      <c r="M73" s="697"/>
      <c r="N73" s="697"/>
      <c r="O73" s="697"/>
      <c r="P73" s="697"/>
      <c r="Q73" s="697"/>
      <c r="R73" s="697"/>
      <c r="S73" s="697"/>
      <c r="T73" s="697"/>
      <c r="U73" s="697"/>
      <c r="V73" s="697"/>
      <c r="W73" s="697"/>
      <c r="X73" s="697"/>
      <c r="Y73" s="697"/>
      <c r="Z73" s="697"/>
      <c r="AA73" s="697"/>
      <c r="AB73" s="697"/>
      <c r="AC73" s="697"/>
      <c r="AD73" s="697"/>
      <c r="AE73" s="697"/>
      <c r="AF73" s="697"/>
      <c r="AG73" s="697"/>
      <c r="AH73" s="697"/>
      <c r="AI73" s="697"/>
      <c r="AJ73" s="697"/>
      <c r="AK73" s="697"/>
      <c r="AL73" s="697"/>
      <c r="AM73" s="698"/>
      <c r="AV73" s="575"/>
      <c r="AW73" s="577"/>
      <c r="AX73" s="611"/>
      <c r="AY73" s="575"/>
      <c r="AZ73" s="581"/>
      <c r="BA73" s="577"/>
      <c r="BB73" s="583"/>
    </row>
    <row r="74" spans="1:56" s="239" customFormat="1" ht="5.25" customHeight="1" thickBot="1" x14ac:dyDescent="0.4">
      <c r="A74" s="269"/>
      <c r="C74" s="461"/>
      <c r="D74" s="270"/>
      <c r="W74" s="270"/>
      <c r="X74" s="270"/>
      <c r="Y74" s="270"/>
      <c r="Z74" s="270"/>
      <c r="AA74" s="270"/>
      <c r="AB74" s="270"/>
      <c r="AC74" s="270"/>
      <c r="AE74" s="270"/>
      <c r="AF74" s="270"/>
      <c r="AG74" s="270"/>
      <c r="AH74" s="270"/>
      <c r="AI74" s="270"/>
      <c r="AJ74" s="270"/>
      <c r="AK74" s="270"/>
      <c r="AL74" s="270"/>
      <c r="AV74" s="608"/>
      <c r="AW74" s="615"/>
      <c r="AX74" s="611"/>
      <c r="AY74" s="613"/>
      <c r="AZ74" s="578"/>
      <c r="BA74" s="574"/>
      <c r="BB74" s="579"/>
    </row>
    <row r="75" spans="1:56" s="239" customFormat="1" ht="36" customHeight="1" x14ac:dyDescent="0.35">
      <c r="A75" s="269"/>
      <c r="B75" s="193" t="s">
        <v>329</v>
      </c>
      <c r="C75" s="463" t="s">
        <v>330</v>
      </c>
      <c r="D75" s="509" t="s">
        <v>3</v>
      </c>
      <c r="E75" s="504"/>
      <c r="F75" s="216" t="str">
        <f>VLOOKUP($C75,'4b) SL EPO Extended Data Sheet'!$A$5:$AB$168,2,FALSE)</f>
        <v>G</v>
      </c>
      <c r="G75" s="217">
        <f>VLOOKUP($C75,'4b) SL EPO Extended Data Sheet'!$A$5:$AB$168,3, FALSE)</f>
        <v>0</v>
      </c>
      <c r="H75" s="505"/>
      <c r="I75" s="506" t="str">
        <f>VLOOKUP($C75,'4b) SL EPO Extended Data Sheet'!$A$5:$AD$168,30, FALSE)</f>
        <v>SOC
(Mar-24)</v>
      </c>
      <c r="J75" s="72">
        <f>VLOOKUP($C75,'4b) SL EPO Extended Data Sheet'!$A$5:$AB$168,6, FALSE)/1000000</f>
        <v>81.71669</v>
      </c>
      <c r="K75" s="48">
        <f>VLOOKUP($C75,'4b) SL EPO Extended Data Sheet'!$A$5:$AB$168,7, FALSE)/1000000</f>
        <v>164.37964199999999</v>
      </c>
      <c r="L75" s="507">
        <f>VLOOKUP($C75,'4b) SL EPO Extended Data Sheet'!$A$5:$AB$168,8, FALSE)</f>
        <v>48549</v>
      </c>
      <c r="M75" s="507">
        <f>VLOOKUP($C75,'4b) SL EPO Extended Data Sheet'!$A$5:$AB$168,9, FALSE)</f>
        <v>49310</v>
      </c>
      <c r="N75" s="504">
        <f>VLOOKUP($C75,'4b) SL EPO Extended Data Sheet'!$A$5:$AB$168,5, FALSE)</f>
        <v>45352</v>
      </c>
      <c r="O75" s="560">
        <f>VLOOKUP($C75,'4b) SL EPO Extended Data Sheet'!$A$5:$AB$168,10, FALSE)/1000000</f>
        <v>0</v>
      </c>
      <c r="P75" s="48">
        <f>VLOOKUP($C75,'4b) SL EPO Extended Data Sheet'!$A$5:$AB$168,11, FALSE)/1000000</f>
        <v>11.961</v>
      </c>
      <c r="Q75" s="504"/>
      <c r="R75" s="216" t="str">
        <f>VLOOKUP($C75,'4b) SL EPO Extended Data Sheet'!$A$5:$AB$168,12,FALSE)</f>
        <v>G</v>
      </c>
      <c r="S75" s="217">
        <f>VLOOKUP($C75,'4b) SL EPO Extended Data Sheet'!$A$5:$AB$168,13,FALSE)</f>
        <v>0</v>
      </c>
      <c r="T75" s="505"/>
      <c r="U75" s="506" t="str">
        <f>VLOOKUP($C75,'4b) SL EPO Extended Data Sheet'!$A$5:$AE$168,31,FALSE)</f>
        <v>SOC
(Dec-25)</v>
      </c>
      <c r="V75" s="505"/>
      <c r="W75" s="49">
        <f>VLOOKUP($C75,'4b) SL EPO Extended Data Sheet'!$A$5:$AC$168,16,FALSE)/1000000</f>
        <v>69.236480999999998</v>
      </c>
      <c r="X75" s="49">
        <f>VLOOKUP($C75,'4b) SL EPO Extended Data Sheet'!$A$5:$AC$168,17,FALSE)/1000000</f>
        <v>68.884648959999993</v>
      </c>
      <c r="Y75" s="49">
        <f>VLOOKUP($C75,'4b) SL EPO Extended Data Sheet'!$A$5:$AC$168,18,FALSE)/1000000</f>
        <v>-14.03369206</v>
      </c>
      <c r="Z75" s="49">
        <f>VLOOKUP($C75,'4b) SL EPO Extended Data Sheet'!$A$5:$AB$168,16,FALSE)/1000000</f>
        <v>69.236480999999998</v>
      </c>
      <c r="AA75" s="507">
        <f>VLOOKUP($C75,'4b) SL EPO Extended Data Sheet'!$A$5:$AC$168,19,FALSE)</f>
        <v>48235</v>
      </c>
      <c r="AB75" s="507">
        <f>VLOOKUP($C75,'4b) SL EPO Extended Data Sheet'!$A$5:$AC$168,20,FALSE)</f>
        <v>48235</v>
      </c>
      <c r="AC75" s="51">
        <f>VLOOKUP($C75,'4b) SL EPO Extended Data Sheet'!$A$5:$AC$168,21,FALSE)</f>
        <v>125</v>
      </c>
      <c r="AD75" s="504">
        <f>VLOOKUP($C75,'4b) SL EPO Extended Data Sheet'!$A$5:$AB$168,15,FALSE)/1000000</f>
        <v>4.5998999999999998E-2</v>
      </c>
      <c r="AE75" s="49">
        <f>VLOOKUP($C75,'4b) SL EPO Extended Data Sheet'!$A$5:$AC$168,22,FALSE)/1000000</f>
        <v>9.5649373200000003</v>
      </c>
      <c r="AF75" s="49">
        <f>VLOOKUP($C75,'4b) SL EPO Extended Data Sheet'!$A$5:$AC$168,23,FALSE)/1000000</f>
        <v>8.0500085969999997</v>
      </c>
      <c r="AG75" s="52">
        <f>VLOOKUP($C75,'4b) SL EPO Extended Data Sheet'!$A$5:$AC$168,24,FALSE)/1000000</f>
        <v>6.2159794000000002</v>
      </c>
      <c r="AH75" s="508">
        <f>VLOOKUP($C75,'4b) SL EPO Extended Data Sheet'!$A$5:$AC$168,25,FALSE)</f>
        <v>1.295050719923557</v>
      </c>
      <c r="AI75" s="508">
        <f>VLOOKUP($C75,'4b) SL EPO Extended Data Sheet'!$A$5:$AC$168,26,FALSE)</f>
        <v>0.84161645055087508</v>
      </c>
      <c r="AJ75" s="544">
        <f>VLOOKUP($C75,'4b) SL EPO Extended Data Sheet'!$A$5:$AC$168,27,FALSE)</f>
        <v>0.13814880799617762</v>
      </c>
      <c r="AK75" s="543">
        <f>VLOOKUP($C75,'4b) SL EPO Extended Data Sheet'!$A$5:$AC$168,28,FALSE)</f>
        <v>0.11626830943357737</v>
      </c>
      <c r="AL75" s="509">
        <f>VLOOKUP($C75,'4b) SL EPO Extended Data Sheet'!$A$6:$AB$168,15,FALSE)</f>
        <v>45999</v>
      </c>
      <c r="AM75" s="219" t="str">
        <f>VLOOKUP($C75,'4b) SL EPO Extended Data Sheet'!$A$5:$AC$168,29,FALSE)</f>
        <v>G</v>
      </c>
      <c r="AO75" s="251"/>
      <c r="AP75" s="251"/>
      <c r="AQ75" s="251"/>
      <c r="AR75" s="251"/>
      <c r="AS75" s="251"/>
      <c r="AT75" s="251"/>
      <c r="AU75" s="251"/>
      <c r="AV75" s="600">
        <v>82.91834102</v>
      </c>
      <c r="AW75" s="576">
        <v>48110</v>
      </c>
      <c r="AX75" s="611"/>
      <c r="AY75" s="600">
        <v>84.328299000000001</v>
      </c>
      <c r="AZ75" s="580">
        <f>W75-AY75</f>
        <v>-15.091818000000004</v>
      </c>
      <c r="BA75" s="576">
        <v>48234</v>
      </c>
      <c r="BB75" s="582">
        <f>AA75-BA75</f>
        <v>1</v>
      </c>
      <c r="BC75" s="251"/>
      <c r="BD75" s="251"/>
    </row>
    <row r="76" spans="1:56" s="239" customFormat="1" ht="64" customHeight="1" thickBot="1" x14ac:dyDescent="0.4">
      <c r="A76" s="269" t="str">
        <f>C75</f>
        <v>Product Zone Power Supply</v>
      </c>
      <c r="B76" s="694" t="s">
        <v>586</v>
      </c>
      <c r="C76" s="695"/>
      <c r="D76" s="695"/>
      <c r="E76" s="695"/>
      <c r="F76" s="695"/>
      <c r="G76" s="695"/>
      <c r="H76" s="695"/>
      <c r="I76" s="695"/>
      <c r="J76" s="695"/>
      <c r="K76" s="695"/>
      <c r="L76" s="695"/>
      <c r="M76" s="695"/>
      <c r="N76" s="695"/>
      <c r="O76" s="695"/>
      <c r="P76" s="695"/>
      <c r="Q76" s="695"/>
      <c r="R76" s="695"/>
      <c r="S76" s="695"/>
      <c r="T76" s="695"/>
      <c r="U76" s="695"/>
      <c r="V76" s="695"/>
      <c r="W76" s="695"/>
      <c r="X76" s="695"/>
      <c r="Y76" s="695"/>
      <c r="Z76" s="695"/>
      <c r="AA76" s="695"/>
      <c r="AB76" s="695"/>
      <c r="AC76" s="695"/>
      <c r="AD76" s="695"/>
      <c r="AE76" s="695"/>
      <c r="AF76" s="695"/>
      <c r="AG76" s="695"/>
      <c r="AH76" s="695"/>
      <c r="AI76" s="695"/>
      <c r="AJ76" s="695"/>
      <c r="AK76" s="695"/>
      <c r="AL76" s="695"/>
      <c r="AM76" s="696"/>
      <c r="AV76" s="609"/>
      <c r="AW76" s="588"/>
      <c r="AX76" s="612"/>
      <c r="AY76" s="609"/>
      <c r="AZ76" s="589"/>
      <c r="BA76" s="588"/>
      <c r="BB76" s="590"/>
    </row>
    <row r="77" spans="1:56" s="239" customFormat="1" ht="5.25" customHeight="1" thickBot="1" x14ac:dyDescent="0.4">
      <c r="A77" s="269"/>
      <c r="B77" s="261"/>
      <c r="C77" s="459"/>
      <c r="D77" s="261"/>
      <c r="E77" s="261"/>
      <c r="F77" s="261"/>
      <c r="G77" s="261"/>
      <c r="H77" s="261"/>
      <c r="I77" s="261"/>
      <c r="J77" s="261"/>
      <c r="K77" s="261"/>
      <c r="L77" s="261"/>
      <c r="M77" s="261"/>
      <c r="N77" s="261"/>
      <c r="O77" s="261"/>
      <c r="P77" s="261"/>
      <c r="Q77" s="261"/>
      <c r="R77" s="261"/>
      <c r="S77" s="261"/>
      <c r="T77" s="261"/>
      <c r="U77" s="261"/>
      <c r="V77" s="261"/>
      <c r="W77" s="261"/>
      <c r="X77" s="261"/>
      <c r="Y77" s="261"/>
      <c r="Z77" s="261"/>
      <c r="AA77" s="261"/>
      <c r="AB77" s="261"/>
      <c r="AC77" s="261"/>
      <c r="AD77" s="261"/>
      <c r="AE77" s="261"/>
      <c r="AF77" s="261"/>
      <c r="AG77" s="261"/>
      <c r="AH77" s="261"/>
      <c r="AI77" s="261"/>
      <c r="AJ77" s="261"/>
      <c r="AK77" s="261"/>
      <c r="AL77" s="261"/>
      <c r="AM77" s="261"/>
      <c r="AV77" s="608"/>
      <c r="AW77" s="615"/>
      <c r="AX77" s="611"/>
      <c r="AY77" s="613"/>
      <c r="AZ77" s="578"/>
      <c r="BA77" s="574"/>
      <c r="BB77" s="579"/>
    </row>
    <row r="78" spans="1:56" s="239" customFormat="1" ht="36" customHeight="1" x14ac:dyDescent="0.35">
      <c r="A78" s="269"/>
      <c r="B78" s="193" t="s">
        <v>345</v>
      </c>
      <c r="C78" s="463" t="s">
        <v>346</v>
      </c>
      <c r="D78" s="509" t="s">
        <v>3</v>
      </c>
      <c r="E78" s="504"/>
      <c r="F78" s="216" t="str">
        <f>VLOOKUP($C78,'4b) SL EPO Extended Data Sheet'!$A$5:$AB$168,2,FALSE)</f>
        <v>G</v>
      </c>
      <c r="G78" s="217">
        <f>VLOOKUP($C78,'4b) SL EPO Extended Data Sheet'!$A$5:$AB$168,3, FALSE)</f>
        <v>0</v>
      </c>
      <c r="H78" s="505"/>
      <c r="I78" s="506" t="str">
        <f>VLOOKUP($C78,'4b) SL EPO Extended Data Sheet'!$A$5:$AD$168,30, FALSE)</f>
        <v>SOC
(Nov-23)</v>
      </c>
      <c r="J78" s="72">
        <f>VLOOKUP($C78,'4b) SL EPO Extended Data Sheet'!$A$5:$AB$168,6, FALSE)/1000000</f>
        <v>44.848309</v>
      </c>
      <c r="K78" s="48">
        <f>VLOOKUP($C78,'4b) SL EPO Extended Data Sheet'!$A$5:$AB$168,7, FALSE)/1000000</f>
        <v>45.887309000000002</v>
      </c>
      <c r="L78" s="524">
        <f>VLOOKUP($C78,'4b) SL EPO Extended Data Sheet'!$A$5:$AB$168,8, FALSE)</f>
        <v>47543</v>
      </c>
      <c r="M78" s="524" t="str">
        <f>VLOOKUP($C78,'4b) SL EPO Extended Data Sheet'!$A$5:$AB$168,9, FALSE)</f>
        <v/>
      </c>
      <c r="N78" s="504">
        <f>VLOOKUP($C78,'4b) SL EPO Extended Data Sheet'!$A$5:$AB$168,5, FALSE)</f>
        <v>45239</v>
      </c>
      <c r="O78" s="560">
        <f>VLOOKUP($C78,'4b) SL EPO Extended Data Sheet'!$A$5:$AB$168,10, FALSE)/1000000</f>
        <v>0</v>
      </c>
      <c r="P78" s="48">
        <f>VLOOKUP($C78,'4b) SL EPO Extended Data Sheet'!$A$5:$AB$168,11, FALSE)/1000000</f>
        <v>3.0871019999999998</v>
      </c>
      <c r="Q78" s="504"/>
      <c r="R78" s="216" t="str">
        <f>VLOOKUP($C78,'4b) SL EPO Extended Data Sheet'!$A$5:$AB$168,12,FALSE)</f>
        <v>G</v>
      </c>
      <c r="S78" s="217">
        <f>VLOOKUP($C78,'4b) SL EPO Extended Data Sheet'!$A$5:$AB$168,13,FALSE)</f>
        <v>0</v>
      </c>
      <c r="T78" s="505"/>
      <c r="U78" s="506" t="str">
        <f>VLOOKUP($C78,'4b) SL EPO Extended Data Sheet'!$A$5:$AE$168,31,FALSE)</f>
        <v>SOC
(Jan-24)</v>
      </c>
      <c r="V78" s="505"/>
      <c r="W78" s="49">
        <f>VLOOKUP($C78,'4b) SL EPO Extended Data Sheet'!$A$5:$AC$168,16,FALSE)/1000000</f>
        <v>42.841253999999999</v>
      </c>
      <c r="X78" s="49">
        <f>VLOOKUP($C78,'4b) SL EPO Extended Data Sheet'!$A$5:$AC$168,17,FALSE)/1000000</f>
        <v>42.426553950000006</v>
      </c>
      <c r="Y78" s="49">
        <f>VLOOKUP($C78,'4b) SL EPO Extended Data Sheet'!$A$5:$AC$168,18,FALSE)/1000000</f>
        <v>1.2505699999999999E-3</v>
      </c>
      <c r="Z78" s="49">
        <f>VLOOKUP($C78,'4b) SL EPO Extended Data Sheet'!$A$5:$AB$168,16,FALSE)/1000000</f>
        <v>42.841253999999999</v>
      </c>
      <c r="AA78" s="507">
        <f>VLOOKUP($C78,'4b) SL EPO Extended Data Sheet'!$A$5:$AC$168,19,FALSE)</f>
        <v>47416</v>
      </c>
      <c r="AB78" s="507">
        <f>VLOOKUP($C78,'4b) SL EPO Extended Data Sheet'!$A$5:$AC$168,20,FALSE)</f>
        <v>47416</v>
      </c>
      <c r="AC78" s="51">
        <f>VLOOKUP($C78,'4b) SL EPO Extended Data Sheet'!$A$5:$AC$168,21,FALSE)</f>
        <v>0</v>
      </c>
      <c r="AD78" s="504">
        <f>VLOOKUP($C78,'4b) SL EPO Extended Data Sheet'!$A$5:$AB$168,15,FALSE)/1000000</f>
        <v>4.5305999999999999E-2</v>
      </c>
      <c r="AE78" s="49">
        <f>VLOOKUP($C78,'4b) SL EPO Extended Data Sheet'!$A$5:$AC$168,22,FALSE)/1000000</f>
        <v>3.6318902099999999</v>
      </c>
      <c r="AF78" s="49">
        <f>VLOOKUP($C78,'4b) SL EPO Extended Data Sheet'!$A$5:$AC$168,23,FALSE)/1000000</f>
        <v>2.8911061271</v>
      </c>
      <c r="AG78" s="52">
        <f>VLOOKUP($C78,'4b) SL EPO Extended Data Sheet'!$A$5:$AC$168,24,FALSE)/1000000</f>
        <v>2.3575827500000002</v>
      </c>
      <c r="AH78" s="508">
        <f>VLOOKUP($C78,'4b) SL EPO Extended Data Sheet'!$A$5:$AC$168,25,FALSE)</f>
        <v>1.2263010183205658</v>
      </c>
      <c r="AI78" s="508">
        <f>VLOOKUP($C78,'4b) SL EPO Extended Data Sheet'!$A$5:$AC$168,26,FALSE)</f>
        <v>0.79603345914468049</v>
      </c>
      <c r="AJ78" s="544">
        <f>VLOOKUP($C78,'4b) SL EPO Extended Data Sheet'!$A$5:$AC$168,27,FALSE)</f>
        <v>8.477553458169082E-2</v>
      </c>
      <c r="AK78" s="543">
        <f>VLOOKUP($C78,'4b) SL EPO Extended Data Sheet'!$A$5:$AC$168,28,FALSE)</f>
        <v>6.7484162043902826E-2</v>
      </c>
      <c r="AL78" s="509">
        <f>VLOOKUP($C78,'4b) SL EPO Extended Data Sheet'!$A$6:$AB$168,15,FALSE)</f>
        <v>45306</v>
      </c>
      <c r="AM78" s="219" t="str">
        <f>VLOOKUP($C78,'4b) SL EPO Extended Data Sheet'!$A$5:$AC$168,29,FALSE)</f>
        <v>G</v>
      </c>
      <c r="AV78" s="600">
        <v>42.425303380000003</v>
      </c>
      <c r="AW78" s="576">
        <v>47416</v>
      </c>
      <c r="AX78" s="611"/>
      <c r="AY78" s="600">
        <v>42.841253999999999</v>
      </c>
      <c r="AZ78" s="580">
        <f>W78-AY78</f>
        <v>0</v>
      </c>
      <c r="BA78" s="576">
        <v>47416</v>
      </c>
      <c r="BB78" s="582">
        <f>AA78-BA78</f>
        <v>0</v>
      </c>
    </row>
    <row r="79" spans="1:56" s="239" customFormat="1" ht="42" customHeight="1" thickBot="1" x14ac:dyDescent="0.4">
      <c r="A79" s="269" t="str">
        <f>C78</f>
        <v>Substation 10 Replacement</v>
      </c>
      <c r="B79" s="694" t="s">
        <v>540</v>
      </c>
      <c r="C79" s="695"/>
      <c r="D79" s="695"/>
      <c r="E79" s="695"/>
      <c r="F79" s="695"/>
      <c r="G79" s="695"/>
      <c r="H79" s="695"/>
      <c r="I79" s="695"/>
      <c r="J79" s="695"/>
      <c r="K79" s="695"/>
      <c r="L79" s="695"/>
      <c r="M79" s="695"/>
      <c r="N79" s="695"/>
      <c r="O79" s="695"/>
      <c r="P79" s="695"/>
      <c r="Q79" s="695"/>
      <c r="R79" s="695"/>
      <c r="S79" s="695"/>
      <c r="T79" s="695"/>
      <c r="U79" s="695"/>
      <c r="V79" s="695"/>
      <c r="W79" s="695"/>
      <c r="X79" s="695"/>
      <c r="Y79" s="695"/>
      <c r="Z79" s="695"/>
      <c r="AA79" s="695"/>
      <c r="AB79" s="695"/>
      <c r="AC79" s="695"/>
      <c r="AD79" s="695"/>
      <c r="AE79" s="695"/>
      <c r="AF79" s="695"/>
      <c r="AG79" s="695"/>
      <c r="AH79" s="695"/>
      <c r="AI79" s="695"/>
      <c r="AJ79" s="695"/>
      <c r="AK79" s="695"/>
      <c r="AL79" s="695"/>
      <c r="AM79" s="696"/>
      <c r="AV79" s="575"/>
      <c r="AW79" s="577"/>
      <c r="AX79" s="611"/>
      <c r="AY79" s="575"/>
      <c r="AZ79" s="581"/>
      <c r="BA79" s="577"/>
      <c r="BB79" s="583"/>
    </row>
    <row r="80" spans="1:56" s="239" customFormat="1" ht="5.25" customHeight="1" thickBot="1" x14ac:dyDescent="0.4">
      <c r="A80" s="269"/>
      <c r="B80" s="261"/>
      <c r="C80" s="459"/>
      <c r="D80" s="261"/>
      <c r="E80" s="261"/>
      <c r="F80" s="261"/>
      <c r="G80" s="261"/>
      <c r="H80" s="261"/>
      <c r="I80" s="261"/>
      <c r="J80" s="261"/>
      <c r="K80" s="261"/>
      <c r="L80" s="261"/>
      <c r="M80" s="261"/>
      <c r="N80" s="261"/>
      <c r="O80" s="261"/>
      <c r="P80" s="261"/>
      <c r="Q80" s="261"/>
      <c r="R80" s="261"/>
      <c r="S80" s="261"/>
      <c r="T80" s="261"/>
      <c r="U80" s="261"/>
      <c r="V80" s="261"/>
      <c r="W80" s="261"/>
      <c r="X80" s="261"/>
      <c r="Y80" s="261"/>
      <c r="Z80" s="261"/>
      <c r="AA80" s="261"/>
      <c r="AB80" s="261"/>
      <c r="AC80" s="261"/>
      <c r="AD80" s="261"/>
      <c r="AE80" s="261"/>
      <c r="AF80" s="261"/>
      <c r="AG80" s="261"/>
      <c r="AH80" s="261"/>
      <c r="AI80" s="261"/>
      <c r="AJ80" s="261"/>
      <c r="AK80" s="261"/>
      <c r="AL80" s="261"/>
      <c r="AM80" s="261"/>
      <c r="AV80" s="608"/>
      <c r="AW80" s="615"/>
      <c r="AX80" s="611"/>
      <c r="AY80" s="613"/>
      <c r="AZ80" s="578"/>
      <c r="BA80" s="574"/>
      <c r="BB80" s="579"/>
    </row>
    <row r="81" spans="1:56" s="239" customFormat="1" ht="36" customHeight="1" x14ac:dyDescent="0.35">
      <c r="A81" s="269"/>
      <c r="B81" s="193" t="s">
        <v>347</v>
      </c>
      <c r="C81" s="463" t="s">
        <v>348</v>
      </c>
      <c r="D81" s="509" t="s">
        <v>3</v>
      </c>
      <c r="E81" s="504"/>
      <c r="F81" s="216" t="str">
        <f>VLOOKUP($C81,'4b) SL EPO Extended Data Sheet'!$A$5:$AB$168,2,FALSE)</f>
        <v>G</v>
      </c>
      <c r="G81" s="217">
        <f>VLOOKUP($C81,'4b) SL EPO Extended Data Sheet'!$A$5:$AB$168,3, FALSE)</f>
        <v>0</v>
      </c>
      <c r="H81" s="505"/>
      <c r="I81" s="506" t="str">
        <f>VLOOKUP($C81,'4b) SL EPO Extended Data Sheet'!$A$5:$AD$168,30, FALSE)</f>
        <v>SOC
(Sep-23)</v>
      </c>
      <c r="J81" s="72">
        <f>VLOOKUP($C81,'4b) SL EPO Extended Data Sheet'!$A$5:$AB$168,6, FALSE)/1000000</f>
        <v>44</v>
      </c>
      <c r="K81" s="48">
        <f>VLOOKUP($C81,'4b) SL EPO Extended Data Sheet'!$A$5:$AB$168,7, FALSE)/1000000</f>
        <v>45.039000000000001</v>
      </c>
      <c r="L81" s="524">
        <f>VLOOKUP($C81,'4b) SL EPO Extended Data Sheet'!$A$5:$AB$168,8, FALSE)</f>
        <v>47119</v>
      </c>
      <c r="M81" s="524" t="str">
        <f>VLOOKUP($C81,'4b) SL EPO Extended Data Sheet'!$A$5:$AB$168,9, FALSE)</f>
        <v/>
      </c>
      <c r="N81" s="504">
        <f>VLOOKUP($C81,'4b) SL EPO Extended Data Sheet'!$A$5:$AB$168,5, FALSE)</f>
        <v>45170</v>
      </c>
      <c r="O81" s="560">
        <f>VLOOKUP($C81,'4b) SL EPO Extended Data Sheet'!$A$5:$AB$168,10, FALSE)/1000000</f>
        <v>0</v>
      </c>
      <c r="P81" s="48">
        <f>VLOOKUP($C81,'4b) SL EPO Extended Data Sheet'!$A$5:$AB$168,11, FALSE)/1000000</f>
        <v>2.601</v>
      </c>
      <c r="Q81" s="504"/>
      <c r="R81" s="216" t="str">
        <f>VLOOKUP($C81,'4b) SL EPO Extended Data Sheet'!$A$5:$AB$168,12,FALSE)</f>
        <v>G</v>
      </c>
      <c r="S81" s="217">
        <f>VLOOKUP($C81,'4b) SL EPO Extended Data Sheet'!$A$5:$AB$168,13,FALSE)</f>
        <v>0</v>
      </c>
      <c r="T81" s="505"/>
      <c r="U81" s="506" t="str">
        <f>VLOOKUP($C81,'4b) SL EPO Extended Data Sheet'!$A$5:$AE$168,31,FALSE)</f>
        <v>SOC
(Jan-24)</v>
      </c>
      <c r="V81" s="505"/>
      <c r="W81" s="49">
        <f>VLOOKUP($C81,'4b) SL EPO Extended Data Sheet'!$A$5:$AC$168,16,FALSE)/1000000</f>
        <v>42.754873000000003</v>
      </c>
      <c r="X81" s="49">
        <f>VLOOKUP($C81,'4b) SL EPO Extended Data Sheet'!$A$5:$AC$168,17,FALSE)/1000000</f>
        <v>42.266114729999998</v>
      </c>
      <c r="Y81" s="49">
        <f>VLOOKUP($C81,'4b) SL EPO Extended Data Sheet'!$A$5:$AC$168,18,FALSE)/1000000</f>
        <v>2.4626799999999996E-3</v>
      </c>
      <c r="Z81" s="49">
        <f>VLOOKUP($C81,'4b) SL EPO Extended Data Sheet'!$A$5:$AB$168,16,FALSE)/1000000</f>
        <v>42.754873000000003</v>
      </c>
      <c r="AA81" s="507">
        <f>VLOOKUP($C81,'4b) SL EPO Extended Data Sheet'!$A$5:$AC$168,19,FALSE)</f>
        <v>47129</v>
      </c>
      <c r="AB81" s="507">
        <f>VLOOKUP($C81,'4b) SL EPO Extended Data Sheet'!$A$5:$AC$168,20,FALSE)</f>
        <v>47129</v>
      </c>
      <c r="AC81" s="51">
        <f>VLOOKUP($C81,'4b) SL EPO Extended Data Sheet'!$A$5:$AC$168,21,FALSE)</f>
        <v>0</v>
      </c>
      <c r="AD81" s="504">
        <f>VLOOKUP($C81,'4b) SL EPO Extended Data Sheet'!$A$5:$AB$168,15,FALSE)/1000000</f>
        <v>4.5305999999999999E-2</v>
      </c>
      <c r="AE81" s="49">
        <f>VLOOKUP($C81,'4b) SL EPO Extended Data Sheet'!$A$5:$AC$168,22,FALSE)/1000000</f>
        <v>4.25416303</v>
      </c>
      <c r="AF81" s="49">
        <f>VLOOKUP($C81,'4b) SL EPO Extended Data Sheet'!$A$5:$AC$168,23,FALSE)/1000000</f>
        <v>2.4950074673000002</v>
      </c>
      <c r="AG81" s="52">
        <f>VLOOKUP($C81,'4b) SL EPO Extended Data Sheet'!$A$5:$AC$168,24,FALSE)/1000000</f>
        <v>2.4675519599999998</v>
      </c>
      <c r="AH81" s="508">
        <f>VLOOKUP($C81,'4b) SL EPO Extended Data Sheet'!$A$5:$AC$168,25,FALSE)</f>
        <v>1.0111266176944051</v>
      </c>
      <c r="AI81" s="508">
        <f>VLOOKUP($C81,'4b) SL EPO Extended Data Sheet'!$A$5:$AC$168,26,FALSE)</f>
        <v>0.5864860960206314</v>
      </c>
      <c r="AJ81" s="544">
        <f>VLOOKUP($C81,'4b) SL EPO Extended Data Sheet'!$A$5:$AC$168,27,FALSE)</f>
        <v>9.9501243519072094E-2</v>
      </c>
      <c r="AK81" s="543">
        <f>VLOOKUP($C81,'4b) SL EPO Extended Data Sheet'!$A$5:$AC$168,28,FALSE)</f>
        <v>5.8356095860698738E-2</v>
      </c>
      <c r="AL81" s="509">
        <f>VLOOKUP($C81,'4b) SL EPO Extended Data Sheet'!$A$6:$AB$168,15,FALSE)</f>
        <v>45306</v>
      </c>
      <c r="AM81" s="219" t="str">
        <f>VLOOKUP($C81,'4b) SL EPO Extended Data Sheet'!$A$5:$AC$168,29,FALSE)</f>
        <v>G</v>
      </c>
      <c r="AV81" s="600">
        <v>42.263652049999997</v>
      </c>
      <c r="AW81" s="576">
        <v>47129</v>
      </c>
      <c r="AX81" s="611"/>
      <c r="AY81" s="600">
        <v>42.754873000000003</v>
      </c>
      <c r="AZ81" s="580">
        <f>W81-AY81</f>
        <v>0</v>
      </c>
      <c r="BA81" s="576">
        <v>47129</v>
      </c>
      <c r="BB81" s="582">
        <f>AA81-BA81</f>
        <v>0</v>
      </c>
    </row>
    <row r="82" spans="1:56" s="239" customFormat="1" ht="40.5" customHeight="1" thickBot="1" x14ac:dyDescent="0.4">
      <c r="A82" s="269" t="str">
        <f>C81</f>
        <v>Substation 15 Replacement</v>
      </c>
      <c r="B82" s="694" t="s">
        <v>539</v>
      </c>
      <c r="C82" s="695"/>
      <c r="D82" s="695"/>
      <c r="E82" s="695"/>
      <c r="F82" s="695"/>
      <c r="G82" s="695"/>
      <c r="H82" s="695"/>
      <c r="I82" s="695"/>
      <c r="J82" s="695"/>
      <c r="K82" s="695"/>
      <c r="L82" s="695"/>
      <c r="M82" s="695"/>
      <c r="N82" s="695"/>
      <c r="O82" s="695"/>
      <c r="P82" s="695"/>
      <c r="Q82" s="695"/>
      <c r="R82" s="695"/>
      <c r="S82" s="695"/>
      <c r="T82" s="695"/>
      <c r="U82" s="695"/>
      <c r="V82" s="695"/>
      <c r="W82" s="695"/>
      <c r="X82" s="695"/>
      <c r="Y82" s="695"/>
      <c r="Z82" s="695"/>
      <c r="AA82" s="695"/>
      <c r="AB82" s="695"/>
      <c r="AC82" s="695"/>
      <c r="AD82" s="695"/>
      <c r="AE82" s="695"/>
      <c r="AF82" s="695"/>
      <c r="AG82" s="695"/>
      <c r="AH82" s="695"/>
      <c r="AI82" s="695"/>
      <c r="AJ82" s="695"/>
      <c r="AK82" s="695"/>
      <c r="AL82" s="695"/>
      <c r="AM82" s="696"/>
      <c r="AV82" s="575"/>
      <c r="AW82" s="577"/>
      <c r="AX82" s="611"/>
      <c r="AY82" s="575"/>
      <c r="AZ82" s="581"/>
      <c r="BA82" s="577"/>
      <c r="BB82" s="583"/>
    </row>
    <row r="83" spans="1:56" s="239" customFormat="1" ht="5.25" customHeight="1" thickBot="1" x14ac:dyDescent="0.4">
      <c r="A83" s="269"/>
      <c r="B83" s="261"/>
      <c r="C83" s="459"/>
      <c r="D83" s="261"/>
      <c r="E83" s="261"/>
      <c r="F83" s="261"/>
      <c r="G83" s="261"/>
      <c r="H83" s="261"/>
      <c r="I83" s="261"/>
      <c r="J83" s="261"/>
      <c r="K83" s="261"/>
      <c r="L83" s="261"/>
      <c r="M83" s="261"/>
      <c r="N83" s="261"/>
      <c r="O83" s="261"/>
      <c r="P83" s="261"/>
      <c r="Q83" s="261"/>
      <c r="R83" s="261"/>
      <c r="S83" s="261"/>
      <c r="T83" s="261"/>
      <c r="U83" s="261"/>
      <c r="V83" s="261"/>
      <c r="W83" s="261"/>
      <c r="X83" s="261"/>
      <c r="Y83" s="261"/>
      <c r="Z83" s="261"/>
      <c r="AA83" s="261"/>
      <c r="AB83" s="261"/>
      <c r="AC83" s="261"/>
      <c r="AD83" s="261"/>
      <c r="AE83" s="261"/>
      <c r="AF83" s="261"/>
      <c r="AG83" s="261"/>
      <c r="AH83" s="261"/>
      <c r="AI83" s="261"/>
      <c r="AJ83" s="261"/>
      <c r="AK83" s="261"/>
      <c r="AL83" s="261"/>
      <c r="AM83" s="261"/>
      <c r="AV83" s="608"/>
      <c r="AW83" s="615"/>
      <c r="AX83" s="611"/>
      <c r="AY83" s="613"/>
      <c r="AZ83" s="578"/>
      <c r="BA83" s="574"/>
      <c r="BB83" s="579"/>
    </row>
    <row r="84" spans="1:56" s="475" customFormat="1" ht="36" customHeight="1" x14ac:dyDescent="0.35">
      <c r="A84" s="269"/>
      <c r="B84" s="193" t="s">
        <v>521</v>
      </c>
      <c r="C84" s="463" t="s">
        <v>522</v>
      </c>
      <c r="D84" s="509" t="s">
        <v>3</v>
      </c>
      <c r="E84" s="504"/>
      <c r="F84" s="216" t="str">
        <f>VLOOKUP($C84,'4b) SL EPO Extended Data Sheet'!$A$5:$AB$168,2,FALSE)</f>
        <v>G</v>
      </c>
      <c r="G84" s="217">
        <f>VLOOKUP($C84,'4b) SL EPO Extended Data Sheet'!$A$5:$AB$168,3, FALSE)</f>
        <v>0</v>
      </c>
      <c r="H84" s="505"/>
      <c r="I84" s="506" t="str">
        <f>VLOOKUP($C84,'4b) SL EPO Extended Data Sheet'!$A$5:$AD$168,30, FALSE)</f>
        <v>SOC
(Aug-25)</v>
      </c>
      <c r="J84" s="72">
        <f>VLOOKUP($C84,'4b) SL EPO Extended Data Sheet'!$A$5:$AB$168,6, FALSE)/1000000</f>
        <v>28.293192999999999</v>
      </c>
      <c r="K84" s="560">
        <f>VLOOKUP($C84,'4b) SL EPO Extended Data Sheet'!$A$5:$AB$168,7, FALSE)/1000000</f>
        <v>0</v>
      </c>
      <c r="L84" s="232">
        <f>VLOOKUP($C84,'4b) SL EPO Extended Data Sheet'!$A$5:$AB$168,8, FALSE)</f>
        <v>47756</v>
      </c>
      <c r="M84" s="232" t="str">
        <f>VLOOKUP($C84,'4b) SL EPO Extended Data Sheet'!$A$5:$AB$168,9, FALSE)</f>
        <v/>
      </c>
      <c r="N84" s="504">
        <f>VLOOKUP($C84,'4b) SL EPO Extended Data Sheet'!$A$5:$AB$168,5, FALSE)</f>
        <v>45874</v>
      </c>
      <c r="O84" s="560">
        <f>VLOOKUP($C84,'4b) SL EPO Extended Data Sheet'!$A$5:$AB$168,10, FALSE)/1000000</f>
        <v>0</v>
      </c>
      <c r="P84" s="48">
        <f>VLOOKUP($C84,'4b) SL EPO Extended Data Sheet'!$A$5:$AB$168,11, FALSE)/1000000</f>
        <v>2.7046429999999999</v>
      </c>
      <c r="Q84" s="504"/>
      <c r="R84" s="216" t="str">
        <f>VLOOKUP($C84,'4b) SL EPO Extended Data Sheet'!$A$5:$AB$168,12,FALSE)</f>
        <v>G</v>
      </c>
      <c r="S84" s="217">
        <f>VLOOKUP($C84,'4b) SL EPO Extended Data Sheet'!$A$5:$AB$168,13,FALSE)</f>
        <v>0</v>
      </c>
      <c r="T84" s="505"/>
      <c r="U84" s="506" t="str">
        <f>VLOOKUP($C84,'4b) SL EPO Extended Data Sheet'!$A$5:$AE$168,31,FALSE)</f>
        <v>SOC
(Apr-25)</v>
      </c>
      <c r="V84" s="505"/>
      <c r="W84" s="49">
        <f>VLOOKUP($C84,'4b) SL EPO Extended Data Sheet'!$A$5:$AC$168,16,FALSE)/1000000</f>
        <v>28.293192999999999</v>
      </c>
      <c r="X84" s="49">
        <f>VLOOKUP($C84,'4b) SL EPO Extended Data Sheet'!$A$5:$AC$168,17,FALSE)/1000000</f>
        <v>19.217519129999999</v>
      </c>
      <c r="Y84" s="49">
        <f>VLOOKUP($C84,'4b) SL EPO Extended Data Sheet'!$A$5:$AC$168,18,FALSE)/1000000</f>
        <v>5.331346E-2</v>
      </c>
      <c r="Z84" s="49">
        <f>VLOOKUP($C84,'4b) SL EPO Extended Data Sheet'!$A$5:$AB$168,16,FALSE)/1000000</f>
        <v>28.293192999999999</v>
      </c>
      <c r="AA84" s="507">
        <f>VLOOKUP($C84,'4b) SL EPO Extended Data Sheet'!$A$5:$AC$168,19,FALSE)</f>
        <v>48474</v>
      </c>
      <c r="AB84" s="507">
        <f>VLOOKUP($C84,'4b) SL EPO Extended Data Sheet'!$A$5:$AC$168,20,FALSE)</f>
        <v>48474</v>
      </c>
      <c r="AC84" s="51">
        <f>VLOOKUP($C84,'4b) SL EPO Extended Data Sheet'!$A$5:$AC$168,21,FALSE)</f>
        <v>0</v>
      </c>
      <c r="AD84" s="504">
        <f>VLOOKUP($C84,'4b) SL EPO Extended Data Sheet'!$A$5:$AB$168,15,FALSE)/1000000</f>
        <v>4.5747999999999997E-2</v>
      </c>
      <c r="AE84" s="49">
        <f>VLOOKUP($C84,'4b) SL EPO Extended Data Sheet'!$A$5:$AC$168,22,FALSE)/1000000</f>
        <v>0.54741154000000003</v>
      </c>
      <c r="AF84" s="49">
        <f>VLOOKUP($C84,'4b) SL EPO Extended Data Sheet'!$A$5:$AC$168,23,FALSE)/1000000</f>
        <v>0.39104900850000002</v>
      </c>
      <c r="AG84" s="52">
        <f>VLOOKUP($C84,'4b) SL EPO Extended Data Sheet'!$A$5:$AC$168,24,FALSE)/1000000</f>
        <v>0.73372417000000001</v>
      </c>
      <c r="AH84" s="508">
        <f>VLOOKUP($C84,'4b) SL EPO Extended Data Sheet'!$A$5:$AC$168,25,FALSE)</f>
        <v>0.53296459962604203</v>
      </c>
      <c r="AI84" s="508">
        <f>VLOOKUP($C84,'4b) SL EPO Extended Data Sheet'!$A$5:$AC$168,26,FALSE)</f>
        <v>0.71436018411303492</v>
      </c>
      <c r="AJ84" s="544">
        <f>VLOOKUP($C84,'4b) SL EPO Extended Data Sheet'!$A$5:$AC$168,27,FALSE)</f>
        <v>1.9347817688869548E-2</v>
      </c>
      <c r="AK84" s="543">
        <f>VLOOKUP($C84,'4b) SL EPO Extended Data Sheet'!$A$5:$AC$168,28,FALSE)</f>
        <v>1.3821310606406283E-2</v>
      </c>
      <c r="AL84" s="509">
        <f>VLOOKUP($C84,'4b) SL EPO Extended Data Sheet'!$A$6:$AB$168,15,FALSE)</f>
        <v>45748</v>
      </c>
      <c r="AM84" s="219" t="str">
        <f>VLOOKUP($C84,'4b) SL EPO Extended Data Sheet'!$A$5:$AC$168,29,FALSE)</f>
        <v>G</v>
      </c>
      <c r="AV84" s="600">
        <v>19.164205670000001</v>
      </c>
      <c r="AW84" s="576">
        <v>48474</v>
      </c>
      <c r="AX84" s="611"/>
      <c r="AY84" s="600">
        <v>28.293192999999999</v>
      </c>
      <c r="AZ84" s="580">
        <f>W84-AY84</f>
        <v>0</v>
      </c>
      <c r="BA84" s="576">
        <v>48474</v>
      </c>
      <c r="BB84" s="582">
        <f>AA84-BA84</f>
        <v>0</v>
      </c>
    </row>
    <row r="85" spans="1:56" s="475" customFormat="1" ht="42.65" customHeight="1" thickBot="1" x14ac:dyDescent="0.4">
      <c r="A85" s="269" t="str">
        <f>C84</f>
        <v>FGOFSP Effluent Route Project</v>
      </c>
      <c r="B85" s="691" t="s">
        <v>589</v>
      </c>
      <c r="C85" s="692"/>
      <c r="D85" s="692"/>
      <c r="E85" s="692"/>
      <c r="F85" s="692"/>
      <c r="G85" s="692"/>
      <c r="H85" s="692"/>
      <c r="I85" s="692"/>
      <c r="J85" s="692"/>
      <c r="K85" s="692"/>
      <c r="L85" s="692"/>
      <c r="M85" s="692"/>
      <c r="N85" s="692"/>
      <c r="O85" s="692"/>
      <c r="P85" s="692"/>
      <c r="Q85" s="692"/>
      <c r="R85" s="692"/>
      <c r="S85" s="692"/>
      <c r="T85" s="692"/>
      <c r="U85" s="692"/>
      <c r="V85" s="692"/>
      <c r="W85" s="692"/>
      <c r="X85" s="692"/>
      <c r="Y85" s="692"/>
      <c r="Z85" s="692"/>
      <c r="AA85" s="692"/>
      <c r="AB85" s="692"/>
      <c r="AC85" s="692"/>
      <c r="AD85" s="692"/>
      <c r="AE85" s="692"/>
      <c r="AF85" s="692"/>
      <c r="AG85" s="692"/>
      <c r="AH85" s="692"/>
      <c r="AI85" s="692"/>
      <c r="AJ85" s="692"/>
      <c r="AK85" s="692"/>
      <c r="AL85" s="692"/>
      <c r="AM85" s="693"/>
      <c r="AV85" s="575"/>
      <c r="AW85" s="577"/>
      <c r="AX85" s="611"/>
      <c r="AY85" s="575"/>
      <c r="AZ85" s="581"/>
      <c r="BA85" s="577"/>
      <c r="BB85" s="583"/>
    </row>
    <row r="86" spans="1:56" s="475" customFormat="1" ht="5.25" customHeight="1" thickBot="1" x14ac:dyDescent="0.4">
      <c r="A86" s="269"/>
      <c r="B86" s="78"/>
      <c r="C86" s="78"/>
      <c r="D86" s="79"/>
      <c r="E86" s="79"/>
      <c r="F86" s="79"/>
      <c r="G86" s="79"/>
      <c r="H86" s="79"/>
      <c r="I86" s="79"/>
      <c r="J86" s="79"/>
      <c r="K86" s="79"/>
      <c r="L86" s="79"/>
      <c r="M86" s="79"/>
      <c r="N86" s="79"/>
      <c r="O86" s="79"/>
      <c r="P86" s="79"/>
      <c r="Q86" s="79"/>
      <c r="R86" s="79"/>
      <c r="S86" s="79"/>
      <c r="T86" s="79"/>
      <c r="U86" s="79"/>
      <c r="V86" s="79"/>
      <c r="W86" s="79"/>
      <c r="X86" s="79"/>
      <c r="Y86" s="79"/>
      <c r="Z86" s="79"/>
      <c r="AA86" s="79"/>
      <c r="AB86" s="79"/>
      <c r="AC86" s="79"/>
      <c r="AD86" s="79"/>
      <c r="AE86" s="79"/>
      <c r="AF86" s="79"/>
      <c r="AG86" s="79"/>
      <c r="AH86" s="79"/>
      <c r="AI86" s="79"/>
      <c r="AJ86" s="79"/>
      <c r="AK86" s="79"/>
      <c r="AL86" s="79"/>
      <c r="AM86" s="79"/>
      <c r="AV86" s="623"/>
      <c r="AW86" s="615"/>
      <c r="AX86" s="611"/>
      <c r="AY86" s="613"/>
      <c r="AZ86" s="578"/>
      <c r="BA86" s="574"/>
      <c r="BB86" s="579"/>
    </row>
    <row r="87" spans="1:56" s="239" customFormat="1" ht="36" customHeight="1" x14ac:dyDescent="0.35">
      <c r="A87" s="269"/>
      <c r="B87" s="193" t="s">
        <v>351</v>
      </c>
      <c r="C87" s="463" t="s">
        <v>352</v>
      </c>
      <c r="D87" s="509" t="s">
        <v>3</v>
      </c>
      <c r="E87" s="504"/>
      <c r="F87" s="216" t="str">
        <f>VLOOKUP($C87,'4b) SL EPO Extended Data Sheet'!$A$5:$AB$168,2,FALSE)</f>
        <v>N/A</v>
      </c>
      <c r="G87" s="217">
        <f>VLOOKUP($C87,'4b) SL EPO Extended Data Sheet'!$A$5:$AB$168,3, FALSE)</f>
        <v>0</v>
      </c>
      <c r="H87" s="505"/>
      <c r="I87" s="506" t="str">
        <f>VLOOKUP($C87,'4b) SL EPO Extended Data Sheet'!$A$5:$AD$168,30, FALSE)</f>
        <v>OBC
(Jul-23)</v>
      </c>
      <c r="J87" s="72">
        <f>VLOOKUP($C87,'4b) SL EPO Extended Data Sheet'!$A$5:$AB$168,6, FALSE)/1000000</f>
        <v>30</v>
      </c>
      <c r="K87" s="48">
        <f>VLOOKUP($C87,'4b) SL EPO Extended Data Sheet'!$A$5:$AB$168,7, FALSE)/1000000</f>
        <v>31.039000000000001</v>
      </c>
      <c r="L87" s="48" t="str">
        <f>VLOOKUP($C87,'4b) SL EPO Extended Data Sheet'!$A$5:$AB$168,8, FALSE)</f>
        <v/>
      </c>
      <c r="M87" s="524" t="str">
        <f>VLOOKUP($C87,'4b) SL EPO Extended Data Sheet'!$A$5:$AB$168,9, FALSE)</f>
        <v/>
      </c>
      <c r="N87" s="504">
        <f>VLOOKUP($C87,'4b) SL EPO Extended Data Sheet'!$A$5:$AB$168,5, FALSE)</f>
        <v>45108</v>
      </c>
      <c r="O87" s="560">
        <f>VLOOKUP($C87,'4b) SL EPO Extended Data Sheet'!$A$5:$AB$168,10, FALSE)/1000000</f>
        <v>0</v>
      </c>
      <c r="P87" s="48">
        <f>VLOOKUP($C87,'4b) SL EPO Extended Data Sheet'!$A$5:$AB$168,11, FALSE)/1000000</f>
        <v>3.3929999999999998</v>
      </c>
      <c r="Q87" s="504"/>
      <c r="R87" s="216" t="str">
        <f>VLOOKUP($C87,'4b) SL EPO Extended Data Sheet'!$A$5:$AB$168,12,FALSE)</f>
        <v>G</v>
      </c>
      <c r="S87" s="217">
        <f>VLOOKUP($C87,'4b) SL EPO Extended Data Sheet'!$A$5:$AB$168,13,FALSE)</f>
        <v>0</v>
      </c>
      <c r="T87" s="505"/>
      <c r="U87" s="506" t="str">
        <f>VLOOKUP($C87,'4b) SL EPO Extended Data Sheet'!$A$5:$AE$168,31,FALSE)</f>
        <v>OBC
(Dec-23)</v>
      </c>
      <c r="V87" s="505"/>
      <c r="W87" s="49">
        <f>VLOOKUP($C87,'4b) SL EPO Extended Data Sheet'!$A$5:$AC$168,16,FALSE)/1000000</f>
        <v>30.826938999999999</v>
      </c>
      <c r="X87" s="49">
        <f>VLOOKUP($C87,'4b) SL EPO Extended Data Sheet'!$A$5:$AC$168,17,FALSE)/1000000</f>
        <v>31.202410140000001</v>
      </c>
      <c r="Y87" s="49">
        <f>VLOOKUP($C87,'4b) SL EPO Extended Data Sheet'!$A$5:$AC$168,18,FALSE)/1000000</f>
        <v>3.1763000000000001E-4</v>
      </c>
      <c r="Z87" s="49">
        <f>VLOOKUP($C87,'4b) SL EPO Extended Data Sheet'!$A$5:$AB$168,16,FALSE)/1000000</f>
        <v>30.826938999999999</v>
      </c>
      <c r="AA87" s="507">
        <f>VLOOKUP($C87,'4b) SL EPO Extended Data Sheet'!$A$5:$AC$168,19,FALSE)</f>
        <v>47204</v>
      </c>
      <c r="AB87" s="507">
        <f>VLOOKUP($C87,'4b) SL EPO Extended Data Sheet'!$A$5:$AC$168,20,FALSE)</f>
        <v>47529</v>
      </c>
      <c r="AC87" s="51">
        <f>VLOOKUP($C87,'4b) SL EPO Extended Data Sheet'!$A$5:$AC$168,21,FALSE)</f>
        <v>0</v>
      </c>
      <c r="AD87" s="504">
        <f>VLOOKUP($C87,'4b) SL EPO Extended Data Sheet'!$A$5:$AB$168,15,FALSE)/1000000</f>
        <v>4.5270999999999999E-2</v>
      </c>
      <c r="AE87" s="49">
        <f>VLOOKUP($C87,'4b) SL EPO Extended Data Sheet'!$A$5:$AC$168,22,FALSE)/1000000</f>
        <v>5.4891845099999994</v>
      </c>
      <c r="AF87" s="49">
        <f>VLOOKUP($C87,'4b) SL EPO Extended Data Sheet'!$A$5:$AC$168,23,FALSE)/1000000</f>
        <v>1.8341167493000001</v>
      </c>
      <c r="AG87" s="52">
        <f>VLOOKUP($C87,'4b) SL EPO Extended Data Sheet'!$A$5:$AC$168,24,FALSE)/1000000</f>
        <v>2.5145477700000001</v>
      </c>
      <c r="AH87" s="508">
        <f>VLOOKUP($C87,'4b) SL EPO Extended Data Sheet'!$A$5:$AC$168,25,FALSE)</f>
        <v>0.72940222937184451</v>
      </c>
      <c r="AI87" s="508">
        <f>VLOOKUP($C87,'4b) SL EPO Extended Data Sheet'!$A$5:$AC$168,26,FALSE)</f>
        <v>0.33413282901288371</v>
      </c>
      <c r="AJ87" s="544">
        <f>VLOOKUP($C87,'4b) SL EPO Extended Data Sheet'!$A$5:$AC$168,27,FALSE)</f>
        <v>0.17806453342642939</v>
      </c>
      <c r="AK87" s="543">
        <f>VLOOKUP($C87,'4b) SL EPO Extended Data Sheet'!$A$5:$AC$168,28,FALSE)</f>
        <v>5.9497206300632058E-2</v>
      </c>
      <c r="AL87" s="509">
        <f>VLOOKUP($C87,'4b) SL EPO Extended Data Sheet'!$A$6:$AB$168,15,FALSE)</f>
        <v>45271</v>
      </c>
      <c r="AM87" s="219" t="str">
        <f>VLOOKUP($C87,'4b) SL EPO Extended Data Sheet'!$A$5:$AC$168,29,FALSE)</f>
        <v>G</v>
      </c>
      <c r="AV87" s="600">
        <v>31.20209251</v>
      </c>
      <c r="AW87" s="576">
        <v>47529</v>
      </c>
      <c r="AX87" s="611"/>
      <c r="AY87" s="600">
        <v>30.826938999999999</v>
      </c>
      <c r="AZ87" s="580">
        <f>W87-AY87</f>
        <v>0</v>
      </c>
      <c r="BA87" s="576">
        <v>47204</v>
      </c>
      <c r="BB87" s="582">
        <f>AA87-BA87</f>
        <v>0</v>
      </c>
    </row>
    <row r="88" spans="1:56" s="239" customFormat="1" ht="54" customHeight="1" thickBot="1" x14ac:dyDescent="0.4">
      <c r="A88" s="269" t="str">
        <f>C87</f>
        <v>Degradation of Pipebridge 57 (PB57) L14, L15, L16 Refurbishment</v>
      </c>
      <c r="B88" s="694" t="s">
        <v>541</v>
      </c>
      <c r="C88" s="695"/>
      <c r="D88" s="695"/>
      <c r="E88" s="695"/>
      <c r="F88" s="695"/>
      <c r="G88" s="695"/>
      <c r="H88" s="695"/>
      <c r="I88" s="695"/>
      <c r="J88" s="695"/>
      <c r="K88" s="695"/>
      <c r="L88" s="695"/>
      <c r="M88" s="695"/>
      <c r="N88" s="695"/>
      <c r="O88" s="695"/>
      <c r="P88" s="695"/>
      <c r="Q88" s="695"/>
      <c r="R88" s="695"/>
      <c r="S88" s="695"/>
      <c r="T88" s="695"/>
      <c r="U88" s="695"/>
      <c r="V88" s="695"/>
      <c r="W88" s="695"/>
      <c r="X88" s="695"/>
      <c r="Y88" s="695"/>
      <c r="Z88" s="695"/>
      <c r="AA88" s="695"/>
      <c r="AB88" s="695"/>
      <c r="AC88" s="695"/>
      <c r="AD88" s="695"/>
      <c r="AE88" s="695"/>
      <c r="AF88" s="695"/>
      <c r="AG88" s="695"/>
      <c r="AH88" s="695"/>
      <c r="AI88" s="695"/>
      <c r="AJ88" s="695"/>
      <c r="AK88" s="695"/>
      <c r="AL88" s="695"/>
      <c r="AM88" s="696"/>
      <c r="AV88" s="575"/>
      <c r="AW88" s="577"/>
      <c r="AX88" s="611"/>
      <c r="AY88" s="575"/>
      <c r="AZ88" s="581"/>
      <c r="BA88" s="577"/>
      <c r="BB88" s="583"/>
    </row>
    <row r="89" spans="1:56" ht="5.15" customHeight="1" thickBot="1" x14ac:dyDescent="0.4">
      <c r="C89" s="461"/>
      <c r="D89" s="210"/>
      <c r="G89" s="15"/>
      <c r="W89" s="210"/>
      <c r="X89" s="210"/>
      <c r="Y89" s="210"/>
      <c r="Z89" s="210"/>
      <c r="AA89" s="210"/>
      <c r="AB89" s="210"/>
      <c r="AC89" s="210"/>
      <c r="AE89" s="210"/>
      <c r="AF89" s="210"/>
      <c r="AG89" s="210"/>
      <c r="AH89" s="210"/>
      <c r="AI89" s="210"/>
      <c r="AJ89" s="210"/>
      <c r="AK89" s="210"/>
      <c r="AL89" s="210"/>
      <c r="AO89" s="239"/>
      <c r="AP89" s="239"/>
      <c r="AQ89" s="239"/>
      <c r="AR89" s="239"/>
      <c r="AS89" s="239"/>
      <c r="AT89" s="239"/>
      <c r="AU89" s="239"/>
      <c r="AW89" s="615"/>
      <c r="AX89" s="611"/>
      <c r="AY89" s="613"/>
      <c r="AZ89" s="578"/>
      <c r="BA89" s="574"/>
      <c r="BB89" s="579"/>
      <c r="BC89" s="239"/>
      <c r="BD89" s="239"/>
    </row>
    <row r="90" spans="1:56" s="271" customFormat="1" ht="24" customHeight="1" thickBot="1" x14ac:dyDescent="0.4">
      <c r="A90" s="434"/>
      <c r="B90" s="699" t="s">
        <v>194</v>
      </c>
      <c r="C90" s="700"/>
      <c r="D90" s="700"/>
      <c r="E90" s="700"/>
      <c r="F90" s="700"/>
      <c r="G90" s="700"/>
      <c r="H90" s="700"/>
      <c r="I90" s="700"/>
      <c r="J90" s="700"/>
      <c r="K90" s="700"/>
      <c r="L90" s="700"/>
      <c r="M90" s="700"/>
      <c r="N90" s="700"/>
      <c r="O90" s="700"/>
      <c r="P90" s="700"/>
      <c r="Q90" s="700"/>
      <c r="R90" s="700"/>
      <c r="S90" s="700"/>
      <c r="T90" s="700"/>
      <c r="U90" s="700"/>
      <c r="V90" s="700"/>
      <c r="W90" s="700"/>
      <c r="X90" s="700"/>
      <c r="Y90" s="700"/>
      <c r="Z90" s="700"/>
      <c r="AA90" s="700"/>
      <c r="AB90" s="700"/>
      <c r="AC90" s="700"/>
      <c r="AD90" s="700"/>
      <c r="AE90" s="700"/>
      <c r="AF90" s="700"/>
      <c r="AG90" s="700"/>
      <c r="AH90" s="700"/>
      <c r="AI90" s="700"/>
      <c r="AJ90" s="700"/>
      <c r="AK90" s="700"/>
      <c r="AL90" s="700"/>
      <c r="AM90" s="701"/>
      <c r="AO90" s="239"/>
      <c r="AP90" s="239"/>
      <c r="AQ90" s="239"/>
      <c r="AR90" s="239"/>
      <c r="AS90" s="239"/>
      <c r="AT90" s="239"/>
      <c r="AU90" s="239"/>
      <c r="AV90" s="591"/>
      <c r="AW90" s="614"/>
      <c r="AX90" s="611"/>
      <c r="AY90" s="591"/>
      <c r="AZ90" s="593"/>
      <c r="BA90" s="592"/>
      <c r="BB90" s="594"/>
      <c r="BC90" s="239"/>
      <c r="BD90" s="239"/>
    </row>
    <row r="91" spans="1:56" s="475" customFormat="1" ht="57.75" hidden="1" customHeight="1" thickBot="1" x14ac:dyDescent="0.4">
      <c r="A91" s="269"/>
      <c r="B91" s="688" t="s">
        <v>383</v>
      </c>
      <c r="C91" s="689"/>
      <c r="D91" s="689"/>
      <c r="E91" s="689"/>
      <c r="F91" s="689"/>
      <c r="G91" s="689"/>
      <c r="H91" s="689"/>
      <c r="I91" s="689"/>
      <c r="J91" s="689"/>
      <c r="K91" s="689"/>
      <c r="L91" s="689"/>
      <c r="M91" s="689"/>
      <c r="N91" s="689"/>
      <c r="O91" s="689"/>
      <c r="P91" s="689"/>
      <c r="Q91" s="689"/>
      <c r="R91" s="689"/>
      <c r="S91" s="689"/>
      <c r="T91" s="689"/>
      <c r="U91" s="689"/>
      <c r="V91" s="689"/>
      <c r="W91" s="689"/>
      <c r="X91" s="689"/>
      <c r="Y91" s="689"/>
      <c r="Z91" s="689"/>
      <c r="AA91" s="689"/>
      <c r="AB91" s="689"/>
      <c r="AC91" s="689"/>
      <c r="AD91" s="689"/>
      <c r="AE91" s="689"/>
      <c r="AF91" s="689"/>
      <c r="AG91" s="689"/>
      <c r="AH91" s="689"/>
      <c r="AI91" s="689"/>
      <c r="AJ91" s="689"/>
      <c r="AK91" s="689"/>
      <c r="AL91" s="689"/>
      <c r="AM91" s="690"/>
      <c r="AV91" s="608">
        <v>70.5</v>
      </c>
      <c r="AW91" s="615">
        <v>46106</v>
      </c>
      <c r="AX91" s="611"/>
      <c r="AY91" s="613">
        <v>72.617237000000003</v>
      </c>
      <c r="AZ91" s="578">
        <v>-72.617237000000003</v>
      </c>
      <c r="BA91" s="574">
        <v>46106</v>
      </c>
      <c r="BB91" s="579">
        <v>-46075.173061000001</v>
      </c>
    </row>
    <row r="92" spans="1:56" s="239" customFormat="1" ht="5.25" customHeight="1" thickBot="1" x14ac:dyDescent="0.4">
      <c r="A92" s="269"/>
      <c r="B92" s="78"/>
      <c r="C92" s="78"/>
      <c r="D92" s="79"/>
      <c r="E92" s="79"/>
      <c r="F92" s="79"/>
      <c r="G92" s="79"/>
      <c r="H92" s="79"/>
      <c r="I92" s="79"/>
      <c r="J92" s="79"/>
      <c r="K92" s="79"/>
      <c r="L92" s="79"/>
      <c r="M92" s="79"/>
      <c r="N92" s="79"/>
      <c r="O92" s="79"/>
      <c r="P92" s="79"/>
      <c r="Q92" s="79"/>
      <c r="R92" s="79"/>
      <c r="S92" s="79"/>
      <c r="T92" s="79"/>
      <c r="U92" s="79"/>
      <c r="V92" s="79"/>
      <c r="W92" s="79"/>
      <c r="X92" s="79"/>
      <c r="Y92" s="79"/>
      <c r="Z92" s="79"/>
      <c r="AA92" s="79"/>
      <c r="AB92" s="79"/>
      <c r="AC92" s="79"/>
      <c r="AD92" s="79"/>
      <c r="AE92" s="79"/>
      <c r="AF92" s="79"/>
      <c r="AG92" s="79"/>
      <c r="AH92" s="79"/>
      <c r="AI92" s="79"/>
      <c r="AJ92" s="79"/>
      <c r="AK92" s="79"/>
      <c r="AL92" s="79"/>
      <c r="AM92" s="79"/>
      <c r="AV92" s="608"/>
      <c r="AW92" s="615"/>
      <c r="AX92" s="611"/>
      <c r="AY92" s="613"/>
      <c r="AZ92" s="578"/>
      <c r="BA92" s="574"/>
      <c r="BB92" s="579"/>
    </row>
    <row r="93" spans="1:56" ht="36" customHeight="1" x14ac:dyDescent="0.35">
      <c r="B93" s="193" t="s">
        <v>490</v>
      </c>
      <c r="C93" s="556" t="s">
        <v>320</v>
      </c>
      <c r="D93" s="509" t="s">
        <v>3</v>
      </c>
      <c r="E93" s="504"/>
      <c r="F93" s="216" t="str">
        <f>VLOOKUP(C93,'5a)NDA MPPR'!$B$9:$AK$61,3,FALSE)</f>
        <v>A</v>
      </c>
      <c r="G93" s="217">
        <f>VLOOKUP(C93,'5a)NDA MPPR'!$B$9:$AK$61,4,FALSE)</f>
        <v>0</v>
      </c>
      <c r="H93" s="505"/>
      <c r="I93" s="506" t="str">
        <f>VLOOKUP(C93,'5a)NDA MPPR'!$B$9:$AK$61,6,FALSE)</f>
        <v>FBC
(Oct-23)</v>
      </c>
      <c r="J93" s="49">
        <f>VLOOKUP(C93,'5a)NDA MPPR'!$B$9:$AK$61,7,FALSE)</f>
        <v>130</v>
      </c>
      <c r="K93" s="49">
        <f>VLOOKUP(C93,'5a)NDA MPPR'!$B$9:$AK$61,8,FALSE)</f>
        <v>200</v>
      </c>
      <c r="L93" s="524" t="str">
        <f>VLOOKUP(C93,'5a)NDA MPPR'!$B$9:$AK$61,9,FALSE)</f>
        <v>-</v>
      </c>
      <c r="M93" s="524" t="str">
        <f>VLOOKUP(C93,'5a)NDA MPPR'!$B$9:$AK$61,10,FALSE)</f>
        <v>-</v>
      </c>
      <c r="N93" s="504"/>
      <c r="O93" s="48">
        <f>VLOOKUP(C93,'5a)NDA MPPR'!$B$9:$AK$61,12,FALSE)</f>
        <v>200</v>
      </c>
      <c r="P93" s="49">
        <f>VLOOKUP(C93,'5a)NDA MPPR'!$B$9:$AK$61,13,FALSE)</f>
        <v>200</v>
      </c>
      <c r="Q93" s="504"/>
      <c r="R93" s="216" t="str">
        <f>VLOOKUP(C93,'5a)NDA MPPR'!$B$9:$AK$61,15,FALSE)</f>
        <v>A</v>
      </c>
      <c r="S93" s="217">
        <f>VLOOKUP(C93,'5a)NDA MPPR'!$B$9:$AK$61,16,FALSE)</f>
        <v>0</v>
      </c>
      <c r="T93" s="505"/>
      <c r="U93" s="523" t="str">
        <f>VLOOKUP(C93,'5a)NDA MPPR'!$B$9:$AK$61,18,FALSE)</f>
        <v>FBC
 (Nov-23)</v>
      </c>
      <c r="V93" s="505"/>
      <c r="W93" s="49">
        <f>VLOOKUP(C93,'5a)NDA MPPR'!$B$9:$AK$61,20,FALSE)</f>
        <v>127.732077</v>
      </c>
      <c r="X93" s="49">
        <f>VLOOKUP(C93,'5a)NDA MPPR'!$B$9:$AK$61,21,FALSE)</f>
        <v>141.50572745999997</v>
      </c>
      <c r="Y93" s="49">
        <f>VLOOKUP(C93,'5a)NDA MPPR'!$B$9:$AK$61,22,FALSE)</f>
        <v>0</v>
      </c>
      <c r="Z93" s="50"/>
      <c r="AA93" s="507">
        <f>VLOOKUP(C93,'5a)NDA MPPR'!$B$9:$AK$61,24,FALSE)</f>
        <v>48935</v>
      </c>
      <c r="AB93" s="507">
        <f>VLOOKUP(C93,'5a)NDA MPPR'!$B$9:$AK$61,25,FALSE)</f>
        <v>48935</v>
      </c>
      <c r="AC93" s="51">
        <f>VLOOKUP(C93,'5a)NDA MPPR'!$B$9:$AK$61,26,FALSE)</f>
        <v>0</v>
      </c>
      <c r="AD93" s="504"/>
      <c r="AE93" s="49">
        <f>VLOOKUP(C93,'5a)NDA MPPR'!$B$9:$AK$61,28,FALSE)</f>
        <v>0</v>
      </c>
      <c r="AF93" s="49">
        <f>VLOOKUP(C93,'5a)NDA MPPR'!$B$9:$AK$61,29,FALSE)</f>
        <v>0</v>
      </c>
      <c r="AG93" s="52">
        <f>VLOOKUP(C93,'5a)NDA MPPR'!$B$9:$AK$61,30,FALSE)</f>
        <v>37.756586219999996</v>
      </c>
      <c r="AH93" s="164">
        <f>VLOOKUP(C93,'5a)NDA MPPR'!$B$9:$AK$61,31,FALSE)</f>
        <v>0</v>
      </c>
      <c r="AI93" s="164">
        <f>VLOOKUP(C93,'5a)NDA MPPR'!$B$9:$AK$61,32,FALSE)</f>
        <v>0</v>
      </c>
      <c r="AJ93" s="199">
        <f>VLOOKUP(C93,'5a)NDA MPPR'!$B$9:$AK$61,33,FALSE)</f>
        <v>0</v>
      </c>
      <c r="AK93" s="543">
        <f>VLOOKUP(C93,'5a)NDA MPPR'!$B$9:$AK$61,34,FALSE)</f>
        <v>0</v>
      </c>
      <c r="AL93" s="509"/>
      <c r="AM93" s="219" t="str">
        <f>VLOOKUP(C93,'5a)NDA MPPR'!$B$9:$AK$61,36,FALSE)</f>
        <v>R</v>
      </c>
      <c r="AO93" s="239"/>
      <c r="AP93" s="239"/>
      <c r="AQ93" s="239"/>
      <c r="AR93" s="239"/>
      <c r="AS93" s="239"/>
      <c r="AT93" s="239"/>
      <c r="AU93" s="239"/>
      <c r="AV93" s="600">
        <v>141.50050173999998</v>
      </c>
      <c r="AW93" s="576">
        <v>48935</v>
      </c>
      <c r="AX93" s="611"/>
      <c r="AY93" s="600">
        <v>127.732077</v>
      </c>
      <c r="AZ93" s="580">
        <f>W93-AY93</f>
        <v>0</v>
      </c>
      <c r="BA93" s="576">
        <v>48935</v>
      </c>
      <c r="BB93" s="582">
        <f>AA93-BA93</f>
        <v>0</v>
      </c>
      <c r="BC93" s="239"/>
      <c r="BD93" s="239"/>
    </row>
    <row r="94" spans="1:56" ht="125.25" customHeight="1" thickBot="1" x14ac:dyDescent="0.4">
      <c r="A94" s="269" t="str">
        <f>C93</f>
        <v>MSSS 2nd and 3rd Extension Sub-Programme</v>
      </c>
      <c r="B94" s="702" t="str">
        <f>VLOOKUP($C93,'5a)NDA MPPR'!$A$9:$AK$61,2,FALSE)</f>
        <v xml:space="preserve">In October 2023, the Magnox Swarf Storage Silos (MSSS) Retrievals Programme received re-sanctioning approval, establishing an overall upper funding limit of £1,098m. As part of that endorsement, a revised management framework and sanctioning strategy was introduced to govern the MSSS 2nd Extension (2E) &amp; 3rd Extension (3E) Tranche, as discrete projects. These projects are delivering critical enablers that will facilitate the commencement of waste retrieval operations using Silo Emptying Plant (SEP) 3. They have an upper sanction limit of £200m. The key enablers included are 1) SEP3; Complete design/rectification, installation and commissioning of the machine and associated components. 2) Final manufacture and installation scope for the Nitrogen Inlet system. 3) 2E Liquor Level management system.  4) The remaining Packages required to support full retrievals. The programme has prioritised the OB/FE and as a result the expected specialist resources (e.g. design capability) will not be available to concurrently deliver the SEP3 project (1). Without further action the delivery will take substantially longer, challenging tolerances. To address this SL is pursuing an alternative delivery model with a fully integrated programme partner that will increase effective delivery by enabling access to a different part of the skilled labour market. Confidence in the revised strategy continues to increase through ongoing engagement sessions with the delivery partners, therefore the Delivery Confidence Assessment remains at Amber until completion of the opportunity scoping phase in Qtr 4.The capability and capacity RAG is Red driven by resource constraints and commercial disruption following the administration of a key supply chain partner on the packages project (4). In response, the integrated team is actively working with administrators to recover part-manufactured equipment, having identified secure interim storage, and identified a replacement supplier to complete outstanding packages, with the required contract placements achieved in period to support the removal of equipment.  There remain a number of challenges to removing SL equipment from the administrator including building condition and crane certification, however plans are in place and removal of equipment has commenced this period. This disruption has led to increased in-year expenditure due to associated recovery and transition costs. Nitrogen Inlet project (2) and 2E LLM project (3) continue to deliver within baseline and sanction forecast. Overall, the tranche remains in the early stages of its lifecycle, with only six of the nine 2E/3E projects sanctioned, and a total released value of £66.3m. While future cost and schedule pressures are anticipated, the project is forecasting lifecycle EAC within the sanctioned upper limit of £200m and to timelines that align with the critical path of the Magnox Swarf Storage Silo (MSSS) Programme and as such, no direct impact is expected on sustained retrievals. There has been no change to the EAC during this period. The Baseline RAG status is Amber, reflecting anticipated impacts from ongoing commercial challenges and supply chain, but also in acknowledgement of the recovery plan currently being enacted by the project team to ensure delivery of packages in support of the programme requirements. Given the level of uncertainty but also increasing confidence in the revised strategy for SEP 3 delivery the Forecast project end date is being held at December 2033, and the Delivery Confidence Assessment at Amber, this will be revisited once the project has received a decision on the revised strategy through the delivery plan process specifically in relation to SEP 3 and the packages project scope. </v>
      </c>
      <c r="C94" s="703"/>
      <c r="D94" s="703"/>
      <c r="E94" s="703"/>
      <c r="F94" s="703"/>
      <c r="G94" s="703"/>
      <c r="H94" s="703"/>
      <c r="I94" s="703"/>
      <c r="J94" s="703"/>
      <c r="K94" s="703"/>
      <c r="L94" s="703"/>
      <c r="M94" s="703"/>
      <c r="N94" s="703"/>
      <c r="O94" s="703"/>
      <c r="P94" s="703"/>
      <c r="Q94" s="703"/>
      <c r="R94" s="703"/>
      <c r="S94" s="703"/>
      <c r="T94" s="703"/>
      <c r="U94" s="703"/>
      <c r="V94" s="703"/>
      <c r="W94" s="703"/>
      <c r="X94" s="703"/>
      <c r="Y94" s="703"/>
      <c r="Z94" s="703"/>
      <c r="AA94" s="703"/>
      <c r="AB94" s="703"/>
      <c r="AC94" s="703"/>
      <c r="AD94" s="703"/>
      <c r="AE94" s="703"/>
      <c r="AF94" s="703"/>
      <c r="AG94" s="703"/>
      <c r="AH94" s="703"/>
      <c r="AI94" s="703"/>
      <c r="AJ94" s="703"/>
      <c r="AK94" s="703"/>
      <c r="AL94" s="703"/>
      <c r="AM94" s="704"/>
      <c r="AO94" s="239"/>
      <c r="AP94" s="239"/>
      <c r="AQ94" s="239"/>
      <c r="AR94" s="239"/>
      <c r="AS94" s="239"/>
      <c r="AT94" s="239"/>
      <c r="AU94" s="239"/>
      <c r="AV94" s="575"/>
      <c r="AW94" s="577"/>
      <c r="AX94" s="611"/>
      <c r="AY94" s="575"/>
      <c r="AZ94" s="581"/>
      <c r="BA94" s="577"/>
      <c r="BB94" s="583"/>
      <c r="BC94" s="239"/>
      <c r="BD94" s="239"/>
    </row>
    <row r="95" spans="1:56" ht="5.25" customHeight="1" thickBot="1" x14ac:dyDescent="0.4">
      <c r="C95" s="461"/>
      <c r="D95" s="92"/>
      <c r="G95" s="15"/>
      <c r="W95" s="92"/>
      <c r="X95" s="92"/>
      <c r="Y95" s="92"/>
      <c r="Z95" s="92"/>
      <c r="AA95" s="92"/>
      <c r="AB95" s="92"/>
      <c r="AC95" s="92"/>
      <c r="AE95" s="92"/>
      <c r="AF95" s="92"/>
      <c r="AG95" s="92"/>
      <c r="AH95" s="92"/>
      <c r="AI95" s="92"/>
      <c r="AJ95" s="92"/>
      <c r="AK95" s="92"/>
      <c r="AL95" s="92"/>
      <c r="AW95" s="615"/>
      <c r="AX95" s="611"/>
      <c r="AY95" s="613"/>
      <c r="AZ95" s="578"/>
      <c r="BA95" s="574"/>
      <c r="BB95" s="579"/>
    </row>
    <row r="96" spans="1:56" s="239" customFormat="1" ht="36" customHeight="1" x14ac:dyDescent="0.35">
      <c r="A96" s="269"/>
      <c r="B96" s="207" t="s">
        <v>302</v>
      </c>
      <c r="C96" s="464" t="s">
        <v>305</v>
      </c>
      <c r="D96" s="509" t="s">
        <v>3</v>
      </c>
      <c r="E96" s="504"/>
      <c r="F96" s="216" t="str">
        <f>VLOOKUP($C96,'4b) SL EPO Extended Data Sheet'!$A$5:$AB$168,2,FALSE)</f>
        <v>A</v>
      </c>
      <c r="G96" s="217">
        <f>VLOOKUP($C96,'4b) SL EPO Extended Data Sheet'!$A$5:$AB$168,3, FALSE)</f>
        <v>0</v>
      </c>
      <c r="H96" s="505"/>
      <c r="I96" s="506" t="str">
        <f>VLOOKUP($C96,'4b) SL EPO Extended Data Sheet'!$A$5:$AD$168,30, FALSE)</f>
        <v>FBC
(Dec-21)</v>
      </c>
      <c r="J96" s="49">
        <f>VLOOKUP($C96,'4b) SL EPO Extended Data Sheet'!$A$5:$AB$168,6, FALSE)/1000000</f>
        <v>20.366652999999999</v>
      </c>
      <c r="K96" s="49">
        <f>VLOOKUP($C96,'4b) SL EPO Extended Data Sheet'!$A$5:$AB$168,7, FALSE)/1000000</f>
        <v>21.841460000000001</v>
      </c>
      <c r="L96" s="524">
        <f>VLOOKUP($C96,'4b) SL EPO Extended Data Sheet'!$A$5:$AB$168,8, FALSE)</f>
        <v>46234</v>
      </c>
      <c r="M96" s="524">
        <f>VLOOKUP($C96,'4b) SL EPO Extended Data Sheet'!$A$5:$AB$168,9, FALSE)</f>
        <v>46477</v>
      </c>
      <c r="N96" s="504"/>
      <c r="O96" s="560">
        <f>VLOOKUP($C96,'4b) SL EPO Extended Data Sheet'!$A$5:$AB$168,10, FALSE)/1000000</f>
        <v>0</v>
      </c>
      <c r="P96" s="49">
        <f>VLOOKUP($C96,'4b) SL EPO Extended Data Sheet'!$A$5:$AB$168,11, FALSE)/1000000</f>
        <v>20.366652999999999</v>
      </c>
      <c r="Q96" s="504"/>
      <c r="R96" s="216" t="str">
        <f>VLOOKUP($C96,'4b) SL EPO Extended Data Sheet'!$A$5:$AB$168,12,FALSE)</f>
        <v>R</v>
      </c>
      <c r="S96" s="217">
        <f>VLOOKUP($C96,'4b) SL EPO Extended Data Sheet'!$A$5:$AB$168,13,FALSE)</f>
        <v>-1</v>
      </c>
      <c r="T96" s="505"/>
      <c r="U96" s="506" t="str">
        <f>VLOOKUP($C96,'4b) SL EPO Extended Data Sheet'!$A$5:$AE$168,31,FALSE)</f>
        <v>FBC
(Mar-22)</v>
      </c>
      <c r="V96" s="505"/>
      <c r="W96" s="49">
        <f>VLOOKUP($C96,'4b) SL EPO Extended Data Sheet'!$A$5:$AC$168,16,FALSE)/1000000</f>
        <v>19.192466</v>
      </c>
      <c r="X96" s="49">
        <f>VLOOKUP($C96,'4b) SL EPO Extended Data Sheet'!$A$5:$AC$168,17,FALSE)/1000000</f>
        <v>20.434619399999999</v>
      </c>
      <c r="Y96" s="49">
        <f>VLOOKUP($C96,'4b) SL EPO Extended Data Sheet'!$A$5:$AC$168,18,FALSE)/1000000</f>
        <v>-5.5281400000000001E-2</v>
      </c>
      <c r="Z96" s="49">
        <f>VLOOKUP($C96,'4b) SL EPO Extended Data Sheet'!$A$5:$AB$168,16,FALSE)/1000000</f>
        <v>19.192466</v>
      </c>
      <c r="AA96" s="507">
        <f>VLOOKUP($C96,'4b) SL EPO Extended Data Sheet'!$A$5:$AC$168,19,FALSE)</f>
        <v>46230</v>
      </c>
      <c r="AB96" s="507">
        <f>VLOOKUP($C96,'4b) SL EPO Extended Data Sheet'!$A$5:$AC$168,20,FALSE)</f>
        <v>47039</v>
      </c>
      <c r="AC96" s="51">
        <f>VLOOKUP($C96,'4b) SL EPO Extended Data Sheet'!$A$5:$AC$168,21,FALSE)</f>
        <v>0</v>
      </c>
      <c r="AD96" s="504">
        <f>VLOOKUP($C96,'4b) SL EPO Extended Data Sheet'!$A$5:$AB$168,15,FALSE)/1000000</f>
        <v>4.4651000000000003E-2</v>
      </c>
      <c r="AE96" s="49">
        <f>VLOOKUP($C96,'4b) SL EPO Extended Data Sheet'!$A$5:$AC$168,22,FALSE)/1000000</f>
        <v>18.974144320000001</v>
      </c>
      <c r="AF96" s="49">
        <f>VLOOKUP($C96,'4b) SL EPO Extended Data Sheet'!$A$5:$AC$168,23,FALSE)/1000000</f>
        <v>14.255621577500001</v>
      </c>
      <c r="AG96" s="52">
        <f>VLOOKUP($C96,'4b) SL EPO Extended Data Sheet'!$A$5:$AC$168,24,FALSE)/1000000</f>
        <v>16.62600183</v>
      </c>
      <c r="AH96" s="508">
        <f>VLOOKUP($C96,'4b) SL EPO Extended Data Sheet'!$A$5:$AC$168,25,FALSE)</f>
        <v>0.85742932806473771</v>
      </c>
      <c r="AI96" s="508">
        <f>VLOOKUP($C96,'4b) SL EPO Extended Data Sheet'!$A$5:$AC$168,26,FALSE)</f>
        <v>0.75131828540344947</v>
      </c>
      <c r="AJ96" s="544">
        <f>VLOOKUP($C96,'4b) SL EPO Extended Data Sheet'!$A$5:$AC$168,27,FALSE)</f>
        <v>0.98862461551319147</v>
      </c>
      <c r="AK96" s="543">
        <f>VLOOKUP($C96,'4b) SL EPO Extended Data Sheet'!$A$5:$AC$168,28,FALSE)</f>
        <v>0.74277175103501558</v>
      </c>
      <c r="AL96" s="509">
        <f>VLOOKUP($C96,'4b) SL EPO Extended Data Sheet'!$A$6:$AB$168,15,FALSE)</f>
        <v>44651</v>
      </c>
      <c r="AM96" s="219" t="str">
        <f>VLOOKUP($C96,'4b) SL EPO Extended Data Sheet'!$A$5:$AC$168,29,FALSE)</f>
        <v>A</v>
      </c>
      <c r="AO96" s="15"/>
      <c r="AP96" s="15"/>
      <c r="AQ96" s="15"/>
      <c r="AR96" s="15"/>
      <c r="AS96" s="15"/>
      <c r="AT96" s="15"/>
      <c r="AU96" s="15"/>
      <c r="AV96" s="600">
        <v>20.489900800000001</v>
      </c>
      <c r="AW96" s="576">
        <v>47039</v>
      </c>
      <c r="AX96" s="611"/>
      <c r="AY96" s="600">
        <v>19.192466</v>
      </c>
      <c r="AZ96" s="580">
        <f>W96-AY96</f>
        <v>0</v>
      </c>
      <c r="BA96" s="576">
        <v>46230</v>
      </c>
      <c r="BB96" s="582">
        <f>AA96-BA96</f>
        <v>0</v>
      </c>
      <c r="BC96" s="15"/>
      <c r="BD96" s="15"/>
    </row>
    <row r="97" spans="1:56" s="239" customFormat="1" ht="60.75" customHeight="1" thickBot="1" x14ac:dyDescent="0.4">
      <c r="A97" s="269" t="str">
        <f>C96</f>
        <v>MSSS SEP3 Rails &amp; Brackets</v>
      </c>
      <c r="B97" s="694" t="s">
        <v>542</v>
      </c>
      <c r="C97" s="695"/>
      <c r="D97" s="695"/>
      <c r="E97" s="695"/>
      <c r="F97" s="695"/>
      <c r="G97" s="695"/>
      <c r="H97" s="695"/>
      <c r="I97" s="695"/>
      <c r="J97" s="695"/>
      <c r="K97" s="695"/>
      <c r="L97" s="695"/>
      <c r="M97" s="695"/>
      <c r="N97" s="695"/>
      <c r="O97" s="695"/>
      <c r="P97" s="695"/>
      <c r="Q97" s="695"/>
      <c r="R97" s="695"/>
      <c r="S97" s="695"/>
      <c r="T97" s="695"/>
      <c r="U97" s="695"/>
      <c r="V97" s="695"/>
      <c r="W97" s="695"/>
      <c r="X97" s="695"/>
      <c r="Y97" s="695"/>
      <c r="Z97" s="695"/>
      <c r="AA97" s="695"/>
      <c r="AB97" s="695"/>
      <c r="AC97" s="695"/>
      <c r="AD97" s="695"/>
      <c r="AE97" s="695"/>
      <c r="AF97" s="695"/>
      <c r="AG97" s="695"/>
      <c r="AH97" s="695"/>
      <c r="AI97" s="695"/>
      <c r="AJ97" s="695"/>
      <c r="AK97" s="695"/>
      <c r="AL97" s="695"/>
      <c r="AM97" s="696"/>
      <c r="AV97" s="575"/>
      <c r="AW97" s="577"/>
      <c r="AX97" s="611"/>
      <c r="AY97" s="575"/>
      <c r="AZ97" s="581"/>
      <c r="BA97" s="577"/>
      <c r="BB97" s="583"/>
    </row>
    <row r="98" spans="1:56" s="239" customFormat="1" ht="5.25" customHeight="1" thickBot="1" x14ac:dyDescent="0.4">
      <c r="A98" s="269"/>
      <c r="C98" s="461"/>
      <c r="D98" s="270"/>
      <c r="W98" s="270"/>
      <c r="X98" s="270"/>
      <c r="Y98" s="270"/>
      <c r="Z98" s="270"/>
      <c r="AA98" s="270"/>
      <c r="AB98" s="270"/>
      <c r="AC98" s="270"/>
      <c r="AE98" s="270"/>
      <c r="AF98" s="270"/>
      <c r="AG98" s="270"/>
      <c r="AH98" s="270"/>
      <c r="AI98" s="270"/>
      <c r="AJ98" s="270"/>
      <c r="AK98" s="270"/>
      <c r="AL98" s="270"/>
      <c r="AV98" s="608"/>
      <c r="AW98" s="615"/>
      <c r="AX98" s="611"/>
      <c r="AY98" s="613"/>
      <c r="AZ98" s="578"/>
      <c r="BA98" s="574"/>
      <c r="BB98" s="579"/>
    </row>
    <row r="99" spans="1:56" s="239" customFormat="1" ht="36" customHeight="1" x14ac:dyDescent="0.35">
      <c r="A99" s="269"/>
      <c r="B99" s="207" t="s">
        <v>359</v>
      </c>
      <c r="C99" s="464" t="s">
        <v>360</v>
      </c>
      <c r="D99" s="509" t="s">
        <v>3</v>
      </c>
      <c r="E99" s="504"/>
      <c r="F99" s="216" t="str">
        <f>VLOOKUP($C99,'4b) SL EPO Extended Data Sheet'!$A$5:$AB$168,2,FALSE)</f>
        <v>A</v>
      </c>
      <c r="G99" s="217">
        <f>VLOOKUP($C99,'4b) SL EPO Extended Data Sheet'!$A$5:$AB$168,3, FALSE)</f>
        <v>0</v>
      </c>
      <c r="H99" s="505"/>
      <c r="I99" s="506" t="str">
        <f>VLOOKUP($C99,'4b) SL EPO Extended Data Sheet'!$A$5:$AD$168,30, FALSE)</f>
        <v>FBC
(Jan-23)</v>
      </c>
      <c r="J99" s="49">
        <f>VLOOKUP($C99,'4b) SL EPO Extended Data Sheet'!$A$5:$AB$168,6, FALSE)/1000000</f>
        <v>27.608000000000001</v>
      </c>
      <c r="K99" s="49">
        <f>VLOOKUP($C99,'4b) SL EPO Extended Data Sheet'!$A$5:$AB$168,7, FALSE)/1000000</f>
        <v>28.241</v>
      </c>
      <c r="L99" s="524">
        <f>VLOOKUP($C99,'4b) SL EPO Extended Data Sheet'!$A$5:$AB$168,8, FALSE)</f>
        <v>46053</v>
      </c>
      <c r="M99" s="524">
        <f>VLOOKUP($C99,'4b) SL EPO Extended Data Sheet'!$A$5:$AB$168,9, FALSE)</f>
        <v>46203</v>
      </c>
      <c r="N99" s="504"/>
      <c r="O99" s="560">
        <f>VLOOKUP($C99,'4b) SL EPO Extended Data Sheet'!$A$5:$AB$168,10, FALSE)/1000000</f>
        <v>0</v>
      </c>
      <c r="P99" s="49">
        <f>VLOOKUP($C99,'4b) SL EPO Extended Data Sheet'!$A$5:$AB$168,11, FALSE)/1000000</f>
        <v>28.241</v>
      </c>
      <c r="Q99" s="504"/>
      <c r="R99" s="216" t="str">
        <f>VLOOKUP($C99,'4b) SL EPO Extended Data Sheet'!$A$5:$AB$168,12,FALSE)</f>
        <v>R</v>
      </c>
      <c r="S99" s="217">
        <f>VLOOKUP($C99,'4b) SL EPO Extended Data Sheet'!$A$5:$AB$168,13,FALSE)</f>
        <v>-1</v>
      </c>
      <c r="T99" s="505"/>
      <c r="U99" s="506" t="str">
        <f>VLOOKUP($C99,'4b) SL EPO Extended Data Sheet'!$A$5:$AE$168,31,FALSE)</f>
        <v>FBC
(Mar-23)</v>
      </c>
      <c r="V99" s="505"/>
      <c r="W99" s="49">
        <f>VLOOKUP($C99,'4b) SL EPO Extended Data Sheet'!$A$5:$AC$168,16,FALSE)/1000000</f>
        <v>18.788383</v>
      </c>
      <c r="X99" s="49">
        <f>VLOOKUP($C99,'4b) SL EPO Extended Data Sheet'!$A$5:$AC$168,17,FALSE)/1000000</f>
        <v>28.08472815</v>
      </c>
      <c r="Y99" s="49">
        <f>VLOOKUP($C99,'4b) SL EPO Extended Data Sheet'!$A$5:$AC$168,18,FALSE)/1000000</f>
        <v>1.471561E-2</v>
      </c>
      <c r="Z99" s="49">
        <f>VLOOKUP($C99,'4b) SL EPO Extended Data Sheet'!$A$5:$AB$168,16,FALSE)/1000000</f>
        <v>18.788383</v>
      </c>
      <c r="AA99" s="507">
        <f>VLOOKUP($C99,'4b) SL EPO Extended Data Sheet'!$A$5:$AC$168,19,FALSE)</f>
        <v>46043</v>
      </c>
      <c r="AB99" s="507">
        <f>VLOOKUP($C99,'4b) SL EPO Extended Data Sheet'!$A$5:$AC$168,20,FALSE)</f>
        <v>46463</v>
      </c>
      <c r="AC99" s="51">
        <f>VLOOKUP($C99,'4b) SL EPO Extended Data Sheet'!$A$5:$AC$168,21,FALSE)</f>
        <v>-5</v>
      </c>
      <c r="AD99" s="504">
        <f>VLOOKUP($C99,'4b) SL EPO Extended Data Sheet'!$A$5:$AB$168,15,FALSE)/1000000</f>
        <v>4.5014999999999999E-2</v>
      </c>
      <c r="AE99" s="49">
        <f>VLOOKUP($C99,'4b) SL EPO Extended Data Sheet'!$A$5:$AC$168,22,FALSE)/1000000</f>
        <v>26.873074280000001</v>
      </c>
      <c r="AF99" s="49">
        <f>VLOOKUP($C99,'4b) SL EPO Extended Data Sheet'!$A$5:$AC$168,23,FALSE)/1000000</f>
        <v>26.130577862799999</v>
      </c>
      <c r="AG99" s="52">
        <f>VLOOKUP($C99,'4b) SL EPO Extended Data Sheet'!$A$5:$AC$168,24,FALSE)/1000000</f>
        <v>27.73221088</v>
      </c>
      <c r="AH99" s="508">
        <f>VLOOKUP($C99,'4b) SL EPO Extended Data Sheet'!$A$5:$AC$168,25,FALSE)</f>
        <v>0.94224647201298073</v>
      </c>
      <c r="AI99" s="508">
        <f>VLOOKUP($C99,'4b) SL EPO Extended Data Sheet'!$A$5:$AC$168,26,FALSE)</f>
        <v>0.97237024653511284</v>
      </c>
      <c r="AJ99" s="544">
        <f>VLOOKUP($C99,'4b) SL EPO Extended Data Sheet'!$A$5:$AC$168,27,FALSE)</f>
        <v>1.430302665216054</v>
      </c>
      <c r="AK99" s="543">
        <f>VLOOKUP($C99,'4b) SL EPO Extended Data Sheet'!$A$5:$AC$168,28,FALSE)</f>
        <v>1.3907837551959632</v>
      </c>
      <c r="AL99" s="509">
        <f>VLOOKUP($C99,'4b) SL EPO Extended Data Sheet'!$A$6:$AB$168,15,FALSE)</f>
        <v>45015</v>
      </c>
      <c r="AM99" s="219" t="str">
        <f>VLOOKUP($C99,'4b) SL EPO Extended Data Sheet'!$A$5:$AC$168,29,FALSE)</f>
        <v>G</v>
      </c>
      <c r="AO99" s="15"/>
      <c r="AP99" s="15"/>
      <c r="AQ99" s="15"/>
      <c r="AR99" s="15"/>
      <c r="AS99" s="15"/>
      <c r="AT99" s="15"/>
      <c r="AU99" s="15"/>
      <c r="AV99" s="600">
        <v>28.07001254</v>
      </c>
      <c r="AW99" s="576">
        <v>46468</v>
      </c>
      <c r="AX99" s="611"/>
      <c r="AY99" s="600">
        <v>18.788383</v>
      </c>
      <c r="AZ99" s="580">
        <f>W99-AY99</f>
        <v>0</v>
      </c>
      <c r="BA99" s="576">
        <v>46043</v>
      </c>
      <c r="BB99" s="582">
        <f>AA99-BA99</f>
        <v>0</v>
      </c>
      <c r="BC99" s="15"/>
      <c r="BD99" s="15"/>
    </row>
    <row r="100" spans="1:56" s="239" customFormat="1" ht="77.150000000000006" customHeight="1" thickBot="1" x14ac:dyDescent="0.4">
      <c r="A100" s="269" t="str">
        <f>C99</f>
        <v>MSSS Electrical Distribution Upgrade for Retrievals</v>
      </c>
      <c r="B100" s="694" t="s">
        <v>573</v>
      </c>
      <c r="C100" s="695"/>
      <c r="D100" s="695"/>
      <c r="E100" s="695"/>
      <c r="F100" s="695"/>
      <c r="G100" s="695"/>
      <c r="H100" s="695"/>
      <c r="I100" s="695"/>
      <c r="J100" s="695"/>
      <c r="K100" s="695"/>
      <c r="L100" s="695"/>
      <c r="M100" s="695"/>
      <c r="N100" s="695"/>
      <c r="O100" s="695"/>
      <c r="P100" s="695"/>
      <c r="Q100" s="695"/>
      <c r="R100" s="695"/>
      <c r="S100" s="695"/>
      <c r="T100" s="695"/>
      <c r="U100" s="695"/>
      <c r="V100" s="695"/>
      <c r="W100" s="695"/>
      <c r="X100" s="695"/>
      <c r="Y100" s="695"/>
      <c r="Z100" s="695"/>
      <c r="AA100" s="695"/>
      <c r="AB100" s="695"/>
      <c r="AC100" s="695"/>
      <c r="AD100" s="695"/>
      <c r="AE100" s="695"/>
      <c r="AF100" s="695"/>
      <c r="AG100" s="695"/>
      <c r="AH100" s="695"/>
      <c r="AI100" s="695"/>
      <c r="AJ100" s="695"/>
      <c r="AK100" s="695"/>
      <c r="AL100" s="695"/>
      <c r="AM100" s="696"/>
      <c r="AO100" s="15"/>
      <c r="AP100" s="15"/>
      <c r="AQ100" s="15"/>
      <c r="AR100" s="15"/>
      <c r="AS100" s="15"/>
      <c r="AT100" s="15"/>
      <c r="AU100" s="15"/>
      <c r="AV100" s="575"/>
      <c r="AW100" s="577"/>
      <c r="AX100" s="611"/>
      <c r="AY100" s="575"/>
      <c r="AZ100" s="581"/>
      <c r="BA100" s="577"/>
      <c r="BB100" s="583"/>
      <c r="BC100" s="15"/>
      <c r="BD100" s="15"/>
    </row>
    <row r="101" spans="1:56" s="239" customFormat="1" ht="5.25" customHeight="1" thickBot="1" x14ac:dyDescent="0.4">
      <c r="A101" s="269"/>
      <c r="B101" s="61"/>
      <c r="C101" s="437"/>
      <c r="D101" s="61"/>
      <c r="E101" s="61"/>
      <c r="F101" s="61"/>
      <c r="G101" s="61"/>
      <c r="H101" s="61"/>
      <c r="I101" s="61"/>
      <c r="J101" s="61"/>
      <c r="K101" s="61"/>
      <c r="L101" s="61"/>
      <c r="M101" s="61"/>
      <c r="N101" s="61"/>
      <c r="O101" s="61"/>
      <c r="P101" s="61"/>
      <c r="Q101" s="61"/>
      <c r="R101" s="61"/>
      <c r="S101" s="61"/>
      <c r="T101" s="61"/>
      <c r="U101" s="61"/>
      <c r="V101" s="61"/>
      <c r="W101" s="61"/>
      <c r="X101" s="61"/>
      <c r="Y101" s="61"/>
      <c r="Z101" s="61"/>
      <c r="AA101" s="61"/>
      <c r="AB101" s="61"/>
      <c r="AC101" s="61"/>
      <c r="AD101" s="61"/>
      <c r="AE101" s="61"/>
      <c r="AF101" s="61"/>
      <c r="AG101" s="61"/>
      <c r="AH101" s="61"/>
      <c r="AI101" s="61"/>
      <c r="AJ101" s="61"/>
      <c r="AK101" s="61"/>
      <c r="AL101" s="61"/>
      <c r="AM101" s="61"/>
      <c r="AV101" s="608"/>
      <c r="AW101" s="615"/>
      <c r="AX101" s="611"/>
      <c r="AY101" s="613"/>
      <c r="AZ101" s="578"/>
      <c r="BA101" s="574"/>
      <c r="BB101" s="579"/>
    </row>
    <row r="102" spans="1:56" ht="36" customHeight="1" x14ac:dyDescent="0.35">
      <c r="B102" s="193" t="s">
        <v>100</v>
      </c>
      <c r="C102" s="556" t="s">
        <v>7</v>
      </c>
      <c r="D102" s="509" t="s">
        <v>3</v>
      </c>
      <c r="E102" s="504"/>
      <c r="F102" s="216" t="str">
        <f>VLOOKUP(C102,'5a)NDA MPPR'!$B$9:$AK$61,3,FALSE)</f>
        <v>A</v>
      </c>
      <c r="G102" s="217">
        <f>VLOOKUP(C102,'5a)NDA MPPR'!$B$9:$AK$61,4,FALSE)</f>
        <v>0</v>
      </c>
      <c r="H102" s="505"/>
      <c r="I102" s="506" t="str">
        <f>VLOOKUP(C102,'5a)NDA MPPR'!$B$9:$AK$61,6,FALSE)</f>
        <v>FBC
(Oct-23)</v>
      </c>
      <c r="J102" s="48">
        <f>VLOOKUP(C102,'5a)NDA MPPR'!$B$9:$AK$61,7,FALSE)</f>
        <v>866.7</v>
      </c>
      <c r="K102" s="48">
        <f>VLOOKUP(C102,'5a)NDA MPPR'!$B$9:$AK$61,8,FALSE)</f>
        <v>897.9</v>
      </c>
      <c r="L102" s="507">
        <f>VLOOKUP(C102,'5a)NDA MPPR'!$B$9:$AK$61,9,FALSE)</f>
        <v>46505</v>
      </c>
      <c r="M102" s="507">
        <f>VLOOKUP(C102,'5a)NDA MPPR'!$B$9:$AK$61,10,FALSE)</f>
        <v>47053</v>
      </c>
      <c r="N102" s="504"/>
      <c r="O102" s="48">
        <f>VLOOKUP(C102,'5a)NDA MPPR'!$B$9:$AK$61,12,FALSE)</f>
        <v>897.9</v>
      </c>
      <c r="P102" s="48">
        <f>VLOOKUP(C102,'5a)NDA MPPR'!$B$9:$AK$61,13,FALSE)</f>
        <v>897.9</v>
      </c>
      <c r="Q102" s="504"/>
      <c r="R102" s="216" t="str">
        <f>VLOOKUP(C102,'5a)NDA MPPR'!$B$9:$AK$61,15,FALSE)</f>
        <v>R</v>
      </c>
      <c r="S102" s="217">
        <f>VLOOKUP(C102,'5a)NDA MPPR'!$B$9:$AK$61,16,FALSE)</f>
        <v>-1</v>
      </c>
      <c r="T102" s="505"/>
      <c r="U102" s="523" t="str">
        <f>VLOOKUP(C102,'5a)NDA MPPR'!$B$9:$AK$61,18,FALSE)</f>
        <v>FBC
 (Apr-22)</v>
      </c>
      <c r="V102" s="505"/>
      <c r="W102" s="49">
        <f>VLOOKUP(C102,'5a)NDA MPPR'!$B$9:$AK$61,20,FALSE)</f>
        <v>803.03225499999996</v>
      </c>
      <c r="X102" s="49">
        <f>VLOOKUP(C102,'5a)NDA MPPR'!$B$9:$AK$61,21,FALSE)</f>
        <v>889.66115429000001</v>
      </c>
      <c r="Y102" s="49">
        <f>VLOOKUP(C102,'5a)NDA MPPR'!$B$9:$AK$61,22,FALSE)</f>
        <v>1.8</v>
      </c>
      <c r="Z102" s="50"/>
      <c r="AA102" s="507">
        <f>VLOOKUP(C102,'5a)NDA MPPR'!$B$9:$AK$61,24,FALSE)</f>
        <v>46505</v>
      </c>
      <c r="AB102" s="507">
        <f>VLOOKUP(C102,'5a)NDA MPPR'!$B$9:$AK$61,25,FALSE)</f>
        <v>47262</v>
      </c>
      <c r="AC102" s="51">
        <f>VLOOKUP(C102,'5a)NDA MPPR'!$B$9:$AK$61,26,FALSE)</f>
        <v>99</v>
      </c>
      <c r="AD102" s="504"/>
      <c r="AE102" s="49">
        <f>VLOOKUP(C102,'5a)NDA MPPR'!$B$9:$AK$61,28,FALSE)</f>
        <v>799.49913741</v>
      </c>
      <c r="AF102" s="49">
        <f>VLOOKUP(C102,'5a)NDA MPPR'!$B$9:$AK$61,29,FALSE)</f>
        <v>786.2019510353</v>
      </c>
      <c r="AG102" s="52">
        <f>VLOOKUP(C102,'5a)NDA MPPR'!$B$9:$AK$61,30,FALSE)</f>
        <v>872.40327776000004</v>
      </c>
      <c r="AH102" s="508">
        <f>VLOOKUP(C102,'5a)NDA MPPR'!$B$9:$AK$61,31,FALSE)</f>
        <v>0.90119096417653055</v>
      </c>
      <c r="AI102" s="508">
        <f>VLOOKUP(C102,'5a)NDA MPPR'!$B$9:$AK$61,32,FALSE)</f>
        <v>0.98336810416359344</v>
      </c>
      <c r="AJ102" s="163">
        <f>VLOOKUP(C102,'5a)NDA MPPR'!$B$9:$AK$61,33,FALSE)</f>
        <v>0.99560027935615114</v>
      </c>
      <c r="AK102" s="543">
        <f>VLOOKUP(C102,'5a)NDA MPPR'!$B$9:$AK$61,34,FALSE)</f>
        <v>0.97904155921520242</v>
      </c>
      <c r="AL102" s="509"/>
      <c r="AM102" s="219" t="str">
        <f>VLOOKUP(C102,'5a)NDA MPPR'!$B$9:$AK$61,36,FALSE)</f>
        <v>G</v>
      </c>
      <c r="AV102" s="600">
        <v>887.84724276999998</v>
      </c>
      <c r="AW102" s="576">
        <v>47163</v>
      </c>
      <c r="AX102" s="611"/>
      <c r="AY102" s="600">
        <v>803.03225499999996</v>
      </c>
      <c r="AZ102" s="580">
        <f>W102-AY102</f>
        <v>0</v>
      </c>
      <c r="BA102" s="576">
        <v>46505</v>
      </c>
      <c r="BB102" s="582">
        <f>AA102-BA102</f>
        <v>0</v>
      </c>
    </row>
    <row r="103" spans="1:56" ht="84.75" customHeight="1" thickBot="1" x14ac:dyDescent="0.4">
      <c r="A103" s="269" t="str">
        <f>C102</f>
        <v>SEP Solid Waste Storage Retrievals</v>
      </c>
      <c r="B103" s="702" t="str">
        <f>VLOOKUP($C102,'5a)NDA MPPR'!$A$9:$AK$61,2,FALSE)</f>
        <v xml:space="preserve">This project enables retrievals in Magnox Swarf Storage Silos (MSSS) Original Building and the 1st Extension. This includes completion of Silo Emptying Plant (SEP) 2 and SEP 1. The first project benefit was completed in 2022, enabling the successful start of Retrievals from SEP 2. The project continues to be impacted by industrial action in the supply chain resulting in productivity losses, key skills unavailable, and constraints on work scope delivery. Impact assessment will be finalised on conclusion of the action with the intent to seek appropriate sanction relief subject to further review.  This is not a dispute directly with Sellafield Ltd; Sellafield is engaged with the Supply Chain and Stakeholders to ensure effective management of the impacts; correct mitigations are in place and to effectively mobilise resources upon return to work. The Delivery Confidence Assessment remains Amber in light of the challenges to the SEP1 commissioning schedule and in delivering the Vent Extract works. In context of the full project, the current site works issues appear resolvable but are resulting in the SEP1 capability date being adversely effected. This period, SEP2 close out made some positive progress, however the SEP1 and Vent elements of the project achieved limited progress as work was halted by industrial action and water ingress issues respectively. This has resulted in the planned first SEP1 skip out date moving to May 2028, and the subsequent deterioration of the project end date to May 2029 challenges the lifecycle cost to remain within P80 values, although the integrated team are working to recover this date. The prolongation has also caused a £1.8m increase in the EAC to £889.7m, and the Baseline RAG now reflects Red. Of the significant negative cost variance between the EAC and Baseline, £64.3m of this was historical (prior to 2022) and although included in the current sanction, is not included in the Baseline. The Capability and Capacity remains Green as resources are being made available to support the prioritised Original Building/1st Extension scope. The Skip Fill Optimisation opportunity and key SEP Retrievals Improvements such as capability to manage large items, deal with pressurised containers and manage waste craters has been integrated into the MSSS capability delivery schedule and the project and programme are working together to minimise the impact of implementation of this scope on the project.  </v>
      </c>
      <c r="C103" s="703"/>
      <c r="D103" s="703"/>
      <c r="E103" s="703"/>
      <c r="F103" s="703"/>
      <c r="G103" s="703"/>
      <c r="H103" s="703"/>
      <c r="I103" s="703"/>
      <c r="J103" s="703"/>
      <c r="K103" s="703"/>
      <c r="L103" s="703"/>
      <c r="M103" s="703"/>
      <c r="N103" s="703"/>
      <c r="O103" s="703"/>
      <c r="P103" s="703"/>
      <c r="Q103" s="703"/>
      <c r="R103" s="703"/>
      <c r="S103" s="703"/>
      <c r="T103" s="703"/>
      <c r="U103" s="703"/>
      <c r="V103" s="703"/>
      <c r="W103" s="703"/>
      <c r="X103" s="703"/>
      <c r="Y103" s="703"/>
      <c r="Z103" s="703"/>
      <c r="AA103" s="703"/>
      <c r="AB103" s="703"/>
      <c r="AC103" s="703"/>
      <c r="AD103" s="703"/>
      <c r="AE103" s="703"/>
      <c r="AF103" s="703"/>
      <c r="AG103" s="703"/>
      <c r="AH103" s="703"/>
      <c r="AI103" s="703"/>
      <c r="AJ103" s="703"/>
      <c r="AK103" s="703"/>
      <c r="AL103" s="703"/>
      <c r="AM103" s="704"/>
      <c r="AO103" s="436"/>
      <c r="AP103" s="436"/>
      <c r="AQ103" s="436"/>
      <c r="AR103" s="436"/>
      <c r="AS103" s="436"/>
      <c r="AT103" s="436"/>
      <c r="AU103" s="436"/>
      <c r="AV103" s="575"/>
      <c r="AW103" s="577"/>
      <c r="AX103" s="611"/>
      <c r="AY103" s="575"/>
      <c r="AZ103" s="581"/>
      <c r="BA103" s="577"/>
      <c r="BB103" s="583"/>
      <c r="BC103" s="436"/>
      <c r="BD103" s="436"/>
    </row>
    <row r="104" spans="1:56" s="239" customFormat="1" ht="5.25" customHeight="1" thickBot="1" x14ac:dyDescent="0.4">
      <c r="A104" s="269"/>
      <c r="B104" s="95"/>
      <c r="C104" s="96"/>
      <c r="D104" s="96"/>
      <c r="E104" s="96"/>
      <c r="F104" s="96"/>
      <c r="G104" s="96"/>
      <c r="H104" s="96"/>
      <c r="I104" s="96"/>
      <c r="J104" s="96"/>
      <c r="K104" s="96"/>
      <c r="L104" s="96"/>
      <c r="M104" s="96"/>
      <c r="N104" s="96"/>
      <c r="O104" s="96"/>
      <c r="P104" s="96"/>
      <c r="Q104" s="96"/>
      <c r="R104" s="96"/>
      <c r="S104" s="96"/>
      <c r="T104" s="96"/>
      <c r="U104" s="96"/>
      <c r="V104" s="96"/>
      <c r="W104" s="96"/>
      <c r="X104" s="96"/>
      <c r="Y104" s="96"/>
      <c r="Z104" s="96"/>
      <c r="AA104" s="96"/>
      <c r="AB104" s="96"/>
      <c r="AC104" s="96"/>
      <c r="AD104" s="96"/>
      <c r="AE104" s="96"/>
      <c r="AF104" s="96"/>
      <c r="AG104" s="96"/>
      <c r="AH104" s="96"/>
      <c r="AI104" s="96"/>
      <c r="AJ104" s="96"/>
      <c r="AK104" s="96"/>
      <c r="AL104" s="96"/>
      <c r="AM104" s="96"/>
      <c r="AO104" s="15"/>
      <c r="AP104" s="15"/>
      <c r="AQ104" s="15"/>
      <c r="AR104" s="15"/>
      <c r="AS104" s="15"/>
      <c r="AT104" s="15"/>
      <c r="AU104" s="15"/>
      <c r="AV104" s="608"/>
      <c r="AW104" s="615"/>
      <c r="AX104" s="611"/>
      <c r="AY104" s="613"/>
      <c r="AZ104" s="578"/>
      <c r="BA104" s="574"/>
      <c r="BB104" s="579"/>
      <c r="BC104" s="15"/>
      <c r="BD104" s="15"/>
    </row>
    <row r="105" spans="1:56" s="239" customFormat="1" ht="30" customHeight="1" x14ac:dyDescent="0.35">
      <c r="A105" s="269"/>
      <c r="B105" s="262" t="s">
        <v>327</v>
      </c>
      <c r="C105" s="464" t="s">
        <v>328</v>
      </c>
      <c r="D105" s="509" t="s">
        <v>3</v>
      </c>
      <c r="E105" s="504"/>
      <c r="F105" s="216" t="str">
        <f>VLOOKUP($C105,'4b) SL EPO Extended Data Sheet'!$A$5:$AB$168,2,FALSE)</f>
        <v>A</v>
      </c>
      <c r="G105" s="217">
        <f>VLOOKUP($C105,'4b) SL EPO Extended Data Sheet'!$A$5:$AB$168,3, FALSE)</f>
        <v>0</v>
      </c>
      <c r="H105" s="505"/>
      <c r="I105" s="506" t="str">
        <f>VLOOKUP($C105,'4b) SL EPO Extended Data Sheet'!$A$5:$AD$168,30, FALSE)</f>
        <v>SOC
(Sep-21)</v>
      </c>
      <c r="J105" s="72">
        <f>VLOOKUP($C105,'4b) SL EPO Extended Data Sheet'!$A$5:$AB$168,6, FALSE)/1000000</f>
        <v>38.1</v>
      </c>
      <c r="K105" s="596">
        <f>VLOOKUP($C105,'4b) SL EPO Extended Data Sheet'!$A$5:$AB$168,7, FALSE)/1000000</f>
        <v>0</v>
      </c>
      <c r="L105" s="48" t="str">
        <f>VLOOKUP($C105,'4b) SL EPO Extended Data Sheet'!$A$5:$AB$168,8, FALSE)</f>
        <v/>
      </c>
      <c r="M105" s="507" t="str">
        <f>VLOOKUP($C105,'4b) SL EPO Extended Data Sheet'!$A$5:$AB$168,9, FALSE)</f>
        <v/>
      </c>
      <c r="N105" s="504"/>
      <c r="O105" s="560">
        <f>VLOOKUP($C105,'4b) SL EPO Extended Data Sheet'!$A$5:$AB$168,10, FALSE)/1000000</f>
        <v>0</v>
      </c>
      <c r="P105" s="48">
        <f>VLOOKUP($C105,'4b) SL EPO Extended Data Sheet'!$A$5:$AB$168,11, FALSE)/1000000</f>
        <v>38.1</v>
      </c>
      <c r="Q105" s="504"/>
      <c r="R105" s="216" t="str">
        <f>VLOOKUP($C105,'4b) SL EPO Extended Data Sheet'!$A$5:$AB$168,12,FALSE)</f>
        <v>A</v>
      </c>
      <c r="S105" s="217">
        <f>VLOOKUP($C105,'4b) SL EPO Extended Data Sheet'!$A$5:$AB$168,13,FALSE)</f>
        <v>0</v>
      </c>
      <c r="T105" s="505"/>
      <c r="U105" s="506" t="str">
        <f>VLOOKUP($C105,'4b) SL EPO Extended Data Sheet'!$A$5:$AE$168,31,FALSE)</f>
        <v>SOC
(Feb-23)</v>
      </c>
      <c r="V105" s="505"/>
      <c r="W105" s="49">
        <f>VLOOKUP($C105,'4b) SL EPO Extended Data Sheet'!$A$5:$AC$168,16,FALSE)/1000000</f>
        <v>340</v>
      </c>
      <c r="X105" s="49">
        <f>VLOOKUP($C105,'4b) SL EPO Extended Data Sheet'!$A$5:$AC$168,17,FALSE)/1000000</f>
        <v>341.06660676000001</v>
      </c>
      <c r="Y105" s="49">
        <f>VLOOKUP($C105,'4b) SL EPO Extended Data Sheet'!$A$5:$AC$168,18,FALSE)/1000000</f>
        <v>-2.869646E-2</v>
      </c>
      <c r="Z105" s="49">
        <f>VLOOKUP($C105,'4b) SL EPO Extended Data Sheet'!$A$5:$AB$168,16,FALSE)/1000000</f>
        <v>340</v>
      </c>
      <c r="AA105" s="507">
        <f>VLOOKUP($C105,'4b) SL EPO Extended Data Sheet'!$A$5:$AC$168,19,FALSE)</f>
        <v>48746</v>
      </c>
      <c r="AB105" s="507">
        <f>VLOOKUP($C105,'4b) SL EPO Extended Data Sheet'!$A$5:$AC$168,20,FALSE)</f>
        <v>48850</v>
      </c>
      <c r="AC105" s="51">
        <f>VLOOKUP($C105,'4b) SL EPO Extended Data Sheet'!$A$5:$AC$168,21,FALSE)</f>
        <v>0</v>
      </c>
      <c r="AD105" s="504">
        <f>VLOOKUP($C105,'4b) SL EPO Extended Data Sheet'!$A$5:$AB$168,15,FALSE)/1000000</f>
        <v>4.4984999999999997E-2</v>
      </c>
      <c r="AE105" s="49">
        <f>VLOOKUP($C105,'4b) SL EPO Extended Data Sheet'!$A$5:$AC$168,22,FALSE)/1000000</f>
        <v>31.302792710000002</v>
      </c>
      <c r="AF105" s="49">
        <f>VLOOKUP($C105,'4b) SL EPO Extended Data Sheet'!$A$5:$AC$168,23,FALSE)/1000000</f>
        <v>27.1904048874</v>
      </c>
      <c r="AG105" s="52">
        <f>VLOOKUP($C105,'4b) SL EPO Extended Data Sheet'!$A$5:$AC$168,24,FALSE)/1000000</f>
        <v>27.460886250000001</v>
      </c>
      <c r="AH105" s="508">
        <f>VLOOKUP($C105,'4b) SL EPO Extended Data Sheet'!$A$5:$AC$168,25,FALSE)</f>
        <v>0.99015030468654308</v>
      </c>
      <c r="AI105" s="508">
        <f>VLOOKUP($C105,'4b) SL EPO Extended Data Sheet'!$A$5:$AC$168,26,FALSE)</f>
        <v>0.86862552933539838</v>
      </c>
      <c r="AJ105" s="544">
        <f>VLOOKUP($C105,'4b) SL EPO Extended Data Sheet'!$A$5:$AC$168,27,FALSE)</f>
        <v>9.2067037382352945E-2</v>
      </c>
      <c r="AK105" s="543">
        <f>VLOOKUP($C105,'4b) SL EPO Extended Data Sheet'!$A$5:$AC$168,28,FALSE)</f>
        <v>7.9971779080588237E-2</v>
      </c>
      <c r="AL105" s="509">
        <f>VLOOKUP($C105,'4b) SL EPO Extended Data Sheet'!$A$6:$AB$168,15,FALSE)</f>
        <v>44985</v>
      </c>
      <c r="AM105" s="219" t="str">
        <f>VLOOKUP($C105,'4b) SL EPO Extended Data Sheet'!$A$5:$AC$168,29,FALSE)</f>
        <v>A</v>
      </c>
      <c r="AO105" s="2"/>
      <c r="AP105" s="2"/>
      <c r="AQ105" s="2"/>
      <c r="AR105" s="2"/>
      <c r="AS105" s="2"/>
      <c r="AT105" s="2"/>
      <c r="AU105" s="2"/>
      <c r="AV105" s="600">
        <v>341.09530322000001</v>
      </c>
      <c r="AW105" s="576">
        <v>48850</v>
      </c>
      <c r="AX105" s="611"/>
      <c r="AY105" s="600">
        <v>340</v>
      </c>
      <c r="AZ105" s="580">
        <f>W105-AY105</f>
        <v>0</v>
      </c>
      <c r="BA105" s="576">
        <v>48746</v>
      </c>
      <c r="BB105" s="582">
        <f>AA105-BA105</f>
        <v>0</v>
      </c>
      <c r="BC105" s="2"/>
      <c r="BD105" s="2"/>
    </row>
    <row r="106" spans="1:56" s="239" customFormat="1" ht="74.5" customHeight="1" thickBot="1" x14ac:dyDescent="0.4">
      <c r="A106" s="269" t="str">
        <f>C105</f>
        <v>Sludge Handling &amp; Export Plant</v>
      </c>
      <c r="B106" s="694" t="s">
        <v>546</v>
      </c>
      <c r="C106" s="697"/>
      <c r="D106" s="697"/>
      <c r="E106" s="697"/>
      <c r="F106" s="697"/>
      <c r="G106" s="697"/>
      <c r="H106" s="697"/>
      <c r="I106" s="697"/>
      <c r="J106" s="697"/>
      <c r="K106" s="697"/>
      <c r="L106" s="697"/>
      <c r="M106" s="697"/>
      <c r="N106" s="697"/>
      <c r="O106" s="697"/>
      <c r="P106" s="697"/>
      <c r="Q106" s="697"/>
      <c r="R106" s="697"/>
      <c r="S106" s="697"/>
      <c r="T106" s="697"/>
      <c r="U106" s="697"/>
      <c r="V106" s="697"/>
      <c r="W106" s="697"/>
      <c r="X106" s="697"/>
      <c r="Y106" s="697"/>
      <c r="Z106" s="697"/>
      <c r="AA106" s="697"/>
      <c r="AB106" s="697"/>
      <c r="AC106" s="697"/>
      <c r="AD106" s="697"/>
      <c r="AE106" s="697"/>
      <c r="AF106" s="697"/>
      <c r="AG106" s="697"/>
      <c r="AH106" s="697"/>
      <c r="AI106" s="697"/>
      <c r="AJ106" s="697"/>
      <c r="AK106" s="697"/>
      <c r="AL106" s="697"/>
      <c r="AM106" s="698"/>
      <c r="AO106" s="15"/>
      <c r="AP106" s="15"/>
      <c r="AQ106" s="15"/>
      <c r="AR106" s="15"/>
      <c r="AS106" s="15"/>
      <c r="AT106" s="15"/>
      <c r="AU106" s="15"/>
      <c r="AV106" s="575"/>
      <c r="AW106" s="577"/>
      <c r="AX106" s="611"/>
      <c r="AY106" s="575"/>
      <c r="AZ106" s="581"/>
      <c r="BA106" s="577"/>
      <c r="BB106" s="583"/>
      <c r="BC106" s="15"/>
      <c r="BD106" s="15"/>
    </row>
    <row r="107" spans="1:56" s="436" customFormat="1" ht="5.25" customHeight="1" thickBot="1" x14ac:dyDescent="0.4">
      <c r="A107" s="269"/>
      <c r="B107" s="95"/>
      <c r="C107" s="96"/>
      <c r="D107" s="96"/>
      <c r="E107" s="96"/>
      <c r="F107" s="96"/>
      <c r="G107" s="96"/>
      <c r="H107" s="96"/>
      <c r="I107" s="96"/>
      <c r="J107" s="96"/>
      <c r="K107" s="96"/>
      <c r="L107" s="96"/>
      <c r="M107" s="96"/>
      <c r="N107" s="96"/>
      <c r="O107" s="96"/>
      <c r="P107" s="96"/>
      <c r="Q107" s="96"/>
      <c r="R107" s="96"/>
      <c r="S107" s="96"/>
      <c r="T107" s="96"/>
      <c r="U107" s="96"/>
      <c r="V107" s="96"/>
      <c r="W107" s="96"/>
      <c r="X107" s="96"/>
      <c r="Y107" s="96"/>
      <c r="Z107" s="96"/>
      <c r="AA107" s="96"/>
      <c r="AB107" s="96"/>
      <c r="AC107" s="96"/>
      <c r="AD107" s="96"/>
      <c r="AE107" s="96"/>
      <c r="AF107" s="96"/>
      <c r="AG107" s="96"/>
      <c r="AH107" s="96"/>
      <c r="AI107" s="96"/>
      <c r="AJ107" s="96"/>
      <c r="AK107" s="96"/>
      <c r="AL107" s="96"/>
      <c r="AM107" s="96"/>
      <c r="AO107" s="239"/>
      <c r="AP107" s="239"/>
      <c r="AQ107" s="239"/>
      <c r="AR107" s="239"/>
      <c r="AS107" s="239"/>
      <c r="AT107" s="239"/>
      <c r="AU107" s="239"/>
      <c r="AV107" s="608"/>
      <c r="AW107" s="615"/>
      <c r="AX107" s="611"/>
      <c r="AY107" s="613"/>
      <c r="AZ107" s="578"/>
      <c r="BA107" s="574"/>
      <c r="BB107" s="579"/>
      <c r="BC107" s="239"/>
      <c r="BD107" s="239"/>
    </row>
    <row r="108" spans="1:56" ht="47.25" customHeight="1" x14ac:dyDescent="0.35">
      <c r="B108" s="220" t="s">
        <v>102</v>
      </c>
      <c r="C108" s="557" t="s">
        <v>101</v>
      </c>
      <c r="D108" s="221" t="s">
        <v>3</v>
      </c>
      <c r="E108" s="222"/>
      <c r="F108" s="216" t="str">
        <f>VLOOKUP(C108,'5a)NDA MPPR'!$B$9:$AK$61,3,FALSE)</f>
        <v>A</v>
      </c>
      <c r="G108" s="217">
        <f>VLOOKUP(C108,'5a)NDA MPPR'!$B$9:$AK$61,4,FALSE)</f>
        <v>0</v>
      </c>
      <c r="H108" s="223"/>
      <c r="I108" s="224" t="str">
        <f>VLOOKUP(C108,'5a)NDA MPPR'!$B$9:$AK$61,6,FALSE)</f>
        <v>FBC
(Mar-22)</v>
      </c>
      <c r="J108" s="48">
        <f>VLOOKUP(C108,'5a)NDA MPPR'!$B$9:$AK$61,7,FALSE)</f>
        <v>458.9</v>
      </c>
      <c r="K108" s="48">
        <f>VLOOKUP(C108,'5a)NDA MPPR'!$B$9:$AK$61,8,FALSE)</f>
        <v>466.4</v>
      </c>
      <c r="L108" s="226">
        <f>VLOOKUP(C108,'5a)NDA MPPR'!$B$9:$AK$61,9,FALSE)</f>
        <v>45244</v>
      </c>
      <c r="M108" s="226">
        <f>VLOOKUP(C108,'5a)NDA MPPR'!$B$9:$AK$61,10,FALSE)</f>
        <v>45361</v>
      </c>
      <c r="N108" s="222"/>
      <c r="O108" s="48">
        <f>VLOOKUP(C108,'5a)NDA MPPR'!$B$9:$AK$61,12,FALSE)</f>
        <v>466.4</v>
      </c>
      <c r="P108" s="49">
        <f>VLOOKUP(C108,'5a)NDA MPPR'!$B$9:$AK$61,13,FALSE)</f>
        <v>458.9</v>
      </c>
      <c r="Q108" s="222"/>
      <c r="R108" s="216" t="str">
        <f>VLOOKUP(C108,'5a)NDA MPPR'!$B$9:$AK$61,15,FALSE)</f>
        <v>A</v>
      </c>
      <c r="S108" s="217">
        <f>VLOOKUP(C108,'5a)NDA MPPR'!$B$9:$AK$61,16,FALSE)</f>
        <v>0</v>
      </c>
      <c r="T108" s="223"/>
      <c r="U108" s="227" t="str">
        <f>VLOOKUP(C108,'5a)NDA MPPR'!$B$9:$AK$61,18,FALSE)</f>
        <v>FBC Add.
 (Mar-21)</v>
      </c>
      <c r="V108" s="223"/>
      <c r="W108" s="49">
        <f>VLOOKUP(C108,'5a)NDA MPPR'!$B$9:$AK$61,20,FALSE)</f>
        <v>419.95363700000001</v>
      </c>
      <c r="X108" s="49">
        <f>VLOOKUP(C108,'5a)NDA MPPR'!$B$9:$AK$61,21,FALSE)</f>
        <v>458.24501213000002</v>
      </c>
      <c r="Y108" s="49">
        <f>VLOOKUP(C108,'5a)NDA MPPR'!$B$9:$AK$61,22,FALSE)</f>
        <v>0</v>
      </c>
      <c r="Z108" s="50"/>
      <c r="AA108" s="226">
        <f>VLOOKUP(C108,'5a)NDA MPPR'!$B$9:$AK$61,24,FALSE)</f>
        <v>45050</v>
      </c>
      <c r="AB108" s="226">
        <f>VLOOKUP(C108,'5a)NDA MPPR'!$B$9:$AK$61,25,FALSE)</f>
        <v>46142</v>
      </c>
      <c r="AC108" s="51">
        <f>VLOOKUP(C108,'5a)NDA MPPR'!$B$9:$AK$61,26,FALSE)</f>
        <v>0</v>
      </c>
      <c r="AD108" s="222"/>
      <c r="AE108" s="49">
        <f>VLOOKUP(C108,'5a)NDA MPPR'!$B$9:$AK$61,28,FALSE)</f>
        <v>419.95363750999996</v>
      </c>
      <c r="AF108" s="49">
        <f>VLOOKUP(C108,'5a)NDA MPPR'!$B$9:$AK$61,29,FALSE)</f>
        <v>419.93138477130003</v>
      </c>
      <c r="AG108" s="52">
        <f>VLOOKUP(C108,'5a)NDA MPPR'!$B$9:$AK$61,30,FALSE)</f>
        <v>458.19501213000001</v>
      </c>
      <c r="AH108" s="228">
        <f>VLOOKUP(C108,'5a)NDA MPPR'!$B$9:$AK$61,31,FALSE)</f>
        <v>0.9164905196570674</v>
      </c>
      <c r="AI108" s="228">
        <f>VLOOKUP(C108,'5a)NDA MPPR'!$B$9:$AK$61,32,FALSE)</f>
        <v>0.99994701143956766</v>
      </c>
      <c r="AJ108" s="234">
        <f>VLOOKUP(C108,'5a)NDA MPPR'!$B$9:$AK$61,33,FALSE)</f>
        <v>1.0000000012144197</v>
      </c>
      <c r="AK108" s="231">
        <f>VLOOKUP(C108,'5a)NDA MPPR'!$B$9:$AK$61,34,FALSE)</f>
        <v>0.99994701265392305</v>
      </c>
      <c r="AL108" s="221"/>
      <c r="AM108" s="219" t="str">
        <f>VLOOKUP(C108,'5a)NDA MPPR'!$B$9:$AK$61,36,FALSE)</f>
        <v>G</v>
      </c>
      <c r="AV108" s="600">
        <v>458.24422822000002</v>
      </c>
      <c r="AW108" s="576">
        <v>46142</v>
      </c>
      <c r="AX108" s="611"/>
      <c r="AY108" s="600">
        <v>419.95363700000001</v>
      </c>
      <c r="AZ108" s="580">
        <f>W108-AY108</f>
        <v>0</v>
      </c>
      <c r="BA108" s="576">
        <v>45050</v>
      </c>
      <c r="BB108" s="582">
        <f>AA108-BA108</f>
        <v>0</v>
      </c>
    </row>
    <row r="109" spans="1:56" s="2" customFormat="1" ht="48" customHeight="1" thickBot="1" x14ac:dyDescent="0.4">
      <c r="A109" s="269" t="str">
        <f>C108</f>
        <v>Box Encapsulation Plant Product Store Direct Import Facility</v>
      </c>
      <c r="B109" s="702" t="str">
        <f>VLOOKUP($C108,'5a)NDA MPPR'!$A$9:$AK$61,2,FALSE)</f>
        <v xml:space="preserve">BEPPS-DIF project is essential to remediation of Pile Fuel Cladding Silo (PFCS) and provides capability to receive and store waste from remediation work. PFCS active commissioning is now complete. Project has now received 1 Waste Packaging and Encapsulation Plant (WPEP) package to enable start of WPEP active commissioning. Fault observations (FOBs) and remaining project scope ongoing. Work to repair shield door has now started. Duly Authorised Person (DAP) move to support Advanced Gas Reactor (AGR) / Encapsulated Product Store (EPS) transfers may challenge rectifying subsequent faults in parallel with plant operations. Project resources are substantially redeployed on other scope for Retrievals Operations keeping project spend to a minimum. Endorsement to Operate planned for 31st March 2026. Delivery Confidence Assessment remains Amber. Baseline RAG remains Amber. Capability and Capacity RAG remains Green, project has resource to complete scope. The project completion date remains April 2026, which is aligned with the anticipated Gated Project Oversight Committe (GPOC) date of the Post Investment Appraisal.                                                                                                                                                                                                                                                                                                                                                                                                                                                                                                                                                                                                                                                                                                                                                                                                                                                                                                                                                                                                                                                                                                                                                                                                                                                                                                                                                                                                                                                                                                                                                                                                                                                                                                                                                                                                                                                                                                                                                                                                                                                                                                                                                                                                                                                                                                                                                                                                                                                                                                                                                                                                                                                                                                                                                                                                                                                                                                                                                                                                                                                                                                                                                                                                                                                                                                                                                                                                                                                                         </v>
      </c>
      <c r="C109" s="703"/>
      <c r="D109" s="703"/>
      <c r="E109" s="703"/>
      <c r="F109" s="703"/>
      <c r="G109" s="703"/>
      <c r="H109" s="703"/>
      <c r="I109" s="703"/>
      <c r="J109" s="703"/>
      <c r="K109" s="703"/>
      <c r="L109" s="703"/>
      <c r="M109" s="703"/>
      <c r="N109" s="703"/>
      <c r="O109" s="703"/>
      <c r="P109" s="703"/>
      <c r="Q109" s="703"/>
      <c r="R109" s="703"/>
      <c r="S109" s="703"/>
      <c r="T109" s="703"/>
      <c r="U109" s="703"/>
      <c r="V109" s="703"/>
      <c r="W109" s="703"/>
      <c r="X109" s="703"/>
      <c r="Y109" s="703"/>
      <c r="Z109" s="703"/>
      <c r="AA109" s="703"/>
      <c r="AB109" s="703"/>
      <c r="AC109" s="703"/>
      <c r="AD109" s="703"/>
      <c r="AE109" s="703"/>
      <c r="AF109" s="703"/>
      <c r="AG109" s="703"/>
      <c r="AH109" s="703"/>
      <c r="AI109" s="703"/>
      <c r="AJ109" s="703"/>
      <c r="AK109" s="703"/>
      <c r="AL109" s="703"/>
      <c r="AM109" s="704"/>
      <c r="AO109" s="239"/>
      <c r="AP109" s="239"/>
      <c r="AQ109" s="239"/>
      <c r="AR109" s="239"/>
      <c r="AS109" s="239"/>
      <c r="AT109" s="239"/>
      <c r="AU109" s="239"/>
      <c r="AV109" s="575"/>
      <c r="AW109" s="577"/>
      <c r="AX109" s="611"/>
      <c r="AY109" s="575"/>
      <c r="AZ109" s="581"/>
      <c r="BA109" s="577"/>
      <c r="BB109" s="583"/>
      <c r="BC109" s="239"/>
      <c r="BD109" s="239"/>
    </row>
    <row r="110" spans="1:56" ht="5.15" customHeight="1" thickBot="1" x14ac:dyDescent="0.4">
      <c r="B110" s="95"/>
      <c r="C110" s="96"/>
      <c r="D110" s="96"/>
      <c r="E110" s="96"/>
      <c r="F110" s="96"/>
      <c r="G110" s="96"/>
      <c r="H110" s="96"/>
      <c r="I110" s="96"/>
      <c r="J110" s="96"/>
      <c r="K110" s="96"/>
      <c r="L110" s="96"/>
      <c r="M110" s="96"/>
      <c r="N110" s="96"/>
      <c r="O110" s="96"/>
      <c r="P110" s="96"/>
      <c r="Q110" s="96"/>
      <c r="R110" s="96"/>
      <c r="S110" s="96"/>
      <c r="T110" s="96"/>
      <c r="U110" s="96"/>
      <c r="V110" s="96"/>
      <c r="W110" s="96"/>
      <c r="X110" s="96"/>
      <c r="Y110" s="96"/>
      <c r="Z110" s="96"/>
      <c r="AA110" s="96"/>
      <c r="AB110" s="96"/>
      <c r="AC110" s="96"/>
      <c r="AD110" s="96"/>
      <c r="AE110" s="96"/>
      <c r="AF110" s="96"/>
      <c r="AG110" s="96"/>
      <c r="AH110" s="96"/>
      <c r="AI110" s="96"/>
      <c r="AJ110" s="96"/>
      <c r="AK110" s="96"/>
      <c r="AL110" s="96"/>
      <c r="AM110" s="96"/>
      <c r="AW110" s="615"/>
      <c r="AX110" s="611"/>
      <c r="AY110" s="613"/>
      <c r="AZ110" s="578"/>
      <c r="BA110" s="574"/>
      <c r="BB110" s="579"/>
    </row>
    <row r="111" spans="1:56" ht="36" customHeight="1" x14ac:dyDescent="0.35">
      <c r="B111" s="207" t="s">
        <v>300</v>
      </c>
      <c r="C111" s="464" t="s">
        <v>304</v>
      </c>
      <c r="D111" s="509" t="s">
        <v>3</v>
      </c>
      <c r="E111" s="504"/>
      <c r="F111" s="216" t="str">
        <f>VLOOKUP($C111,'4b) SL EPO Extended Data Sheet'!$A$5:$AB$168,2,FALSE)</f>
        <v>G</v>
      </c>
      <c r="G111" s="217">
        <f>VLOOKUP($C111,'4b) SL EPO Extended Data Sheet'!$A$5:$AB$168,3, FALSE)</f>
        <v>0</v>
      </c>
      <c r="H111" s="505"/>
      <c r="I111" s="506" t="str">
        <f>VLOOKUP($C111,'4b) SL EPO Extended Data Sheet'!$A$5:$AD$168,30, FALSE)</f>
        <v>FBC
(Feb-23)</v>
      </c>
      <c r="J111" s="49">
        <f>VLOOKUP($C111,'4b) SL EPO Extended Data Sheet'!$A$5:$AB$168,6, FALSE)/1000000</f>
        <v>105</v>
      </c>
      <c r="K111" s="49">
        <f>VLOOKUP($C111,'4b) SL EPO Extended Data Sheet'!$A$5:$AB$168,7, FALSE)/1000000</f>
        <v>105.5</v>
      </c>
      <c r="L111" s="524">
        <f>VLOOKUP($C111,'4b) SL EPO Extended Data Sheet'!$A$5:$AB$168,8, FALSE)</f>
        <v>45747</v>
      </c>
      <c r="M111" s="524">
        <f>VLOOKUP($C111,'4b) SL EPO Extended Data Sheet'!$A$5:$AB$168,9, FALSE)</f>
        <v>47361</v>
      </c>
      <c r="N111" s="504"/>
      <c r="O111" s="560">
        <f>VLOOKUP($C111,'4b) SL EPO Extended Data Sheet'!$A$5:$AB$168,10, FALSE)/1000000</f>
        <v>0</v>
      </c>
      <c r="P111" s="49">
        <f>VLOOKUP($C111,'4b) SL EPO Extended Data Sheet'!$A$5:$AB$168,11, FALSE)/1000000</f>
        <v>105.5</v>
      </c>
      <c r="Q111" s="504"/>
      <c r="R111" s="216" t="str">
        <f>VLOOKUP($C111,'4b) SL EPO Extended Data Sheet'!$A$5:$AB$168,12,FALSE)</f>
        <v>R</v>
      </c>
      <c r="S111" s="217">
        <f>VLOOKUP($C111,'4b) SL EPO Extended Data Sheet'!$A$5:$AB$168,13,FALSE)</f>
        <v>-1</v>
      </c>
      <c r="T111" s="505"/>
      <c r="U111" s="506" t="str">
        <f>VLOOKUP($C111,'4b) SL EPO Extended Data Sheet'!$A$5:$AE$168,31,FALSE)</f>
        <v>FBC
(Oct-22)</v>
      </c>
      <c r="V111" s="505"/>
      <c r="W111" s="49">
        <f>VLOOKUP($C111,'4b) SL EPO Extended Data Sheet'!$A$5:$AC$168,16,FALSE)/1000000</f>
        <v>103.818153</v>
      </c>
      <c r="X111" s="49">
        <f>VLOOKUP($C111,'4b) SL EPO Extended Data Sheet'!$A$5:$AC$168,17,FALSE)/1000000</f>
        <v>102.04751139</v>
      </c>
      <c r="Y111" s="49">
        <f>VLOOKUP($C111,'4b) SL EPO Extended Data Sheet'!$A$5:$AC$168,18,FALSE)/1000000</f>
        <v>6.549431E-2</v>
      </c>
      <c r="Z111" s="49">
        <f>VLOOKUP($C111,'4b) SL EPO Extended Data Sheet'!$A$5:$AB$168,16,FALSE)/1000000</f>
        <v>103.818153</v>
      </c>
      <c r="AA111" s="507">
        <f>VLOOKUP($C111,'4b) SL EPO Extended Data Sheet'!$A$5:$AC$168,19,FALSE)</f>
        <v>45747</v>
      </c>
      <c r="AB111" s="507">
        <f>VLOOKUP($C111,'4b) SL EPO Extended Data Sheet'!$A$5:$AC$168,20,FALSE)</f>
        <v>46660</v>
      </c>
      <c r="AC111" s="51">
        <f>VLOOKUP($C111,'4b) SL EPO Extended Data Sheet'!$A$5:$AC$168,21,FALSE)</f>
        <v>0</v>
      </c>
      <c r="AD111" s="504">
        <f>VLOOKUP($C111,'4b) SL EPO Extended Data Sheet'!$A$5:$AB$168,15,FALSE)/1000000</f>
        <v>4.4865000000000002E-2</v>
      </c>
      <c r="AE111" s="49">
        <f>VLOOKUP($C111,'4b) SL EPO Extended Data Sheet'!$A$5:$AC$168,22,FALSE)/1000000</f>
        <v>103.81815261</v>
      </c>
      <c r="AF111" s="49">
        <f>VLOOKUP($C111,'4b) SL EPO Extended Data Sheet'!$A$5:$AC$168,23,FALSE)/1000000</f>
        <v>92.240615312199992</v>
      </c>
      <c r="AG111" s="52">
        <f>VLOOKUP($C111,'4b) SL EPO Extended Data Sheet'!$A$5:$AC$168,24,FALSE)/1000000</f>
        <v>100.66618101</v>
      </c>
      <c r="AH111" s="508">
        <f>VLOOKUP($C111,'4b) SL EPO Extended Data Sheet'!$A$5:$AC$168,25,FALSE)</f>
        <v>0.91630192371196617</v>
      </c>
      <c r="AI111" s="508">
        <f>VLOOKUP($C111,'4b) SL EPO Extended Data Sheet'!$A$5:$AC$168,26,FALSE)</f>
        <v>0.88848253405845301</v>
      </c>
      <c r="AJ111" s="544">
        <f>VLOOKUP($C111,'4b) SL EPO Extended Data Sheet'!$A$5:$AC$168,27,FALSE)</f>
        <v>0.9999999962434315</v>
      </c>
      <c r="AK111" s="543">
        <f>VLOOKUP($C111,'4b) SL EPO Extended Data Sheet'!$A$5:$AC$168,28,FALSE)</f>
        <v>0.88848253072080752</v>
      </c>
      <c r="AL111" s="509">
        <f>VLOOKUP($C111,'4b) SL EPO Extended Data Sheet'!$A$6:$AB$168,15,FALSE)</f>
        <v>44865</v>
      </c>
      <c r="AM111" s="219" t="str">
        <f>VLOOKUP($C111,'4b) SL EPO Extended Data Sheet'!$A$5:$AC$168,29,FALSE)</f>
        <v>G</v>
      </c>
      <c r="AV111" s="600">
        <v>101.98201707999999</v>
      </c>
      <c r="AW111" s="576">
        <v>46660</v>
      </c>
      <c r="AX111" s="611"/>
      <c r="AY111" s="600">
        <v>103.818153</v>
      </c>
      <c r="AZ111" s="580">
        <f>W111-AY111</f>
        <v>0</v>
      </c>
      <c r="BA111" s="576">
        <v>45747</v>
      </c>
      <c r="BB111" s="582">
        <f>AA111-BA111</f>
        <v>0</v>
      </c>
    </row>
    <row r="112" spans="1:56" ht="77.25" customHeight="1" thickBot="1" x14ac:dyDescent="0.4">
      <c r="A112" s="269" t="str">
        <f>C111</f>
        <v>MSSS Upgrades for Retrievals &amp; Resilience</v>
      </c>
      <c r="B112" s="694" t="s">
        <v>572</v>
      </c>
      <c r="C112" s="695"/>
      <c r="D112" s="695"/>
      <c r="E112" s="695"/>
      <c r="F112" s="695"/>
      <c r="G112" s="695"/>
      <c r="H112" s="695"/>
      <c r="I112" s="695"/>
      <c r="J112" s="695"/>
      <c r="K112" s="695"/>
      <c r="L112" s="695"/>
      <c r="M112" s="695"/>
      <c r="N112" s="695"/>
      <c r="O112" s="695"/>
      <c r="P112" s="695"/>
      <c r="Q112" s="695"/>
      <c r="R112" s="695"/>
      <c r="S112" s="695"/>
      <c r="T112" s="695"/>
      <c r="U112" s="695"/>
      <c r="V112" s="695"/>
      <c r="W112" s="695"/>
      <c r="X112" s="695"/>
      <c r="Y112" s="695"/>
      <c r="Z112" s="695"/>
      <c r="AA112" s="695"/>
      <c r="AB112" s="695"/>
      <c r="AC112" s="695"/>
      <c r="AD112" s="695"/>
      <c r="AE112" s="695"/>
      <c r="AF112" s="695"/>
      <c r="AG112" s="695"/>
      <c r="AH112" s="695"/>
      <c r="AI112" s="695"/>
      <c r="AJ112" s="695"/>
      <c r="AK112" s="695"/>
      <c r="AL112" s="695"/>
      <c r="AM112" s="696"/>
      <c r="AO112" s="239"/>
      <c r="AP112" s="239"/>
      <c r="AQ112" s="239"/>
      <c r="AR112" s="239"/>
      <c r="AS112" s="239"/>
      <c r="AT112" s="239"/>
      <c r="AU112" s="239"/>
      <c r="AV112" s="575"/>
      <c r="AW112" s="577"/>
      <c r="AX112" s="611"/>
      <c r="AY112" s="575"/>
      <c r="AZ112" s="581"/>
      <c r="BA112" s="577"/>
      <c r="BB112" s="583"/>
      <c r="BC112" s="239"/>
      <c r="BD112" s="239"/>
    </row>
    <row r="113" spans="1:56" s="239" customFormat="1" ht="5.25" customHeight="1" x14ac:dyDescent="0.35">
      <c r="A113" s="269"/>
      <c r="C113" s="461"/>
      <c r="D113" s="270"/>
      <c r="W113" s="270"/>
      <c r="X113" s="270"/>
      <c r="Y113" s="270"/>
      <c r="Z113" s="270"/>
      <c r="AA113" s="270"/>
      <c r="AB113" s="270"/>
      <c r="AC113" s="270"/>
      <c r="AE113" s="270"/>
      <c r="AF113" s="270"/>
      <c r="AG113" s="270"/>
      <c r="AH113" s="270"/>
      <c r="AI113" s="270"/>
      <c r="AJ113" s="270"/>
      <c r="AK113" s="270"/>
      <c r="AL113" s="270"/>
      <c r="AO113" s="15"/>
      <c r="AP113" s="15"/>
      <c r="AQ113" s="15"/>
      <c r="AR113" s="15"/>
      <c r="AS113" s="15"/>
      <c r="AT113" s="15"/>
      <c r="AU113" s="15"/>
      <c r="AV113" s="608"/>
      <c r="AW113" s="615"/>
      <c r="AX113" s="611"/>
      <c r="AY113" s="613"/>
      <c r="AZ113" s="578"/>
      <c r="BA113" s="574"/>
      <c r="BB113" s="579"/>
      <c r="BC113" s="15"/>
      <c r="BD113" s="15"/>
    </row>
    <row r="114" spans="1:56" s="239" customFormat="1" ht="0.75" customHeight="1" thickBot="1" x14ac:dyDescent="0.4">
      <c r="A114" s="269"/>
      <c r="B114" s="61"/>
      <c r="C114" s="437"/>
      <c r="D114" s="61"/>
      <c r="E114" s="61"/>
      <c r="F114" s="61"/>
      <c r="G114" s="61"/>
      <c r="H114" s="61"/>
      <c r="I114" s="61"/>
      <c r="J114" s="61"/>
      <c r="K114" s="61"/>
      <c r="L114" s="61"/>
      <c r="M114" s="61"/>
      <c r="N114" s="61"/>
      <c r="O114" s="61"/>
      <c r="P114" s="61"/>
      <c r="Q114" s="61"/>
      <c r="R114" s="61"/>
      <c r="S114" s="61"/>
      <c r="T114" s="61"/>
      <c r="U114" s="61"/>
      <c r="V114" s="61"/>
      <c r="W114" s="61"/>
      <c r="X114" s="61"/>
      <c r="Y114" s="61"/>
      <c r="Z114" s="61"/>
      <c r="AA114" s="61"/>
      <c r="AB114" s="61"/>
      <c r="AC114" s="61"/>
      <c r="AD114" s="61"/>
      <c r="AE114" s="61"/>
      <c r="AF114" s="61"/>
      <c r="AG114" s="61"/>
      <c r="AH114" s="61"/>
      <c r="AI114" s="61"/>
      <c r="AJ114" s="61"/>
      <c r="AK114" s="61"/>
      <c r="AL114" s="61"/>
      <c r="AM114" s="61"/>
      <c r="AV114" s="608"/>
      <c r="AW114" s="615"/>
      <c r="AX114" s="611"/>
      <c r="AY114" s="613"/>
      <c r="AZ114" s="578"/>
      <c r="BA114" s="574"/>
      <c r="BB114" s="579"/>
    </row>
    <row r="115" spans="1:56" s="475" customFormat="1" ht="36" customHeight="1" x14ac:dyDescent="0.35">
      <c r="A115" s="269"/>
      <c r="B115" s="193" t="s">
        <v>524</v>
      </c>
      <c r="C115" s="556" t="s">
        <v>523</v>
      </c>
      <c r="D115" s="509" t="s">
        <v>3</v>
      </c>
      <c r="E115" s="504"/>
      <c r="F115" s="216" t="str">
        <f>VLOOKUP($C115,'4b) SL EPO Extended Data Sheet'!$A$5:$AB$168,2,FALSE)</f>
        <v>G</v>
      </c>
      <c r="G115" s="217">
        <f>VLOOKUP($C115,'4b) SL EPO Extended Data Sheet'!$A$5:$AB$168,3, FALSE)</f>
        <v>0</v>
      </c>
      <c r="H115" s="505"/>
      <c r="I115" s="506" t="str">
        <f>VLOOKUP($C115,'4b) SL EPO Extended Data Sheet'!$A$5:$AD$168,30, FALSE)</f>
        <v>0
(Aug-25)</v>
      </c>
      <c r="J115" s="49">
        <f>VLOOKUP($C115,'4b) SL EPO Extended Data Sheet'!$A$5:$AB$168,6, FALSE)/1000000</f>
        <v>28.293192999999999</v>
      </c>
      <c r="K115" s="49">
        <f>VLOOKUP($C115,'4b) SL EPO Extended Data Sheet'!$A$5:$AB$168,7, FALSE)/1000000</f>
        <v>0</v>
      </c>
      <c r="L115" s="524">
        <f>VLOOKUP($C115,'4b) SL EPO Extended Data Sheet'!$A$5:$AB$168,8, FALSE)</f>
        <v>47756</v>
      </c>
      <c r="M115" s="524" t="str">
        <f>VLOOKUP($C115,'4b) SL EPO Extended Data Sheet'!$A$5:$AB$168,9, FALSE)</f>
        <v/>
      </c>
      <c r="N115" s="504"/>
      <c r="O115" s="560">
        <f>VLOOKUP($C115,'4b) SL EPO Extended Data Sheet'!$A$5:$AB$168,10, FALSE)/1000000</f>
        <v>0</v>
      </c>
      <c r="P115" s="48">
        <f>VLOOKUP($C115,'4b) SL EPO Extended Data Sheet'!$A$5:$AB$168,11, FALSE)/1000000</f>
        <v>2.7046429999999999</v>
      </c>
      <c r="Q115" s="504"/>
      <c r="R115" s="216" t="str">
        <f>VLOOKUP($C115,'4b) SL EPO Extended Data Sheet'!$A$5:$AB$168,12,FALSE)</f>
        <v>A</v>
      </c>
      <c r="S115" s="217">
        <f>VLOOKUP($C115,'4b) SL EPO Extended Data Sheet'!$A$5:$AB$168,13,FALSE)</f>
        <v>0</v>
      </c>
      <c r="T115" s="505"/>
      <c r="U115" s="506" t="str">
        <f>VLOOKUP($C115,'4b) SL EPO Extended Data Sheet'!$A$5:$AE$168,31,FALSE)</f>
        <v>0
(Aug-23)</v>
      </c>
      <c r="V115" s="505"/>
      <c r="W115" s="49">
        <f>VLOOKUP($C115,'4b) SL EPO Extended Data Sheet'!$A$5:$AC$168,16,FALSE)/1000000</f>
        <v>25.602972000000001</v>
      </c>
      <c r="X115" s="49">
        <f>VLOOKUP($C115,'4b) SL EPO Extended Data Sheet'!$A$5:$AC$168,17,FALSE)/1000000</f>
        <v>32.32817696</v>
      </c>
      <c r="Y115" s="49">
        <f>VLOOKUP($C115,'4b) SL EPO Extended Data Sheet'!$A$5:$AC$168,18,FALSE)/1000000</f>
        <v>4.2236669999999997E-2</v>
      </c>
      <c r="Z115" s="49">
        <f>VLOOKUP($C115,'4b) SL EPO Extended Data Sheet'!$A$5:$AB$168,16,FALSE)/1000000</f>
        <v>25.602972000000001</v>
      </c>
      <c r="AA115" s="507">
        <f>VLOOKUP($C115,'4b) SL EPO Extended Data Sheet'!$A$5:$AC$168,19,FALSE)</f>
        <v>46637</v>
      </c>
      <c r="AB115" s="507">
        <f>VLOOKUP($C115,'4b) SL EPO Extended Data Sheet'!$A$5:$AC$168,20,FALSE)</f>
        <v>46647</v>
      </c>
      <c r="AC115" s="51">
        <f>VLOOKUP($C115,'4b) SL EPO Extended Data Sheet'!$A$5:$AC$168,21,FALSE)</f>
        <v>17</v>
      </c>
      <c r="AD115" s="504">
        <f>VLOOKUP($C115,'4b) SL EPO Extended Data Sheet'!$A$5:$AB$168,15,FALSE)/1000000</f>
        <v>4.5158999999999998E-2</v>
      </c>
      <c r="AE115" s="49">
        <f>VLOOKUP($C115,'4b) SL EPO Extended Data Sheet'!$A$5:$AC$168,22,FALSE)/1000000</f>
        <v>23.363958710000002</v>
      </c>
      <c r="AF115" s="49">
        <f>VLOOKUP($C115,'4b) SL EPO Extended Data Sheet'!$A$5:$AC$168,23,FALSE)/1000000</f>
        <v>22.9308914587</v>
      </c>
      <c r="AG115" s="52">
        <f>VLOOKUP($C115,'4b) SL EPO Extended Data Sheet'!$A$5:$AC$168,24,FALSE)/1000000</f>
        <v>29.865991149999999</v>
      </c>
      <c r="AH115" s="508">
        <f>VLOOKUP($C115,'4b) SL EPO Extended Data Sheet'!$A$5:$AC$168,25,FALSE)</f>
        <v>0.76779274940286046</v>
      </c>
      <c r="AI115" s="508">
        <f>VLOOKUP($C115,'4b) SL EPO Extended Data Sheet'!$A$5:$AC$168,26,FALSE)</f>
        <v>0.98146430334536405</v>
      </c>
      <c r="AJ115" s="544">
        <f>VLOOKUP($C115,'4b) SL EPO Extended Data Sheet'!$A$5:$AC$168,27,FALSE)</f>
        <v>0.91254869590920928</v>
      </c>
      <c r="AK115" s="543">
        <f>VLOOKUP($C115,'4b) SL EPO Extended Data Sheet'!$A$5:$AC$168,28,FALSE)</f>
        <v>0.89563397009925261</v>
      </c>
      <c r="AL115" s="509">
        <f>VLOOKUP($C115,'4b) SL EPO Extended Data Sheet'!$A$6:$AB$168,15,FALSE)</f>
        <v>45159</v>
      </c>
      <c r="AM115" s="219" t="str">
        <f>VLOOKUP($C115,'4b) SL EPO Extended Data Sheet'!$A$5:$AC$168,29,FALSE)</f>
        <v>A</v>
      </c>
      <c r="AV115" s="600">
        <v>32.285940289999999</v>
      </c>
      <c r="AW115" s="576">
        <v>46630</v>
      </c>
      <c r="AX115" s="611"/>
      <c r="AY115" s="600">
        <v>25.602972000000001</v>
      </c>
      <c r="AZ115" s="580">
        <f>W115-AY115</f>
        <v>0</v>
      </c>
      <c r="BA115" s="576">
        <v>46637</v>
      </c>
      <c r="BB115" s="582">
        <f>AA115-BA115</f>
        <v>0</v>
      </c>
    </row>
    <row r="116" spans="1:56" s="475" customFormat="1" ht="61.5" customHeight="1" thickBot="1" x14ac:dyDescent="0.4">
      <c r="A116" s="269" t="str">
        <f>C115</f>
        <v>Effluent Distribution Asset Improvement</v>
      </c>
      <c r="B116" s="694" t="s">
        <v>545</v>
      </c>
      <c r="C116" s="697"/>
      <c r="D116" s="697"/>
      <c r="E116" s="697"/>
      <c r="F116" s="697"/>
      <c r="G116" s="697"/>
      <c r="H116" s="697"/>
      <c r="I116" s="697"/>
      <c r="J116" s="697"/>
      <c r="K116" s="697"/>
      <c r="L116" s="697"/>
      <c r="M116" s="697"/>
      <c r="N116" s="697"/>
      <c r="O116" s="697"/>
      <c r="P116" s="697"/>
      <c r="Q116" s="697"/>
      <c r="R116" s="697"/>
      <c r="S116" s="697"/>
      <c r="T116" s="697"/>
      <c r="U116" s="697"/>
      <c r="V116" s="697"/>
      <c r="W116" s="697"/>
      <c r="X116" s="697"/>
      <c r="Y116" s="697"/>
      <c r="Z116" s="697"/>
      <c r="AA116" s="697"/>
      <c r="AB116" s="697"/>
      <c r="AC116" s="697"/>
      <c r="AD116" s="697"/>
      <c r="AE116" s="697"/>
      <c r="AF116" s="697"/>
      <c r="AG116" s="697"/>
      <c r="AH116" s="697"/>
      <c r="AI116" s="697"/>
      <c r="AJ116" s="697"/>
      <c r="AK116" s="697"/>
      <c r="AL116" s="697"/>
      <c r="AM116" s="698"/>
      <c r="AV116" s="575"/>
      <c r="AW116" s="577"/>
      <c r="AX116" s="611"/>
      <c r="AY116" s="575"/>
      <c r="AZ116" s="581"/>
      <c r="BA116" s="577"/>
      <c r="BB116" s="583"/>
    </row>
    <row r="117" spans="1:56" s="475" customFormat="1" ht="5.25" customHeight="1" thickBot="1" x14ac:dyDescent="0.4">
      <c r="A117" s="269"/>
      <c r="B117" s="492"/>
      <c r="C117" s="492"/>
      <c r="D117" s="492"/>
      <c r="E117" s="492"/>
      <c r="F117" s="492"/>
      <c r="G117" s="492"/>
      <c r="H117" s="492"/>
      <c r="I117" s="492"/>
      <c r="J117" s="492"/>
      <c r="K117" s="492"/>
      <c r="L117" s="492"/>
      <c r="M117" s="492"/>
      <c r="N117" s="492"/>
      <c r="O117" s="492"/>
      <c r="P117" s="492"/>
      <c r="Q117" s="492"/>
      <c r="R117" s="492"/>
      <c r="S117" s="492"/>
      <c r="T117" s="492"/>
      <c r="U117" s="492"/>
      <c r="V117" s="492"/>
      <c r="W117" s="492"/>
      <c r="X117" s="492"/>
      <c r="Y117" s="492"/>
      <c r="Z117" s="492"/>
      <c r="AA117" s="492"/>
      <c r="AB117" s="492"/>
      <c r="AC117" s="492"/>
      <c r="AD117" s="492"/>
      <c r="AE117" s="492"/>
      <c r="AF117" s="492"/>
      <c r="AG117" s="492"/>
      <c r="AH117" s="492"/>
      <c r="AI117" s="492"/>
      <c r="AJ117" s="492"/>
      <c r="AK117" s="492"/>
      <c r="AL117" s="492"/>
      <c r="AM117" s="492"/>
      <c r="AV117" s="623"/>
      <c r="AW117" s="615"/>
      <c r="AX117" s="611"/>
      <c r="AY117" s="613"/>
      <c r="AZ117" s="578"/>
      <c r="BA117" s="574"/>
      <c r="BB117" s="579"/>
    </row>
    <row r="118" spans="1:56" s="239" customFormat="1" ht="24" customHeight="1" thickBot="1" x14ac:dyDescent="0.4">
      <c r="A118" s="269"/>
      <c r="B118" s="685" t="s">
        <v>195</v>
      </c>
      <c r="C118" s="686"/>
      <c r="D118" s="686"/>
      <c r="E118" s="686"/>
      <c r="F118" s="686"/>
      <c r="G118" s="686"/>
      <c r="H118" s="686"/>
      <c r="I118" s="686"/>
      <c r="J118" s="686"/>
      <c r="K118" s="686"/>
      <c r="L118" s="686"/>
      <c r="M118" s="686"/>
      <c r="N118" s="686"/>
      <c r="O118" s="686"/>
      <c r="P118" s="686"/>
      <c r="Q118" s="686"/>
      <c r="R118" s="686"/>
      <c r="S118" s="686"/>
      <c r="T118" s="686"/>
      <c r="U118" s="686"/>
      <c r="V118" s="686"/>
      <c r="W118" s="686"/>
      <c r="X118" s="686"/>
      <c r="Y118" s="686"/>
      <c r="Z118" s="686"/>
      <c r="AA118" s="686"/>
      <c r="AB118" s="686"/>
      <c r="AC118" s="686"/>
      <c r="AD118" s="686"/>
      <c r="AE118" s="686"/>
      <c r="AF118" s="686"/>
      <c r="AG118" s="686"/>
      <c r="AH118" s="686"/>
      <c r="AI118" s="686"/>
      <c r="AJ118" s="686"/>
      <c r="AK118" s="686"/>
      <c r="AL118" s="686"/>
      <c r="AM118" s="687"/>
      <c r="AV118" s="591"/>
      <c r="AW118" s="614"/>
      <c r="AX118" s="611"/>
      <c r="AY118" s="591"/>
      <c r="AZ118" s="593"/>
      <c r="BA118" s="592"/>
      <c r="BB118" s="594"/>
    </row>
    <row r="119" spans="1:56" s="239" customFormat="1" ht="5.25" customHeight="1" x14ac:dyDescent="0.35">
      <c r="A119" s="269"/>
      <c r="B119" s="237"/>
      <c r="C119" s="461"/>
      <c r="D119" s="237"/>
      <c r="E119" s="237"/>
      <c r="F119" s="237"/>
      <c r="G119" s="237"/>
      <c r="H119" s="237"/>
      <c r="I119" s="237"/>
      <c r="J119" s="237"/>
      <c r="K119" s="237"/>
      <c r="L119" s="237"/>
      <c r="M119" s="237"/>
      <c r="N119" s="237"/>
      <c r="O119" s="237"/>
      <c r="P119" s="237"/>
      <c r="Q119" s="237"/>
      <c r="R119" s="237"/>
      <c r="S119" s="237"/>
      <c r="T119" s="237"/>
      <c r="U119" s="237"/>
      <c r="V119" s="237"/>
      <c r="W119" s="237"/>
      <c r="X119" s="237"/>
      <c r="Y119" s="237"/>
      <c r="Z119" s="237"/>
      <c r="AA119" s="237"/>
      <c r="AB119" s="237"/>
      <c r="AC119" s="237"/>
      <c r="AD119" s="237"/>
      <c r="AE119" s="237"/>
      <c r="AF119" s="237"/>
      <c r="AG119" s="237"/>
      <c r="AH119" s="237"/>
      <c r="AI119" s="237"/>
      <c r="AJ119" s="237"/>
      <c r="AK119" s="237"/>
      <c r="AL119" s="237"/>
      <c r="AM119" s="237"/>
      <c r="AV119" s="608"/>
      <c r="AW119" s="615"/>
      <c r="AX119" s="611"/>
      <c r="AY119" s="613"/>
      <c r="AZ119" s="578"/>
      <c r="BA119" s="574"/>
      <c r="BB119" s="579"/>
    </row>
    <row r="120" spans="1:56" s="239" customFormat="1" ht="116.25" hidden="1" customHeight="1" x14ac:dyDescent="0.35">
      <c r="A120" s="269"/>
      <c r="B120" s="688" t="s">
        <v>383</v>
      </c>
      <c r="C120" s="689"/>
      <c r="D120" s="689"/>
      <c r="E120" s="689"/>
      <c r="F120" s="689"/>
      <c r="G120" s="689"/>
      <c r="H120" s="689"/>
      <c r="I120" s="689"/>
      <c r="J120" s="689"/>
      <c r="K120" s="689"/>
      <c r="L120" s="689"/>
      <c r="M120" s="689"/>
      <c r="N120" s="689"/>
      <c r="O120" s="689"/>
      <c r="P120" s="689"/>
      <c r="Q120" s="689"/>
      <c r="R120" s="689"/>
      <c r="S120" s="689"/>
      <c r="T120" s="689"/>
      <c r="U120" s="689"/>
      <c r="V120" s="689"/>
      <c r="W120" s="689"/>
      <c r="X120" s="689"/>
      <c r="Y120" s="689"/>
      <c r="Z120" s="689"/>
      <c r="AA120" s="689"/>
      <c r="AB120" s="689"/>
      <c r="AC120" s="689"/>
      <c r="AD120" s="689"/>
      <c r="AE120" s="689"/>
      <c r="AF120" s="689"/>
      <c r="AG120" s="689"/>
      <c r="AH120" s="689"/>
      <c r="AI120" s="689"/>
      <c r="AJ120" s="689"/>
      <c r="AK120" s="689"/>
      <c r="AL120" s="689"/>
      <c r="AM120" s="690"/>
      <c r="AV120" s="608"/>
      <c r="AW120" s="615"/>
      <c r="AX120" s="611"/>
      <c r="AY120" s="613"/>
      <c r="AZ120" s="578"/>
      <c r="BA120" s="574"/>
      <c r="BB120" s="579"/>
    </row>
    <row r="121" spans="1:56" s="239" customFormat="1" ht="2.25" customHeight="1" thickBot="1" x14ac:dyDescent="0.4">
      <c r="A121" s="269"/>
      <c r="B121" s="237"/>
      <c r="C121" s="461"/>
      <c r="D121" s="237"/>
      <c r="E121" s="237"/>
      <c r="F121" s="237"/>
      <c r="G121" s="237"/>
      <c r="H121" s="237"/>
      <c r="I121" s="237"/>
      <c r="J121" s="237"/>
      <c r="K121" s="237"/>
      <c r="L121" s="237"/>
      <c r="M121" s="237"/>
      <c r="N121" s="237"/>
      <c r="O121" s="237"/>
      <c r="P121" s="237"/>
      <c r="Q121" s="237"/>
      <c r="R121" s="237"/>
      <c r="S121" s="237"/>
      <c r="T121" s="237"/>
      <c r="U121" s="237"/>
      <c r="V121" s="237"/>
      <c r="W121" s="237"/>
      <c r="X121" s="237"/>
      <c r="Y121" s="237"/>
      <c r="Z121" s="237"/>
      <c r="AA121" s="237"/>
      <c r="AB121" s="237"/>
      <c r="AC121" s="237"/>
      <c r="AD121" s="237"/>
      <c r="AE121" s="237"/>
      <c r="AF121" s="237"/>
      <c r="AG121" s="237"/>
      <c r="AH121" s="237"/>
      <c r="AI121" s="237"/>
      <c r="AJ121" s="237"/>
      <c r="AK121" s="237"/>
      <c r="AL121" s="237"/>
      <c r="AM121" s="237"/>
      <c r="AV121" s="608"/>
      <c r="AW121" s="615"/>
      <c r="AX121" s="611"/>
      <c r="AY121" s="613"/>
      <c r="AZ121" s="578"/>
      <c r="BA121" s="574"/>
      <c r="BB121" s="579"/>
    </row>
    <row r="122" spans="1:56" s="239" customFormat="1" ht="36" customHeight="1" x14ac:dyDescent="0.35">
      <c r="A122" s="269"/>
      <c r="B122" s="97" t="s">
        <v>170</v>
      </c>
      <c r="C122" s="556" t="s">
        <v>294</v>
      </c>
      <c r="D122" s="509" t="s">
        <v>3</v>
      </c>
      <c r="E122" s="504"/>
      <c r="F122" s="216" t="str">
        <f>VLOOKUP($C122,'4b) SL EPO Extended Data Sheet'!$A$5:$AB$168,2,FALSE)</f>
        <v>R</v>
      </c>
      <c r="G122" s="217">
        <f>VLOOKUP($C122,'4b) SL EPO Extended Data Sheet'!$A$5:$AB$168,3, FALSE)</f>
        <v>0</v>
      </c>
      <c r="H122" s="505"/>
      <c r="I122" s="506" t="str">
        <f>VLOOKUP($C122,'4b) SL EPO Extended Data Sheet'!$A$5:$AD$168,30, FALSE)</f>
        <v>FBC
(Jul-19)</v>
      </c>
      <c r="J122" s="49">
        <f>VLOOKUP($C122,'4b) SL EPO Extended Data Sheet'!$A$5:$AB$168,6, FALSE)/1000000</f>
        <v>47.817999999999998</v>
      </c>
      <c r="K122" s="49">
        <f>VLOOKUP($C122,'4b) SL EPO Extended Data Sheet'!$A$5:$AB$168,7, FALSE)/1000000</f>
        <v>51.06</v>
      </c>
      <c r="L122" s="524">
        <f>VLOOKUP($C122,'4b) SL EPO Extended Data Sheet'!$A$5:$AB$168,8, FALSE)</f>
        <v>46058</v>
      </c>
      <c r="M122" s="524">
        <f>VLOOKUP($C122,'4b) SL EPO Extended Data Sheet'!$A$5:$AB$168,9, FALSE)</f>
        <v>46321</v>
      </c>
      <c r="N122" s="504"/>
      <c r="O122" s="48">
        <f>VLOOKUP($C122,'4b) SL EPO Extended Data Sheet'!$A$5:$AB$168,10, FALSE)/1000000</f>
        <v>51.06</v>
      </c>
      <c r="P122" s="49">
        <f>VLOOKUP($C122,'4b) SL EPO Extended Data Sheet'!$A$5:$AB$168,11, FALSE)/1000000</f>
        <v>47.817999999999998</v>
      </c>
      <c r="Q122" s="504"/>
      <c r="R122" s="216" t="str">
        <f>VLOOKUP($C122,'4b) SL EPO Extended Data Sheet'!$A$5:$AB$168,12,FALSE)</f>
        <v>R</v>
      </c>
      <c r="S122" s="217">
        <f>VLOOKUP($C122,'4b) SL EPO Extended Data Sheet'!$A$5:$AB$168,13,FALSE)</f>
        <v>0</v>
      </c>
      <c r="T122" s="505"/>
      <c r="U122" s="506" t="str">
        <f>VLOOKUP($C122,'4b) SL EPO Extended Data Sheet'!$A$5:$AE$168,31,FALSE)</f>
        <v>FBC
(Mar-22)</v>
      </c>
      <c r="V122" s="505"/>
      <c r="W122" s="49">
        <f>VLOOKUP($C122,'4b) SL EPO Extended Data Sheet'!$A$5:$AC$168,16,FALSE)/1000000</f>
        <v>38.593831999999999</v>
      </c>
      <c r="X122" s="49">
        <f>VLOOKUP($C122,'4b) SL EPO Extended Data Sheet'!$A$5:$AC$168,17,FALSE)/1000000</f>
        <v>38.562535920000002</v>
      </c>
      <c r="Y122" s="49">
        <f>VLOOKUP($C122,'4b) SL EPO Extended Data Sheet'!$A$5:$AC$168,18,FALSE)/1000000</f>
        <v>2.950003E-2</v>
      </c>
      <c r="Z122" s="49">
        <f>VLOOKUP($C122,'4b) SL EPO Extended Data Sheet'!$A$5:$AB$168,16,FALSE)/1000000</f>
        <v>38.593831999999999</v>
      </c>
      <c r="AA122" s="507">
        <f>VLOOKUP($C122,'4b) SL EPO Extended Data Sheet'!$A$5:$AC$168,19,FALSE)</f>
        <v>46058</v>
      </c>
      <c r="AB122" s="507">
        <f>VLOOKUP($C122,'4b) SL EPO Extended Data Sheet'!$A$5:$AC$168,20,FALSE)</f>
        <v>46836</v>
      </c>
      <c r="AC122" s="51">
        <f>VLOOKUP($C122,'4b) SL EPO Extended Data Sheet'!$A$5:$AC$168,21,FALSE)</f>
        <v>0</v>
      </c>
      <c r="AD122" s="504">
        <f>VLOOKUP($C122,'4b) SL EPO Extended Data Sheet'!$A$5:$AB$168,15,FALSE)/1000000</f>
        <v>4.4634E-2</v>
      </c>
      <c r="AE122" s="49">
        <f>VLOOKUP($C122,'4b) SL EPO Extended Data Sheet'!$A$5:$AC$168,22,FALSE)/1000000</f>
        <v>38.574743159999997</v>
      </c>
      <c r="AF122" s="49">
        <f>VLOOKUP($C122,'4b) SL EPO Extended Data Sheet'!$A$5:$AC$168,23,FALSE)/1000000</f>
        <v>23.196600929000002</v>
      </c>
      <c r="AG122" s="52">
        <f>VLOOKUP($C122,'4b) SL EPO Extended Data Sheet'!$A$5:$AC$168,24,FALSE)/1000000</f>
        <v>28.36928253</v>
      </c>
      <c r="AH122" s="508">
        <f>VLOOKUP($C122,'4b) SL EPO Extended Data Sheet'!$A$5:$AC$168,25,FALSE)</f>
        <v>0.81766611138191514</v>
      </c>
      <c r="AI122" s="508">
        <f>VLOOKUP($C122,'4b) SL EPO Extended Data Sheet'!$A$5:$AC$168,26,FALSE)</f>
        <v>0.60134168185606141</v>
      </c>
      <c r="AJ122" s="544">
        <f>VLOOKUP($C122,'4b) SL EPO Extended Data Sheet'!$A$5:$AC$168,27,FALSE)</f>
        <v>0.99950539143145978</v>
      </c>
      <c r="AK122" s="543">
        <f>VLOOKUP($C122,'4b) SL EPO Extended Data Sheet'!$A$5:$AC$168,28,FALSE)</f>
        <v>0.60104425310759502</v>
      </c>
      <c r="AL122" s="509" t="e">
        <f>VLOOKUP($C122,'4b) SL EPO Extended Data Sheet'!$A$6:$AB$168,15,FALSE)</f>
        <v>#N/A</v>
      </c>
      <c r="AM122" s="219" t="str">
        <f>VLOOKUP($C122,'4b) SL EPO Extended Data Sheet'!$A$5:$AC$168,29,FALSE)</f>
        <v>A</v>
      </c>
      <c r="AV122" s="600">
        <v>38.533035890000001</v>
      </c>
      <c r="AW122" s="576">
        <v>46836</v>
      </c>
      <c r="AX122" s="611"/>
      <c r="AY122" s="600">
        <v>38.593831999999999</v>
      </c>
      <c r="AZ122" s="580">
        <f>W122-AY122</f>
        <v>0</v>
      </c>
      <c r="BA122" s="576">
        <v>46058</v>
      </c>
      <c r="BB122" s="582">
        <f>AA122-BA122</f>
        <v>0</v>
      </c>
    </row>
    <row r="123" spans="1:56" s="239" customFormat="1" ht="99" customHeight="1" thickBot="1" x14ac:dyDescent="0.4">
      <c r="A123" s="269" t="str">
        <f>C122</f>
        <v>Calder Land Clearance</v>
      </c>
      <c r="B123" s="694" t="s">
        <v>588</v>
      </c>
      <c r="C123" s="695"/>
      <c r="D123" s="695"/>
      <c r="E123" s="695"/>
      <c r="F123" s="695"/>
      <c r="G123" s="695"/>
      <c r="H123" s="695"/>
      <c r="I123" s="695"/>
      <c r="J123" s="695"/>
      <c r="K123" s="695"/>
      <c r="L123" s="695"/>
      <c r="M123" s="695"/>
      <c r="N123" s="695"/>
      <c r="O123" s="695"/>
      <c r="P123" s="695"/>
      <c r="Q123" s="695"/>
      <c r="R123" s="695"/>
      <c r="S123" s="695"/>
      <c r="T123" s="695"/>
      <c r="U123" s="695"/>
      <c r="V123" s="695"/>
      <c r="W123" s="695"/>
      <c r="X123" s="695"/>
      <c r="Y123" s="695"/>
      <c r="Z123" s="695"/>
      <c r="AA123" s="695"/>
      <c r="AB123" s="695"/>
      <c r="AC123" s="695"/>
      <c r="AD123" s="695"/>
      <c r="AE123" s="695"/>
      <c r="AF123" s="695"/>
      <c r="AG123" s="695"/>
      <c r="AH123" s="695"/>
      <c r="AI123" s="695"/>
      <c r="AJ123" s="695"/>
      <c r="AK123" s="695"/>
      <c r="AL123" s="695"/>
      <c r="AM123" s="696"/>
      <c r="AV123" s="575"/>
      <c r="AW123" s="577"/>
      <c r="AX123" s="611"/>
      <c r="AY123" s="575"/>
      <c r="AZ123" s="581"/>
      <c r="BA123" s="577"/>
      <c r="BB123" s="583"/>
    </row>
    <row r="124" spans="1:56" ht="5.25" customHeight="1" thickBot="1" x14ac:dyDescent="0.4">
      <c r="B124" s="211"/>
      <c r="C124" s="461"/>
      <c r="D124" s="211"/>
      <c r="E124" s="211"/>
      <c r="F124" s="211"/>
      <c r="G124" s="211"/>
      <c r="H124" s="211"/>
      <c r="I124" s="211"/>
      <c r="J124" s="211"/>
      <c r="K124" s="211"/>
      <c r="L124" s="211"/>
      <c r="M124" s="211"/>
      <c r="N124" s="211"/>
      <c r="O124" s="211"/>
      <c r="P124" s="211"/>
      <c r="Q124" s="211"/>
      <c r="R124" s="211"/>
      <c r="S124" s="211"/>
      <c r="T124" s="211"/>
      <c r="U124" s="211"/>
      <c r="V124" s="211"/>
      <c r="W124" s="211"/>
      <c r="X124" s="211"/>
      <c r="Y124" s="211"/>
      <c r="Z124" s="211"/>
      <c r="AA124" s="211"/>
      <c r="AB124" s="211"/>
      <c r="AC124" s="211"/>
      <c r="AD124" s="211"/>
      <c r="AE124" s="211"/>
      <c r="AF124" s="211"/>
      <c r="AG124" s="211"/>
      <c r="AH124" s="211"/>
      <c r="AI124" s="211"/>
      <c r="AJ124" s="211"/>
      <c r="AK124" s="211"/>
      <c r="AL124" s="211"/>
      <c r="AM124" s="211"/>
      <c r="AO124" s="239"/>
      <c r="AP124" s="239"/>
      <c r="AQ124" s="239"/>
      <c r="AR124" s="239"/>
      <c r="AS124" s="239"/>
      <c r="AT124" s="239"/>
      <c r="AU124" s="239"/>
      <c r="AW124" s="615"/>
      <c r="AX124" s="611"/>
      <c r="AY124" s="613"/>
      <c r="AZ124" s="578"/>
      <c r="BA124" s="574"/>
      <c r="BB124" s="579"/>
      <c r="BC124" s="239"/>
      <c r="BD124" s="239"/>
    </row>
    <row r="125" spans="1:56" ht="36.75" customHeight="1" x14ac:dyDescent="0.35">
      <c r="B125" s="193" t="s">
        <v>107</v>
      </c>
      <c r="C125" s="556" t="s">
        <v>233</v>
      </c>
      <c r="D125" s="509" t="s">
        <v>3</v>
      </c>
      <c r="E125" s="504"/>
      <c r="F125" s="216" t="str">
        <f>VLOOKUP(C125,'5a)NDA MPPR'!$B$9:$AK$61,3,FALSE)</f>
        <v>A</v>
      </c>
      <c r="G125" s="217">
        <f>VLOOKUP(C125,'5a)NDA MPPR'!$B$9:$AK$61,4,FALSE)</f>
        <v>0</v>
      </c>
      <c r="H125" s="505"/>
      <c r="I125" s="506" t="str">
        <f>VLOOKUP(C125,'5a)NDA MPPR'!$B$9:$AK$61,6,FALSE)</f>
        <v>FBC 
(Jun-24)</v>
      </c>
      <c r="J125" s="72">
        <f>VLOOKUP(C125,'5a)NDA MPPR'!$B$9:$AK$61,7,FALSE)</f>
        <v>75.099999999999994</v>
      </c>
      <c r="K125" s="48">
        <f>VLOOKUP(C125,'5a)NDA MPPR'!$B$9:$AK$61,8,FALSE)</f>
        <v>79.8</v>
      </c>
      <c r="L125" s="507">
        <f>VLOOKUP(C125,'5a)NDA MPPR'!$B$9:$AK$61,9,FALSE)</f>
        <v>47189</v>
      </c>
      <c r="M125" s="507">
        <f>VLOOKUP(C125,'5a)NDA MPPR'!$B$9:$AK$61,10,FALSE)</f>
        <v>47339</v>
      </c>
      <c r="N125" s="504"/>
      <c r="O125" s="48">
        <f>VLOOKUP(C125,'5a)NDA MPPR'!$B$9:$AK$61,12,FALSE)</f>
        <v>90.2</v>
      </c>
      <c r="P125" s="48">
        <f>VLOOKUP(C125,'5a)NDA MPPR'!$B$9:$AK$61,13,FALSE)</f>
        <v>90.2</v>
      </c>
      <c r="Q125" s="504"/>
      <c r="R125" s="216" t="str">
        <f>VLOOKUP(C125,'5a)NDA MPPR'!$B$9:$AK$61,15,FALSE)</f>
        <v>R</v>
      </c>
      <c r="S125" s="217">
        <f>VLOOKUP(C125,'5a)NDA MPPR'!$B$9:$AK$61,16,FALSE)</f>
        <v>0</v>
      </c>
      <c r="T125" s="505"/>
      <c r="U125" s="523" t="str">
        <f>VLOOKUP(C125,'5a)NDA MPPR'!$B$9:$AK$61,18,FALSE)</f>
        <v>FBC
 (Oct-23)</v>
      </c>
      <c r="V125" s="505"/>
      <c r="W125" s="49">
        <f>VLOOKUP(C125,'5a)NDA MPPR'!$B$9:$AK$61,20,FALSE)</f>
        <v>57.796824000000001</v>
      </c>
      <c r="X125" s="49">
        <f>VLOOKUP(C125,'5a)NDA MPPR'!$B$9:$AK$61,21,FALSE)</f>
        <v>87.702751090000007</v>
      </c>
      <c r="Y125" s="49">
        <f>VLOOKUP(C125,'5a)NDA MPPR'!$B$9:$AK$61,22,FALSE)</f>
        <v>0.1</v>
      </c>
      <c r="Z125" s="50"/>
      <c r="AA125" s="507">
        <f>VLOOKUP(C125,'5a)NDA MPPR'!$B$9:$AK$61,24,FALSE)</f>
        <v>46524</v>
      </c>
      <c r="AB125" s="507">
        <f>VLOOKUP(C125,'5a)NDA MPPR'!$B$9:$AK$61,25,FALSE)</f>
        <v>47189</v>
      </c>
      <c r="AC125" s="51">
        <f>VLOOKUP(C125,'5a)NDA MPPR'!$B$9:$AK$61,26,FALSE)</f>
        <v>0</v>
      </c>
      <c r="AD125" s="504"/>
      <c r="AE125" s="49">
        <f>VLOOKUP(C125,'5a)NDA MPPR'!$B$9:$AK$61,28,FALSE)</f>
        <v>53.769457100000004</v>
      </c>
      <c r="AF125" s="49">
        <f>VLOOKUP(C125,'5a)NDA MPPR'!$B$9:$AK$61,29,FALSE)</f>
        <v>44.769150374399999</v>
      </c>
      <c r="AG125" s="52">
        <f>VLOOKUP(C125,'5a)NDA MPPR'!$B$9:$AK$61,30,FALSE)</f>
        <v>75.375883139999999</v>
      </c>
      <c r="AH125" s="508">
        <f>VLOOKUP(C125,'5a)NDA MPPR'!$B$9:$AK$61,31,FALSE)</f>
        <v>0.59394528474376429</v>
      </c>
      <c r="AI125" s="228">
        <f>VLOOKUP(C125,'5a)NDA MPPR'!$B$9:$AK$61,32,FALSE)</f>
        <v>0.83261302585106445</v>
      </c>
      <c r="AJ125" s="544">
        <f>VLOOKUP(C125,'5a)NDA MPPR'!$B$9:$AK$61,33,FALSE)</f>
        <v>0.93031854310887396</v>
      </c>
      <c r="AK125" s="543">
        <f>VLOOKUP(C125,'5a)NDA MPPR'!$B$9:$AK$61,34,FALSE)</f>
        <v>0.77459533718323337</v>
      </c>
      <c r="AL125" s="509"/>
      <c r="AM125" s="219" t="str">
        <f>VLOOKUP(C125,'5a)NDA MPPR'!$B$9:$AK$61,36,FALSE)</f>
        <v>A</v>
      </c>
      <c r="AO125" s="239"/>
      <c r="AP125" s="239"/>
      <c r="AQ125" s="239"/>
      <c r="AR125" s="239"/>
      <c r="AS125" s="239"/>
      <c r="AT125" s="239"/>
      <c r="AU125" s="239"/>
      <c r="AV125" s="600">
        <v>87.585710419999998</v>
      </c>
      <c r="AW125" s="576">
        <v>47189</v>
      </c>
      <c r="AX125" s="611"/>
      <c r="AY125" s="600">
        <v>57.796824000000001</v>
      </c>
      <c r="AZ125" s="580">
        <f>W125-AY125</f>
        <v>0</v>
      </c>
      <c r="BA125" s="576">
        <v>46524</v>
      </c>
      <c r="BB125" s="582">
        <f>AA125-BA125</f>
        <v>0</v>
      </c>
      <c r="BC125" s="239"/>
      <c r="BD125" s="239"/>
    </row>
    <row r="126" spans="1:56" ht="116.25" customHeight="1" thickBot="1" x14ac:dyDescent="0.4">
      <c r="A126" s="269" t="str">
        <f>C125</f>
        <v>LAETP Floc Retrieval</v>
      </c>
      <c r="B126" s="702" t="str">
        <f>VLOOKUP($C125,'5a)NDA MPPR'!$A$9:$AK$61,2,FALSE)</f>
        <v>The overall intent of the LAETP (Low Active Effluent Treatment Plant) Floc (flocculant) Retrieval project is to provide the necessary equipment, documentation, knowledge transfer and training to enable the Alpha Operations teams to safely and effectively remove circa 86m3 of non-adhered (loose) floc from four existing and degrading Holding Tanks located on the Sellafield site. The project benefit is handover of the retrieval’s equipment to the Alpha Remediation Operations team, the project provides the capability to retrieve floc from the four storage tanks. This benefit remains on track to be delivered within the strategic tolerances of the civil tank substantiation and Low-Active Effluent Management Group (LAEMG) downstream plant availability. Delivery Confidence Assessment remains Amber due to the forecast project end date which is now 12 months later than the P80 date in the approved business case and uncertainty around the projects ability to stay within the P80 costs however following a project reset, which included revised delivery strategy and amendments to contract, cost forecast currently remains within the sanction approved by NDA. A Change Control Request (CCR) has now been approved and will be implemented for period 10, allowing reporting aligned to the recently approved P80 drawdown. The Project continually works to improve Contractor performance, Cumbria Nuclear Solutions Limited (CNSL) key focus areas are credible and realistic schedule and estimate, contract management, management of change and design delivery. Output of the updated schedule is now reflected in outward reporting; this reflects the model output which has been assured during a joint SL and NDA project review. The project forecast and subsequent impact on Key Decommissioning Milestone (KDM) Removal of non-adhered Floc by June 2030 is currently being assessed and will be evaluated in the coming periods. The Baseline RAG remains Amber. The project continues to be impacted by industrial action in the supply chain resulting in productivity losses, key skills unavailable, and constraints on work scope delivery. Impact assessment will be finalised on conclusion of the action with the intent to seek appropriate sanction relief subject to further review.  This is not a dispute directly with Sellafield Ltd; Sellafield is engaged with the Supply Chain and Stakeholders to ensure effective management of the impacts; correct mitigations are in place and to effectively mobilise resources upon return to work. The project has implemented a strategic pause of the construction work face, to prevent inefficient working whilst key resources are involved in industrial action and to protect the project sanction position. This has resulted in a minor increase in overall EAC (£117k) due to prolongation of key resources required to maintain momentum on key activities such as the handover of completed systems and ensure an effective restart in January 2026. A mitigated schedule to reduce the impact of absent scaffolding resource has been implemented; to protect key project milestones, this will be monitored closely by the project team. Attention remains on completing detailed design to de-risk the remainder of the construction scope, the design work remains on track to be completed in Q4 in line with the key target milestone date. Issues have been encountered in fabrication of key process modules, timely completion of these final procurements is key to enabling the remainder of the construction work. Capability and Capacity RAG remains Amber, a contract to supplement the SL led commissioning and pre-ops teams has been awarded, mobilisation of these resources is ongoing.</v>
      </c>
      <c r="C126" s="703"/>
      <c r="D126" s="703"/>
      <c r="E126" s="703"/>
      <c r="F126" s="703"/>
      <c r="G126" s="703"/>
      <c r="H126" s="703"/>
      <c r="I126" s="703"/>
      <c r="J126" s="703"/>
      <c r="K126" s="703"/>
      <c r="L126" s="703"/>
      <c r="M126" s="703"/>
      <c r="N126" s="703"/>
      <c r="O126" s="703"/>
      <c r="P126" s="703"/>
      <c r="Q126" s="703"/>
      <c r="R126" s="703"/>
      <c r="S126" s="703"/>
      <c r="T126" s="703"/>
      <c r="U126" s="703"/>
      <c r="V126" s="703"/>
      <c r="W126" s="703"/>
      <c r="X126" s="703"/>
      <c r="Y126" s="703"/>
      <c r="Z126" s="703"/>
      <c r="AA126" s="703"/>
      <c r="AB126" s="703"/>
      <c r="AC126" s="703"/>
      <c r="AD126" s="703"/>
      <c r="AE126" s="703"/>
      <c r="AF126" s="703"/>
      <c r="AG126" s="703"/>
      <c r="AH126" s="703"/>
      <c r="AI126" s="703"/>
      <c r="AJ126" s="703"/>
      <c r="AK126" s="703"/>
      <c r="AL126" s="703"/>
      <c r="AM126" s="704"/>
      <c r="AV126" s="575"/>
      <c r="AW126" s="577"/>
      <c r="AX126" s="611"/>
      <c r="AY126" s="575"/>
      <c r="AZ126" s="581"/>
      <c r="BA126" s="577"/>
      <c r="BB126" s="583"/>
    </row>
    <row r="127" spans="1:56" ht="5.25" customHeight="1" thickBot="1" x14ac:dyDescent="0.4">
      <c r="C127" s="461"/>
      <c r="G127" s="15"/>
      <c r="W127" s="1"/>
      <c r="X127" s="1"/>
      <c r="Y127" s="1"/>
      <c r="Z127" s="1"/>
      <c r="AA127" s="1"/>
      <c r="AB127" s="1"/>
      <c r="AC127" s="1"/>
      <c r="AW127" s="615"/>
      <c r="AX127" s="611"/>
      <c r="AY127" s="613"/>
      <c r="AZ127" s="578"/>
      <c r="BA127" s="574"/>
      <c r="BB127" s="579"/>
    </row>
    <row r="128" spans="1:56" ht="36" customHeight="1" x14ac:dyDescent="0.35">
      <c r="B128" s="193" t="s">
        <v>108</v>
      </c>
      <c r="C128" s="556" t="s">
        <v>13</v>
      </c>
      <c r="D128" s="509" t="s">
        <v>3</v>
      </c>
      <c r="E128" s="504"/>
      <c r="F128" s="216" t="str">
        <f>VLOOKUP(C128,'5a)NDA MPPR'!$B$9:$AK$61,3,FALSE)</f>
        <v>A</v>
      </c>
      <c r="G128" s="217">
        <f>VLOOKUP(C128,'5a)NDA MPPR'!$B$9:$AK$61,4,FALSE)</f>
        <v>0</v>
      </c>
      <c r="H128" s="505"/>
      <c r="I128" s="506" t="str">
        <f>VLOOKUP(C128,'5a)NDA MPPR'!$B$9:$AK$61,6,FALSE)</f>
        <v>FBC
(Apr-21)</v>
      </c>
      <c r="J128" s="72">
        <f>VLOOKUP(C128,'5a)NDA MPPR'!$B$9:$AK$61,7,FALSE)</f>
        <v>125.5</v>
      </c>
      <c r="K128" s="48">
        <f>VLOOKUP(C128,'5a)NDA MPPR'!$B$9:$AK$61,8,FALSE)</f>
        <v>132.1</v>
      </c>
      <c r="L128" s="507">
        <f>VLOOKUP(C128,'5a)NDA MPPR'!$B$9:$AK$61,9,FALSE)</f>
        <v>46874</v>
      </c>
      <c r="M128" s="507">
        <f>VLOOKUP(C128,'5a)NDA MPPR'!$B$9:$AK$61,10,FALSE)</f>
        <v>47239</v>
      </c>
      <c r="N128" s="504"/>
      <c r="O128" s="48">
        <f>VLOOKUP(C128,'5a)NDA MPPR'!$B$9:$AK$61,12,FALSE)</f>
        <v>149.1</v>
      </c>
      <c r="P128" s="48">
        <f>VLOOKUP(C128,'5a)NDA MPPR'!$B$9:$AK$61,13,FALSE)</f>
        <v>125.5</v>
      </c>
      <c r="Q128" s="504"/>
      <c r="R128" s="216" t="str">
        <f>VLOOKUP(C128,'5a)NDA MPPR'!$B$9:$AK$61,15,FALSE)</f>
        <v>R</v>
      </c>
      <c r="S128" s="217">
        <f>VLOOKUP(C128,'5a)NDA MPPR'!$B$9:$AK$61,16,FALSE)</f>
        <v>0</v>
      </c>
      <c r="T128" s="505"/>
      <c r="U128" s="523" t="str">
        <f>VLOOKUP(C128,'5a)NDA MPPR'!$B$9:$AK$61,18,FALSE)</f>
        <v>FBC
 (Feb-24)</v>
      </c>
      <c r="V128" s="505"/>
      <c r="W128" s="49">
        <f>VLOOKUP(C128,'5a)NDA MPPR'!$B$9:$AK$61,20,FALSE)</f>
        <v>144.83407500000001</v>
      </c>
      <c r="X128" s="49">
        <f>VLOOKUP(C128,'5a)NDA MPPR'!$B$9:$AK$61,21,FALSE)</f>
        <v>138.83421663999999</v>
      </c>
      <c r="Y128" s="49">
        <f>VLOOKUP(C128,'5a)NDA MPPR'!$B$9:$AK$61,22,FALSE)</f>
        <v>-10.1</v>
      </c>
      <c r="Z128" s="50"/>
      <c r="AA128" s="507">
        <f>VLOOKUP(C128,'5a)NDA MPPR'!$B$9:$AK$61,24,FALSE)</f>
        <v>47882</v>
      </c>
      <c r="AB128" s="507">
        <f>VLOOKUP(C128,'5a)NDA MPPR'!$B$9:$AK$61,25,FALSE)</f>
        <v>48684</v>
      </c>
      <c r="AC128" s="51">
        <f>VLOOKUP(C128,'5a)NDA MPPR'!$B$9:$AK$61,26,FALSE)</f>
        <v>0</v>
      </c>
      <c r="AD128" s="504"/>
      <c r="AE128" s="49">
        <f>VLOOKUP(C128,'5a)NDA MPPR'!$B$9:$AK$61,28,FALSE)</f>
        <v>114.54411661</v>
      </c>
      <c r="AF128" s="49">
        <f>VLOOKUP(C128,'5a)NDA MPPR'!$B$9:$AK$61,29,FALSE)</f>
        <v>102.89862837029999</v>
      </c>
      <c r="AG128" s="52">
        <f>VLOOKUP(C128,'5a)NDA MPPR'!$B$9:$AK$61,30,FALSE)</f>
        <v>101.72590307999999</v>
      </c>
      <c r="AH128" s="508">
        <f>VLOOKUP(C128,'5a)NDA MPPR'!$B$9:$AK$61,31,FALSE)</f>
        <v>1.0115282858622325</v>
      </c>
      <c r="AI128" s="228">
        <f>VLOOKUP(C128,'5a)NDA MPPR'!$B$9:$AK$61,32,FALSE)</f>
        <v>0.89833185165371188</v>
      </c>
      <c r="AJ128" s="544">
        <f>VLOOKUP(C128,'5a)NDA MPPR'!$B$9:$AK$61,33,FALSE)</f>
        <v>0.7908644192328359</v>
      </c>
      <c r="AK128" s="543">
        <f>VLOOKUP(C128,'5a)NDA MPPR'!$B$9:$AK$61,34,FALSE)</f>
        <v>0.710458698136471</v>
      </c>
      <c r="AL128" s="509"/>
      <c r="AM128" s="219" t="str">
        <f>VLOOKUP(C128,'5a)NDA MPPR'!$B$9:$AK$61,36,FALSE)</f>
        <v>G</v>
      </c>
      <c r="AV128" s="600">
        <v>148.90102011000002</v>
      </c>
      <c r="AW128" s="576">
        <v>48684</v>
      </c>
      <c r="AX128" s="611"/>
      <c r="AY128" s="600">
        <v>144.83407500000001</v>
      </c>
      <c r="AZ128" s="580">
        <f>W128-AY128</f>
        <v>0</v>
      </c>
      <c r="BA128" s="576">
        <v>47882</v>
      </c>
      <c r="BB128" s="582">
        <f>AA128-BA128</f>
        <v>0</v>
      </c>
    </row>
    <row r="129" spans="1:56" ht="117.75" customHeight="1" thickBot="1" x14ac:dyDescent="0.4">
      <c r="A129" s="269" t="str">
        <f>C128</f>
        <v>Chimney Decommissioning Phase 2F</v>
      </c>
      <c r="B129" s="702" t="str">
        <f>VLOOKUP($C128,'5a)NDA MPPR'!$A$9:$AK$61,2,FALSE)</f>
        <v>Please note; the reduction to the projects lifecycle Estimate At Completion (EAC) is as a result of a reporting error, the true lifecycle forecast is unchanged from the previous period and remains at £148.9m. Pile 1 Chimney Demolition Project Phase 2F, to demolish the chimney contaminated during 1957 fire, is organised into 3 separate sub-projects. The first two, Filter Gallery Demolition and Diffuser Demolition are now complete, and the project is now in its final stage, Barrel Demolition. Barrel Demolition is the removal and disposal of the Barrel section of the chimney, using a unique specifically designed platform for demolition access with lifting operations supported by the existing Tower crane. Delivery Confidence Assessment remains amber based on current forecast completion being beyond Business Case P80 date, the position is supported by an independent project assurance review carried out in September 2025 for which the output also rated the project at Amber. As communicated to Nuclear Decommissioning Authority (NDA)  Board in 2023, the project, following receipt of a conservative tender return for whole of Barrel Demolition that pressured business case tolerances, has adopted a phased approach to ensure learning and opportunities from Integrated Works Testing (IWT) is understood prior to future contract awards for the Installation and Commissioning of the Suspended Platform Incremental Descent developed by ADAPT (SPIDA) and Barrel Demolition scope. Following the recent approval of inflation relief the project’s sanctioned P80 value is now £149.1m. The sanction release request for Installation &amp; Commissioning (£15m P50 escalated) has now been approved and is now within the new sanctioned P50 (£125.5m following inflation relief approval). Recognising that the project’s EAC is close to the revised P80 sanction value, the project will continue with its strategy for a full revision of the existing baseline schedule/cost once IWT (July 2026) is complete, critical learning is obtained (i.e. from demolition demonstration) and future uncertainty is reduced. The first project benefit milestone (based on completion date) is on track. The P50 Delivery date remains April 2033. During key testing on IWT, an issue was identified with respect to the platform maintaining a balanced load across all hangers, particularly during changes in external temperatures. Testing of solutions has been successful so far and is ongoing, however this will lead to a delay in commencement of FAT-18 Demolition Demonstration. P50 completion date for IWT remains June 2026. SPIDA Installation and Commissioning contract award now forecast for February 2026. The Baseline RAG remains Red as the forecast project end date is after the P50 baseline. License instrument submission forecast remains Q4 2025/26 a safety case design review was undertaken this period with minor actions required to close out. The project has been impacted by industrial action in the supply chain resulting in productivity losses, key skills unavailable, and constraints on workscope delivery. Impact assessment will be finalised on conclusion of the action with the intent to seek appropriate sanction relief subject to further review.  This is not a dispute directly with Sellafield Ltd; Sellafield is engaged with the Supply Chain and Stakeholders to ensure effective management of the impacts; correct mitigations are in place and to effectively mobilise resources upon return to work.  Capability and Capacity RAG remains green.</v>
      </c>
      <c r="C129" s="703"/>
      <c r="D129" s="703"/>
      <c r="E129" s="703"/>
      <c r="F129" s="703"/>
      <c r="G129" s="703"/>
      <c r="H129" s="703"/>
      <c r="I129" s="703"/>
      <c r="J129" s="703"/>
      <c r="K129" s="703"/>
      <c r="L129" s="703"/>
      <c r="M129" s="703"/>
      <c r="N129" s="703"/>
      <c r="O129" s="703"/>
      <c r="P129" s="703"/>
      <c r="Q129" s="703"/>
      <c r="R129" s="703"/>
      <c r="S129" s="703"/>
      <c r="T129" s="703"/>
      <c r="U129" s="703"/>
      <c r="V129" s="703"/>
      <c r="W129" s="703"/>
      <c r="X129" s="703"/>
      <c r="Y129" s="703"/>
      <c r="Z129" s="703"/>
      <c r="AA129" s="703"/>
      <c r="AB129" s="703"/>
      <c r="AC129" s="703"/>
      <c r="AD129" s="703"/>
      <c r="AE129" s="703"/>
      <c r="AF129" s="703"/>
      <c r="AG129" s="703"/>
      <c r="AH129" s="703"/>
      <c r="AI129" s="703"/>
      <c r="AJ129" s="703"/>
      <c r="AK129" s="703"/>
      <c r="AL129" s="703"/>
      <c r="AM129" s="704"/>
      <c r="AV129" s="575"/>
      <c r="AW129" s="577"/>
      <c r="AX129" s="611"/>
      <c r="AY129" s="575"/>
      <c r="AZ129" s="581"/>
      <c r="BA129" s="577"/>
      <c r="BB129" s="583"/>
    </row>
    <row r="130" spans="1:56" ht="5.25" customHeight="1" thickBot="1" x14ac:dyDescent="0.4">
      <c r="B130" s="94"/>
      <c r="G130" s="54"/>
      <c r="AW130" s="615"/>
      <c r="AX130" s="611"/>
      <c r="AY130" s="613"/>
      <c r="AZ130" s="578"/>
      <c r="BA130" s="574"/>
      <c r="BB130" s="579"/>
    </row>
    <row r="131" spans="1:56" ht="36" customHeight="1" x14ac:dyDescent="0.35">
      <c r="B131" s="97" t="s">
        <v>290</v>
      </c>
      <c r="C131" s="556" t="s">
        <v>295</v>
      </c>
      <c r="D131" s="509" t="s">
        <v>3</v>
      </c>
      <c r="E131" s="504"/>
      <c r="F131" s="216" t="str">
        <f>VLOOKUP(C131,'5a)NDA MPPR'!$B$9:$AK$61,3,FALSE)</f>
        <v>G</v>
      </c>
      <c r="G131" s="217">
        <f>VLOOKUP(C131,'5a)NDA MPPR'!$B$9:$AK$61,4,FALSE)</f>
        <v>0</v>
      </c>
      <c r="H131" s="505"/>
      <c r="I131" s="506" t="str">
        <f>VLOOKUP(C131,'5a)NDA MPPR'!$B$9:$AK$61,6,FALSE)</f>
        <v>OBC
(Jan-24)</v>
      </c>
      <c r="J131" s="49">
        <f>VLOOKUP(C131,'5a)NDA MPPR'!$B$9:$AK$61,7,FALSE)</f>
        <v>54</v>
      </c>
      <c r="K131" s="49">
        <f>VLOOKUP(C131,'5a)NDA MPPR'!$B$9:$AK$61,8,FALSE)</f>
        <v>65</v>
      </c>
      <c r="L131" s="524">
        <f>VLOOKUP(C131,'5a)NDA MPPR'!$B$9:$AK$61,9,FALSE)</f>
        <v>47480</v>
      </c>
      <c r="M131" s="524">
        <f>VLOOKUP(C131,'5a)NDA MPPR'!$B$9:$AK$61,10,FALSE)</f>
        <v>47831</v>
      </c>
      <c r="N131" s="504"/>
      <c r="O131" s="48" t="str">
        <f>VLOOKUP(C131,'5a)NDA MPPR'!$B$9:$AK$61,12,FALSE)</f>
        <v>n/a</v>
      </c>
      <c r="P131" s="49">
        <f>VLOOKUP(C131,'5a)NDA MPPR'!$B$9:$AK$61,13,FALSE)</f>
        <v>11</v>
      </c>
      <c r="Q131" s="504"/>
      <c r="R131" s="216" t="str">
        <f>VLOOKUP(C131,'5a)NDA MPPR'!$B$9:$AK$61,15,FALSE)</f>
        <v>G</v>
      </c>
      <c r="S131" s="217">
        <f>VLOOKUP(C131,'5a)NDA MPPR'!$B$9:$AK$61,16,FALSE)</f>
        <v>0</v>
      </c>
      <c r="T131" s="505"/>
      <c r="U131" s="523" t="str">
        <f>VLOOKUP(C131,'5a)NDA MPPR'!$B$9:$AK$61,18,FALSE)</f>
        <v>OBC
 (Oct-25)</v>
      </c>
      <c r="V131" s="505"/>
      <c r="W131" s="49">
        <f>VLOOKUP(C131,'5a)NDA MPPR'!$B$9:$AK$61,20,FALSE)</f>
        <v>53.217953000000001</v>
      </c>
      <c r="X131" s="49">
        <f>VLOOKUP(C131,'5a)NDA MPPR'!$B$9:$AK$61,21,FALSE)</f>
        <v>53.217743929999997</v>
      </c>
      <c r="Y131" s="49">
        <f>VLOOKUP(C131,'5a)NDA MPPR'!$B$9:$AK$61,22,FALSE)</f>
        <v>0</v>
      </c>
      <c r="Z131" s="50"/>
      <c r="AA131" s="507">
        <f>VLOOKUP(C131,'5a)NDA MPPR'!$B$9:$AK$61,24,FALSE)</f>
        <v>47465</v>
      </c>
      <c r="AB131" s="507">
        <f>VLOOKUP(C131,'5a)NDA MPPR'!$B$9:$AK$61,25,FALSE)</f>
        <v>47528</v>
      </c>
      <c r="AC131" s="51">
        <f>VLOOKUP(C131,'5a)NDA MPPR'!$B$9:$AK$61,26,FALSE)</f>
        <v>0</v>
      </c>
      <c r="AD131" s="504"/>
      <c r="AE131" s="49">
        <f>VLOOKUP(C131,'5a)NDA MPPR'!$B$9:$AK$61,28,FALSE)</f>
        <v>6.8649790800000003</v>
      </c>
      <c r="AF131" s="49">
        <f>VLOOKUP(C131,'5a)NDA MPPR'!$B$9:$AK$61,29,FALSE)</f>
        <v>4.1085646941</v>
      </c>
      <c r="AG131" s="52">
        <f>VLOOKUP(C131,'5a)NDA MPPR'!$B$9:$AK$61,30,FALSE)</f>
        <v>5.0076655700000003</v>
      </c>
      <c r="AH131" s="164">
        <f>VLOOKUP(C131,'5a)NDA MPPR'!$B$9:$AK$61,31,FALSE)</f>
        <v>0.82045508763876973</v>
      </c>
      <c r="AI131" s="228">
        <f>VLOOKUP(C131,'5a)NDA MPPR'!$B$9:$AK$61,32,FALSE)</f>
        <v>0.59848175008568272</v>
      </c>
      <c r="AJ131" s="544">
        <f>VLOOKUP(C131,'5a)NDA MPPR'!$B$9:$AK$61,33,FALSE)</f>
        <v>0.12899742836782918</v>
      </c>
      <c r="AK131" s="543">
        <f>VLOOKUP(C131,'5a)NDA MPPR'!$B$9:$AK$61,34,FALSE)</f>
        <v>7.7202606686130895E-2</v>
      </c>
      <c r="AL131" s="509"/>
      <c r="AM131" s="219" t="str">
        <f>VLOOKUP(C131,'5a)NDA MPPR'!$B$9:$AK$61,36,FALSE)</f>
        <v>G</v>
      </c>
      <c r="AV131" s="600">
        <v>53.198963899999995</v>
      </c>
      <c r="AW131" s="576">
        <v>47528</v>
      </c>
      <c r="AX131" s="611"/>
      <c r="AY131" s="600">
        <v>53.195810000000002</v>
      </c>
      <c r="AZ131" s="580">
        <f>W131-AY131</f>
        <v>2.2142999999999802E-2</v>
      </c>
      <c r="BA131" s="576">
        <v>47465</v>
      </c>
      <c r="BB131" s="582">
        <f>AA131-BA131</f>
        <v>0</v>
      </c>
    </row>
    <row r="132" spans="1:56" ht="68.25" customHeight="1" thickBot="1" x14ac:dyDescent="0.4">
      <c r="A132" s="269" t="str">
        <f>C131</f>
        <v>Heat Exchanger Deplanting - Main Project</v>
      </c>
      <c r="B132" s="702" t="str">
        <f>VLOOKUP($C131,'5a)NDA MPPR'!$A$9:$AK$61,2,FALSE)</f>
        <v>The scope of the Heat Exchanger (HEx) Deplanting 1 project is the removal and laydown of the first 6 Calder Hall Heat Exchangers, as an enabler for land clearance in preparation for a new Site Ion Exchange Effluent Plant (SIXEP) operating facility; subsequent disposal of these initial 6 Heat Exchangers and the deplanting &amp; disposal of the remaining 10 Heat Exchangers is out-with this project. The Delivery Confidence Assessment and Baseline RAG remain Green. In period, the laydown area detailed design has been through a formal review and received a green rating; the project are pursuing accelerated sanction through IRP to allow for contract placement of the laydown works. The Ops Plan Milestone remains on target with Invitation To Tender (ITT) documents, through Decommissioning and Nuclear Waste Partnership (DNWP), now at an advanced stage. On the main lifting contract the opening up meeting was held and a further design engineering meeting  planned for the new year to confirm project deliverables and schedule. The project continues to be impacted by industrial action in the supply chain resulting in productivity losses, key skills unavailable, and constraints on work scope delivery. Impact assessment will be finalised on conclusion of the action with the intent to seek appropriate sanction relief subject to further review.  This is not a dispute directly with Sellafield Ltd; Sellafield is engaged with the Supply Chain and Stakeholders to ensure effective management of the impacts; correct mitigations are in place and to effectively mobilise resources upon return to work.  Capability and Capacity remains Green with the project now having placed the main HEx1 lifting contract.</v>
      </c>
      <c r="C132" s="703"/>
      <c r="D132" s="703"/>
      <c r="E132" s="703"/>
      <c r="F132" s="703"/>
      <c r="G132" s="703"/>
      <c r="H132" s="703"/>
      <c r="I132" s="703"/>
      <c r="J132" s="703"/>
      <c r="K132" s="703"/>
      <c r="L132" s="703"/>
      <c r="M132" s="703"/>
      <c r="N132" s="703"/>
      <c r="O132" s="703"/>
      <c r="P132" s="703"/>
      <c r="Q132" s="703"/>
      <c r="R132" s="703"/>
      <c r="S132" s="703"/>
      <c r="T132" s="703"/>
      <c r="U132" s="703"/>
      <c r="V132" s="703"/>
      <c r="W132" s="703"/>
      <c r="X132" s="703"/>
      <c r="Y132" s="703"/>
      <c r="Z132" s="703"/>
      <c r="AA132" s="703"/>
      <c r="AB132" s="703"/>
      <c r="AC132" s="703"/>
      <c r="AD132" s="703"/>
      <c r="AE132" s="703"/>
      <c r="AF132" s="703"/>
      <c r="AG132" s="703"/>
      <c r="AH132" s="703"/>
      <c r="AI132" s="703"/>
      <c r="AJ132" s="703"/>
      <c r="AK132" s="703"/>
      <c r="AL132" s="703"/>
      <c r="AM132" s="704"/>
      <c r="AV132" s="575"/>
      <c r="AW132" s="577"/>
      <c r="AX132" s="611"/>
      <c r="AY132" s="575"/>
      <c r="AZ132" s="581"/>
      <c r="BA132" s="577"/>
      <c r="BB132" s="583"/>
    </row>
    <row r="133" spans="1:56" ht="5.25" customHeight="1" thickBot="1" x14ac:dyDescent="0.4">
      <c r="B133" s="61"/>
      <c r="C133" s="437"/>
      <c r="D133" s="61"/>
      <c r="E133" s="61"/>
      <c r="F133" s="61"/>
      <c r="G133" s="61"/>
      <c r="H133" s="61"/>
      <c r="I133" s="61"/>
      <c r="J133" s="61"/>
      <c r="K133" s="61"/>
      <c r="L133" s="61"/>
      <c r="M133" s="61"/>
      <c r="N133" s="61"/>
      <c r="O133" s="61"/>
      <c r="P133" s="61"/>
      <c r="Q133" s="61"/>
      <c r="R133" s="61"/>
      <c r="S133" s="61"/>
      <c r="T133" s="61"/>
      <c r="U133" s="61"/>
      <c r="V133" s="61"/>
      <c r="W133" s="61"/>
      <c r="X133" s="61"/>
      <c r="Y133" s="61"/>
      <c r="Z133" s="61"/>
      <c r="AA133" s="61"/>
      <c r="AB133" s="61"/>
      <c r="AC133" s="61"/>
      <c r="AD133" s="61"/>
      <c r="AE133" s="61"/>
      <c r="AF133" s="61"/>
      <c r="AG133" s="61"/>
      <c r="AH133" s="61"/>
      <c r="AI133" s="61"/>
      <c r="AJ133" s="61"/>
      <c r="AK133" s="61"/>
      <c r="AL133" s="61"/>
      <c r="AM133" s="61"/>
      <c r="AW133" s="615"/>
      <c r="AX133" s="611"/>
      <c r="AY133" s="613"/>
      <c r="AZ133" s="578"/>
      <c r="BA133" s="574"/>
      <c r="BB133" s="579"/>
    </row>
    <row r="134" spans="1:56" ht="24" customHeight="1" thickBot="1" x14ac:dyDescent="0.4">
      <c r="B134" s="685" t="s">
        <v>307</v>
      </c>
      <c r="C134" s="686"/>
      <c r="D134" s="686"/>
      <c r="E134" s="686"/>
      <c r="F134" s="686"/>
      <c r="G134" s="686"/>
      <c r="H134" s="686"/>
      <c r="I134" s="686"/>
      <c r="J134" s="686"/>
      <c r="K134" s="686"/>
      <c r="L134" s="686"/>
      <c r="M134" s="686"/>
      <c r="N134" s="686"/>
      <c r="O134" s="686"/>
      <c r="P134" s="686"/>
      <c r="Q134" s="686"/>
      <c r="R134" s="686"/>
      <c r="S134" s="686"/>
      <c r="T134" s="686"/>
      <c r="U134" s="686"/>
      <c r="V134" s="686"/>
      <c r="W134" s="686"/>
      <c r="X134" s="686"/>
      <c r="Y134" s="686"/>
      <c r="Z134" s="686"/>
      <c r="AA134" s="686"/>
      <c r="AB134" s="686"/>
      <c r="AC134" s="686"/>
      <c r="AD134" s="686"/>
      <c r="AE134" s="686"/>
      <c r="AF134" s="686"/>
      <c r="AG134" s="686"/>
      <c r="AH134" s="686"/>
      <c r="AI134" s="686"/>
      <c r="AJ134" s="686"/>
      <c r="AK134" s="686"/>
      <c r="AL134" s="686"/>
      <c r="AM134" s="687"/>
      <c r="AV134" s="591"/>
      <c r="AW134" s="614"/>
      <c r="AX134" s="611"/>
      <c r="AY134" s="591"/>
      <c r="AZ134" s="593"/>
      <c r="BA134" s="592"/>
      <c r="BB134" s="594"/>
    </row>
    <row r="135" spans="1:56" s="239" customFormat="1" ht="5.25" customHeight="1" thickBot="1" x14ac:dyDescent="0.4">
      <c r="A135" s="269"/>
      <c r="B135" s="78"/>
      <c r="C135" s="78"/>
      <c r="D135" s="79"/>
      <c r="E135" s="79"/>
      <c r="F135" s="79"/>
      <c r="G135" s="79"/>
      <c r="H135" s="79"/>
      <c r="I135" s="79"/>
      <c r="J135" s="79"/>
      <c r="K135" s="79"/>
      <c r="L135" s="79"/>
      <c r="M135" s="79"/>
      <c r="N135" s="79"/>
      <c r="O135" s="79"/>
      <c r="P135" s="79"/>
      <c r="Q135" s="79"/>
      <c r="R135" s="79"/>
      <c r="S135" s="79"/>
      <c r="T135" s="79"/>
      <c r="U135" s="79"/>
      <c r="V135" s="79"/>
      <c r="W135" s="79"/>
      <c r="X135" s="79"/>
      <c r="Y135" s="79"/>
      <c r="Z135" s="79"/>
      <c r="AA135" s="79"/>
      <c r="AB135" s="79"/>
      <c r="AC135" s="79"/>
      <c r="AD135" s="79"/>
      <c r="AE135" s="79"/>
      <c r="AF135" s="79"/>
      <c r="AG135" s="79"/>
      <c r="AH135" s="79"/>
      <c r="AI135" s="79"/>
      <c r="AJ135" s="79"/>
      <c r="AK135" s="79"/>
      <c r="AL135" s="79"/>
      <c r="AM135" s="79"/>
      <c r="AO135" s="15"/>
      <c r="AP135" s="15"/>
      <c r="AQ135" s="15"/>
      <c r="AR135" s="15"/>
      <c r="AS135" s="15"/>
      <c r="AT135" s="15"/>
      <c r="AU135" s="15"/>
      <c r="AV135" s="608"/>
      <c r="AW135" s="615"/>
      <c r="AX135" s="611"/>
      <c r="AY135" s="613"/>
      <c r="AZ135" s="578"/>
      <c r="BA135" s="574"/>
      <c r="BB135" s="579"/>
      <c r="BC135" s="15"/>
      <c r="BD135" s="15"/>
    </row>
    <row r="136" spans="1:56" ht="42" customHeight="1" x14ac:dyDescent="0.35">
      <c r="B136" s="233" t="s">
        <v>303</v>
      </c>
      <c r="C136" s="465" t="s">
        <v>306</v>
      </c>
      <c r="D136" s="221" t="s">
        <v>3</v>
      </c>
      <c r="E136" s="222"/>
      <c r="F136" s="216" t="str">
        <f>VLOOKUP($C136,'4b) SL EPO Extended Data Sheet'!$A$5:$AB$168,2,FALSE)</f>
        <v>R</v>
      </c>
      <c r="G136" s="217">
        <f>VLOOKUP($C136,'4b) SL EPO Extended Data Sheet'!$A$5:$AB$168,3, FALSE)</f>
        <v>0</v>
      </c>
      <c r="H136" s="223"/>
      <c r="I136" s="506" t="str">
        <f>VLOOKUP($C136,'4b) SL EPO Extended Data Sheet'!$A$5:$AD$168,30, FALSE)</f>
        <v>FBC
(Oct-20)</v>
      </c>
      <c r="J136" s="225">
        <f>VLOOKUP($C136,'4b) SL EPO Extended Data Sheet'!$A$5:$AB$168,6, FALSE)/1000000</f>
        <v>31.614000000000001</v>
      </c>
      <c r="K136" s="214">
        <f>VLOOKUP($C136,'4b) SL EPO Extended Data Sheet'!$A$5:$AB$168,7, FALSE)/1000000</f>
        <v>35.174999999999997</v>
      </c>
      <c r="L136" s="226">
        <f>VLOOKUP($C136,'4b) SL EPO Extended Data Sheet'!$A$5:$AB$168,8, FALSE)</f>
        <v>45220</v>
      </c>
      <c r="M136" s="226">
        <f>VLOOKUP($C136,'4b) SL EPO Extended Data Sheet'!$A$5:$AB$168,9, FALSE)</f>
        <v>45428</v>
      </c>
      <c r="N136" s="222"/>
      <c r="O136" s="214">
        <f>VLOOKUP($C136,'4b) SL EPO Extended Data Sheet'!$A$5:$AB$168,10, FALSE)/1000000</f>
        <v>35.174999999999997</v>
      </c>
      <c r="P136" s="214">
        <f>VLOOKUP($C136,'4b) SL EPO Extended Data Sheet'!$A$5:$AB$168,11, FALSE)/1000000</f>
        <v>31.614000000000001</v>
      </c>
      <c r="Q136" s="222"/>
      <c r="R136" s="216" t="str">
        <f>VLOOKUP($C136,'4b) SL EPO Extended Data Sheet'!$A$5:$AB$168,12,FALSE)</f>
        <v>R</v>
      </c>
      <c r="S136" s="217">
        <f>VLOOKUP($C136,'4b) SL EPO Extended Data Sheet'!$A$5:$AB$168,3, FALSE)</f>
        <v>0</v>
      </c>
      <c r="T136" s="223"/>
      <c r="U136" s="506" t="str">
        <f>VLOOKUP($C136,'4b) SL EPO Extended Data Sheet'!$A$5:$AE$168,31,FALSE)</f>
        <v>FBC
(Apr-21)</v>
      </c>
      <c r="V136" s="505"/>
      <c r="W136" s="49">
        <f>VLOOKUP($C136,'4b) SL EPO Extended Data Sheet'!$A$5:$AC$168,16,FALSE)/1000000</f>
        <v>31.971081999999999</v>
      </c>
      <c r="X136" s="49">
        <f>VLOOKUP($C136,'4b) SL EPO Extended Data Sheet'!$A$5:$AC$168,17,FALSE)/1000000</f>
        <v>26.925405940000001</v>
      </c>
      <c r="Y136" s="49">
        <f>VLOOKUP($C136,'4b) SL EPO Extended Data Sheet'!$A$5:$AC$168,18,FALSE)/1000000</f>
        <v>7.6810300000000001E-3</v>
      </c>
      <c r="Z136" s="49">
        <f>VLOOKUP($C136,'4b) SL EPO Extended Data Sheet'!$A$5:$AB$168,16,FALSE)/1000000</f>
        <v>31.971081999999999</v>
      </c>
      <c r="AA136" s="507">
        <f>VLOOKUP($C136,'4b) SL EPO Extended Data Sheet'!$A$5:$AC$168,19,FALSE)</f>
        <v>45220</v>
      </c>
      <c r="AB136" s="507">
        <f>VLOOKUP($C136,'4b) SL EPO Extended Data Sheet'!$A$5:$AC$168,20,FALSE)</f>
        <v>46244</v>
      </c>
      <c r="AC136" s="51">
        <f>VLOOKUP($C136,'4b) SL EPO Extended Data Sheet'!$A$5:$AC$168,21,FALSE)</f>
        <v>0</v>
      </c>
      <c r="AD136" s="504">
        <f>VLOOKUP($C136,'4b) SL EPO Extended Data Sheet'!$A$5:$AB$168,15,FALSE)/1000000</f>
        <v>4.4287E-2</v>
      </c>
      <c r="AE136" s="49">
        <f>VLOOKUP($C136,'4b) SL EPO Extended Data Sheet'!$A$5:$AC$168,22,FALSE)/1000000</f>
        <v>31.97108265</v>
      </c>
      <c r="AF136" s="49">
        <f>VLOOKUP($C136,'4b) SL EPO Extended Data Sheet'!$A$5:$AC$168,23,FALSE)/1000000</f>
        <v>31.8038756955</v>
      </c>
      <c r="AG136" s="52">
        <f>VLOOKUP($C136,'4b) SL EPO Extended Data Sheet'!$A$5:$AC$168,24,FALSE)/1000000</f>
        <v>26.7852107</v>
      </c>
      <c r="AH136" s="508">
        <f>VLOOKUP($C136,'4b) SL EPO Extended Data Sheet'!$A$5:$AC$168,25,FALSE)</f>
        <v>1.1873670157651588</v>
      </c>
      <c r="AI136" s="508">
        <f>VLOOKUP($C136,'4b) SL EPO Extended Data Sheet'!$A$5:$AC$168,26,FALSE)</f>
        <v>0.99477005654358097</v>
      </c>
      <c r="AJ136" s="544">
        <f>VLOOKUP($C136,'4b) SL EPO Extended Data Sheet'!$A$5:$AC$168,27,FALSE)</f>
        <v>1.0000000203308728</v>
      </c>
      <c r="AK136" s="543">
        <f>VLOOKUP($C136,'4b) SL EPO Extended Data Sheet'!$A$5:$AC$168,28,FALSE)</f>
        <v>0.99477007676812446</v>
      </c>
      <c r="AL136" s="509">
        <f>VLOOKUP($C136,'4b) SL EPO Extended Data Sheet'!$A$6:$AB$168,15,FALSE)</f>
        <v>44287</v>
      </c>
      <c r="AM136" s="219" t="str">
        <f>VLOOKUP($C136,'4b) SL EPO Extended Data Sheet'!$A$5:$AC$168,29,FALSE)</f>
        <v>G</v>
      </c>
      <c r="AV136" s="600">
        <v>26.91772491</v>
      </c>
      <c r="AW136" s="576">
        <v>46244</v>
      </c>
      <c r="AX136" s="611"/>
      <c r="AY136" s="600">
        <v>31.971081999999999</v>
      </c>
      <c r="AZ136" s="580">
        <f>W136-AY136</f>
        <v>0</v>
      </c>
      <c r="BA136" s="576">
        <v>45220</v>
      </c>
      <c r="BB136" s="582">
        <f>AA136-BA136</f>
        <v>0</v>
      </c>
    </row>
    <row r="137" spans="1:56" ht="90.75" customHeight="1" thickBot="1" x14ac:dyDescent="0.4">
      <c r="A137" s="269" t="str">
        <f>C136</f>
        <v>Data Centre Replacement Project</v>
      </c>
      <c r="B137" s="694" t="s">
        <v>574</v>
      </c>
      <c r="C137" s="695"/>
      <c r="D137" s="695"/>
      <c r="E137" s="695"/>
      <c r="F137" s="695"/>
      <c r="G137" s="695"/>
      <c r="H137" s="695"/>
      <c r="I137" s="695"/>
      <c r="J137" s="695"/>
      <c r="K137" s="695"/>
      <c r="L137" s="695"/>
      <c r="M137" s="695"/>
      <c r="N137" s="695"/>
      <c r="O137" s="695"/>
      <c r="P137" s="695"/>
      <c r="Q137" s="695"/>
      <c r="R137" s="695"/>
      <c r="S137" s="695"/>
      <c r="T137" s="695"/>
      <c r="U137" s="695"/>
      <c r="V137" s="695"/>
      <c r="W137" s="695"/>
      <c r="X137" s="695"/>
      <c r="Y137" s="695"/>
      <c r="Z137" s="695"/>
      <c r="AA137" s="695"/>
      <c r="AB137" s="695"/>
      <c r="AC137" s="695"/>
      <c r="AD137" s="695"/>
      <c r="AE137" s="695"/>
      <c r="AF137" s="695"/>
      <c r="AG137" s="695"/>
      <c r="AH137" s="695"/>
      <c r="AI137" s="695"/>
      <c r="AJ137" s="695"/>
      <c r="AK137" s="695"/>
      <c r="AL137" s="695"/>
      <c r="AM137" s="696"/>
      <c r="AO137" s="239"/>
      <c r="AP137" s="239"/>
      <c r="AQ137" s="239"/>
      <c r="AR137" s="239"/>
      <c r="AS137" s="239"/>
      <c r="AT137" s="239"/>
      <c r="AU137" s="239"/>
      <c r="AV137" s="575"/>
      <c r="AW137" s="577"/>
      <c r="AX137" s="611"/>
      <c r="AY137" s="575"/>
      <c r="AZ137" s="581"/>
      <c r="BA137" s="577"/>
      <c r="BB137" s="583"/>
      <c r="BC137" s="239"/>
      <c r="BD137" s="239"/>
    </row>
    <row r="138" spans="1:56" s="81" customFormat="1" ht="5.25" customHeight="1" x14ac:dyDescent="0.35">
      <c r="A138" s="435"/>
      <c r="B138" s="95"/>
      <c r="C138" s="96"/>
      <c r="D138" s="95"/>
      <c r="E138" s="95"/>
      <c r="F138" s="95"/>
      <c r="G138" s="95"/>
      <c r="H138" s="95"/>
      <c r="I138" s="95"/>
      <c r="J138" s="95"/>
      <c r="K138" s="95"/>
      <c r="L138" s="95"/>
      <c r="M138" s="95"/>
      <c r="N138" s="95"/>
      <c r="O138" s="95"/>
      <c r="P138" s="95"/>
      <c r="Q138" s="95"/>
      <c r="R138" s="95"/>
      <c r="S138" s="95"/>
      <c r="T138" s="95"/>
      <c r="U138" s="95"/>
      <c r="V138" s="95"/>
      <c r="W138" s="95"/>
      <c r="X138" s="95"/>
      <c r="Y138" s="95"/>
      <c r="Z138" s="95"/>
      <c r="AA138" s="95"/>
      <c r="AB138" s="95"/>
      <c r="AC138" s="95"/>
      <c r="AD138" s="95"/>
      <c r="AE138" s="95"/>
      <c r="AF138" s="95"/>
      <c r="AG138" s="95"/>
      <c r="AH138" s="95"/>
      <c r="AI138" s="95"/>
      <c r="AJ138" s="95"/>
      <c r="AK138" s="95"/>
      <c r="AL138" s="95"/>
      <c r="AM138" s="95"/>
      <c r="AO138" s="15"/>
      <c r="AP138" s="15"/>
      <c r="AQ138" s="15"/>
      <c r="AR138" s="15"/>
      <c r="AS138" s="15"/>
      <c r="AT138" s="15"/>
      <c r="AU138" s="15"/>
      <c r="AV138" s="608"/>
      <c r="AW138" s="59"/>
      <c r="AX138" s="611"/>
      <c r="AY138" s="80"/>
      <c r="AZ138" s="578"/>
      <c r="BA138" s="574"/>
      <c r="BB138" s="579"/>
      <c r="BC138" s="15"/>
      <c r="BD138" s="15"/>
    </row>
    <row r="139" spans="1:56" ht="20.25" customHeight="1" x14ac:dyDescent="0.35">
      <c r="G139" s="54"/>
      <c r="AZ139" s="578"/>
    </row>
    <row r="140" spans="1:56" ht="20.25" customHeight="1" x14ac:dyDescent="0.35">
      <c r="B140" s="725" t="s">
        <v>485</v>
      </c>
      <c r="C140" s="725"/>
      <c r="D140" s="725"/>
      <c r="E140" s="725"/>
      <c r="F140" s="725"/>
      <c r="G140" s="725"/>
      <c r="H140" s="725"/>
      <c r="I140" s="725"/>
      <c r="J140" s="725"/>
    </row>
    <row r="141" spans="1:56" ht="37.5" x14ac:dyDescent="0.35">
      <c r="B141" s="721" t="s">
        <v>0</v>
      </c>
      <c r="C141" s="722"/>
      <c r="D141" s="722"/>
      <c r="E141" s="723"/>
      <c r="F141" s="584" t="s">
        <v>203</v>
      </c>
      <c r="G141" s="584" t="s">
        <v>204</v>
      </c>
      <c r="H141" s="584"/>
      <c r="I141" s="584" t="s">
        <v>205</v>
      </c>
      <c r="J141" s="584" t="s">
        <v>206</v>
      </c>
    </row>
    <row r="142" spans="1:56" ht="20.25" customHeight="1" x14ac:dyDescent="0.35">
      <c r="B142" s="717" t="str">
        <f>C17</f>
        <v>Enhanced CNC Airwave System (Encrypted Comms)</v>
      </c>
      <c r="C142" s="717"/>
      <c r="D142" s="717"/>
      <c r="E142" s="717"/>
      <c r="F142" s="585">
        <f>Y17</f>
        <v>0</v>
      </c>
      <c r="G142" s="585">
        <f>AC17</f>
        <v>0</v>
      </c>
      <c r="H142" s="586"/>
      <c r="I142" s="585">
        <f>AZ17</f>
        <v>0</v>
      </c>
      <c r="J142" s="586">
        <f>BB17</f>
        <v>0</v>
      </c>
    </row>
    <row r="143" spans="1:56" ht="20.25" customHeight="1" x14ac:dyDescent="0.35">
      <c r="B143" s="717" t="str">
        <f>C29</f>
        <v>Security Systems Architecture Upgrade (SSAU)</v>
      </c>
      <c r="C143" s="717"/>
      <c r="D143" s="717"/>
      <c r="E143" s="717"/>
      <c r="F143" s="585">
        <f>Y29</f>
        <v>0</v>
      </c>
      <c r="G143" s="585">
        <f>AC29</f>
        <v>0</v>
      </c>
      <c r="H143" s="586"/>
      <c r="I143" s="585">
        <f>AZ29</f>
        <v>0</v>
      </c>
      <c r="J143" s="586">
        <f>BB29</f>
        <v>0</v>
      </c>
    </row>
    <row r="144" spans="1:56" ht="20.25" customHeight="1" x14ac:dyDescent="0.35">
      <c r="B144" s="717" t="str">
        <f>C20</f>
        <v>Box Encapsulation Plant</v>
      </c>
      <c r="C144" s="717"/>
      <c r="D144" s="717"/>
      <c r="E144" s="717"/>
      <c r="F144" s="585">
        <f>Y20</f>
        <v>0</v>
      </c>
      <c r="G144" s="585">
        <f>AC20</f>
        <v>20</v>
      </c>
      <c r="H144" s="586"/>
      <c r="I144" s="585">
        <f>AZ20</f>
        <v>0</v>
      </c>
      <c r="J144" s="586">
        <f>BB20</f>
        <v>0</v>
      </c>
    </row>
    <row r="145" spans="2:10" ht="20.25" customHeight="1" x14ac:dyDescent="0.35">
      <c r="B145" s="717" t="str">
        <f>C23</f>
        <v>Sellafield Product &amp; Residue Store Retreatment Plant</v>
      </c>
      <c r="C145" s="717"/>
      <c r="D145" s="717"/>
      <c r="E145" s="717"/>
      <c r="F145" s="585">
        <f>Y23</f>
        <v>0</v>
      </c>
      <c r="G145" s="585">
        <f>AC23</f>
        <v>0</v>
      </c>
      <c r="H145" s="586"/>
      <c r="I145" s="585">
        <f>AZ23</f>
        <v>-1.0000001111620804E-6</v>
      </c>
      <c r="J145" s="586">
        <f>BB23</f>
        <v>0</v>
      </c>
    </row>
    <row r="146" spans="2:10" ht="20.25" customHeight="1" x14ac:dyDescent="0.35">
      <c r="B146" s="717" t="str">
        <f>C32</f>
        <v>CNC Operational Unit</v>
      </c>
      <c r="C146" s="717"/>
      <c r="D146" s="717"/>
      <c r="E146" s="717"/>
      <c r="F146" s="585">
        <f>Y32</f>
        <v>0.6</v>
      </c>
      <c r="G146" s="585">
        <f>AC32</f>
        <v>99</v>
      </c>
      <c r="H146" s="586"/>
      <c r="I146" s="585">
        <f>AZ32</f>
        <v>0</v>
      </c>
      <c r="J146" s="586">
        <f>BB32</f>
        <v>0</v>
      </c>
    </row>
    <row r="147" spans="2:10" ht="20.25" customHeight="1" x14ac:dyDescent="0.35">
      <c r="B147" s="717" t="str">
        <f>C26</f>
        <v>BEPPS2</v>
      </c>
      <c r="C147" s="717"/>
      <c r="D147" s="717"/>
      <c r="E147" s="717"/>
      <c r="F147" s="585">
        <f>Y26</f>
        <v>-3.1</v>
      </c>
      <c r="G147" s="585">
        <f>AC26</f>
        <v>0</v>
      </c>
      <c r="H147" s="586"/>
      <c r="I147" s="585">
        <f>AZ26</f>
        <v>0</v>
      </c>
      <c r="J147" s="586">
        <f>BB26</f>
        <v>0</v>
      </c>
    </row>
    <row r="148" spans="2:10" ht="20.25" customHeight="1" x14ac:dyDescent="0.35">
      <c r="B148" s="717" t="str">
        <f>C35</f>
        <v>SIXEP Continuity Plant</v>
      </c>
      <c r="C148" s="717"/>
      <c r="D148" s="717"/>
      <c r="E148" s="717"/>
      <c r="F148" s="585">
        <f>Y35</f>
        <v>0.8</v>
      </c>
      <c r="G148" s="585">
        <f>AC35</f>
        <v>0</v>
      </c>
      <c r="H148" s="586"/>
      <c r="I148" s="585">
        <f>AZ35</f>
        <v>28.775834999999915</v>
      </c>
      <c r="J148" s="586">
        <f>BB35</f>
        <v>0</v>
      </c>
    </row>
    <row r="149" spans="2:10" ht="20.25" customHeight="1" x14ac:dyDescent="0.35">
      <c r="B149" s="717" t="str">
        <f>C38</f>
        <v>ILW East Land Excavation</v>
      </c>
      <c r="C149" s="717"/>
      <c r="D149" s="717"/>
      <c r="E149" s="717"/>
      <c r="F149" s="585">
        <f>Y38</f>
        <v>0.4</v>
      </c>
      <c r="G149" s="585">
        <f>AC38</f>
        <v>0</v>
      </c>
      <c r="H149" s="586"/>
      <c r="I149" s="585">
        <f>AZ38</f>
        <v>0</v>
      </c>
      <c r="J149" s="586">
        <f>BB38</f>
        <v>0</v>
      </c>
    </row>
    <row r="150" spans="2:10" ht="20.25" customHeight="1" x14ac:dyDescent="0.35">
      <c r="B150" s="717" t="str">
        <f>C41</f>
        <v>Lightly Shielded Store (LSS)</v>
      </c>
      <c r="C150" s="717"/>
      <c r="D150" s="717"/>
      <c r="E150" s="717"/>
      <c r="F150" s="585">
        <f>Y41</f>
        <v>-3.2267E-4</v>
      </c>
      <c r="G150" s="585">
        <f>AC41</f>
        <v>0</v>
      </c>
      <c r="H150" s="586"/>
      <c r="I150" s="585">
        <f>AZ41</f>
        <v>0</v>
      </c>
      <c r="J150" s="586">
        <f>BB41</f>
        <v>0</v>
      </c>
    </row>
    <row r="151" spans="2:10" ht="20.25" customHeight="1" x14ac:dyDescent="0.35">
      <c r="B151" s="717" t="str">
        <f>C47</f>
        <v>SIXEP Receipt Facility</v>
      </c>
      <c r="C151" s="717"/>
      <c r="D151" s="717"/>
      <c r="E151" s="717"/>
      <c r="F151" s="585">
        <f>Y47</f>
        <v>3.0839999999999996E-4</v>
      </c>
      <c r="G151" s="585">
        <f>AC47</f>
        <v>0</v>
      </c>
      <c r="H151" s="586"/>
      <c r="I151" s="585">
        <f>AZ47</f>
        <v>0</v>
      </c>
      <c r="J151" s="586">
        <f>BB47</f>
        <v>0</v>
      </c>
    </row>
    <row r="152" spans="2:10" ht="20.25" customHeight="1" x14ac:dyDescent="0.35">
      <c r="B152" s="717" t="str">
        <f>C54</f>
        <v>THORP Receipt &amp; Storage Control Systems Replacement</v>
      </c>
      <c r="C152" s="717"/>
      <c r="D152" s="717"/>
      <c r="E152" s="717"/>
      <c r="F152" s="585">
        <f>Y54</f>
        <v>-10.253977000000001</v>
      </c>
      <c r="G152" s="585">
        <f>AC54</f>
        <v>751</v>
      </c>
      <c r="H152" s="586"/>
      <c r="I152" s="585">
        <f>AZ54</f>
        <v>0</v>
      </c>
      <c r="J152" s="586">
        <f>BB54</f>
        <v>0</v>
      </c>
    </row>
    <row r="153" spans="2:10" ht="20.25" customHeight="1" x14ac:dyDescent="0.35">
      <c r="B153" s="717" t="str">
        <f>C66</f>
        <v>PMF North Transfers Project</v>
      </c>
      <c r="C153" s="717"/>
      <c r="D153" s="717"/>
      <c r="E153" s="717"/>
      <c r="F153" s="585">
        <f>Y66</f>
        <v>0</v>
      </c>
      <c r="G153" s="585">
        <f>AC66</f>
        <v>0</v>
      </c>
      <c r="H153" s="586"/>
      <c r="I153" s="585">
        <f>AZ66</f>
        <v>0</v>
      </c>
      <c r="J153" s="586">
        <f>BB66</f>
        <v>0</v>
      </c>
    </row>
    <row r="154" spans="2:10" ht="20.25" customHeight="1" x14ac:dyDescent="0.35">
      <c r="B154" s="717" t="str">
        <f>C57</f>
        <v>Electrical Supply - New Construction</v>
      </c>
      <c r="C154" s="717"/>
      <c r="D154" s="717"/>
      <c r="E154" s="717"/>
      <c r="F154" s="585">
        <f>Y57</f>
        <v>0</v>
      </c>
      <c r="G154" s="585">
        <f>AC57</f>
        <v>0</v>
      </c>
      <c r="H154" s="586"/>
      <c r="I154" s="585">
        <f>AZ57</f>
        <v>0</v>
      </c>
      <c r="J154" s="586">
        <f>BB57</f>
        <v>0</v>
      </c>
    </row>
    <row r="155" spans="2:10" ht="20.25" customHeight="1" x14ac:dyDescent="0.35">
      <c r="B155" s="717" t="str">
        <f>C69</f>
        <v>FHP &amp; SIXEP Roof Replacement</v>
      </c>
      <c r="C155" s="717"/>
      <c r="D155" s="717"/>
      <c r="E155" s="717"/>
      <c r="F155" s="585">
        <f>Y69</f>
        <v>-7.62439E-3</v>
      </c>
      <c r="G155" s="585">
        <f>AC69</f>
        <v>0</v>
      </c>
      <c r="H155" s="586"/>
      <c r="I155" s="585">
        <f>AZ69</f>
        <v>0</v>
      </c>
      <c r="J155" s="586">
        <f>BB69</f>
        <v>0</v>
      </c>
    </row>
    <row r="156" spans="2:10" ht="20.25" customHeight="1" x14ac:dyDescent="0.35">
      <c r="B156" s="717" t="str">
        <f>C72</f>
        <v>EMRMS (Emergency Management Radiological Monitoring System)</v>
      </c>
      <c r="C156" s="717"/>
      <c r="D156" s="717"/>
      <c r="E156" s="717"/>
      <c r="F156" s="585">
        <f>Y72</f>
        <v>-0.19970976000000001</v>
      </c>
      <c r="G156" s="585">
        <f>AC72</f>
        <v>0</v>
      </c>
      <c r="H156" s="586"/>
      <c r="I156" s="585">
        <f>AZ72</f>
        <v>0</v>
      </c>
      <c r="J156" s="586">
        <f>BB72</f>
        <v>0</v>
      </c>
    </row>
    <row r="157" spans="2:10" ht="20.25" customHeight="1" x14ac:dyDescent="0.35">
      <c r="B157" s="717" t="str">
        <f>C60</f>
        <v>TR&amp;S Replacement Cooling System</v>
      </c>
      <c r="C157" s="717"/>
      <c r="D157" s="717"/>
      <c r="E157" s="717"/>
      <c r="F157" s="585">
        <f>Y60</f>
        <v>-2.3E-5</v>
      </c>
      <c r="G157" s="585">
        <f>AC60</f>
        <v>0</v>
      </c>
      <c r="H157" s="586"/>
      <c r="I157" s="585">
        <f>AZ60</f>
        <v>0</v>
      </c>
      <c r="J157" s="586">
        <f>BB60</f>
        <v>0</v>
      </c>
    </row>
    <row r="158" spans="2:10" ht="20.25" customHeight="1" x14ac:dyDescent="0.35">
      <c r="B158" s="717" t="str">
        <f>C63</f>
        <v>FGFL Ventilation Extract System Upgrade</v>
      </c>
      <c r="C158" s="717"/>
      <c r="D158" s="717"/>
      <c r="E158" s="717"/>
      <c r="F158" s="585">
        <f>Y63</f>
        <v>7.5577787599999997</v>
      </c>
      <c r="G158" s="585">
        <f>AC63</f>
        <v>-79</v>
      </c>
      <c r="H158" s="586"/>
      <c r="I158" s="585">
        <f>AZ63</f>
        <v>26.661349999999999</v>
      </c>
      <c r="J158" s="586">
        <f>BB63</f>
        <v>222</v>
      </c>
    </row>
    <row r="159" spans="2:10" ht="20.25" customHeight="1" x14ac:dyDescent="0.35">
      <c r="B159" s="714" t="str">
        <f>C75</f>
        <v>Product Zone Power Supply</v>
      </c>
      <c r="C159" s="715"/>
      <c r="D159" s="715"/>
      <c r="E159" s="716"/>
      <c r="F159" s="585">
        <f>Y75</f>
        <v>-14.03369206</v>
      </c>
      <c r="G159" s="585">
        <f>AC75</f>
        <v>125</v>
      </c>
      <c r="H159" s="587"/>
      <c r="I159" s="585">
        <f>AZ75</f>
        <v>-15.091818000000004</v>
      </c>
      <c r="J159" s="586">
        <f>BB75</f>
        <v>1</v>
      </c>
    </row>
    <row r="160" spans="2:10" ht="20.25" customHeight="1" x14ac:dyDescent="0.35">
      <c r="B160" s="714" t="str">
        <f>C78</f>
        <v>Substation 10 Replacement</v>
      </c>
      <c r="C160" s="715"/>
      <c r="D160" s="715"/>
      <c r="E160" s="716"/>
      <c r="F160" s="585">
        <f>Y78</f>
        <v>1.2505699999999999E-3</v>
      </c>
      <c r="G160" s="585">
        <f>AC78</f>
        <v>0</v>
      </c>
      <c r="H160" s="587"/>
      <c r="I160" s="585">
        <f>AZ78</f>
        <v>0</v>
      </c>
      <c r="J160" s="586">
        <f>BB78</f>
        <v>0</v>
      </c>
    </row>
    <row r="161" spans="1:54" ht="20.25" customHeight="1" x14ac:dyDescent="0.35">
      <c r="B161" s="714" t="str">
        <f>C81</f>
        <v>Substation 15 Replacement</v>
      </c>
      <c r="C161" s="715"/>
      <c r="D161" s="715"/>
      <c r="E161" s="716"/>
      <c r="F161" s="585">
        <f>Y81</f>
        <v>2.4626799999999996E-3</v>
      </c>
      <c r="G161" s="585">
        <f>AC81</f>
        <v>0</v>
      </c>
      <c r="H161" s="587"/>
      <c r="I161" s="585">
        <f>AZ81</f>
        <v>0</v>
      </c>
      <c r="J161" s="586">
        <f>BB81</f>
        <v>0</v>
      </c>
    </row>
    <row r="162" spans="1:54" ht="20.25" customHeight="1" x14ac:dyDescent="0.35">
      <c r="B162" s="714" t="str">
        <f>C87</f>
        <v>Degradation of Pipebridge 57 (PB57) L14, L15, L16 Refurbishment</v>
      </c>
      <c r="C162" s="715"/>
      <c r="D162" s="715"/>
      <c r="E162" s="716"/>
      <c r="F162" s="585">
        <f>Y87</f>
        <v>3.1763000000000001E-4</v>
      </c>
      <c r="G162" s="585">
        <f>AC87</f>
        <v>0</v>
      </c>
      <c r="H162" s="587"/>
      <c r="I162" s="585">
        <f>AZ87</f>
        <v>0</v>
      </c>
      <c r="J162" s="586">
        <f>BB87</f>
        <v>0</v>
      </c>
    </row>
    <row r="163" spans="1:54" s="475" customFormat="1" ht="20.25" customHeight="1" x14ac:dyDescent="0.35">
      <c r="A163" s="269"/>
      <c r="B163" s="714" t="str">
        <f>C84</f>
        <v>FGOFSP Effluent Route Project</v>
      </c>
      <c r="C163" s="715"/>
      <c r="D163" s="715"/>
      <c r="E163" s="716"/>
      <c r="F163" s="585">
        <f>Y84</f>
        <v>5.331346E-2</v>
      </c>
      <c r="G163" s="585">
        <f>AC84</f>
        <v>0</v>
      </c>
      <c r="H163" s="587"/>
      <c r="I163" s="585">
        <f>AZ84</f>
        <v>0</v>
      </c>
      <c r="J163" s="586">
        <f>BB84</f>
        <v>0</v>
      </c>
      <c r="AE163" s="623"/>
      <c r="AF163" s="623"/>
      <c r="AG163" s="623"/>
      <c r="AH163" s="623"/>
      <c r="AI163" s="623"/>
      <c r="AJ163" s="623"/>
      <c r="AK163" s="623"/>
      <c r="AL163" s="623"/>
      <c r="AV163" s="623"/>
      <c r="AW163" s="623"/>
      <c r="AX163" s="186"/>
      <c r="AY163" s="80"/>
      <c r="AZ163" s="186"/>
      <c r="BA163" s="80"/>
      <c r="BB163" s="186"/>
    </row>
    <row r="164" spans="1:54" ht="20.25" customHeight="1" x14ac:dyDescent="0.35">
      <c r="B164" s="714" t="str">
        <f>C108</f>
        <v>Box Encapsulation Plant Product Store Direct Import Facility</v>
      </c>
      <c r="C164" s="715"/>
      <c r="D164" s="715"/>
      <c r="E164" s="716"/>
      <c r="F164" s="585">
        <f>Y108</f>
        <v>0</v>
      </c>
      <c r="G164" s="585">
        <f>AC108</f>
        <v>0</v>
      </c>
      <c r="H164" s="587"/>
      <c r="I164" s="585">
        <f>AZ108</f>
        <v>0</v>
      </c>
      <c r="J164" s="586">
        <f>BB108</f>
        <v>0</v>
      </c>
    </row>
    <row r="165" spans="1:54" ht="20.25" customHeight="1" x14ac:dyDescent="0.35">
      <c r="B165" s="714" t="str">
        <f>C105</f>
        <v>Sludge Handling &amp; Export Plant</v>
      </c>
      <c r="C165" s="715"/>
      <c r="D165" s="715"/>
      <c r="E165" s="716"/>
      <c r="F165" s="585">
        <f>Y105</f>
        <v>-2.869646E-2</v>
      </c>
      <c r="G165" s="585">
        <f>AC105</f>
        <v>0</v>
      </c>
      <c r="H165" s="587"/>
      <c r="I165" s="585">
        <f>AZ105</f>
        <v>0</v>
      </c>
      <c r="J165" s="586">
        <f>BB105</f>
        <v>0</v>
      </c>
    </row>
    <row r="166" spans="1:54" ht="20.25" customHeight="1" x14ac:dyDescent="0.35">
      <c r="B166" s="714" t="str">
        <f>C102</f>
        <v>SEP Solid Waste Storage Retrievals</v>
      </c>
      <c r="C166" s="715"/>
      <c r="D166" s="715"/>
      <c r="E166" s="716"/>
      <c r="F166" s="585">
        <f>Y102</f>
        <v>1.8</v>
      </c>
      <c r="G166" s="585">
        <f>AC102</f>
        <v>99</v>
      </c>
      <c r="H166" s="587"/>
      <c r="I166" s="585">
        <f>AZ102</f>
        <v>0</v>
      </c>
      <c r="J166" s="586">
        <f>BB102</f>
        <v>0</v>
      </c>
    </row>
    <row r="167" spans="1:54" ht="20.25" customHeight="1" x14ac:dyDescent="0.35">
      <c r="B167" s="714" t="str">
        <f>C111</f>
        <v>MSSS Upgrades for Retrievals &amp; Resilience</v>
      </c>
      <c r="C167" s="715"/>
      <c r="D167" s="715"/>
      <c r="E167" s="716"/>
      <c r="F167" s="585">
        <f>Y111</f>
        <v>6.549431E-2</v>
      </c>
      <c r="G167" s="585">
        <f>AC111</f>
        <v>0</v>
      </c>
      <c r="H167" s="587"/>
      <c r="I167" s="585">
        <f>AZ111</f>
        <v>0</v>
      </c>
      <c r="J167" s="586">
        <f>BB111</f>
        <v>0</v>
      </c>
    </row>
    <row r="168" spans="1:54" ht="20.25" customHeight="1" x14ac:dyDescent="0.35">
      <c r="B168" s="714" t="str">
        <f>C96</f>
        <v>MSSS SEP3 Rails &amp; Brackets</v>
      </c>
      <c r="C168" s="715"/>
      <c r="D168" s="715"/>
      <c r="E168" s="716"/>
      <c r="F168" s="585">
        <f>Y96</f>
        <v>-5.5281400000000001E-2</v>
      </c>
      <c r="G168" s="585">
        <f>AC96</f>
        <v>0</v>
      </c>
      <c r="H168" s="587"/>
      <c r="I168" s="585">
        <f>AZ96</f>
        <v>0</v>
      </c>
      <c r="J168" s="586">
        <f>BB96</f>
        <v>0</v>
      </c>
    </row>
    <row r="169" spans="1:54" ht="20.25" customHeight="1" x14ac:dyDescent="0.35">
      <c r="B169" s="714" t="str">
        <f>C93</f>
        <v>MSSS 2nd and 3rd Extension Sub-Programme</v>
      </c>
      <c r="C169" s="715"/>
      <c r="D169" s="715"/>
      <c r="E169" s="716"/>
      <c r="F169" s="585">
        <f>Y93</f>
        <v>0</v>
      </c>
      <c r="G169" s="585">
        <f>AC93</f>
        <v>0</v>
      </c>
      <c r="H169" s="587"/>
      <c r="I169" s="585">
        <f>AZ93</f>
        <v>0</v>
      </c>
      <c r="J169" s="586">
        <f>BB93</f>
        <v>0</v>
      </c>
    </row>
    <row r="170" spans="1:54" s="475" customFormat="1" ht="20.25" customHeight="1" x14ac:dyDescent="0.35">
      <c r="A170" s="269"/>
      <c r="B170" s="714" t="str">
        <f>C115</f>
        <v>Effluent Distribution Asset Improvement</v>
      </c>
      <c r="C170" s="715"/>
      <c r="D170" s="715"/>
      <c r="E170" s="716"/>
      <c r="F170" s="585">
        <f>Y115</f>
        <v>4.2236669999999997E-2</v>
      </c>
      <c r="G170" s="585">
        <f>AC115</f>
        <v>17</v>
      </c>
      <c r="H170" s="587"/>
      <c r="I170" s="585">
        <f>AZ115</f>
        <v>0</v>
      </c>
      <c r="J170" s="586">
        <f>BB115</f>
        <v>0</v>
      </c>
      <c r="AE170" s="623"/>
      <c r="AF170" s="623"/>
      <c r="AG170" s="623"/>
      <c r="AH170" s="623"/>
      <c r="AI170" s="623"/>
      <c r="AJ170" s="623"/>
      <c r="AK170" s="623"/>
      <c r="AL170" s="623"/>
      <c r="AV170" s="623"/>
      <c r="AW170" s="623"/>
      <c r="AX170" s="186"/>
      <c r="AY170" s="80"/>
      <c r="AZ170" s="186"/>
      <c r="BA170" s="80"/>
      <c r="BB170" s="186"/>
    </row>
    <row r="171" spans="1:54" ht="20.25" customHeight="1" x14ac:dyDescent="0.35">
      <c r="B171" s="714" t="str">
        <f>C99</f>
        <v>MSSS Electrical Distribution Upgrade for Retrievals</v>
      </c>
      <c r="C171" s="715"/>
      <c r="D171" s="715"/>
      <c r="E171" s="716"/>
      <c r="F171" s="585">
        <f>Y99</f>
        <v>1.471561E-2</v>
      </c>
      <c r="G171" s="585">
        <f>AC99</f>
        <v>-5</v>
      </c>
      <c r="H171" s="587"/>
      <c r="I171" s="585">
        <f>AZ99</f>
        <v>0</v>
      </c>
      <c r="J171" s="586">
        <f>BB99</f>
        <v>0</v>
      </c>
    </row>
    <row r="172" spans="1:54" ht="20.25" customHeight="1" x14ac:dyDescent="0.35">
      <c r="B172" s="714" t="str">
        <f>C122</f>
        <v>Calder Land Clearance</v>
      </c>
      <c r="C172" s="715"/>
      <c r="D172" s="715"/>
      <c r="E172" s="716"/>
      <c r="F172" s="585">
        <f>Y122</f>
        <v>2.950003E-2</v>
      </c>
      <c r="G172" s="585">
        <f>AC122</f>
        <v>0</v>
      </c>
      <c r="H172" s="587"/>
      <c r="I172" s="585">
        <f>AZ122</f>
        <v>0</v>
      </c>
      <c r="J172" s="586">
        <f>BB122</f>
        <v>0</v>
      </c>
    </row>
    <row r="173" spans="1:54" ht="20.25" customHeight="1" x14ac:dyDescent="0.35">
      <c r="B173" s="714" t="str">
        <f>C125</f>
        <v>LAETP Floc Retrieval</v>
      </c>
      <c r="C173" s="715"/>
      <c r="D173" s="715"/>
      <c r="E173" s="716"/>
      <c r="F173" s="585">
        <f>Y125</f>
        <v>0.1</v>
      </c>
      <c r="G173" s="585">
        <f>AC125</f>
        <v>0</v>
      </c>
      <c r="H173" s="587"/>
      <c r="I173" s="585">
        <f>AZ125</f>
        <v>0</v>
      </c>
      <c r="J173" s="586">
        <f>BB125</f>
        <v>0</v>
      </c>
    </row>
    <row r="174" spans="1:54" ht="20.25" customHeight="1" x14ac:dyDescent="0.35">
      <c r="B174" s="714" t="str">
        <f>C128</f>
        <v>Chimney Decommissioning Phase 2F</v>
      </c>
      <c r="C174" s="715"/>
      <c r="D174" s="715"/>
      <c r="E174" s="716"/>
      <c r="F174" s="585">
        <f>Y128</f>
        <v>-10.1</v>
      </c>
      <c r="G174" s="585">
        <f>AC128</f>
        <v>0</v>
      </c>
      <c r="H174" s="587"/>
      <c r="I174" s="585">
        <f>AZ128</f>
        <v>0</v>
      </c>
      <c r="J174" s="586">
        <f>BB128</f>
        <v>0</v>
      </c>
    </row>
    <row r="175" spans="1:54" ht="20.25" customHeight="1" x14ac:dyDescent="0.35">
      <c r="B175" s="714" t="str">
        <f>C131</f>
        <v>Heat Exchanger Deplanting - Main Project</v>
      </c>
      <c r="C175" s="715"/>
      <c r="D175" s="715"/>
      <c r="E175" s="716"/>
      <c r="F175" s="585">
        <f>Y131</f>
        <v>0</v>
      </c>
      <c r="G175" s="585">
        <f>AC131</f>
        <v>0</v>
      </c>
      <c r="H175" s="587"/>
      <c r="I175" s="585">
        <f>AZ131</f>
        <v>2.2142999999999802E-2</v>
      </c>
      <c r="J175" s="586">
        <f>BB131</f>
        <v>0</v>
      </c>
    </row>
    <row r="176" spans="1:54" ht="20.25" customHeight="1" x14ac:dyDescent="0.35">
      <c r="B176" s="714" t="str">
        <f>C136</f>
        <v>Data Centre Replacement Project</v>
      </c>
      <c r="C176" s="715"/>
      <c r="D176" s="715"/>
      <c r="E176" s="716"/>
      <c r="F176" s="585">
        <f>Y136</f>
        <v>7.6810300000000001E-3</v>
      </c>
      <c r="G176" s="585">
        <f>AC136</f>
        <v>0</v>
      </c>
      <c r="H176" s="587"/>
      <c r="I176" s="585">
        <f>AZ136</f>
        <v>0</v>
      </c>
      <c r="J176" s="586">
        <f>BB136</f>
        <v>0</v>
      </c>
    </row>
    <row r="177" spans="2:13" ht="20.25" customHeight="1" x14ac:dyDescent="0.35">
      <c r="B177" s="724" t="str">
        <f>C11</f>
        <v>Sellafield Security Enhancement Programme (SSEP)</v>
      </c>
      <c r="C177" s="724"/>
      <c r="D177" s="724"/>
      <c r="E177" s="724"/>
      <c r="F177" s="604">
        <f>Y11</f>
        <v>0.6</v>
      </c>
      <c r="G177" s="603">
        <f>AC11</f>
        <v>0</v>
      </c>
      <c r="H177" s="601"/>
      <c r="I177" s="602">
        <f>AZ11</f>
        <v>0</v>
      </c>
      <c r="J177" s="603">
        <f>BB11</f>
        <v>0</v>
      </c>
      <c r="K177" s="81"/>
      <c r="L177" s="81"/>
      <c r="M177" s="81"/>
    </row>
    <row r="178" spans="2:13" x14ac:dyDescent="0.35">
      <c r="G178" s="54"/>
    </row>
    <row r="179" spans="2:13" x14ac:dyDescent="0.35">
      <c r="G179" s="54"/>
    </row>
    <row r="180" spans="2:13" x14ac:dyDescent="0.35">
      <c r="G180" s="54"/>
    </row>
    <row r="181" spans="2:13" x14ac:dyDescent="0.35">
      <c r="G181" s="54"/>
    </row>
    <row r="182" spans="2:13" x14ac:dyDescent="0.35">
      <c r="G182" s="54"/>
    </row>
    <row r="183" spans="2:13" x14ac:dyDescent="0.35">
      <c r="G183" s="54"/>
    </row>
    <row r="184" spans="2:13" x14ac:dyDescent="0.35">
      <c r="G184" s="54"/>
    </row>
    <row r="185" spans="2:13" x14ac:dyDescent="0.35">
      <c r="G185" s="54"/>
    </row>
    <row r="186" spans="2:13" x14ac:dyDescent="0.35">
      <c r="G186" s="54"/>
    </row>
    <row r="187" spans="2:13" x14ac:dyDescent="0.35">
      <c r="G187" s="54"/>
    </row>
    <row r="188" spans="2:13" x14ac:dyDescent="0.35">
      <c r="G188" s="54"/>
    </row>
    <row r="189" spans="2:13" x14ac:dyDescent="0.35">
      <c r="G189" s="54"/>
    </row>
    <row r="190" spans="2:13" x14ac:dyDescent="0.35">
      <c r="G190" s="54"/>
    </row>
    <row r="191" spans="2:13" x14ac:dyDescent="0.35">
      <c r="G191" s="54"/>
    </row>
    <row r="192" spans="2:13" x14ac:dyDescent="0.35">
      <c r="G192" s="54"/>
    </row>
    <row r="193" spans="7:7" x14ac:dyDescent="0.35">
      <c r="G193" s="54"/>
    </row>
    <row r="194" spans="7:7" x14ac:dyDescent="0.35">
      <c r="G194" s="54"/>
    </row>
    <row r="195" spans="7:7" x14ac:dyDescent="0.35">
      <c r="G195" s="54"/>
    </row>
    <row r="196" spans="7:7" x14ac:dyDescent="0.35">
      <c r="G196" s="54"/>
    </row>
    <row r="197" spans="7:7" x14ac:dyDescent="0.35">
      <c r="G197" s="54"/>
    </row>
    <row r="198" spans="7:7" x14ac:dyDescent="0.35">
      <c r="G198" s="54"/>
    </row>
    <row r="199" spans="7:7" x14ac:dyDescent="0.35">
      <c r="G199" s="54"/>
    </row>
    <row r="200" spans="7:7" x14ac:dyDescent="0.35">
      <c r="G200" s="54"/>
    </row>
    <row r="201" spans="7:7" x14ac:dyDescent="0.35">
      <c r="G201" s="54"/>
    </row>
    <row r="202" spans="7:7" x14ac:dyDescent="0.35">
      <c r="G202" s="54"/>
    </row>
    <row r="203" spans="7:7" x14ac:dyDescent="0.35">
      <c r="G203" s="54"/>
    </row>
    <row r="204" spans="7:7" x14ac:dyDescent="0.35">
      <c r="G204" s="54"/>
    </row>
    <row r="205" spans="7:7" x14ac:dyDescent="0.35">
      <c r="G205" s="54"/>
    </row>
    <row r="206" spans="7:7" x14ac:dyDescent="0.35">
      <c r="G206" s="54"/>
    </row>
    <row r="207" spans="7:7" x14ac:dyDescent="0.35">
      <c r="G207" s="54"/>
    </row>
    <row r="208" spans="7:7" x14ac:dyDescent="0.35">
      <c r="G208" s="54"/>
    </row>
    <row r="209" spans="7:7" x14ac:dyDescent="0.35">
      <c r="G209" s="54"/>
    </row>
    <row r="210" spans="7:7" x14ac:dyDescent="0.35">
      <c r="G210" s="54"/>
    </row>
    <row r="211" spans="7:7" x14ac:dyDescent="0.35">
      <c r="G211" s="54"/>
    </row>
    <row r="212" spans="7:7" x14ac:dyDescent="0.35">
      <c r="G212" s="54"/>
    </row>
    <row r="213" spans="7:7" x14ac:dyDescent="0.35">
      <c r="G213" s="54"/>
    </row>
    <row r="214" spans="7:7" x14ac:dyDescent="0.35">
      <c r="G214" s="54"/>
    </row>
    <row r="215" spans="7:7" x14ac:dyDescent="0.35">
      <c r="G215" s="54"/>
    </row>
    <row r="216" spans="7:7" x14ac:dyDescent="0.35">
      <c r="G216" s="54"/>
    </row>
    <row r="217" spans="7:7" x14ac:dyDescent="0.35">
      <c r="G217" s="54"/>
    </row>
    <row r="218" spans="7:7" x14ac:dyDescent="0.35">
      <c r="G218" s="54"/>
    </row>
    <row r="219" spans="7:7" x14ac:dyDescent="0.35">
      <c r="G219" s="54"/>
    </row>
    <row r="220" spans="7:7" x14ac:dyDescent="0.35">
      <c r="G220" s="54"/>
    </row>
    <row r="221" spans="7:7" x14ac:dyDescent="0.35">
      <c r="G221" s="54"/>
    </row>
    <row r="222" spans="7:7" x14ac:dyDescent="0.35">
      <c r="G222" s="54"/>
    </row>
    <row r="223" spans="7:7" x14ac:dyDescent="0.35">
      <c r="G223" s="54"/>
    </row>
    <row r="224" spans="7:7" x14ac:dyDescent="0.35">
      <c r="G224" s="54"/>
    </row>
    <row r="225" spans="7:7" x14ac:dyDescent="0.35">
      <c r="G225" s="54"/>
    </row>
    <row r="226" spans="7:7" x14ac:dyDescent="0.35">
      <c r="G226" s="54"/>
    </row>
    <row r="227" spans="7:7" x14ac:dyDescent="0.35">
      <c r="G227" s="54"/>
    </row>
    <row r="228" spans="7:7" x14ac:dyDescent="0.35">
      <c r="G228" s="54"/>
    </row>
    <row r="229" spans="7:7" x14ac:dyDescent="0.35">
      <c r="G229" s="54"/>
    </row>
    <row r="230" spans="7:7" x14ac:dyDescent="0.35">
      <c r="G230" s="54"/>
    </row>
    <row r="231" spans="7:7" x14ac:dyDescent="0.35">
      <c r="G231" s="54"/>
    </row>
    <row r="232" spans="7:7" x14ac:dyDescent="0.35">
      <c r="G232" s="54"/>
    </row>
    <row r="233" spans="7:7" x14ac:dyDescent="0.35">
      <c r="G233" s="54"/>
    </row>
    <row r="234" spans="7:7" x14ac:dyDescent="0.35">
      <c r="G234" s="54"/>
    </row>
    <row r="235" spans="7:7" x14ac:dyDescent="0.35">
      <c r="G235" s="54"/>
    </row>
    <row r="236" spans="7:7" x14ac:dyDescent="0.35">
      <c r="G236" s="54"/>
    </row>
    <row r="237" spans="7:7" x14ac:dyDescent="0.35">
      <c r="G237" s="54"/>
    </row>
    <row r="238" spans="7:7" x14ac:dyDescent="0.35">
      <c r="G238" s="54"/>
    </row>
    <row r="239" spans="7:7" x14ac:dyDescent="0.35">
      <c r="G239" s="54"/>
    </row>
    <row r="240" spans="7:7" x14ac:dyDescent="0.35">
      <c r="G240" s="54"/>
    </row>
    <row r="241" spans="7:7" x14ac:dyDescent="0.35">
      <c r="G241" s="54"/>
    </row>
    <row r="242" spans="7:7" x14ac:dyDescent="0.35">
      <c r="G242" s="54"/>
    </row>
    <row r="243" spans="7:7" x14ac:dyDescent="0.35">
      <c r="G243" s="54"/>
    </row>
    <row r="244" spans="7:7" x14ac:dyDescent="0.35">
      <c r="G244" s="54"/>
    </row>
    <row r="245" spans="7:7" x14ac:dyDescent="0.35">
      <c r="G245" s="54"/>
    </row>
    <row r="246" spans="7:7" x14ac:dyDescent="0.35">
      <c r="G246" s="54"/>
    </row>
    <row r="247" spans="7:7" x14ac:dyDescent="0.35">
      <c r="G247" s="54"/>
    </row>
    <row r="248" spans="7:7" x14ac:dyDescent="0.35">
      <c r="G248" s="54"/>
    </row>
    <row r="249" spans="7:7" x14ac:dyDescent="0.35">
      <c r="G249" s="54"/>
    </row>
    <row r="250" spans="7:7" x14ac:dyDescent="0.35">
      <c r="G250" s="54"/>
    </row>
    <row r="251" spans="7:7" x14ac:dyDescent="0.35">
      <c r="G251" s="54"/>
    </row>
    <row r="252" spans="7:7" x14ac:dyDescent="0.35">
      <c r="G252" s="54"/>
    </row>
    <row r="253" spans="7:7" x14ac:dyDescent="0.35">
      <c r="G253" s="54"/>
    </row>
    <row r="254" spans="7:7" x14ac:dyDescent="0.35">
      <c r="G254" s="54"/>
    </row>
    <row r="255" spans="7:7" x14ac:dyDescent="0.35">
      <c r="G255" s="54"/>
    </row>
    <row r="256" spans="7:7" x14ac:dyDescent="0.35">
      <c r="G256" s="54"/>
    </row>
    <row r="257" spans="7:7" x14ac:dyDescent="0.35">
      <c r="G257" s="54"/>
    </row>
    <row r="258" spans="7:7" x14ac:dyDescent="0.35">
      <c r="G258" s="54"/>
    </row>
    <row r="259" spans="7:7" x14ac:dyDescent="0.35">
      <c r="G259" s="54"/>
    </row>
    <row r="260" spans="7:7" x14ac:dyDescent="0.35">
      <c r="G260" s="54"/>
    </row>
    <row r="261" spans="7:7" x14ac:dyDescent="0.35">
      <c r="G261" s="54"/>
    </row>
    <row r="262" spans="7:7" x14ac:dyDescent="0.35">
      <c r="G262" s="54"/>
    </row>
    <row r="263" spans="7:7" x14ac:dyDescent="0.35">
      <c r="G263" s="54"/>
    </row>
    <row r="264" spans="7:7" x14ac:dyDescent="0.35">
      <c r="G264" s="54"/>
    </row>
    <row r="265" spans="7:7" x14ac:dyDescent="0.35">
      <c r="G265" s="54"/>
    </row>
    <row r="266" spans="7:7" x14ac:dyDescent="0.35">
      <c r="G266" s="54"/>
    </row>
    <row r="267" spans="7:7" x14ac:dyDescent="0.35">
      <c r="G267" s="54"/>
    </row>
    <row r="268" spans="7:7" x14ac:dyDescent="0.35">
      <c r="G268" s="54"/>
    </row>
    <row r="269" spans="7:7" x14ac:dyDescent="0.35">
      <c r="G269" s="54"/>
    </row>
    <row r="270" spans="7:7" x14ac:dyDescent="0.35">
      <c r="G270" s="54"/>
    </row>
    <row r="271" spans="7:7" x14ac:dyDescent="0.35">
      <c r="G271" s="54"/>
    </row>
    <row r="272" spans="7:7" x14ac:dyDescent="0.35">
      <c r="G272" s="54"/>
    </row>
    <row r="273" spans="7:7" x14ac:dyDescent="0.35">
      <c r="G273" s="54"/>
    </row>
    <row r="274" spans="7:7" x14ac:dyDescent="0.35">
      <c r="G274" s="54"/>
    </row>
    <row r="275" spans="7:7" x14ac:dyDescent="0.35">
      <c r="G275" s="54"/>
    </row>
    <row r="276" spans="7:7" x14ac:dyDescent="0.35">
      <c r="G276" s="54"/>
    </row>
    <row r="277" spans="7:7" x14ac:dyDescent="0.35">
      <c r="G277" s="54"/>
    </row>
    <row r="278" spans="7:7" x14ac:dyDescent="0.35">
      <c r="G278" s="54"/>
    </row>
    <row r="279" spans="7:7" x14ac:dyDescent="0.35">
      <c r="G279" s="54"/>
    </row>
    <row r="280" spans="7:7" x14ac:dyDescent="0.35">
      <c r="G280" s="54"/>
    </row>
    <row r="281" spans="7:7" x14ac:dyDescent="0.35">
      <c r="G281" s="54"/>
    </row>
    <row r="282" spans="7:7" x14ac:dyDescent="0.35">
      <c r="G282" s="54"/>
    </row>
    <row r="283" spans="7:7" x14ac:dyDescent="0.35">
      <c r="G283" s="54"/>
    </row>
    <row r="284" spans="7:7" x14ac:dyDescent="0.35">
      <c r="G284" s="54"/>
    </row>
    <row r="285" spans="7:7" x14ac:dyDescent="0.35">
      <c r="G285" s="54"/>
    </row>
    <row r="286" spans="7:7" x14ac:dyDescent="0.35">
      <c r="G286" s="54"/>
    </row>
    <row r="287" spans="7:7" x14ac:dyDescent="0.35">
      <c r="G287" s="54"/>
    </row>
    <row r="288" spans="7:7" x14ac:dyDescent="0.35">
      <c r="G288" s="54"/>
    </row>
    <row r="289" spans="7:7" x14ac:dyDescent="0.35">
      <c r="G289" s="54"/>
    </row>
    <row r="290" spans="7:7" x14ac:dyDescent="0.35">
      <c r="G290" s="54"/>
    </row>
    <row r="291" spans="7:7" x14ac:dyDescent="0.35">
      <c r="G291" s="54"/>
    </row>
    <row r="292" spans="7:7" x14ac:dyDescent="0.35">
      <c r="G292" s="54"/>
    </row>
    <row r="293" spans="7:7" x14ac:dyDescent="0.35">
      <c r="G293" s="54"/>
    </row>
    <row r="294" spans="7:7" x14ac:dyDescent="0.35">
      <c r="G294" s="54"/>
    </row>
    <row r="295" spans="7:7" x14ac:dyDescent="0.35">
      <c r="G295" s="54"/>
    </row>
    <row r="296" spans="7:7" x14ac:dyDescent="0.35">
      <c r="G296" s="54"/>
    </row>
    <row r="297" spans="7:7" x14ac:dyDescent="0.35">
      <c r="G297" s="54"/>
    </row>
  </sheetData>
  <sheetProtection algorithmName="SHA-512" hashValue="LdaHaVFmHz2SUwWYQOp9jgT+7ManqxeZxOXxHdB/IrKoE4G6LhWLhFxfjau6Anq0iTu/+THvmSnOI+vUqhoUaQ==" saltValue="l7vJQS2mLus9gBK1jqUxfQ==" spinCount="100000" sheet="1" formatCells="0"/>
  <customSheetViews>
    <customSheetView guid="{7E571F1D-D438-4605-90D6-3F831F76D652}" scale="78" showGridLines="0" fitToPage="1" printArea="1" hiddenRows="1" hiddenColumns="1" topLeftCell="A110">
      <selection activeCell="B112" sqref="B112:AM112"/>
      <rowBreaks count="4" manualBreakCount="4">
        <brk id="36" min="1" max="38" man="1"/>
        <brk id="73" min="1" max="38" man="1"/>
        <brk id="109" min="1" max="38" man="1"/>
        <brk id="129" min="1" max="38" man="1"/>
      </rowBreaks>
      <pageMargins left="0.23622047244094491" right="0.23622047244094491" top="0.35433070866141736" bottom="0.35433070866141736" header="0.31496062992125984" footer="0.31496062992125984"/>
      <pageSetup paperSize="8" scale="63" fitToHeight="0" orientation="landscape" r:id="rId1"/>
      <headerFooter>
        <oddFooter>&amp;L&amp;1#&amp;"Calibri"&amp;10&amp;K000000OFFICIAL</oddFooter>
      </headerFooter>
    </customSheetView>
    <customSheetView guid="{466708C2-41CE-4656-AB81-E1E49DF5945D}" showGridLines="0" fitToPage="1" hiddenRows="1" hiddenColumns="1" topLeftCell="B81">
      <selection activeCell="B88" sqref="B88:AM88"/>
      <rowBreaks count="4" manualBreakCount="4">
        <brk id="36" min="1" max="38" man="1"/>
        <brk id="73" min="1" max="38" man="1"/>
        <brk id="109" min="1" max="38" man="1"/>
        <brk id="129" min="1" max="38" man="1"/>
      </rowBreaks>
      <pageMargins left="0.23622047244094491" right="0.23622047244094491" top="0.35433070866141736" bottom="0.35433070866141736" header="0.31496062992125984" footer="0.31496062992125984"/>
      <pageSetup paperSize="8" scale="63" fitToHeight="0" orientation="landscape" r:id="rId2"/>
      <headerFooter>
        <oddFooter>&amp;L&amp;1#&amp;"Calibri"&amp;10&amp;K000000OFFICIAL</oddFooter>
      </headerFooter>
    </customSheetView>
    <customSheetView guid="{B84DA703-8C5B-4100-91A4-8807E303D379}" showGridLines="0" fitToPage="1" hiddenRows="1" hiddenColumns="1" topLeftCell="A109">
      <selection activeCell="B124" sqref="B124"/>
      <rowBreaks count="4" manualBreakCount="4">
        <brk id="36" min="1" max="38" man="1"/>
        <brk id="73" min="1" max="38" man="1"/>
        <brk id="103" min="1" max="38" man="1"/>
        <brk id="129" min="1" max="38" man="1"/>
      </rowBreaks>
      <pageMargins left="0.23622047244094491" right="0.23622047244094491" top="0.35433070866141736" bottom="0.35433070866141736" header="0.31496062992125984" footer="0.31496062992125984"/>
      <pageSetup paperSize="8" scale="63" fitToHeight="0" orientation="landscape" r:id="rId3"/>
      <headerFooter>
        <oddFooter>&amp;L&amp;1#&amp;"Calibri"&amp;10&amp;K000000OFFICIAL</oddFooter>
      </headerFooter>
    </customSheetView>
    <customSheetView guid="{527A2BDE-37CE-4B02-9F2C-CD7E7AC81C63}" showGridLines="0" fitToPage="1" hiddenRows="1" hiddenColumns="1" topLeftCell="A103">
      <selection activeCell="B116" sqref="B116:AM116"/>
      <rowBreaks count="4" manualBreakCount="4">
        <brk id="36" min="1" max="38" man="1"/>
        <brk id="73" min="1" max="38" man="1"/>
        <brk id="103" min="1" max="38" man="1"/>
        <brk id="129" min="1" max="38" man="1"/>
      </rowBreaks>
      <pageMargins left="0.23622047244094491" right="0.23622047244094491" top="0.35433070866141736" bottom="0.35433070866141736" header="0.31496062992125984" footer="0.31496062992125984"/>
      <pageSetup paperSize="8" scale="63" fitToHeight="0" orientation="landscape" r:id="rId4"/>
      <headerFooter>
        <oddFooter>&amp;L&amp;1#&amp;"Calibri"&amp;10&amp;K000000OFFICIAL</oddFooter>
      </headerFooter>
    </customSheetView>
    <customSheetView guid="{BDCD1595-C0B8-4F6C-B01C-3472C895B827}" showGridLines="0" fitToPage="1" hiddenRows="1" hiddenColumns="1" topLeftCell="A2">
      <pane ySplit="1" topLeftCell="A3" activePane="bottomLeft" state="frozen"/>
      <selection pane="bottomLeft" activeCell="B116" sqref="B116:AM116"/>
      <rowBreaks count="4" manualBreakCount="4">
        <brk id="36" min="1" max="38" man="1"/>
        <brk id="73" min="1" max="38" man="1"/>
        <brk id="103" min="1" max="38" man="1"/>
        <brk id="129" min="1" max="38" man="1"/>
      </rowBreaks>
      <pageMargins left="0.23622047244094491" right="0.23622047244094491" top="0.35433070866141736" bottom="0.35433070866141736" header="0.31496062992125984" footer="0.31496062992125984"/>
      <pageSetup paperSize="8" scale="63" fitToHeight="0" orientation="landscape" r:id="rId5"/>
      <headerFooter>
        <oddFooter>&amp;L&amp;1#&amp;"Calibri"&amp;10&amp;K000000OFFICIAL</oddFooter>
      </headerFooter>
    </customSheetView>
    <customSheetView guid="{C57A83F1-F5A3-470B-9579-6A222C54F4E8}" scale="85" showGridLines="0" fitToPage="1" hiddenRows="1" hiddenColumns="1" topLeftCell="A2">
      <pane ySplit="5" topLeftCell="A67" activePane="bottomLeft" state="frozen"/>
      <selection pane="bottomLeft" activeCell="B73" sqref="B73:AM73"/>
      <rowBreaks count="4" manualBreakCount="4">
        <brk id="36" min="1" max="38" man="1"/>
        <brk id="73" min="1" max="38" man="1"/>
        <brk id="103" min="1" max="38" man="1"/>
        <brk id="129" min="1" max="38" man="1"/>
      </rowBreaks>
      <pageMargins left="0.23622047244094491" right="0.23622047244094491" top="0.35433070866141736" bottom="0.35433070866141736" header="0.31496062992125984" footer="0.31496062992125984"/>
      <pageSetup paperSize="8" scale="63" fitToHeight="0" orientation="landscape" r:id="rId6"/>
      <headerFooter>
        <oddFooter>&amp;L&amp;1#&amp;"Calibri"&amp;10&amp;K000000OFFICIAL</oddFooter>
      </headerFooter>
    </customSheetView>
    <customSheetView guid="{3827E543-57D2-48C8-B786-7077EA079DD2}" scale="85" showGridLines="0" fitToPage="1" hiddenRows="1" hiddenColumns="1" topLeftCell="A2">
      <pane ySplit="5" topLeftCell="A94" activePane="bottomLeft" state="frozen"/>
      <selection pane="bottomLeft" activeCell="B103" sqref="B103:AM103"/>
      <rowBreaks count="4" manualBreakCount="4">
        <brk id="36" min="1" max="38" man="1"/>
        <brk id="73" min="1" max="38" man="1"/>
        <brk id="103" min="1" max="38" man="1"/>
        <brk id="129" min="1" max="38" man="1"/>
      </rowBreaks>
      <pageMargins left="0.23622047244094491" right="0.23622047244094491" top="0.35433070866141736" bottom="0.35433070866141736" header="0.31496062992125984" footer="0.31496062992125984"/>
      <pageSetup paperSize="8" scale="63" fitToHeight="0" orientation="landscape" r:id="rId7"/>
      <headerFooter>
        <oddFooter>&amp;L&amp;1#&amp;"Calibri"&amp;10&amp;K000000OFFICIAL</oddFooter>
      </headerFooter>
    </customSheetView>
    <customSheetView guid="{F5FA2A23-9E46-4C2F-B1EE-B71787F95C57}" scale="75" showGridLines="0" fitToPage="1" hiddenRows="1" hiddenColumns="1" topLeftCell="A2">
      <pane ySplit="5" topLeftCell="A66" activePane="bottomLeft" state="frozen"/>
      <selection pane="bottomLeft" activeCell="B73" sqref="B73:AM73"/>
      <rowBreaks count="4" manualBreakCount="4">
        <brk id="36" min="1" max="38" man="1"/>
        <brk id="73" min="1" max="38" man="1"/>
        <brk id="103" min="1" max="38" man="1"/>
        <brk id="129" min="1" max="38" man="1"/>
      </rowBreaks>
      <pageMargins left="0.23622047244094491" right="0.23622047244094491" top="0.35433070866141736" bottom="0.35433070866141736" header="0.31496062992125984" footer="0.31496062992125984"/>
      <pageSetup paperSize="8" scale="63" fitToHeight="0" orientation="landscape" r:id="rId8"/>
      <headerFooter>
        <oddFooter>&amp;L&amp;1#&amp;"Calibri"&amp;10&amp;K000000OFFICIAL</oddFooter>
      </headerFooter>
    </customSheetView>
    <customSheetView guid="{42B0E8B1-ADFA-49AE-A83B-82D384737703}" scale="75" showGridLines="0" fitToPage="1" hiddenRows="1" hiddenColumns="1" topLeftCell="A2">
      <pane ySplit="5" topLeftCell="A100" activePane="bottomLeft" state="frozen"/>
      <selection pane="bottomLeft" activeCell="B109" sqref="B109:AM109"/>
      <rowBreaks count="4" manualBreakCount="4">
        <brk id="36" min="1" max="38" man="1"/>
        <brk id="73" min="1" max="38" man="1"/>
        <brk id="103" min="1" max="38" man="1"/>
        <brk id="129" min="1" max="38" man="1"/>
      </rowBreaks>
      <pageMargins left="0.23622047244094491" right="0.23622047244094491" top="0.35433070866141736" bottom="0.35433070866141736" header="0.31496062992125984" footer="0.31496062992125984"/>
      <pageSetup paperSize="8" scale="63" fitToHeight="0" orientation="landscape" r:id="rId9"/>
      <headerFooter>
        <oddFooter>&amp;L&amp;1#&amp;"Calibri"&amp;10&amp;K000000OFFICIAL</oddFooter>
      </headerFooter>
    </customSheetView>
    <customSheetView guid="{602520CD-F98C-43A6-AA0D-88893E9CB6E8}" scale="85" showGridLines="0" fitToPage="1" hiddenRows="1" hiddenColumns="1" topLeftCell="A2">
      <pane ySplit="5" topLeftCell="A111" activePane="bottomLeft" state="frozen"/>
      <selection pane="bottomLeft" activeCell="B115" sqref="B115:AM115"/>
      <rowBreaks count="4" manualBreakCount="4">
        <brk id="36" min="1" max="38" man="1"/>
        <brk id="73" min="1" max="38" man="1"/>
        <brk id="109" min="1" max="38" man="1"/>
        <brk id="138" min="1" max="38" man="1"/>
      </rowBreaks>
      <pageMargins left="0.23622047244094491" right="0.23622047244094491" top="0.35433070866141736" bottom="0.35433070866141736" header="0.31496062992125984" footer="0.31496062992125984"/>
      <pageSetup paperSize="8" scale="63" fitToHeight="0" orientation="landscape" r:id="rId10"/>
      <headerFooter>
        <oddFooter>&amp;L&amp;1#&amp;"Calibri"&amp;10&amp;K000000OFFICIAL</oddFooter>
      </headerFooter>
    </customSheetView>
    <customSheetView guid="{B8317A9A-0FFD-4A18-80F7-203DB2FC8CA5}" scale="80" showGridLines="0" fitToPage="1" hiddenRows="1" hiddenColumns="1" topLeftCell="A48">
      <selection activeCell="B61" sqref="B61:AM61"/>
      <rowBreaks count="4" manualBreakCount="4">
        <brk id="33" min="1" max="38" man="1"/>
        <brk id="64" min="1" max="38" man="1"/>
        <brk id="97" min="1" max="38" man="1"/>
        <brk id="129" min="1" max="38" man="1"/>
      </rowBreaks>
      <pageMargins left="0.23622047244094491" right="0.23622047244094491" top="0.35433070866141736" bottom="0.35433070866141736" header="0.31496062992125984" footer="0.31496062992125984"/>
      <pageSetup paperSize="8" scale="62" fitToHeight="0" orientation="landscape" r:id="rId11"/>
      <headerFooter>
        <oddFooter>&amp;L&amp;1#&amp;"Calibri"&amp;10&amp;K000000OFFICIAL</oddFooter>
      </headerFooter>
    </customSheetView>
    <customSheetView guid="{2608BE9B-66AC-4D4C-8EE0-E88C94E88140}" scale="80" showGridLines="0" fitToPage="1" hiddenRows="1" hiddenColumns="1" topLeftCell="B2">
      <pane ySplit="5" topLeftCell="A62" activePane="bottomLeft" state="frozen"/>
      <selection pane="bottomLeft" activeCell="B70" sqref="B70:AM70"/>
      <rowBreaks count="4" manualBreakCount="4">
        <brk id="36" min="1" max="38" man="1"/>
        <brk id="67" min="1" max="38" man="1"/>
        <brk id="100" min="1" max="38" man="1"/>
        <brk id="132" min="1" max="38" man="1"/>
      </rowBreaks>
      <pageMargins left="0.23622047244094491" right="0.23622047244094491" top="0.35433070866141736" bottom="0.35433070866141736" header="0.31496062992125984" footer="0.31496062992125984"/>
      <pageSetup paperSize="8" scale="62" fitToHeight="0" orientation="landscape" r:id="rId12"/>
      <headerFooter>
        <oddFooter>&amp;L&amp;1#&amp;"Calibri"&amp;10&amp;K000000OFFICIAL</oddFooter>
      </headerFooter>
    </customSheetView>
    <customSheetView guid="{D850720D-4A1C-48F2-8E1D-8E09B7414A1A}" scale="120" showGridLines="0" fitToPage="1" hiddenRows="1" hiddenColumns="1" topLeftCell="I2">
      <pane ySplit="5" topLeftCell="A66" activePane="bottomLeft" state="frozen"/>
      <selection pane="bottomLeft" activeCell="B67" sqref="B67:AM67"/>
      <rowBreaks count="4" manualBreakCount="4">
        <brk id="36" min="1" max="38" man="1"/>
        <brk id="67" min="1" max="38" man="1"/>
        <brk id="100" min="1" max="38" man="1"/>
        <brk id="132" min="1" max="38" man="1"/>
      </rowBreaks>
      <pageMargins left="0.23622047244094491" right="0.23622047244094491" top="0.35433070866141736" bottom="0.35433070866141736" header="0.31496062992125984" footer="0.31496062992125984"/>
      <pageSetup paperSize="8" scale="62" fitToHeight="0" orientation="landscape" r:id="rId13"/>
      <headerFooter>
        <oddFooter>&amp;L&amp;1#&amp;"Calibri"&amp;10&amp;K000000OFFICIAL</oddFooter>
      </headerFooter>
    </customSheetView>
    <customSheetView guid="{A8E976B8-D767-4DB4-82BD-ABE90880F33F}" scale="145" showGridLines="0" fitToPage="1" hiddenRows="1" hiddenColumns="1" topLeftCell="A2">
      <pane ySplit="5" topLeftCell="A7" activePane="bottomLeft" state="frozen"/>
      <selection pane="bottomLeft" activeCell="K11" sqref="K11"/>
      <rowBreaks count="4" manualBreakCount="4">
        <brk id="36" min="1" max="38" man="1"/>
        <brk id="67" min="1" max="38" man="1"/>
        <brk id="100" min="1" max="38" man="1"/>
        <brk id="132" min="1" max="38" man="1"/>
      </rowBreaks>
      <pageMargins left="0.23622047244094491" right="0.23622047244094491" top="0.35433070866141736" bottom="0.35433070866141736" header="0.31496062992125984" footer="0.31496062992125984"/>
      <pageSetup paperSize="8" scale="62" fitToHeight="0" orientation="landscape" r:id="rId14"/>
      <headerFooter>
        <oddFooter>&amp;L&amp;1#&amp;"Calibri"&amp;10&amp;K000000OFFICIAL</oddFooter>
      </headerFooter>
    </customSheetView>
    <customSheetView guid="{B95D32C7-1418-4EF6-8936-849885C54A4A}" scale="110" showGridLines="0" fitToPage="1" hiddenRows="1" hiddenColumns="1" topLeftCell="B2">
      <pane ySplit="5" topLeftCell="A50" activePane="bottomLeft" state="frozen"/>
      <selection pane="bottomLeft" activeCell="B66" sqref="B66:AM66"/>
      <rowBreaks count="4" manualBreakCount="4">
        <brk id="35" min="1" max="38" man="1"/>
        <brk id="66" min="1" max="38" man="1"/>
        <brk id="99" min="1" max="38" man="1"/>
        <brk id="131" min="1" max="38" man="1"/>
      </rowBreaks>
      <pageMargins left="0.23622047244094491" right="0.23622047244094491" top="0.35433070866141736" bottom="0.35433070866141736" header="0.31496062992125984" footer="0.31496062992125984"/>
      <pageSetup paperSize="8" scale="63" fitToHeight="0" orientation="landscape" r:id="rId15"/>
      <headerFooter>
        <oddFooter>&amp;L&amp;1#&amp;"Calibri"&amp;10&amp;K000000OFFICIAL</oddFooter>
      </headerFooter>
    </customSheetView>
    <customSheetView guid="{9355C9F4-9C07-4A93-B7F2-69F1D1526716}" scale="70" showGridLines="0" fitToPage="1" hiddenRows="1" hiddenColumns="1" topLeftCell="A2">
      <pane ySplit="5" topLeftCell="A70" activePane="bottomLeft" state="frozen"/>
      <selection pane="bottomLeft" activeCell="B75" sqref="B75:AM75"/>
      <rowBreaks count="4" manualBreakCount="4">
        <brk id="35" min="1" max="38" man="1"/>
        <brk id="66" min="1" max="38" man="1"/>
        <brk id="99" min="1" max="38" man="1"/>
        <brk id="131" min="1" max="38" man="1"/>
      </rowBreaks>
      <pageMargins left="0.23622047244094491" right="0.23622047244094491" top="0.35433070866141736" bottom="0.35433070866141736" header="0.31496062992125984" footer="0.31496062992125984"/>
      <pageSetup paperSize="8" scale="63" fitToHeight="0" orientation="landscape" r:id="rId16"/>
      <headerFooter>
        <oddFooter>&amp;L&amp;1#&amp;"Calibri"&amp;10&amp;K000000OFFICIAL</oddFooter>
      </headerFooter>
    </customSheetView>
    <customSheetView guid="{1ECD6E30-299B-4354-A416-2DAFF33C7022}" scale="80" showGridLines="0" fitToPage="1" printArea="1" hiddenRows="1" hiddenColumns="1" topLeftCell="A2">
      <pane xSplit="1" ySplit="6" topLeftCell="B59" activePane="bottomRight" state="frozen"/>
      <selection pane="bottomRight" activeCell="M67" sqref="M67"/>
      <rowBreaks count="4" manualBreakCount="4">
        <brk id="36" min="1" max="38" man="1"/>
        <brk id="71" min="1" max="38" man="1"/>
        <brk id="104" min="1" max="38" man="1"/>
        <brk id="136" min="1" max="38" man="1"/>
      </rowBreaks>
      <pageMargins left="0.23622047244094491" right="0.23622047244094491" top="0.35433070866141736" bottom="0.35433070866141736" header="0.31496062992125984" footer="0.31496062992125984"/>
      <pageSetup paperSize="8" scale="62" fitToHeight="0" orientation="landscape" r:id="rId17"/>
      <headerFooter>
        <oddFooter>&amp;L&amp;1#&amp;"Calibri"&amp;10&amp;K000000OFFICIAL</oddFooter>
      </headerFooter>
    </customSheetView>
    <customSheetView guid="{9AF6E233-883D-48B4-95AB-42B37199AB9E}" scale="80" showGridLines="0" fitToPage="1" hiddenRows="1" hiddenColumns="1" topLeftCell="A2">
      <pane xSplit="1" ySplit="6" topLeftCell="B72" activePane="bottomRight" state="frozen"/>
      <selection pane="bottomRight" activeCell="B76" sqref="B76:AM76"/>
      <rowBreaks count="4" manualBreakCount="4">
        <brk id="33" min="1" max="38" man="1"/>
        <brk id="67" min="1" max="38" man="1"/>
        <brk id="99" min="1" max="38" man="1"/>
        <brk id="131" min="1" max="38" man="1"/>
      </rowBreaks>
      <pageMargins left="0.23622047244094491" right="0.23622047244094491" top="0.35433070866141736" bottom="0.35433070866141736" header="0.31496062992125984" footer="0.31496062992125984"/>
      <pageSetup paperSize="8" scale="62" fitToHeight="0" orientation="landscape" r:id="rId18"/>
      <headerFooter>
        <oddFooter>&amp;L&amp;1#&amp;"Calibri"&amp;10&amp;K000000OFFICIAL</oddFooter>
      </headerFooter>
    </customSheetView>
    <customSheetView guid="{451730E2-FFE9-4FCE-B8B5-64952C26C672}" fitToPage="1" hiddenRows="1" topLeftCell="A2">
      <pane xSplit="1" ySplit="6" topLeftCell="B46" activePane="bottomRight" state="frozen"/>
      <selection pane="bottomRight" activeCell="O5" sqref="O5:O6"/>
      <rowBreaks count="5" manualBreakCount="5">
        <brk id="33" min="1" max="38" man="1"/>
        <brk id="64" min="1" max="38" man="1"/>
        <brk id="95" min="1" max="38" man="1"/>
        <brk id="126" min="1" max="38" man="1"/>
        <brk id="156" min="1" max="38" man="1"/>
      </rowBreaks>
      <pageMargins left="0.23622047244094491" right="0.23622047244094491" top="0.35433070866141736" bottom="0.35433070866141736" header="0.31496062992125984" footer="0.31496062992125984"/>
      <pageSetup paperSize="8" scale="63" fitToHeight="0" orientation="landscape" r:id="rId19"/>
      <headerFooter>
        <oddFooter>&amp;L&amp;1#&amp;"Calibri"&amp;10&amp;K000000OFFICIAL</oddFooter>
      </headerFooter>
    </customSheetView>
    <customSheetView guid="{4EBEE699-7DEF-4A50-9CB7-490835CF0B98}" fitToPage="1" hiddenRows="1" topLeftCell="A2">
      <pane xSplit="1" ySplit="6" topLeftCell="B112" activePane="bottomRight" state="frozen"/>
      <selection pane="bottomRight" activeCell="B126" sqref="B126:AM126"/>
      <rowBreaks count="5" manualBreakCount="5">
        <brk id="33" min="1" max="38" man="1"/>
        <brk id="64" min="1" max="38" man="1"/>
        <brk id="95" min="1" max="38" man="1"/>
        <brk id="126" min="1" max="38" man="1"/>
        <brk id="156" min="1" max="38" man="1"/>
      </rowBreaks>
      <pageMargins left="0.23622047244094491" right="0.23622047244094491" top="0.35433070866141736" bottom="0.35433070866141736" header="0.31496062992125984" footer="0.31496062992125984"/>
      <pageSetup paperSize="8" scale="63" fitToHeight="0" orientation="landscape" r:id="rId20"/>
      <headerFooter>
        <oddFooter>&amp;L&amp;1#&amp;"Calibri"&amp;10&amp;K000000OFFICIAL</oddFooter>
      </headerFooter>
    </customSheetView>
    <customSheetView guid="{A03C6B09-6B58-4DDE-A3B2-41A27A7049D9}" scale="75" fitToPage="1" hiddenRows="1" topLeftCell="A24">
      <selection activeCell="B58" sqref="B58:AM58"/>
      <rowBreaks count="5" manualBreakCount="5">
        <brk id="33" min="1" max="38" man="1"/>
        <brk id="64" min="1" max="38" man="1"/>
        <brk id="95" min="1" max="38" man="1"/>
        <brk id="126" min="1" max="38" man="1"/>
        <brk id="156" min="1" max="38" man="1"/>
      </rowBreaks>
      <pageMargins left="0.23622047244094491" right="0.23622047244094491" top="0.35433070866141736" bottom="0.35433070866141736" header="0.31496062992125984" footer="0.31496062992125984"/>
      <pageSetup paperSize="8" scale="63" fitToHeight="0" orientation="landscape" r:id="rId21"/>
      <headerFooter>
        <oddFooter>&amp;L&amp;1#&amp;"Calibri"&amp;10&amp;K000000OFFICIAL</oddFooter>
      </headerFooter>
    </customSheetView>
    <customSheetView guid="{3C97F0B0-2F3C-4E03-96E0-0C4FEC2F24AC}" scale="75" fitToPage="1" hiddenRows="1" topLeftCell="B2">
      <pane ySplit="5" topLeftCell="A52" activePane="bottomLeft" state="frozen"/>
      <selection pane="bottomLeft" activeCell="B52" sqref="B52:AM52"/>
      <rowBreaks count="5" manualBreakCount="5">
        <brk id="33" min="1" max="38" man="1"/>
        <brk id="64" min="1" max="38" man="1"/>
        <brk id="95" min="1" max="38" man="1"/>
        <brk id="126" min="1" max="38" man="1"/>
        <brk id="156" min="1" max="38" man="1"/>
      </rowBreaks>
      <pageMargins left="0.23622047244094491" right="0.23622047244094491" top="0.35433070866141736" bottom="0.35433070866141736" header="0.31496062992125984" footer="0.31496062992125984"/>
      <pageSetup paperSize="8" scale="65" fitToHeight="0" orientation="landscape" r:id="rId22"/>
      <headerFooter>
        <oddHeader>&amp;L&amp;"Calibri"&amp;10&amp;K000000OFFICIAL&amp;1#</oddHeader>
        <oddFooter>&amp;L&amp;1#&amp;"Calibri"&amp;10&amp;K000000OFFICIAL</oddFooter>
      </headerFooter>
    </customSheetView>
    <customSheetView guid="{B0A28FD4-D7F6-428C-A7F7-92132DCD74BB}" scale="75" fitToPage="1" hiddenRows="1" topLeftCell="A2">
      <pane ySplit="6" topLeftCell="A80" activePane="bottomLeft" state="frozen"/>
      <selection pane="bottomLeft" activeCell="Y85" sqref="Y85"/>
      <rowBreaks count="5" manualBreakCount="5">
        <brk id="33" min="1" max="38" man="1"/>
        <brk id="64" min="1" max="38" man="1"/>
        <brk id="95" min="1" max="38" man="1"/>
        <brk id="126" min="1" max="38" man="1"/>
        <brk id="156" min="1" max="38" man="1"/>
      </rowBreaks>
      <pageMargins left="0.23622047244094491" right="0.23622047244094491" top="0.35433070866141736" bottom="0.35433070866141736" header="0.31496062992125984" footer="0.31496062992125984"/>
      <pageSetup paperSize="8" scale="65" fitToHeight="0" orientation="landscape" r:id="rId23"/>
      <headerFooter>
        <oddHeader>&amp;L&amp;"Calibri"&amp;10&amp;K000000OFFICIAL&amp;1#</oddHeader>
        <oddFooter>&amp;L&amp;1#&amp;"Calibri"&amp;10&amp;K000000OFFICIAL</oddFooter>
      </headerFooter>
    </customSheetView>
    <customSheetView guid="{3BB18945-69B5-4B22-8D55-989F8F233459}" scale="80" fitToPage="1" hiddenRows="1" topLeftCell="B2">
      <pane ySplit="6" topLeftCell="A107" activePane="bottomLeft" state="frozen"/>
      <selection pane="bottomLeft" activeCell="B108" sqref="B108:AM108"/>
      <rowBreaks count="5" manualBreakCount="5">
        <brk id="33" min="1" max="38" man="1"/>
        <brk id="64" min="1" max="38" man="1"/>
        <brk id="95" min="1" max="38" man="1"/>
        <brk id="126" min="1" max="38" man="1"/>
        <brk id="156" min="1" max="38" man="1"/>
      </rowBreaks>
      <pageMargins left="0.23622047244094491" right="0.23622047244094491" top="0.35433070866141736" bottom="0.35433070866141736" header="0.31496062992125984" footer="0.31496062992125984"/>
      <pageSetup paperSize="8" scale="65" fitToHeight="0" orientation="landscape" r:id="rId24"/>
      <headerFooter>
        <oddHeader>&amp;L&amp;"Calibri"&amp;10&amp;K000000OFFICIAL&amp;1#</oddHeader>
        <oddFooter>&amp;L&amp;1#&amp;"Calibri"&amp;10&amp;K000000OFFICIAL</oddFooter>
      </headerFooter>
    </customSheetView>
    <customSheetView guid="{D16D941B-FC89-4FEC-A49B-5FA2532584DE}" scale="91" fitToPage="1" hiddenRows="1" topLeftCell="A2">
      <pane ySplit="6" topLeftCell="A105" activePane="bottomLeft" state="frozen"/>
      <selection pane="bottomLeft" activeCell="B109" sqref="B109"/>
      <rowBreaks count="5" manualBreakCount="5">
        <brk id="33" min="1" max="38" man="1"/>
        <brk id="64" min="1" max="38" man="1"/>
        <brk id="95" min="1" max="38" man="1"/>
        <brk id="126" min="1" max="38" man="1"/>
        <brk id="156" min="1" max="38" man="1"/>
      </rowBreaks>
      <pageMargins left="0.23622047244094491" right="0.23622047244094491" top="0.35433070866141736" bottom="0.35433070866141736" header="0.31496062992125984" footer="0.31496062992125984"/>
      <pageSetup paperSize="8" scale="65" fitToHeight="0" orientation="landscape" r:id="rId25"/>
      <headerFooter>
        <oddHeader>&amp;L&amp;"Calibri"&amp;10&amp;K000000OFFICIAL&amp;1#</oddHeader>
        <oddFooter>&amp;L&amp;1#&amp;"Calibri"&amp;10&amp;K000000OFFICIAL</oddFooter>
      </headerFooter>
    </customSheetView>
    <customSheetView guid="{C39AE06A-FC0A-4D7D-B287-2FA9CA174191}" fitToPage="1" hiddenRows="1" topLeftCell="A2">
      <pane ySplit="6" topLeftCell="A120" activePane="bottomLeft" state="frozen"/>
      <selection pane="bottomLeft" activeCell="B129" sqref="B129:AM129"/>
      <rowBreaks count="5" manualBreakCount="5">
        <brk id="33" min="1" max="38" man="1"/>
        <brk id="64" min="1" max="38" man="1"/>
        <brk id="95" min="1" max="38" man="1"/>
        <brk id="126" min="1" max="38" man="1"/>
        <brk id="156" min="1" max="38" man="1"/>
      </rowBreaks>
      <pageMargins left="0.23622047244094491" right="0.23622047244094491" top="0.35433070866141736" bottom="0.35433070866141736" header="0.31496062992125984" footer="0.31496062992125984"/>
      <pageSetup paperSize="8" scale="65" fitToHeight="0" orientation="landscape" r:id="rId26"/>
      <headerFooter>
        <oddHeader>&amp;L&amp;"Calibri"&amp;10&amp;K000000OFFICIAL&amp;1#</oddHeader>
        <oddFooter>&amp;L&amp;1#&amp;"Calibri"&amp;10&amp;K000000OFFICIAL</oddFooter>
      </headerFooter>
    </customSheetView>
    <customSheetView guid="{4E6F9C2D-76F2-4884-BBF6-E02A7BAE11EF}" fitToPage="1" hiddenRows="1" topLeftCell="A2">
      <pane ySplit="6" topLeftCell="A10" activePane="bottomLeft" state="frozen"/>
      <selection pane="bottomLeft" activeCell="B15" sqref="B15:AM15"/>
      <rowBreaks count="3" manualBreakCount="3">
        <brk id="30" min="1" max="38" man="1"/>
        <brk id="99" min="1" max="38" man="1"/>
        <brk id="127" min="1" max="38" man="1"/>
      </rowBreaks>
      <pageMargins left="0.23622047244094491" right="0.23622047244094491" top="0.35433070866141736" bottom="0.35433070866141736" header="0.31496062992125984" footer="0.31496062992125984"/>
      <pageSetup paperSize="8" scale="66" fitToHeight="0" orientation="landscape" r:id="rId27"/>
      <headerFooter>
        <oddHeader>&amp;L&amp;"Calibri"&amp;10&amp;K000000OFFICIAL&amp;1#</oddHeader>
        <oddFooter>&amp;L&amp;1#&amp;"Calibri"&amp;10&amp;K000000OFFICIAL</oddFooter>
      </headerFooter>
    </customSheetView>
    <customSheetView guid="{008CCD98-7480-4C51-806A-4B55C801DDC2}" scale="85" fitToPage="1" hiddenRows="1" topLeftCell="A2">
      <pane ySplit="6" topLeftCell="A138" activePane="bottomLeft" state="frozen"/>
      <selection pane="bottomLeft" activeCell="B141" sqref="B141:AM141"/>
      <rowBreaks count="3" manualBreakCount="3">
        <brk id="30" min="1" max="38" man="1"/>
        <brk id="99" min="1" max="38" man="1"/>
        <brk id="127" min="1" max="38" man="1"/>
      </rowBreaks>
      <pageMargins left="0.23622047244094491" right="0.23622047244094491" top="0.35433070866141736" bottom="0.35433070866141736" header="0.31496062992125984" footer="0.31496062992125984"/>
      <pageSetup paperSize="8" scale="64" fitToHeight="0" orientation="landscape" r:id="rId28"/>
      <headerFooter>
        <oddHeader>&amp;L&amp;"Calibri"&amp;10&amp;K000000OFFICIAL&amp;1#</oddHeader>
        <oddFooter>&amp;L&amp;1#&amp;"Calibri"&amp;10&amp;K000000OFFICIAL</oddFooter>
      </headerFooter>
    </customSheetView>
    <customSheetView guid="{D27C51BB-BB54-4F37-8171-98067C39697C}" scale="70" fitToPage="1" hiddenRows="1" topLeftCell="B2">
      <pane ySplit="6" topLeftCell="A85" activePane="bottomLeft" state="frozen"/>
      <selection pane="bottomLeft" activeCell="B3" sqref="B3:B6"/>
      <rowBreaks count="5" manualBreakCount="5">
        <brk id="26" min="1" max="38" man="1"/>
        <brk id="47" min="1" max="38" man="1"/>
        <brk id="99" min="1" max="38" man="1"/>
        <brk id="130" min="1" max="38" man="1"/>
        <brk id="150" min="1" max="38" man="1"/>
      </rowBreaks>
      <pageMargins left="0.23622047244094491" right="0.23622047244094491" top="0.35433070866141736" bottom="0.35433070866141736" header="0.31496062992125984" footer="0.31496062992125984"/>
      <pageSetup paperSize="8" scale="64" fitToHeight="0" orientation="landscape" r:id="rId29"/>
      <headerFooter>
        <oddHeader>&amp;L&amp;"Calibri"&amp;10&amp;K000000OFFICIAL&amp;1#</oddHeader>
        <oddFooter>&amp;L&amp;1#&amp;"Calibri"&amp;10&amp;K000000OFFICIAL</oddFooter>
      </headerFooter>
    </customSheetView>
    <customSheetView guid="{6702457D-A9A8-4F46-8E1C-BC7255F4BA77}" scale="90" fitToPage="1" hiddenRows="1" topLeftCell="B2">
      <pane ySplit="6" topLeftCell="A114" activePane="bottomLeft" state="frozen"/>
      <selection pane="bottomLeft" activeCell="B126" sqref="B126"/>
      <rowBreaks count="3" manualBreakCount="3">
        <brk id="30" min="1" max="38" man="1"/>
        <brk id="99" min="1" max="38" man="1"/>
        <brk id="127" min="1" max="38" man="1"/>
      </rowBreaks>
      <pageMargins left="0.23622047244094491" right="0.23622047244094491" top="0.35433070866141736" bottom="0.35433070866141736" header="0.31496062992125984" footer="0.31496062992125984"/>
      <pageSetup paperSize="8" scale="66" fitToHeight="0" orientation="landscape" r:id="rId30"/>
      <headerFooter>
        <oddHeader>&amp;L&amp;"Calibri"&amp;10&amp;K000000OFFICIAL&amp;1#</oddHeader>
        <oddFooter>&amp;L&amp;1#&amp;"Calibri"&amp;10&amp;K000000OFFICIAL</oddFooter>
      </headerFooter>
    </customSheetView>
    <customSheetView guid="{016CEBB2-C827-48F4-95E1-85D8C5129F41}" scale="90" fitToPage="1" hiddenRows="1" topLeftCell="B2">
      <pane ySplit="6" topLeftCell="A79" activePane="bottomLeft" state="frozen"/>
      <selection pane="bottomLeft" activeCell="B86" sqref="B86:AM86"/>
      <rowBreaks count="3" manualBreakCount="3">
        <brk id="30" min="1" max="38" man="1"/>
        <brk id="99" min="1" max="38" man="1"/>
        <brk id="127" min="1" max="38" man="1"/>
      </rowBreaks>
      <pageMargins left="0.23622047244094491" right="0.23622047244094491" top="0.35433070866141736" bottom="0.35433070866141736" header="0.31496062992125984" footer="0.31496062992125984"/>
      <pageSetup paperSize="8" scale="67" fitToHeight="0" orientation="landscape" r:id="rId31"/>
      <headerFooter>
        <oddHeader>&amp;L&amp;"Calibri"&amp;10&amp;K000000OFFICIAL&amp;1#</oddHeader>
        <oddFooter>&amp;L&amp;1#&amp;"Calibri"&amp;10&amp;K000000OFFICIAL</oddFooter>
      </headerFooter>
    </customSheetView>
    <customSheetView guid="{EB96DBE4-2D64-4388-853C-CB52A0CB79BA}" scale="85" fitToPage="1" hiddenRows="1" topLeftCell="A2">
      <pane ySplit="6" topLeftCell="A61" activePane="bottomLeft" state="frozen"/>
      <selection pane="bottomLeft" activeCell="B64" sqref="B64:AM64"/>
      <rowBreaks count="5" manualBreakCount="5">
        <brk id="33" min="1" max="38" man="1"/>
        <brk id="64" min="1" max="38" man="1"/>
        <brk id="95" min="1" max="38" man="1"/>
        <brk id="126" min="1" max="38" man="1"/>
        <brk id="156" min="1" max="38" man="1"/>
      </rowBreaks>
      <pageMargins left="0.23622047244094491" right="0.23622047244094491" top="0.35433070866141736" bottom="0.35433070866141736" header="0.31496062992125984" footer="0.31496062992125984"/>
      <pageSetup paperSize="8" scale="65" fitToHeight="0" orientation="landscape" r:id="rId32"/>
      <headerFooter>
        <oddHeader>&amp;L&amp;"Calibri"&amp;10&amp;K000000OFFICIAL&amp;1#</oddHeader>
        <oddFooter>&amp;L&amp;1#&amp;"Calibri"&amp;10&amp;K000000OFFICIAL</oddFooter>
      </headerFooter>
    </customSheetView>
    <customSheetView guid="{351EFD38-BF62-4E34-A37F-0EEB3E165043}" scale="55" fitToPage="1" hiddenRows="1" topLeftCell="A2">
      <pane ySplit="6" topLeftCell="A85" activePane="bottomLeft" state="frozen"/>
      <selection pane="bottomLeft" activeCell="B137" sqref="B137:AM137"/>
      <rowBreaks count="5" manualBreakCount="5">
        <brk id="33" min="1" max="38" man="1"/>
        <brk id="64" min="1" max="38" man="1"/>
        <brk id="95" min="1" max="38" man="1"/>
        <brk id="126" min="1" max="38" man="1"/>
        <brk id="156" min="1" max="38" man="1"/>
      </rowBreaks>
      <pageMargins left="0.23622047244094491" right="0.23622047244094491" top="0.35433070866141736" bottom="0.35433070866141736" header="0.31496062992125984" footer="0.31496062992125984"/>
      <pageSetup paperSize="8" scale="65" fitToHeight="0" orientation="landscape" r:id="rId33"/>
      <headerFooter>
        <oddHeader>&amp;L&amp;"Calibri"&amp;10&amp;K000000OFFICIAL&amp;1#</oddHeader>
        <oddFooter>&amp;L&amp;1#&amp;"Calibri"&amp;10&amp;K000000OFFICIAL</oddFooter>
      </headerFooter>
    </customSheetView>
    <customSheetView guid="{593284E7-E32C-4D6C-8C2F-3DEEF9DEE1DF}" scale="80" fitToPage="1" hiddenRows="1" topLeftCell="B2">
      <pane ySplit="6" topLeftCell="A95" activePane="bottomLeft" state="frozen"/>
      <selection pane="bottomLeft" activeCell="L110" sqref="L110"/>
      <rowBreaks count="5" manualBreakCount="5">
        <brk id="33" min="1" max="38" man="1"/>
        <brk id="64" min="1" max="38" man="1"/>
        <brk id="95" min="1" max="38" man="1"/>
        <brk id="126" min="1" max="38" man="1"/>
        <brk id="156" min="1" max="38" man="1"/>
      </rowBreaks>
      <pageMargins left="0.23622047244094491" right="0.23622047244094491" top="0.35433070866141736" bottom="0.35433070866141736" header="0.31496062992125984" footer="0.31496062992125984"/>
      <pageSetup paperSize="8" scale="65" fitToHeight="0" orientation="landscape" r:id="rId34"/>
      <headerFooter>
        <oddHeader>&amp;L&amp;"Calibri"&amp;10&amp;K000000OFFICIAL&amp;1#</oddHeader>
        <oddFooter>&amp;L&amp;1#&amp;"Calibri"&amp;10&amp;K000000OFFICIAL</oddFooter>
      </headerFooter>
    </customSheetView>
    <customSheetView guid="{E06B4FE8-6127-47B2-A6A5-4FAC9EEB4538}" scale="80" fitToPage="1" hiddenRows="1" topLeftCell="D2">
      <pane ySplit="6" topLeftCell="A80" activePane="bottomLeft" state="frozen"/>
      <selection pane="bottomLeft" activeCell="B92" sqref="B92:AM92"/>
      <rowBreaks count="5" manualBreakCount="5">
        <brk id="33" min="1" max="38" man="1"/>
        <brk id="64" min="1" max="38" man="1"/>
        <brk id="95" min="1" max="38" man="1"/>
        <brk id="126" min="1" max="38" man="1"/>
        <brk id="156" min="1" max="38" man="1"/>
      </rowBreaks>
      <pageMargins left="0.23622047244094491" right="0.23622047244094491" top="0.35433070866141736" bottom="0.35433070866141736" header="0.31496062992125984" footer="0.31496062992125984"/>
      <pageSetup paperSize="8" scale="65" fitToHeight="0" orientation="landscape" r:id="rId35"/>
      <headerFooter>
        <oddHeader>&amp;L&amp;"Calibri"&amp;10&amp;K000000OFFICIAL&amp;1#</oddHeader>
        <oddFooter>&amp;L&amp;1#&amp;"Calibri"&amp;10&amp;K000000OFFICIAL</oddFooter>
      </headerFooter>
    </customSheetView>
    <customSheetView guid="{51B3083F-A103-41AB-A137-63549C54B838}" scale="90" fitToPage="1" hiddenRows="1" topLeftCell="B2">
      <pane ySplit="6" topLeftCell="A58" activePane="bottomLeft" state="frozen"/>
      <selection pane="bottomLeft" activeCell="B67" sqref="B67:AM67"/>
      <rowBreaks count="5" manualBreakCount="5">
        <brk id="33" min="1" max="38" man="1"/>
        <brk id="64" min="1" max="38" man="1"/>
        <brk id="95" min="1" max="38" man="1"/>
        <brk id="126" min="1" max="38" man="1"/>
        <brk id="156" min="1" max="38" man="1"/>
      </rowBreaks>
      <pageMargins left="0.23622047244094491" right="0.23622047244094491" top="0.35433070866141736" bottom="0.35433070866141736" header="0.31496062992125984" footer="0.31496062992125984"/>
      <pageSetup paperSize="8" scale="65" fitToHeight="0" orientation="landscape" r:id="rId36"/>
      <headerFooter>
        <oddHeader>&amp;L&amp;"Calibri"&amp;10&amp;K000000OFFICIAL&amp;1#</oddHeader>
        <oddFooter>&amp;L&amp;1#&amp;"Calibri"&amp;10&amp;K000000OFFICIAL</oddFooter>
      </headerFooter>
    </customSheetView>
    <customSheetView guid="{8CB67476-3FD4-42E0-ACD6-62ACA9412843}" fitToPage="1" hiddenRows="1" topLeftCell="A2">
      <pane ySplit="6" topLeftCell="A76" activePane="bottomLeft" state="frozen"/>
      <selection pane="bottomLeft" activeCell="B70" sqref="B70:AM70"/>
      <rowBreaks count="5" manualBreakCount="5">
        <brk id="33" min="1" max="38" man="1"/>
        <brk id="64" min="1" max="38" man="1"/>
        <brk id="95" min="1" max="38" man="1"/>
        <brk id="126" min="1" max="38" man="1"/>
        <brk id="156" min="1" max="38" man="1"/>
      </rowBreaks>
      <pageMargins left="0.23622047244094491" right="0.23622047244094491" top="0.35433070866141736" bottom="0.35433070866141736" header="0.31496062992125984" footer="0.31496062992125984"/>
      <pageSetup paperSize="8" scale="63" fitToHeight="0" orientation="landscape" r:id="rId37"/>
      <headerFooter>
        <oddFooter>&amp;L&amp;1#&amp;"Calibri"&amp;10&amp;K000000OFFICIAL</oddFooter>
      </headerFooter>
    </customSheetView>
    <customSheetView guid="{151EB58C-4EFD-4330-8D1A-8AACF5F7C679}" showGridLines="0" fitToPage="1" hiddenRows="1" hiddenColumns="1" topLeftCell="A2">
      <pane xSplit="1" ySplit="6" topLeftCell="B52" activePane="bottomRight" state="frozen"/>
      <selection pane="bottomRight" activeCell="B55" sqref="B55:AM55"/>
      <rowBreaks count="4" manualBreakCount="4">
        <brk id="33" min="1" max="38" man="1"/>
        <brk id="67" min="1" max="38" man="1"/>
        <brk id="99" min="1" max="38" man="1"/>
        <brk id="131" min="1" max="38" man="1"/>
      </rowBreaks>
      <pageMargins left="0.23622047244094491" right="0.23622047244094491" top="0.35433070866141736" bottom="0.35433070866141736" header="0.31496062992125984" footer="0.31496062992125984"/>
      <pageSetup paperSize="8" scale="62" fitToHeight="0" orientation="landscape" r:id="rId38"/>
      <headerFooter>
        <oddFooter>&amp;L&amp;1#&amp;"Calibri"&amp;10&amp;K000000OFFICIAL</oddFooter>
      </headerFooter>
    </customSheetView>
    <customSheetView guid="{8263C9D2-452D-46FA-AFA0-452B42DC0298}" showGridLines="0" fitToPage="1" hiddenRows="1" hiddenColumns="1" topLeftCell="A2">
      <pane xSplit="1" ySplit="6" topLeftCell="B108" activePane="bottomRight" state="frozen"/>
      <selection pane="bottomRight" activeCell="B114" sqref="B114:AM114"/>
      <rowBreaks count="4" manualBreakCount="4">
        <brk id="33" min="1" max="38" man="1"/>
        <brk id="67" min="1" max="38" man="1"/>
        <brk id="99" min="1" max="38" man="1"/>
        <brk id="131" min="1" max="38" man="1"/>
      </rowBreaks>
      <pageMargins left="0.23622047244094491" right="0.23622047244094491" top="0.35433070866141736" bottom="0.35433070866141736" header="0.31496062992125984" footer="0.31496062992125984"/>
      <pageSetup paperSize="8" scale="62" fitToHeight="0" orientation="landscape" r:id="rId39"/>
      <headerFooter>
        <oddFooter>&amp;L&amp;1#&amp;"Calibri"&amp;10&amp;K000000OFFICIAL</oddFooter>
      </headerFooter>
    </customSheetView>
    <customSheetView guid="{DF265C7B-1EEB-47EB-982A-6938E81F7AC2}" scale="80" showGridLines="0" fitToPage="1" hiddenRows="1" hiddenColumns="1" topLeftCell="A90">
      <selection activeCell="B96" sqref="B96:AM96"/>
      <rowBreaks count="4" manualBreakCount="4">
        <brk id="33" min="1" max="38" man="1"/>
        <brk id="67" min="1" max="38" man="1"/>
        <brk id="99" min="1" max="38" man="1"/>
        <brk id="131" min="1" max="38" man="1"/>
      </rowBreaks>
      <pageMargins left="0.23622047244094491" right="0.23622047244094491" top="0.35433070866141736" bottom="0.35433070866141736" header="0.31496062992125984" footer="0.31496062992125984"/>
      <pageSetup paperSize="8" scale="62" fitToHeight="0" orientation="landscape" r:id="rId40"/>
      <headerFooter>
        <oddFooter>&amp;L&amp;1#&amp;"Calibri"&amp;10&amp;K000000OFFICIAL</oddFooter>
      </headerFooter>
    </customSheetView>
    <customSheetView guid="{9F91FBC4-6A13-42C2-A2D9-42A2AC814E28}" scale="72" showGridLines="0" fitToPage="1" hiddenRows="1" hiddenColumns="1" topLeftCell="A107">
      <selection activeCell="B119" sqref="B119:AM119"/>
      <rowBreaks count="4" manualBreakCount="4">
        <brk id="36" min="1" max="38" man="1"/>
        <brk id="71" min="1" max="38" man="1"/>
        <brk id="104" min="1" max="38" man="1"/>
        <brk id="136" min="1" max="38" man="1"/>
      </rowBreaks>
      <pageMargins left="0.23622047244094491" right="0.23622047244094491" top="0.35433070866141736" bottom="0.35433070866141736" header="0.31496062992125984" footer="0.31496062992125984"/>
      <pageSetup paperSize="8" scale="62" fitToHeight="0" orientation="landscape" r:id="rId41"/>
      <headerFooter>
        <oddFooter>&amp;L&amp;1#&amp;"Calibri"&amp;10&amp;K000000OFFICIAL</oddFooter>
      </headerFooter>
    </customSheetView>
    <customSheetView guid="{F4A6298C-1A75-4FA9-A6A4-2BE13CCFE545}" scale="80" showGridLines="0" fitToPage="1" hiddenRows="1" hiddenColumns="1" topLeftCell="A29">
      <selection activeCell="B144" sqref="B144:AM144"/>
      <rowBreaks count="4" manualBreakCount="4">
        <brk id="36" min="1" max="38" man="1"/>
        <brk id="71" min="1" max="38" man="1"/>
        <brk id="104" min="1" max="38" man="1"/>
        <brk id="136" min="1" max="38" man="1"/>
      </rowBreaks>
      <pageMargins left="0.23622047244094491" right="0.23622047244094491" top="0.35433070866141736" bottom="0.35433070866141736" header="0.31496062992125984" footer="0.31496062992125984"/>
      <pageSetup paperSize="8" scale="62" fitToHeight="0" orientation="landscape" r:id="rId42"/>
      <headerFooter>
        <oddFooter>&amp;L&amp;1#&amp;"Calibri"&amp;10&amp;K000000OFFICIAL</oddFooter>
      </headerFooter>
    </customSheetView>
    <customSheetView guid="{29AC9BE3-332A-4738-949C-1F8C0D32BAEE}" scale="70" showGridLines="0" fitToPage="1" hiddenRows="1" hiddenColumns="1" topLeftCell="A2">
      <pane ySplit="5" topLeftCell="A7" activePane="bottomLeft" state="frozen"/>
      <selection pane="bottomLeft" activeCell="B57" sqref="B57:AM57"/>
      <rowBreaks count="4" manualBreakCount="4">
        <brk id="35" min="1" max="38" man="1"/>
        <brk id="66" min="1" max="38" man="1"/>
        <brk id="99" min="1" max="38" man="1"/>
        <brk id="131" min="1" max="38" man="1"/>
      </rowBreaks>
      <pageMargins left="0.23622047244094491" right="0.23622047244094491" top="0.35433070866141736" bottom="0.35433070866141736" header="0.31496062992125984" footer="0.31496062992125984"/>
      <pageSetup paperSize="8" scale="63" fitToHeight="0" orientation="landscape" r:id="rId43"/>
      <headerFooter>
        <oddFooter>&amp;L&amp;1#&amp;"Calibri"&amp;10&amp;K000000OFFICIAL</oddFooter>
      </headerFooter>
    </customSheetView>
    <customSheetView guid="{75EE3B92-AF4D-4E93-A70E-6ADE60CC674F}" scale="70" showGridLines="0" fitToPage="1" hiddenRows="1" hiddenColumns="1" topLeftCell="B2">
      <pane ySplit="5" topLeftCell="A117" activePane="bottomLeft" state="frozen"/>
      <selection pane="bottomLeft" activeCell="B128" sqref="B128:AM128"/>
      <rowBreaks count="4" manualBreakCount="4">
        <brk id="35" min="1" max="38" man="1"/>
        <brk id="66" min="1" max="38" man="1"/>
        <brk id="99" min="1" max="38" man="1"/>
        <brk id="131" min="1" max="38" man="1"/>
      </rowBreaks>
      <pageMargins left="0.23622047244094491" right="0.23622047244094491" top="0.35433070866141736" bottom="0.35433070866141736" header="0.31496062992125984" footer="0.31496062992125984"/>
      <pageSetup paperSize="8" scale="63" fitToHeight="0" orientation="landscape" r:id="rId44"/>
      <headerFooter>
        <oddFooter>&amp;L&amp;1#&amp;"Calibri"&amp;10&amp;K000000OFFICIAL</oddFooter>
      </headerFooter>
    </customSheetView>
    <customSheetView guid="{CA7E8063-5145-49E1-8E00-2E1025705A81}" showGridLines="0" fitToPage="1" hiddenRows="1" hiddenColumns="1" topLeftCell="A2">
      <pane ySplit="5" topLeftCell="A49" activePane="bottomLeft" state="frozen"/>
      <selection pane="bottomLeft" activeCell="B57" sqref="B57:AM57"/>
      <rowBreaks count="4" manualBreakCount="4">
        <brk id="35" min="1" max="38" man="1"/>
        <brk id="66" min="1" max="38" man="1"/>
        <brk id="99" min="1" max="38" man="1"/>
        <brk id="131" min="1" max="38" man="1"/>
      </rowBreaks>
      <pageMargins left="0.23622047244094491" right="0.23622047244094491" top="0.35433070866141736" bottom="0.35433070866141736" header="0.31496062992125984" footer="0.31496062992125984"/>
      <pageSetup paperSize="8" scale="63" fitToHeight="0" orientation="landscape" r:id="rId45"/>
      <headerFooter>
        <oddFooter>&amp;L&amp;1#&amp;"Calibri"&amp;10&amp;K000000OFFICIAL</oddFooter>
      </headerFooter>
    </customSheetView>
    <customSheetView guid="{51DFD3D6-BC25-47B4-B28F-D640534DB3A9}" scale="75" showGridLines="0" fitToPage="1" printArea="1" hiddenRows="1" hiddenColumns="1" topLeftCell="A2">
      <pane ySplit="5" topLeftCell="A7" activePane="bottomLeft" state="frozen"/>
      <selection pane="bottomLeft" activeCell="C11" sqref="C11"/>
      <rowBreaks count="4" manualBreakCount="4">
        <brk id="35" min="1" max="38" man="1"/>
        <brk id="66" min="1" max="38" man="1"/>
        <brk id="99" min="1" max="38" man="1"/>
        <brk id="131" min="1" max="38" man="1"/>
      </rowBreaks>
      <pageMargins left="0.23622047244094491" right="0.23622047244094491" top="0.35433070866141736" bottom="0.35433070866141736" header="0.31496062992125984" footer="0.31496062992125984"/>
      <pageSetup paperSize="8" scale="63" fitToHeight="0" orientation="landscape" r:id="rId46"/>
      <headerFooter>
        <oddFooter>&amp;L&amp;1#&amp;"Calibri"&amp;10&amp;K000000OFFICIAL</oddFooter>
      </headerFooter>
    </customSheetView>
    <customSheetView guid="{37F5A0AB-EB39-4832-9D67-F67D908BF486}" scale="90" showGridLines="0" fitToPage="1" hiddenRows="1" hiddenColumns="1" topLeftCell="A2">
      <pane ySplit="5" topLeftCell="A111" activePane="bottomLeft" state="frozen"/>
      <selection pane="bottomLeft" activeCell="B117" sqref="B117:AM117"/>
      <rowBreaks count="4" manualBreakCount="4">
        <brk id="35" min="1" max="38" man="1"/>
        <brk id="66" min="1" max="38" man="1"/>
        <brk id="99" min="1" max="38" man="1"/>
        <brk id="131" min="1" max="38" man="1"/>
      </rowBreaks>
      <pageMargins left="0.23622047244094491" right="0.23622047244094491" top="0.35433070866141736" bottom="0.35433070866141736" header="0.31496062992125984" footer="0.31496062992125984"/>
      <pageSetup paperSize="8" scale="63" fitToHeight="0" orientation="landscape" r:id="rId47"/>
      <headerFooter>
        <oddFooter>&amp;L&amp;1#&amp;"Calibri"&amp;10&amp;K000000OFFICIAL</oddFooter>
      </headerFooter>
    </customSheetView>
    <customSheetView guid="{70582C04-BB53-4A99-A3C1-673011D9AE1C}" scale="85" showGridLines="0" fitToPage="1" hiddenRows="1" hiddenColumns="1" topLeftCell="A2">
      <pane ySplit="5" topLeftCell="A139" activePane="bottomLeft" state="frozen"/>
      <selection pane="bottomLeft" activeCell="B142" sqref="B142:AM142"/>
      <rowBreaks count="4" manualBreakCount="4">
        <brk id="35" min="1" max="38" man="1"/>
        <brk id="66" min="1" max="38" man="1"/>
        <brk id="99" min="1" max="38" man="1"/>
        <brk id="131" min="1" max="38" man="1"/>
      </rowBreaks>
      <pageMargins left="0.23622047244094491" right="0.23622047244094491" top="0.35433070866141736" bottom="0.35433070866141736" header="0.31496062992125984" footer="0.31496062992125984"/>
      <pageSetup paperSize="8" scale="63" fitToHeight="0" orientation="landscape" r:id="rId48"/>
      <headerFooter>
        <oddFooter>&amp;L&amp;1#&amp;"Calibri"&amp;10&amp;K000000OFFICIAL</oddFooter>
      </headerFooter>
    </customSheetView>
    <customSheetView guid="{442F9A23-CA6E-4109-B10C-ACF5FD36B859}" scale="70" showGridLines="0" fitToPage="1" hiddenRows="1" hiddenColumns="1" topLeftCell="B2">
      <pane ySplit="5" topLeftCell="A74" activePane="bottomLeft" state="frozen"/>
      <selection pane="bottomLeft" activeCell="B76" sqref="B76:AM76"/>
      <rowBreaks count="4" manualBreakCount="4">
        <brk id="36" min="1" max="38" man="1"/>
        <brk id="67" min="1" max="38" man="1"/>
        <brk id="100" min="1" max="38" man="1"/>
        <brk id="132" min="1" max="38" man="1"/>
      </rowBreaks>
      <pageMargins left="0.23622047244094491" right="0.23622047244094491" top="0.35433070866141736" bottom="0.35433070866141736" header="0.31496062992125984" footer="0.31496062992125984"/>
      <pageSetup paperSize="8" scale="62" fitToHeight="0" orientation="landscape" r:id="rId49"/>
      <headerFooter>
        <oddFooter>&amp;L&amp;1#&amp;"Calibri"&amp;10&amp;K000000OFFICIAL</oddFooter>
      </headerFooter>
    </customSheetView>
    <customSheetView guid="{E4713981-DD11-40CE-BE52-873D93BDDE05}" scale="90" showGridLines="0" fitToPage="1" hiddenRows="1" hiddenColumns="1" topLeftCell="D2">
      <pane ySplit="5" topLeftCell="A62" activePane="bottomLeft" state="frozen"/>
      <selection pane="bottomLeft" activeCell="B67" sqref="B67:AM67"/>
      <rowBreaks count="4" manualBreakCount="4">
        <brk id="36" min="1" max="38" man="1"/>
        <brk id="67" min="1" max="38" man="1"/>
        <brk id="100" min="1" max="38" man="1"/>
        <brk id="132" min="1" max="38" man="1"/>
      </rowBreaks>
      <pageMargins left="0.23622047244094491" right="0.23622047244094491" top="0.35433070866141736" bottom="0.35433070866141736" header="0.31496062992125984" footer="0.31496062992125984"/>
      <pageSetup paperSize="8" scale="62" fitToHeight="0" orientation="landscape" r:id="rId50"/>
      <headerFooter>
        <oddFooter>&amp;L&amp;1#&amp;"Calibri"&amp;10&amp;K000000OFFICIAL</oddFooter>
      </headerFooter>
    </customSheetView>
    <customSheetView guid="{83044EFE-7F92-4F81-B034-85D9567158C2}" scale="75" showGridLines="0" fitToPage="1" hiddenRows="1" hiddenColumns="1" topLeftCell="D2">
      <pane ySplit="5" topLeftCell="A67" activePane="bottomLeft" state="frozen"/>
      <selection pane="bottomLeft" activeCell="B74" sqref="B74"/>
      <rowBreaks count="4" manualBreakCount="4">
        <brk id="36" min="1" max="38" man="1"/>
        <brk id="67" min="1" max="38" man="1"/>
        <brk id="100" min="1" max="38" man="1"/>
        <brk id="132" min="1" max="38" man="1"/>
      </rowBreaks>
      <pageMargins left="0.23622047244094491" right="0.23622047244094491" top="0.35433070866141736" bottom="0.35433070866141736" header="0.31496062992125984" footer="0.31496062992125984"/>
      <pageSetup paperSize="8" scale="62" fitToHeight="0" orientation="landscape" r:id="rId51"/>
      <headerFooter>
        <oddFooter>&amp;L&amp;1#&amp;"Calibri"&amp;10&amp;K000000OFFICIAL</oddFooter>
      </headerFooter>
    </customSheetView>
    <customSheetView guid="{E3A3AE56-8881-4A6F-9299-803C489AD1B4}" scale="90" showGridLines="0" fitToPage="1" hiddenRows="1" hiddenColumns="1" topLeftCell="B2">
      <pane ySplit="5" topLeftCell="A47" activePane="bottomLeft" state="frozen"/>
      <selection pane="bottomLeft" activeCell="B58" sqref="B58:AM58"/>
      <rowBreaks count="4" manualBreakCount="4">
        <brk id="36" min="1" max="38" man="1"/>
        <brk id="67" min="1" max="38" man="1"/>
        <brk id="100" min="1" max="38" man="1"/>
        <brk id="132" min="1" max="38" man="1"/>
      </rowBreaks>
      <pageMargins left="0.23622047244094491" right="0.23622047244094491" top="0.35433070866141736" bottom="0.35433070866141736" header="0.31496062992125984" footer="0.31496062992125984"/>
      <pageSetup paperSize="8" scale="62" fitToHeight="0" orientation="landscape" r:id="rId52"/>
      <headerFooter>
        <oddFooter>&amp;L&amp;1#&amp;"Calibri"&amp;10&amp;K000000OFFICIAL</oddFooter>
      </headerFooter>
    </customSheetView>
    <customSheetView guid="{FBC63E8F-69FE-4648-B709-FA1212EFFB29}" scale="70" showGridLines="0" fitToPage="1" hiddenRows="1" hiddenColumns="1" topLeftCell="B93">
      <selection activeCell="C99" sqref="C99"/>
      <rowBreaks count="4" manualBreakCount="4">
        <brk id="33" min="1" max="38" man="1"/>
        <brk id="64" min="1" max="38" man="1"/>
        <brk id="97" min="1" max="38" man="1"/>
        <brk id="129" min="1" max="38" man="1"/>
      </rowBreaks>
      <pageMargins left="0.23622047244094491" right="0.23622047244094491" top="0.35433070866141736" bottom="0.35433070866141736" header="0.31496062992125984" footer="0.31496062992125984"/>
      <pageSetup paperSize="8" scale="62" fitToHeight="0" orientation="landscape" r:id="rId53"/>
      <headerFooter>
        <oddFooter>&amp;L&amp;1#&amp;"Calibri"&amp;10&amp;K000000OFFICIAL</oddFooter>
      </headerFooter>
    </customSheetView>
    <customSheetView guid="{0EDA65D2-43FB-421C-9D8C-D8082C64B09A}" scale="85" showGridLines="0" fitToPage="1" hiddenRows="1" hiddenColumns="1" topLeftCell="A2">
      <pane ySplit="5" topLeftCell="A48" activePane="bottomLeft" state="frozen"/>
      <selection pane="bottomLeft" activeCell="B48" sqref="B48:AM48"/>
      <rowBreaks count="4" manualBreakCount="4">
        <brk id="36" min="1" max="38" man="1"/>
        <brk id="73" min="1" max="38" man="1"/>
        <brk id="109" min="1" max="38" man="1"/>
        <brk id="138" min="1" max="38" man="1"/>
      </rowBreaks>
      <pageMargins left="0.23622047244094491" right="0.23622047244094491" top="0.35433070866141736" bottom="0.35433070866141736" header="0.31496062992125984" footer="0.31496062992125984"/>
      <pageSetup paperSize="8" scale="63" fitToHeight="0" orientation="landscape" r:id="rId54"/>
      <headerFooter>
        <oddFooter>&amp;L&amp;1#&amp;"Calibri"&amp;10&amp;K000000OFFICIAL</oddFooter>
      </headerFooter>
    </customSheetView>
    <customSheetView guid="{B434A8A8-5A4C-48C0-82E7-2458B9D2EEEF}" scale="70" showGridLines="0" fitToPage="1" hiddenRows="1" hiddenColumns="1" topLeftCell="A2">
      <pane ySplit="5" topLeftCell="A112" activePane="bottomLeft" state="frozen"/>
      <selection pane="bottomLeft" activeCell="B129" sqref="B129:AM129"/>
      <rowBreaks count="4" manualBreakCount="4">
        <brk id="36" min="1" max="38" man="1"/>
        <brk id="73" min="1" max="38" man="1"/>
        <brk id="109" min="1" max="38" man="1"/>
        <brk id="138" min="1" max="38" man="1"/>
      </rowBreaks>
      <pageMargins left="0.23622047244094491" right="0.23622047244094491" top="0.35433070866141736" bottom="0.35433070866141736" header="0.31496062992125984" footer="0.31496062992125984"/>
      <pageSetup paperSize="8" scale="63" fitToHeight="0" orientation="landscape" r:id="rId55"/>
      <headerFooter>
        <oddFooter>&amp;L&amp;1#&amp;"Calibri"&amp;10&amp;K000000OFFICIAL</oddFooter>
      </headerFooter>
    </customSheetView>
    <customSheetView guid="{EDD5A64E-02C0-4DD6-80BA-449123FCDAA2}" scale="90" showGridLines="0" fitToPage="1" hiddenRows="1" hiddenColumns="1" topLeftCell="C2">
      <pane ySplit="5" topLeftCell="A122" activePane="bottomLeft" state="frozen"/>
      <selection pane="bottomLeft" activeCell="C134" sqref="C134"/>
      <rowBreaks count="4" manualBreakCount="4">
        <brk id="36" min="1" max="38" man="1"/>
        <brk id="73" min="1" max="38" man="1"/>
        <brk id="109" min="1" max="38" man="1"/>
        <brk id="138" min="1" max="38" man="1"/>
      </rowBreaks>
      <pageMargins left="0.23622047244094491" right="0.23622047244094491" top="0.35433070866141736" bottom="0.35433070866141736" header="0.31496062992125984" footer="0.31496062992125984"/>
      <pageSetup paperSize="8" scale="63" fitToHeight="0" orientation="landscape" r:id="rId56"/>
      <headerFooter>
        <oddFooter>&amp;L&amp;1#&amp;"Calibri"&amp;10&amp;K000000OFFICIAL</oddFooter>
      </headerFooter>
    </customSheetView>
    <customSheetView guid="{97D58294-343B-4B62-A826-0DDDE29B5F0D}" showGridLines="0" fitToPage="1" hiddenRows="1" hiddenColumns="1" topLeftCell="A2">
      <pane ySplit="5" topLeftCell="A109" activePane="bottomLeft" state="frozen"/>
      <selection pane="bottomLeft" activeCell="B118" sqref="B118:AM118"/>
      <rowBreaks count="4" manualBreakCount="4">
        <brk id="36" min="1" max="38" man="1"/>
        <brk id="73" min="1" max="38" man="1"/>
        <brk id="109" min="1" max="38" man="1"/>
        <brk id="138" min="1" max="38" man="1"/>
      </rowBreaks>
      <pageMargins left="0.23622047244094491" right="0.23622047244094491" top="0.35433070866141736" bottom="0.35433070866141736" header="0.31496062992125984" footer="0.31496062992125984"/>
      <pageSetup paperSize="8" scale="63" fitToHeight="0" orientation="landscape" r:id="rId57"/>
      <headerFooter>
        <oddFooter>&amp;L&amp;1#&amp;"Calibri"&amp;10&amp;K000000OFFICIAL</oddFooter>
      </headerFooter>
    </customSheetView>
    <customSheetView guid="{800416AC-1374-44AC-811C-612C85EF24E6}" scale="85" showGridLines="0" fitToPage="1" hiddenRows="1" hiddenColumns="1" topLeftCell="A2">
      <pane ySplit="5" topLeftCell="A72" activePane="bottomLeft" state="frozen"/>
      <selection pane="bottomLeft" activeCell="B76" sqref="B76:AM76"/>
      <rowBreaks count="4" manualBreakCount="4">
        <brk id="36" min="1" max="38" man="1"/>
        <brk id="73" min="1" max="38" man="1"/>
        <brk id="103" min="1" max="38" man="1"/>
        <brk id="129" min="1" max="38" man="1"/>
      </rowBreaks>
      <pageMargins left="0.23622047244094491" right="0.23622047244094491" top="0.35433070866141736" bottom="0.35433070866141736" header="0.31496062992125984" footer="0.31496062992125984"/>
      <pageSetup paperSize="8" scale="63" fitToHeight="0" orientation="landscape" r:id="rId58"/>
      <headerFooter>
        <oddFooter>&amp;L&amp;1#&amp;"Calibri"&amp;10&amp;K000000OFFICIAL</oddFooter>
      </headerFooter>
    </customSheetView>
    <customSheetView guid="{2EA8DBF7-9763-457C-AA9F-1EEB2F136D1F}" scale="110" showGridLines="0" fitToPage="1" hiddenRows="1" hiddenColumns="1" topLeftCell="B2">
      <pane ySplit="5" topLeftCell="A63" activePane="bottomLeft" state="frozen"/>
      <selection pane="bottomLeft" activeCell="B64" sqref="B64:AM64"/>
      <rowBreaks count="4" manualBreakCount="4">
        <brk id="36" min="1" max="38" man="1"/>
        <brk id="73" min="1" max="38" man="1"/>
        <brk id="103" min="1" max="38" man="1"/>
        <brk id="129" min="1" max="38" man="1"/>
      </rowBreaks>
      <pageMargins left="0.23622047244094491" right="0.23622047244094491" top="0.35433070866141736" bottom="0.35433070866141736" header="0.31496062992125984" footer="0.31496062992125984"/>
      <pageSetup paperSize="8" scale="63" fitToHeight="0" orientation="landscape" r:id="rId59"/>
      <headerFooter>
        <oddFooter>&amp;L&amp;1#&amp;"Calibri"&amp;10&amp;K000000OFFICIAL</oddFooter>
      </headerFooter>
    </customSheetView>
    <customSheetView guid="{78AA4A71-CE17-4C4D-849E-E3E1A44EA907}" scale="75" showGridLines="0" fitToPage="1" hiddenRows="1" hiddenColumns="1" topLeftCell="A2">
      <pane ySplit="5" topLeftCell="A116" activePane="bottomLeft" state="frozen"/>
      <selection pane="bottomLeft" activeCell="AH125" sqref="AH125"/>
      <rowBreaks count="4" manualBreakCount="4">
        <brk id="36" min="1" max="38" man="1"/>
        <brk id="73" min="1" max="38" man="1"/>
        <brk id="103" min="1" max="38" man="1"/>
        <brk id="129" min="1" max="38" man="1"/>
      </rowBreaks>
      <pageMargins left="0.23622047244094491" right="0.23622047244094491" top="0.35433070866141736" bottom="0.35433070866141736" header="0.31496062992125984" footer="0.31496062992125984"/>
      <pageSetup paperSize="8" scale="63" fitToHeight="0" orientation="landscape" r:id="rId60"/>
      <headerFooter>
        <oddFooter>&amp;L&amp;1#&amp;"Calibri"&amp;10&amp;K000000OFFICIAL</oddFooter>
      </headerFooter>
    </customSheetView>
    <customSheetView guid="{C7C13768-4A8D-4CBA-978C-F4A7B5550C00}" scale="85" showGridLines="0" fitToPage="1" hiddenRows="1" hiddenColumns="1" topLeftCell="A2">
      <pane ySplit="1" topLeftCell="A48" activePane="bottomLeft" state="frozen"/>
      <selection pane="bottomLeft" activeCell="B55" sqref="B55:AM55"/>
      <rowBreaks count="4" manualBreakCount="4">
        <brk id="36" min="1" max="38" man="1"/>
        <brk id="73" min="1" max="38" man="1"/>
        <brk id="103" min="1" max="38" man="1"/>
        <brk id="129" min="1" max="38" man="1"/>
      </rowBreaks>
      <pageMargins left="0.23622047244094491" right="0.23622047244094491" top="0.35433070866141736" bottom="0.35433070866141736" header="0.31496062992125984" footer="0.31496062992125984"/>
      <pageSetup paperSize="8" scale="63" fitToHeight="0" orientation="landscape" r:id="rId61"/>
      <headerFooter>
        <oddFooter>&amp;L&amp;1#&amp;"Calibri"&amp;10&amp;K000000OFFICIAL</oddFooter>
      </headerFooter>
    </customSheetView>
    <customSheetView guid="{D59DDBAA-620D-43B7-A6D9-759808D3397A}" scale="55" showGridLines="0" fitToPage="1" hiddenRows="1" hiddenColumns="1" topLeftCell="A103">
      <selection activeCell="B109" sqref="B109:AM109"/>
      <rowBreaks count="4" manualBreakCount="4">
        <brk id="36" min="1" max="38" man="1"/>
        <brk id="73" min="1" max="38" man="1"/>
        <brk id="109" min="1" max="38" man="1"/>
        <brk id="129" min="1" max="38" man="1"/>
      </rowBreaks>
      <pageMargins left="0.23622047244094491" right="0.23622047244094491" top="0.35433070866141736" bottom="0.35433070866141736" header="0.31496062992125984" footer="0.31496062992125984"/>
      <pageSetup paperSize="8" scale="63" fitToHeight="0" orientation="landscape" r:id="rId62"/>
      <headerFooter>
        <oddFooter>&amp;L&amp;1#&amp;"Calibri"&amp;10&amp;K000000OFFICIAL</oddFooter>
      </headerFooter>
    </customSheetView>
  </customSheetViews>
  <mergeCells count="124">
    <mergeCell ref="B120:AM120"/>
    <mergeCell ref="B94:AM94"/>
    <mergeCell ref="B148:E148"/>
    <mergeCell ref="B149:E149"/>
    <mergeCell ref="B150:E150"/>
    <mergeCell ref="B52:AM52"/>
    <mergeCell ref="B112:AM112"/>
    <mergeCell ref="B61:AM61"/>
    <mergeCell ref="B91:AM91"/>
    <mergeCell ref="B177:E177"/>
    <mergeCell ref="B174:E174"/>
    <mergeCell ref="B175:E175"/>
    <mergeCell ref="B176:E176"/>
    <mergeCell ref="B134:AM134"/>
    <mergeCell ref="B118:AM118"/>
    <mergeCell ref="B129:AM129"/>
    <mergeCell ref="B45:AM45"/>
    <mergeCell ref="B170:E170"/>
    <mergeCell ref="B166:E166"/>
    <mergeCell ref="B158:E158"/>
    <mergeCell ref="B159:E159"/>
    <mergeCell ref="B160:E160"/>
    <mergeCell ref="B161:E161"/>
    <mergeCell ref="B153:E153"/>
    <mergeCell ref="B154:E154"/>
    <mergeCell ref="B155:E155"/>
    <mergeCell ref="B156:E156"/>
    <mergeCell ref="B157:E157"/>
    <mergeCell ref="B163:E163"/>
    <mergeCell ref="B151:E151"/>
    <mergeCell ref="B152:E152"/>
    <mergeCell ref="B140:J140"/>
    <mergeCell ref="B106:AM106"/>
    <mergeCell ref="AO3:AQ4"/>
    <mergeCell ref="AS3:AT4"/>
    <mergeCell ref="AO5:AO6"/>
    <mergeCell ref="AP5:AP6"/>
    <mergeCell ref="AQ5:AQ6"/>
    <mergeCell ref="AS5:AS6"/>
    <mergeCell ref="AT5:AT6"/>
    <mergeCell ref="B172:E172"/>
    <mergeCell ref="B173:E173"/>
    <mergeCell ref="B167:E167"/>
    <mergeCell ref="B168:E168"/>
    <mergeCell ref="B169:E169"/>
    <mergeCell ref="B171:E171"/>
    <mergeCell ref="B162:E162"/>
    <mergeCell ref="B164:E164"/>
    <mergeCell ref="B97:AM97"/>
    <mergeCell ref="B33:AM33"/>
    <mergeCell ref="B14:AM14"/>
    <mergeCell ref="B42:AM42"/>
    <mergeCell ref="B44:AM44"/>
    <mergeCell ref="B27:AM27"/>
    <mergeCell ref="B103:AM103"/>
    <mergeCell ref="B141:E141"/>
    <mergeCell ref="B132:AM132"/>
    <mergeCell ref="AV3:AW4"/>
    <mergeCell ref="AY3:BB4"/>
    <mergeCell ref="AY5:AZ5"/>
    <mergeCell ref="BA5:BB5"/>
    <mergeCell ref="B165:E165"/>
    <mergeCell ref="B142:E142"/>
    <mergeCell ref="B143:E143"/>
    <mergeCell ref="B144:E144"/>
    <mergeCell ref="B145:E145"/>
    <mergeCell ref="B146:E146"/>
    <mergeCell ref="B147:E147"/>
    <mergeCell ref="O4:P4"/>
    <mergeCell ref="B39:AM39"/>
    <mergeCell ref="B18:AM18"/>
    <mergeCell ref="B21:AM21"/>
    <mergeCell ref="B137:AM137"/>
    <mergeCell ref="B76:AM76"/>
    <mergeCell ref="J5:K5"/>
    <mergeCell ref="AA5:AC5"/>
    <mergeCell ref="L5:M5"/>
    <mergeCell ref="B126:AM126"/>
    <mergeCell ref="B123:AM123"/>
    <mergeCell ref="B109:AM109"/>
    <mergeCell ref="B116:AM116"/>
    <mergeCell ref="B8:AM8"/>
    <mergeCell ref="B10:AM10"/>
    <mergeCell ref="B55:AM55"/>
    <mergeCell ref="B100:AM100"/>
    <mergeCell ref="B64:AM64"/>
    <mergeCell ref="B67:AM67"/>
    <mergeCell ref="B70:AM70"/>
    <mergeCell ref="B79:AM79"/>
    <mergeCell ref="B50:AM50"/>
    <mergeCell ref="B88:AM88"/>
    <mergeCell ref="B85:AM85"/>
    <mergeCell ref="B90:AM90"/>
    <mergeCell ref="B48:AM48"/>
    <mergeCell ref="B82:AM82"/>
    <mergeCell ref="B73:AM73"/>
    <mergeCell ref="B58:AM58"/>
    <mergeCell ref="B12:AM12"/>
    <mergeCell ref="B24:AM24"/>
    <mergeCell ref="B16:AM16"/>
    <mergeCell ref="B30:AM30"/>
    <mergeCell ref="B36:AM36"/>
    <mergeCell ref="F3:P3"/>
    <mergeCell ref="P5:P6"/>
    <mergeCell ref="D3:D6"/>
    <mergeCell ref="B3:B6"/>
    <mergeCell ref="O5:O6"/>
    <mergeCell ref="F4:G6"/>
    <mergeCell ref="I5:I6"/>
    <mergeCell ref="AM3:AM6"/>
    <mergeCell ref="R3:AK3"/>
    <mergeCell ref="AF5:AF6"/>
    <mergeCell ref="AG5:AG6"/>
    <mergeCell ref="AH5:AH6"/>
    <mergeCell ref="AI5:AI6"/>
    <mergeCell ref="AE5:AE6"/>
    <mergeCell ref="AJ5:AK5"/>
    <mergeCell ref="C3:C6"/>
    <mergeCell ref="I4:M4"/>
    <mergeCell ref="U4:U6"/>
    <mergeCell ref="W4:AC4"/>
    <mergeCell ref="AE4:AK4"/>
    <mergeCell ref="W5:Y5"/>
    <mergeCell ref="R4:S6"/>
  </mergeCells>
  <conditionalFormatting sqref="F11">
    <cfRule type="cellIs" dxfId="1349" priority="47" operator="equal">
      <formula>"A"</formula>
    </cfRule>
    <cfRule type="cellIs" dxfId="1348" priority="48" operator="equal">
      <formula>"R"</formula>
    </cfRule>
    <cfRule type="cellIs" dxfId="1347" priority="46" operator="equal">
      <formula>"G"</formula>
    </cfRule>
    <cfRule type="cellIs" dxfId="1346" priority="45" operator="equal">
      <formula>"n/a"</formula>
    </cfRule>
  </conditionalFormatting>
  <conditionalFormatting sqref="F17">
    <cfRule type="cellIs" dxfId="1345" priority="1962" operator="equal">
      <formula>"n/a"</formula>
    </cfRule>
    <cfRule type="cellIs" dxfId="1344" priority="1963" operator="equal">
      <formula>"G"</formula>
    </cfRule>
    <cfRule type="cellIs" dxfId="1343" priority="1964" operator="equal">
      <formula>"A"</formula>
    </cfRule>
    <cfRule type="cellIs" dxfId="1342" priority="1965" operator="equal">
      <formula>"R"</formula>
    </cfRule>
  </conditionalFormatting>
  <conditionalFormatting sqref="F20">
    <cfRule type="cellIs" dxfId="1341" priority="1960" operator="equal">
      <formula>"A"</formula>
    </cfRule>
    <cfRule type="cellIs" dxfId="1340" priority="1958" operator="equal">
      <formula>"n/a"</formula>
    </cfRule>
    <cfRule type="cellIs" dxfId="1339" priority="1959" operator="equal">
      <formula>"G"</formula>
    </cfRule>
    <cfRule type="cellIs" dxfId="1338" priority="1961" operator="equal">
      <formula>"R"</formula>
    </cfRule>
  </conditionalFormatting>
  <conditionalFormatting sqref="F23">
    <cfRule type="cellIs" dxfId="1337" priority="1953" operator="equal">
      <formula>"R"</formula>
    </cfRule>
    <cfRule type="cellIs" dxfId="1336" priority="1952" operator="equal">
      <formula>"A"</formula>
    </cfRule>
    <cfRule type="cellIs" dxfId="1335" priority="1950" operator="equal">
      <formula>"n/a"</formula>
    </cfRule>
    <cfRule type="cellIs" dxfId="1334" priority="1951" operator="equal">
      <formula>"G"</formula>
    </cfRule>
  </conditionalFormatting>
  <conditionalFormatting sqref="F26">
    <cfRule type="cellIs" dxfId="1333" priority="1957" operator="equal">
      <formula>"R"</formula>
    </cfRule>
    <cfRule type="cellIs" dxfId="1332" priority="1956" operator="equal">
      <formula>"A"</formula>
    </cfRule>
    <cfRule type="cellIs" dxfId="1331" priority="1955" operator="equal">
      <formula>"G"</formula>
    </cfRule>
    <cfRule type="cellIs" dxfId="1330" priority="1954" operator="equal">
      <formula>"n/a"</formula>
    </cfRule>
  </conditionalFormatting>
  <conditionalFormatting sqref="F29">
    <cfRule type="cellIs" dxfId="1329" priority="1968" operator="equal">
      <formula>"A"</formula>
    </cfRule>
    <cfRule type="cellIs" dxfId="1328" priority="1969" operator="equal">
      <formula>"R"</formula>
    </cfRule>
    <cfRule type="cellIs" dxfId="1327" priority="1966" operator="equal">
      <formula>"n/a"</formula>
    </cfRule>
    <cfRule type="cellIs" dxfId="1326" priority="1967" operator="equal">
      <formula>"G"</formula>
    </cfRule>
  </conditionalFormatting>
  <conditionalFormatting sqref="F32">
    <cfRule type="cellIs" dxfId="1325" priority="3752" operator="equal">
      <formula>"A"</formula>
    </cfRule>
    <cfRule type="cellIs" dxfId="1324" priority="3753" operator="equal">
      <formula>"R"</formula>
    </cfRule>
    <cfRule type="cellIs" dxfId="1323" priority="3750" operator="equal">
      <formula>"n/a"</formula>
    </cfRule>
    <cfRule type="cellIs" dxfId="1322" priority="3751" operator="equal">
      <formula>"G"</formula>
    </cfRule>
  </conditionalFormatting>
  <conditionalFormatting sqref="F35">
    <cfRule type="cellIs" dxfId="1321" priority="1948" operator="equal">
      <formula>"A"</formula>
    </cfRule>
    <cfRule type="cellIs" dxfId="1320" priority="1947" operator="equal">
      <formula>"G"</formula>
    </cfRule>
    <cfRule type="cellIs" dxfId="1319" priority="1946" operator="equal">
      <formula>"n/a"</formula>
    </cfRule>
    <cfRule type="cellIs" dxfId="1318" priority="1949" operator="equal">
      <formula>"R"</formula>
    </cfRule>
  </conditionalFormatting>
  <conditionalFormatting sqref="F38">
    <cfRule type="cellIs" dxfId="1317" priority="1945" operator="equal">
      <formula>"R"</formula>
    </cfRule>
    <cfRule type="cellIs" dxfId="1316" priority="1944" operator="equal">
      <formula>"A"</formula>
    </cfRule>
    <cfRule type="cellIs" dxfId="1315" priority="1943" operator="equal">
      <formula>"G"</formula>
    </cfRule>
    <cfRule type="cellIs" dxfId="1314" priority="1942" operator="equal">
      <formula>"n/a"</formula>
    </cfRule>
  </conditionalFormatting>
  <conditionalFormatting sqref="F41">
    <cfRule type="cellIs" dxfId="1313" priority="3501" operator="equal">
      <formula>"G"</formula>
    </cfRule>
    <cfRule type="cellIs" dxfId="1312" priority="3502" operator="equal">
      <formula>"A"</formula>
    </cfRule>
    <cfRule type="cellIs" dxfId="1311" priority="3503" operator="equal">
      <formula>"R"</formula>
    </cfRule>
    <cfRule type="cellIs" dxfId="1310" priority="3500" operator="equal">
      <formula>"n/a"</formula>
    </cfRule>
  </conditionalFormatting>
  <conditionalFormatting sqref="F47">
    <cfRule type="cellIs" dxfId="1309" priority="4146" operator="equal">
      <formula>"n/a"</formula>
    </cfRule>
    <cfRule type="cellIs" dxfId="1308" priority="4147" operator="equal">
      <formula>"G"</formula>
    </cfRule>
    <cfRule type="cellIs" dxfId="1307" priority="4148" operator="equal">
      <formula>"A"</formula>
    </cfRule>
    <cfRule type="cellIs" dxfId="1306" priority="4149" operator="equal">
      <formula>"R"</formula>
    </cfRule>
  </conditionalFormatting>
  <conditionalFormatting sqref="F54">
    <cfRule type="cellIs" dxfId="1305" priority="1120" operator="equal">
      <formula>"n/a"</formula>
    </cfRule>
    <cfRule type="cellIs" dxfId="1304" priority="1121" operator="equal">
      <formula>"G"</formula>
    </cfRule>
    <cfRule type="cellIs" dxfId="1303" priority="1122" operator="equal">
      <formula>"A"</formula>
    </cfRule>
    <cfRule type="cellIs" dxfId="1302" priority="1123" operator="equal">
      <formula>"R"</formula>
    </cfRule>
  </conditionalFormatting>
  <conditionalFormatting sqref="F57">
    <cfRule type="cellIs" dxfId="1301" priority="1632" operator="equal">
      <formula>"n/a"</formula>
    </cfRule>
    <cfRule type="cellIs" dxfId="1300" priority="1635" operator="equal">
      <formula>"R"</formula>
    </cfRule>
    <cfRule type="cellIs" dxfId="1299" priority="1633" operator="equal">
      <formula>"G"</formula>
    </cfRule>
    <cfRule type="cellIs" dxfId="1298" priority="1634" operator="equal">
      <formula>"A"</formula>
    </cfRule>
  </conditionalFormatting>
  <conditionalFormatting sqref="F60">
    <cfRule type="cellIs" dxfId="1297" priority="839" operator="equal">
      <formula>"R"</formula>
    </cfRule>
    <cfRule type="cellIs" dxfId="1296" priority="838" operator="equal">
      <formula>"A"</formula>
    </cfRule>
    <cfRule type="cellIs" dxfId="1295" priority="837" operator="equal">
      <formula>"G"</formula>
    </cfRule>
    <cfRule type="cellIs" dxfId="1294" priority="836" operator="equal">
      <formula>"n/a"</formula>
    </cfRule>
  </conditionalFormatting>
  <conditionalFormatting sqref="F63">
    <cfRule type="cellIs" dxfId="1293" priority="738" operator="equal">
      <formula>"A"</formula>
    </cfRule>
    <cfRule type="cellIs" dxfId="1292" priority="736" operator="equal">
      <formula>"n/a"</formula>
    </cfRule>
    <cfRule type="cellIs" dxfId="1291" priority="737" operator="equal">
      <formula>"G"</formula>
    </cfRule>
    <cfRule type="cellIs" dxfId="1290" priority="739" operator="equal">
      <formula>"R"</formula>
    </cfRule>
  </conditionalFormatting>
  <conditionalFormatting sqref="F66">
    <cfRule type="cellIs" dxfId="1289" priority="716" operator="equal">
      <formula>"n/a"</formula>
    </cfRule>
    <cfRule type="cellIs" dxfId="1288" priority="717" operator="equal">
      <formula>"G"</formula>
    </cfRule>
    <cfRule type="cellIs" dxfId="1287" priority="718" operator="equal">
      <formula>"A"</formula>
    </cfRule>
    <cfRule type="cellIs" dxfId="1286" priority="719" operator="equal">
      <formula>"R"</formula>
    </cfRule>
  </conditionalFormatting>
  <conditionalFormatting sqref="F69">
    <cfRule type="cellIs" dxfId="1285" priority="698" operator="equal">
      <formula>"A"</formula>
    </cfRule>
    <cfRule type="cellIs" dxfId="1284" priority="696" operator="equal">
      <formula>"n/a"</formula>
    </cfRule>
    <cfRule type="cellIs" dxfId="1283" priority="697" operator="equal">
      <formula>"G"</formula>
    </cfRule>
    <cfRule type="cellIs" dxfId="1282" priority="699" operator="equal">
      <formula>"R"</formula>
    </cfRule>
  </conditionalFormatting>
  <conditionalFormatting sqref="F72">
    <cfRule type="cellIs" dxfId="1281" priority="578" operator="equal">
      <formula>"A"</formula>
    </cfRule>
    <cfRule type="cellIs" dxfId="1280" priority="577" operator="equal">
      <formula>"G"</formula>
    </cfRule>
    <cfRule type="cellIs" dxfId="1279" priority="576" operator="equal">
      <formula>"n/a"</formula>
    </cfRule>
    <cfRule type="cellIs" dxfId="1278" priority="579" operator="equal">
      <formula>"R"</formula>
    </cfRule>
  </conditionalFormatting>
  <conditionalFormatting sqref="F75">
    <cfRule type="cellIs" dxfId="1277" priority="778" operator="equal">
      <formula>"A"</formula>
    </cfRule>
    <cfRule type="cellIs" dxfId="1276" priority="777" operator="equal">
      <formula>"G"</formula>
    </cfRule>
    <cfRule type="cellIs" dxfId="1275" priority="776" operator="equal">
      <formula>"n/a"</formula>
    </cfRule>
    <cfRule type="cellIs" dxfId="1274" priority="779" operator="equal">
      <formula>"R"</formula>
    </cfRule>
  </conditionalFormatting>
  <conditionalFormatting sqref="F78">
    <cfRule type="cellIs" dxfId="1273" priority="618" operator="equal">
      <formula>"A"</formula>
    </cfRule>
    <cfRule type="cellIs" dxfId="1272" priority="619" operator="equal">
      <formula>"R"</formula>
    </cfRule>
    <cfRule type="cellIs" dxfId="1271" priority="617" operator="equal">
      <formula>"G"</formula>
    </cfRule>
    <cfRule type="cellIs" dxfId="1270" priority="616" operator="equal">
      <formula>"n/a"</formula>
    </cfRule>
  </conditionalFormatting>
  <conditionalFormatting sqref="F81">
    <cfRule type="cellIs" dxfId="1269" priority="599" operator="equal">
      <formula>"R"</formula>
    </cfRule>
    <cfRule type="cellIs" dxfId="1268" priority="598" operator="equal">
      <formula>"A"</formula>
    </cfRule>
    <cfRule type="cellIs" dxfId="1267" priority="596" operator="equal">
      <formula>"n/a"</formula>
    </cfRule>
    <cfRule type="cellIs" dxfId="1266" priority="597" operator="equal">
      <formula>"G"</formula>
    </cfRule>
  </conditionalFormatting>
  <conditionalFormatting sqref="F84">
    <cfRule type="cellIs" dxfId="1265" priority="32" operator="equal">
      <formula>"G"</formula>
    </cfRule>
    <cfRule type="cellIs" dxfId="1264" priority="33" operator="equal">
      <formula>"A"</formula>
    </cfRule>
    <cfRule type="cellIs" dxfId="1263" priority="34" operator="equal">
      <formula>"R"</formula>
    </cfRule>
    <cfRule type="cellIs" dxfId="1262" priority="31" operator="equal">
      <formula>"n/a"</formula>
    </cfRule>
  </conditionalFormatting>
  <conditionalFormatting sqref="F87">
    <cfRule type="cellIs" dxfId="1261" priority="556" operator="equal">
      <formula>"n/a"</formula>
    </cfRule>
    <cfRule type="cellIs" dxfId="1260" priority="557" operator="equal">
      <formula>"G"</formula>
    </cfRule>
    <cfRule type="cellIs" dxfId="1259" priority="558" operator="equal">
      <formula>"A"</formula>
    </cfRule>
    <cfRule type="cellIs" dxfId="1258" priority="559" operator="equal">
      <formula>"R"</formula>
    </cfRule>
  </conditionalFormatting>
  <conditionalFormatting sqref="F93">
    <cfRule type="cellIs" dxfId="1257" priority="1925" operator="equal">
      <formula>"R"</formula>
    </cfRule>
    <cfRule type="cellIs" dxfId="1256" priority="1924" operator="equal">
      <formula>"A"</formula>
    </cfRule>
    <cfRule type="cellIs" dxfId="1255" priority="1922" operator="equal">
      <formula>"n/a"</formula>
    </cfRule>
    <cfRule type="cellIs" dxfId="1254" priority="1923" operator="equal">
      <formula>"G"</formula>
    </cfRule>
  </conditionalFormatting>
  <conditionalFormatting sqref="F96">
    <cfRule type="cellIs" dxfId="1253" priority="1693" operator="equal">
      <formula>"G"</formula>
    </cfRule>
    <cfRule type="cellIs" dxfId="1252" priority="1692" operator="equal">
      <formula>"n/a"</formula>
    </cfRule>
    <cfRule type="cellIs" dxfId="1251" priority="1695" operator="equal">
      <formula>"R"</formula>
    </cfRule>
    <cfRule type="cellIs" dxfId="1250" priority="1694" operator="equal">
      <formula>"A"</formula>
    </cfRule>
  </conditionalFormatting>
  <conditionalFormatting sqref="F99">
    <cfRule type="cellIs" dxfId="1249" priority="403" operator="equal">
      <formula>"n/a"</formula>
    </cfRule>
    <cfRule type="cellIs" dxfId="1248" priority="404" operator="equal">
      <formula>"G"</formula>
    </cfRule>
    <cfRule type="cellIs" dxfId="1247" priority="405" operator="equal">
      <formula>"A"</formula>
    </cfRule>
    <cfRule type="cellIs" dxfId="1246" priority="406" operator="equal">
      <formula>"R"</formula>
    </cfRule>
  </conditionalFormatting>
  <conditionalFormatting sqref="F102">
    <cfRule type="cellIs" dxfId="1245" priority="1929" operator="equal">
      <formula>"R"</formula>
    </cfRule>
    <cfRule type="cellIs" dxfId="1244" priority="1928" operator="equal">
      <formula>"A"</formula>
    </cfRule>
    <cfRule type="cellIs" dxfId="1243" priority="1927" operator="equal">
      <formula>"G"</formula>
    </cfRule>
    <cfRule type="cellIs" dxfId="1242" priority="1926" operator="equal">
      <formula>"n/a"</formula>
    </cfRule>
  </conditionalFormatting>
  <conditionalFormatting sqref="F105">
    <cfRule type="cellIs" dxfId="1241" priority="537" operator="equal">
      <formula>"G"</formula>
    </cfRule>
    <cfRule type="cellIs" dxfId="1240" priority="538" operator="equal">
      <formula>"A"</formula>
    </cfRule>
    <cfRule type="cellIs" dxfId="1239" priority="539" operator="equal">
      <formula>"R"</formula>
    </cfRule>
    <cfRule type="cellIs" dxfId="1238" priority="536" operator="equal">
      <formula>"n/a"</formula>
    </cfRule>
  </conditionalFormatting>
  <conditionalFormatting sqref="F108">
    <cfRule type="cellIs" dxfId="1237" priority="1932" operator="equal">
      <formula>"A"</formula>
    </cfRule>
    <cfRule type="cellIs" dxfId="1236" priority="1931" operator="equal">
      <formula>"G"</formula>
    </cfRule>
    <cfRule type="cellIs" dxfId="1235" priority="1930" operator="equal">
      <formula>"n/a"</formula>
    </cfRule>
    <cfRule type="cellIs" dxfId="1234" priority="1933" operator="equal">
      <formula>"R"</formula>
    </cfRule>
  </conditionalFormatting>
  <conditionalFormatting sqref="F111">
    <cfRule type="cellIs" dxfId="1233" priority="2040" operator="equal">
      <formula>"A"</formula>
    </cfRule>
    <cfRule type="cellIs" dxfId="1232" priority="2038" operator="equal">
      <formula>"n/a"</formula>
    </cfRule>
    <cfRule type="cellIs" dxfId="1231" priority="2039" operator="equal">
      <formula>"G"</formula>
    </cfRule>
    <cfRule type="cellIs" dxfId="1230" priority="2041" operator="equal">
      <formula>"R"</formula>
    </cfRule>
  </conditionalFormatting>
  <conditionalFormatting sqref="F115">
    <cfRule type="cellIs" dxfId="1229" priority="14" operator="equal">
      <formula>"A"</formula>
    </cfRule>
    <cfRule type="cellIs" dxfId="1228" priority="15" operator="equal">
      <formula>"R"</formula>
    </cfRule>
    <cfRule type="cellIs" dxfId="1227" priority="12" operator="equal">
      <formula>"n/a"</formula>
    </cfRule>
    <cfRule type="cellIs" dxfId="1226" priority="13" operator="equal">
      <formula>"G"</formula>
    </cfRule>
  </conditionalFormatting>
  <conditionalFormatting sqref="F122">
    <cfRule type="cellIs" dxfId="1225" priority="2030" operator="equal">
      <formula>"n/a"</formula>
    </cfRule>
    <cfRule type="cellIs" dxfId="1224" priority="2032" operator="equal">
      <formula>"A"</formula>
    </cfRule>
    <cfRule type="cellIs" dxfId="1223" priority="2033" operator="equal">
      <formula>"R"</formula>
    </cfRule>
    <cfRule type="cellIs" dxfId="1222" priority="2031" operator="equal">
      <formula>"G"</formula>
    </cfRule>
  </conditionalFormatting>
  <conditionalFormatting sqref="F125">
    <cfRule type="cellIs" dxfId="1221" priority="1918" operator="equal">
      <formula>"n/a"</formula>
    </cfRule>
    <cfRule type="cellIs" dxfId="1220" priority="1921" operator="equal">
      <formula>"R"</formula>
    </cfRule>
    <cfRule type="cellIs" dxfId="1219" priority="1920" operator="equal">
      <formula>"A"</formula>
    </cfRule>
    <cfRule type="cellIs" dxfId="1218" priority="1919" operator="equal">
      <formula>"G"</formula>
    </cfRule>
  </conditionalFormatting>
  <conditionalFormatting sqref="F128">
    <cfRule type="cellIs" dxfId="1217" priority="1917" operator="equal">
      <formula>"R"</formula>
    </cfRule>
    <cfRule type="cellIs" dxfId="1216" priority="1916" operator="equal">
      <formula>"A"</formula>
    </cfRule>
    <cfRule type="cellIs" dxfId="1215" priority="1915" operator="equal">
      <formula>"G"</formula>
    </cfRule>
    <cfRule type="cellIs" dxfId="1214" priority="1914" operator="equal">
      <formula>"n/a"</formula>
    </cfRule>
  </conditionalFormatting>
  <conditionalFormatting sqref="F131">
    <cfRule type="cellIs" dxfId="1213" priority="1911" operator="equal">
      <formula>"G"</formula>
    </cfRule>
    <cfRule type="cellIs" dxfId="1212" priority="1913" operator="equal">
      <formula>"R"</formula>
    </cfRule>
    <cfRule type="cellIs" dxfId="1211" priority="1912" operator="equal">
      <formula>"A"</formula>
    </cfRule>
    <cfRule type="cellIs" dxfId="1210" priority="1910" operator="equal">
      <formula>"n/a"</formula>
    </cfRule>
  </conditionalFormatting>
  <conditionalFormatting sqref="F136">
    <cfRule type="cellIs" dxfId="1209" priority="1737" operator="equal">
      <formula>"R"</formula>
    </cfRule>
    <cfRule type="cellIs" dxfId="1208" priority="1736" operator="equal">
      <formula>"A"</formula>
    </cfRule>
    <cfRule type="cellIs" dxfId="1207" priority="1734" operator="equal">
      <formula>"n/a"</formula>
    </cfRule>
    <cfRule type="cellIs" dxfId="1206" priority="1735" operator="equal">
      <formula>"G"</formula>
    </cfRule>
  </conditionalFormatting>
  <conditionalFormatting sqref="G11">
    <cfRule type="iconSet" priority="35">
      <iconSet iconSet="3ArrowsGray" showValue="0">
        <cfvo type="percent" val="0"/>
        <cfvo type="num" val="0"/>
        <cfvo type="num" val="1"/>
      </iconSet>
    </cfRule>
  </conditionalFormatting>
  <conditionalFormatting sqref="G29 G17">
    <cfRule type="iconSet" priority="1743">
      <iconSet iconSet="3ArrowsGray" showValue="0">
        <cfvo type="percent" val="0"/>
        <cfvo type="num" val="0"/>
        <cfvo type="num" val="1"/>
      </iconSet>
    </cfRule>
  </conditionalFormatting>
  <conditionalFormatting sqref="G32">
    <cfRule type="iconSet" priority="310">
      <iconSet iconSet="3ArrowsGray" showValue="0">
        <cfvo type="percent" val="0"/>
        <cfvo type="num" val="0"/>
        <cfvo type="num" val="1"/>
      </iconSet>
    </cfRule>
  </conditionalFormatting>
  <conditionalFormatting sqref="G47">
    <cfRule type="iconSet" priority="298">
      <iconSet iconSet="3ArrowsGray" showValue="0">
        <cfvo type="percent" val="0"/>
        <cfvo type="num" val="0"/>
        <cfvo type="num" val="1"/>
      </iconSet>
    </cfRule>
  </conditionalFormatting>
  <conditionalFormatting sqref="G57">
    <cfRule type="iconSet" priority="1622">
      <iconSet iconSet="3ArrowsGray" showValue="0">
        <cfvo type="percent" val="0"/>
        <cfvo type="num" val="0"/>
        <cfvo type="num" val="1"/>
      </iconSet>
    </cfRule>
  </conditionalFormatting>
  <conditionalFormatting sqref="G60">
    <cfRule type="iconSet" priority="820">
      <iconSet iconSet="3ArrowsGray" showValue="0">
        <cfvo type="percent" val="0"/>
        <cfvo type="num" val="0"/>
        <cfvo type="num" val="1"/>
      </iconSet>
    </cfRule>
  </conditionalFormatting>
  <conditionalFormatting sqref="G63">
    <cfRule type="iconSet" priority="720">
      <iconSet iconSet="3ArrowsGray" showValue="0">
        <cfvo type="percent" val="0"/>
        <cfvo type="num" val="0"/>
        <cfvo type="num" val="1"/>
      </iconSet>
    </cfRule>
  </conditionalFormatting>
  <conditionalFormatting sqref="G66">
    <cfRule type="iconSet" priority="700">
      <iconSet iconSet="3ArrowsGray" showValue="0">
        <cfvo type="percent" val="0"/>
        <cfvo type="num" val="0"/>
        <cfvo type="num" val="1"/>
      </iconSet>
    </cfRule>
  </conditionalFormatting>
  <conditionalFormatting sqref="G69">
    <cfRule type="iconSet" priority="680">
      <iconSet iconSet="3ArrowsGray" showValue="0">
        <cfvo type="percent" val="0"/>
        <cfvo type="num" val="0"/>
        <cfvo type="num" val="1"/>
      </iconSet>
    </cfRule>
  </conditionalFormatting>
  <conditionalFormatting sqref="G72">
    <cfRule type="iconSet" priority="560">
      <iconSet iconSet="3ArrowsGray" showValue="0">
        <cfvo type="percent" val="0"/>
        <cfvo type="num" val="0"/>
        <cfvo type="num" val="1"/>
      </iconSet>
    </cfRule>
  </conditionalFormatting>
  <conditionalFormatting sqref="G75">
    <cfRule type="iconSet" priority="760">
      <iconSet iconSet="3ArrowsGray" showValue="0">
        <cfvo type="percent" val="0"/>
        <cfvo type="num" val="0"/>
        <cfvo type="num" val="1"/>
      </iconSet>
    </cfRule>
  </conditionalFormatting>
  <conditionalFormatting sqref="G78">
    <cfRule type="iconSet" priority="600">
      <iconSet iconSet="3ArrowsGray" showValue="0">
        <cfvo type="percent" val="0"/>
        <cfvo type="num" val="0"/>
        <cfvo type="num" val="1"/>
      </iconSet>
    </cfRule>
  </conditionalFormatting>
  <conditionalFormatting sqref="G81">
    <cfRule type="iconSet" priority="580">
      <iconSet iconSet="3ArrowsGray" showValue="0">
        <cfvo type="percent" val="0"/>
        <cfvo type="num" val="0"/>
        <cfvo type="num" val="1"/>
      </iconSet>
    </cfRule>
  </conditionalFormatting>
  <conditionalFormatting sqref="G84">
    <cfRule type="iconSet" priority="25">
      <iconSet iconSet="3ArrowsGray" showValue="0">
        <cfvo type="percent" val="0"/>
        <cfvo type="num" val="0"/>
        <cfvo type="num" val="1"/>
      </iconSet>
    </cfRule>
  </conditionalFormatting>
  <conditionalFormatting sqref="G87">
    <cfRule type="iconSet" priority="540">
      <iconSet iconSet="3ArrowsGray" showValue="0">
        <cfvo type="percent" val="0"/>
        <cfvo type="num" val="0"/>
        <cfvo type="num" val="1"/>
      </iconSet>
    </cfRule>
  </conditionalFormatting>
  <conditionalFormatting sqref="G96">
    <cfRule type="iconSet" priority="1682">
      <iconSet iconSet="3ArrowsGray" showValue="0">
        <cfvo type="percent" val="0"/>
        <cfvo type="num" val="0"/>
        <cfvo type="num" val="1"/>
      </iconSet>
    </cfRule>
  </conditionalFormatting>
  <conditionalFormatting sqref="G99">
    <cfRule type="iconSet" priority="393">
      <iconSet iconSet="3ArrowsGray" showValue="0">
        <cfvo type="percent" val="0"/>
        <cfvo type="num" val="0"/>
        <cfvo type="num" val="1"/>
      </iconSet>
    </cfRule>
  </conditionalFormatting>
  <conditionalFormatting sqref="G105">
    <cfRule type="iconSet" priority="520">
      <iconSet iconSet="3ArrowsGray" showValue="0">
        <cfvo type="percent" val="0"/>
        <cfvo type="num" val="0"/>
        <cfvo type="num" val="1"/>
      </iconSet>
    </cfRule>
  </conditionalFormatting>
  <conditionalFormatting sqref="G108">
    <cfRule type="iconSet" priority="293">
      <iconSet iconSet="3ArrowsGray" showValue="0">
        <cfvo type="percent" val="0"/>
        <cfvo type="num" val="0"/>
        <cfvo type="num" val="1"/>
      </iconSet>
    </cfRule>
  </conditionalFormatting>
  <conditionalFormatting sqref="G115">
    <cfRule type="iconSet" priority="16">
      <iconSet iconSet="3ArrowsGray" showValue="0">
        <cfvo type="percent" val="0"/>
        <cfvo type="num" val="0"/>
        <cfvo type="num" val="1"/>
      </iconSet>
    </cfRule>
  </conditionalFormatting>
  <conditionalFormatting sqref="G131 G102 G26 G93 G38 G41 G23 G20 G54 G111 G35 G122 G125 G128">
    <cfRule type="iconSet" priority="56830">
      <iconSet iconSet="3ArrowsGray" showValue="0">
        <cfvo type="percent" val="0"/>
        <cfvo type="num" val="0"/>
        <cfvo type="num" val="1"/>
      </iconSet>
    </cfRule>
  </conditionalFormatting>
  <conditionalFormatting sqref="G136">
    <cfRule type="iconSet" priority="438">
      <iconSet iconSet="3ArrowsGray" showValue="0">
        <cfvo type="percent" val="0"/>
        <cfvo type="num" val="0"/>
        <cfvo type="num" val="1"/>
      </iconSet>
    </cfRule>
  </conditionalFormatting>
  <conditionalFormatting sqref="H142:H158 F142:G177 I142:J177">
    <cfRule type="cellIs" dxfId="1205" priority="52" operator="notEqual">
      <formula>0</formula>
    </cfRule>
  </conditionalFormatting>
  <conditionalFormatting sqref="R11">
    <cfRule type="cellIs" dxfId="1204" priority="42" operator="equal">
      <formula>"G"</formula>
    </cfRule>
    <cfRule type="cellIs" dxfId="1203" priority="41" operator="equal">
      <formula>"n/a"</formula>
    </cfRule>
    <cfRule type="cellIs" dxfId="1202" priority="43" operator="equal">
      <formula>"A"</formula>
    </cfRule>
    <cfRule type="cellIs" dxfId="1201" priority="44" operator="equal">
      <formula>"R"</formula>
    </cfRule>
  </conditionalFormatting>
  <conditionalFormatting sqref="R17">
    <cfRule type="cellIs" dxfId="1200" priority="1893" operator="equal">
      <formula>"R"</formula>
    </cfRule>
    <cfRule type="cellIs" dxfId="1199" priority="1892" operator="equal">
      <formula>"A"</formula>
    </cfRule>
    <cfRule type="cellIs" dxfId="1198" priority="1891" operator="equal">
      <formula>"G"</formula>
    </cfRule>
    <cfRule type="cellIs" dxfId="1197" priority="1890" operator="equal">
      <formula>"n/a"</formula>
    </cfRule>
  </conditionalFormatting>
  <conditionalFormatting sqref="R20">
    <cfRule type="cellIs" dxfId="1196" priority="1889" operator="equal">
      <formula>"R"</formula>
    </cfRule>
    <cfRule type="cellIs" dxfId="1195" priority="1888" operator="equal">
      <formula>"A"</formula>
    </cfRule>
    <cfRule type="cellIs" dxfId="1194" priority="1887" operator="equal">
      <formula>"G"</formula>
    </cfRule>
    <cfRule type="cellIs" dxfId="1193" priority="1886" operator="equal">
      <formula>"n/a"</formula>
    </cfRule>
  </conditionalFormatting>
  <conditionalFormatting sqref="R23">
    <cfRule type="cellIs" dxfId="1192" priority="1879" operator="equal">
      <formula>"G"</formula>
    </cfRule>
    <cfRule type="cellIs" dxfId="1191" priority="1881" operator="equal">
      <formula>"R"</formula>
    </cfRule>
    <cfRule type="cellIs" dxfId="1190" priority="1880" operator="equal">
      <formula>"A"</formula>
    </cfRule>
    <cfRule type="cellIs" dxfId="1189" priority="1878" operator="equal">
      <formula>"n/a"</formula>
    </cfRule>
  </conditionalFormatting>
  <conditionalFormatting sqref="R26">
    <cfRule type="cellIs" dxfId="1188" priority="1885" operator="equal">
      <formula>"R"</formula>
    </cfRule>
    <cfRule type="cellIs" dxfId="1187" priority="1884" operator="equal">
      <formula>"A"</formula>
    </cfRule>
    <cfRule type="cellIs" dxfId="1186" priority="1883" operator="equal">
      <formula>"G"</formula>
    </cfRule>
    <cfRule type="cellIs" dxfId="1185" priority="1882" operator="equal">
      <formula>"n/a"</formula>
    </cfRule>
  </conditionalFormatting>
  <conditionalFormatting sqref="R29">
    <cfRule type="cellIs" dxfId="1184" priority="1896" operator="equal">
      <formula>"A"</formula>
    </cfRule>
    <cfRule type="cellIs" dxfId="1183" priority="1894" operator="equal">
      <formula>"n/a"</formula>
    </cfRule>
    <cfRule type="cellIs" dxfId="1182" priority="1895" operator="equal">
      <formula>"G"</formula>
    </cfRule>
    <cfRule type="cellIs" dxfId="1181" priority="1897" operator="equal">
      <formula>"R"</formula>
    </cfRule>
  </conditionalFormatting>
  <conditionalFormatting sqref="R32">
    <cfRule type="cellIs" dxfId="1180" priority="307" operator="equal">
      <formula>"A"</formula>
    </cfRule>
    <cfRule type="cellIs" dxfId="1179" priority="306" operator="equal">
      <formula>"G"</formula>
    </cfRule>
    <cfRule type="cellIs" dxfId="1178" priority="305" operator="equal">
      <formula>"n/a"</formula>
    </cfRule>
    <cfRule type="cellIs" dxfId="1177" priority="308" operator="equal">
      <formula>"R"</formula>
    </cfRule>
  </conditionalFormatting>
  <conditionalFormatting sqref="R35">
    <cfRule type="cellIs" dxfId="1176" priority="1877" operator="equal">
      <formula>"R"</formula>
    </cfRule>
    <cfRule type="cellIs" dxfId="1175" priority="1876" operator="equal">
      <formula>"A"</formula>
    </cfRule>
    <cfRule type="cellIs" dxfId="1174" priority="1875" operator="equal">
      <formula>"G"</formula>
    </cfRule>
    <cfRule type="cellIs" dxfId="1173" priority="1874" operator="equal">
      <formula>"n/a"</formula>
    </cfRule>
  </conditionalFormatting>
  <conditionalFormatting sqref="R38">
    <cfRule type="cellIs" dxfId="1172" priority="1873" operator="equal">
      <formula>"R"</formula>
    </cfRule>
    <cfRule type="cellIs" dxfId="1171" priority="1872" operator="equal">
      <formula>"A"</formula>
    </cfRule>
    <cfRule type="cellIs" dxfId="1170" priority="1871" operator="equal">
      <formula>"G"</formula>
    </cfRule>
    <cfRule type="cellIs" dxfId="1169" priority="1870" operator="equal">
      <formula>"n/a"</formula>
    </cfRule>
  </conditionalFormatting>
  <conditionalFormatting sqref="R41">
    <cfRule type="cellIs" dxfId="1168" priority="2026" operator="equal">
      <formula>"n/a"</formula>
    </cfRule>
    <cfRule type="cellIs" dxfId="1167" priority="2027" operator="equal">
      <formula>"G"</formula>
    </cfRule>
    <cfRule type="cellIs" dxfId="1166" priority="2029" operator="equal">
      <formula>"R"</formula>
    </cfRule>
    <cfRule type="cellIs" dxfId="1165" priority="2028" operator="equal">
      <formula>"A"</formula>
    </cfRule>
  </conditionalFormatting>
  <conditionalFormatting sqref="R47">
    <cfRule type="cellIs" dxfId="1164" priority="320" operator="equal">
      <formula>"n/a"</formula>
    </cfRule>
    <cfRule type="cellIs" dxfId="1163" priority="323" operator="equal">
      <formula>"R"</formula>
    </cfRule>
    <cfRule type="cellIs" dxfId="1162" priority="322" operator="equal">
      <formula>"A"</formula>
    </cfRule>
    <cfRule type="cellIs" dxfId="1161" priority="321" operator="equal">
      <formula>"G"</formula>
    </cfRule>
  </conditionalFormatting>
  <conditionalFormatting sqref="R54">
    <cfRule type="cellIs" dxfId="1160" priority="2021" operator="equal">
      <formula>"R"</formula>
    </cfRule>
    <cfRule type="cellIs" dxfId="1159" priority="2018" operator="equal">
      <formula>"n/a"</formula>
    </cfRule>
    <cfRule type="cellIs" dxfId="1158" priority="2019" operator="equal">
      <formula>"G"</formula>
    </cfRule>
    <cfRule type="cellIs" dxfId="1157" priority="2020" operator="equal">
      <formula>"A"</formula>
    </cfRule>
  </conditionalFormatting>
  <conditionalFormatting sqref="R57">
    <cfRule type="cellIs" dxfId="1156" priority="1631" operator="equal">
      <formula>"R"</formula>
    </cfRule>
    <cfRule type="cellIs" dxfId="1155" priority="1628" operator="equal">
      <formula>"n/a"</formula>
    </cfRule>
    <cfRule type="cellIs" dxfId="1154" priority="1629" operator="equal">
      <formula>"G"</formula>
    </cfRule>
    <cfRule type="cellIs" dxfId="1153" priority="1630" operator="equal">
      <formula>"A"</formula>
    </cfRule>
  </conditionalFormatting>
  <conditionalFormatting sqref="R60">
    <cfRule type="cellIs" dxfId="1152" priority="829" operator="equal">
      <formula>"R"</formula>
    </cfRule>
    <cfRule type="cellIs" dxfId="1151" priority="826" operator="equal">
      <formula>"n/a"</formula>
    </cfRule>
    <cfRule type="cellIs" dxfId="1150" priority="828" operator="equal">
      <formula>"A"</formula>
    </cfRule>
    <cfRule type="cellIs" dxfId="1149" priority="827" operator="equal">
      <formula>"G"</formula>
    </cfRule>
  </conditionalFormatting>
  <conditionalFormatting sqref="R63">
    <cfRule type="cellIs" dxfId="1148" priority="727" operator="equal">
      <formula>"G"</formula>
    </cfRule>
    <cfRule type="cellIs" dxfId="1147" priority="726" operator="equal">
      <formula>"n/a"</formula>
    </cfRule>
    <cfRule type="cellIs" dxfId="1146" priority="728" operator="equal">
      <formula>"A"</formula>
    </cfRule>
    <cfRule type="cellIs" dxfId="1145" priority="729" operator="equal">
      <formula>"R"</formula>
    </cfRule>
  </conditionalFormatting>
  <conditionalFormatting sqref="R66">
    <cfRule type="cellIs" dxfId="1144" priority="706" operator="equal">
      <formula>"n/a"</formula>
    </cfRule>
    <cfRule type="cellIs" dxfId="1143" priority="707" operator="equal">
      <formula>"G"</formula>
    </cfRule>
    <cfRule type="cellIs" dxfId="1142" priority="708" operator="equal">
      <formula>"A"</formula>
    </cfRule>
    <cfRule type="cellIs" dxfId="1141" priority="709" operator="equal">
      <formula>"R"</formula>
    </cfRule>
  </conditionalFormatting>
  <conditionalFormatting sqref="R69">
    <cfRule type="cellIs" dxfId="1140" priority="686" operator="equal">
      <formula>"n/a"</formula>
    </cfRule>
    <cfRule type="cellIs" dxfId="1139" priority="689" operator="equal">
      <formula>"R"</formula>
    </cfRule>
    <cfRule type="cellIs" dxfId="1138" priority="688" operator="equal">
      <formula>"A"</formula>
    </cfRule>
    <cfRule type="cellIs" dxfId="1137" priority="687" operator="equal">
      <formula>"G"</formula>
    </cfRule>
  </conditionalFormatting>
  <conditionalFormatting sqref="R72">
    <cfRule type="cellIs" dxfId="1136" priority="569" operator="equal">
      <formula>"R"</formula>
    </cfRule>
    <cfRule type="cellIs" dxfId="1135" priority="568" operator="equal">
      <formula>"A"</formula>
    </cfRule>
    <cfRule type="cellIs" dxfId="1134" priority="566" operator="equal">
      <formula>"n/a"</formula>
    </cfRule>
    <cfRule type="cellIs" dxfId="1133" priority="567" operator="equal">
      <formula>"G"</formula>
    </cfRule>
  </conditionalFormatting>
  <conditionalFormatting sqref="R75">
    <cfRule type="cellIs" dxfId="1132" priority="766" operator="equal">
      <formula>"n/a"</formula>
    </cfRule>
    <cfRule type="cellIs" dxfId="1131" priority="767" operator="equal">
      <formula>"G"</formula>
    </cfRule>
    <cfRule type="cellIs" dxfId="1130" priority="768" operator="equal">
      <formula>"A"</formula>
    </cfRule>
    <cfRule type="cellIs" dxfId="1129" priority="769" operator="equal">
      <formula>"R"</formula>
    </cfRule>
  </conditionalFormatting>
  <conditionalFormatting sqref="R78">
    <cfRule type="cellIs" dxfId="1128" priority="609" operator="equal">
      <formula>"R"</formula>
    </cfRule>
    <cfRule type="cellIs" dxfId="1127" priority="608" operator="equal">
      <formula>"A"</formula>
    </cfRule>
    <cfRule type="cellIs" dxfId="1126" priority="607" operator="equal">
      <formula>"G"</formula>
    </cfRule>
    <cfRule type="cellIs" dxfId="1125" priority="606" operator="equal">
      <formula>"n/a"</formula>
    </cfRule>
  </conditionalFormatting>
  <conditionalFormatting sqref="R81">
    <cfRule type="cellIs" dxfId="1124" priority="588" operator="equal">
      <formula>"A"</formula>
    </cfRule>
    <cfRule type="cellIs" dxfId="1123" priority="586" operator="equal">
      <formula>"n/a"</formula>
    </cfRule>
    <cfRule type="cellIs" dxfId="1122" priority="587" operator="equal">
      <formula>"G"</formula>
    </cfRule>
    <cfRule type="cellIs" dxfId="1121" priority="589" operator="equal">
      <formula>"R"</formula>
    </cfRule>
  </conditionalFormatting>
  <conditionalFormatting sqref="R84">
    <cfRule type="cellIs" dxfId="1120" priority="30" operator="equal">
      <formula>"R"</formula>
    </cfRule>
    <cfRule type="cellIs" dxfId="1119" priority="28" operator="equal">
      <formula>"G"</formula>
    </cfRule>
    <cfRule type="cellIs" dxfId="1118" priority="27" operator="equal">
      <formula>"n/a"</formula>
    </cfRule>
    <cfRule type="cellIs" dxfId="1117" priority="29" operator="equal">
      <formula>"A"</formula>
    </cfRule>
  </conditionalFormatting>
  <conditionalFormatting sqref="R87">
    <cfRule type="cellIs" dxfId="1116" priority="549" operator="equal">
      <formula>"R"</formula>
    </cfRule>
    <cfRule type="cellIs" dxfId="1115" priority="546" operator="equal">
      <formula>"n/a"</formula>
    </cfRule>
    <cfRule type="cellIs" dxfId="1114" priority="547" operator="equal">
      <formula>"G"</formula>
    </cfRule>
    <cfRule type="cellIs" dxfId="1113" priority="548" operator="equal">
      <formula>"A"</formula>
    </cfRule>
  </conditionalFormatting>
  <conditionalFormatting sqref="R93">
    <cfRule type="cellIs" dxfId="1112" priority="1850" operator="equal">
      <formula>"n/a"</formula>
    </cfRule>
    <cfRule type="cellIs" dxfId="1111" priority="1851" operator="equal">
      <formula>"G"</formula>
    </cfRule>
    <cfRule type="cellIs" dxfId="1110" priority="1852" operator="equal">
      <formula>"A"</formula>
    </cfRule>
    <cfRule type="cellIs" dxfId="1109" priority="1853" operator="equal">
      <formula>"R"</formula>
    </cfRule>
  </conditionalFormatting>
  <conditionalFormatting sqref="R96">
    <cfRule type="cellIs" dxfId="1108" priority="1688" operator="equal">
      <formula>"n/a"</formula>
    </cfRule>
    <cfRule type="cellIs" dxfId="1107" priority="1689" operator="equal">
      <formula>"G"</formula>
    </cfRule>
    <cfRule type="cellIs" dxfId="1106" priority="1690" operator="equal">
      <formula>"A"</formula>
    </cfRule>
    <cfRule type="cellIs" dxfId="1105" priority="1691" operator="equal">
      <formula>"R"</formula>
    </cfRule>
  </conditionalFormatting>
  <conditionalFormatting sqref="R99">
    <cfRule type="cellIs" dxfId="1104" priority="400" operator="equal">
      <formula>"G"</formula>
    </cfRule>
    <cfRule type="cellIs" dxfId="1103" priority="399" operator="equal">
      <formula>"n/a"</formula>
    </cfRule>
    <cfRule type="cellIs" dxfId="1102" priority="401" operator="equal">
      <formula>"A"</formula>
    </cfRule>
    <cfRule type="cellIs" dxfId="1101" priority="402" operator="equal">
      <formula>"R"</formula>
    </cfRule>
  </conditionalFormatting>
  <conditionalFormatting sqref="R102">
    <cfRule type="cellIs" dxfId="1100" priority="1857" operator="equal">
      <formula>"R"</formula>
    </cfRule>
    <cfRule type="cellIs" dxfId="1099" priority="1856" operator="equal">
      <formula>"A"</formula>
    </cfRule>
    <cfRule type="cellIs" dxfId="1098" priority="1855" operator="equal">
      <formula>"G"</formula>
    </cfRule>
    <cfRule type="cellIs" dxfId="1097" priority="1854" operator="equal">
      <formula>"n/a"</formula>
    </cfRule>
  </conditionalFormatting>
  <conditionalFormatting sqref="R105">
    <cfRule type="cellIs" dxfId="1096" priority="527" operator="equal">
      <formula>"G"</formula>
    </cfRule>
    <cfRule type="cellIs" dxfId="1095" priority="528" operator="equal">
      <formula>"A"</formula>
    </cfRule>
    <cfRule type="cellIs" dxfId="1094" priority="529" operator="equal">
      <formula>"R"</formula>
    </cfRule>
    <cfRule type="cellIs" dxfId="1093" priority="526" operator="equal">
      <formula>"n/a"</formula>
    </cfRule>
  </conditionalFormatting>
  <conditionalFormatting sqref="R108">
    <cfRule type="cellIs" dxfId="1092" priority="1859" operator="equal">
      <formula>"G"</formula>
    </cfRule>
    <cfRule type="cellIs" dxfId="1091" priority="1861" operator="equal">
      <formula>"R"</formula>
    </cfRule>
    <cfRule type="cellIs" dxfId="1090" priority="1858" operator="equal">
      <formula>"n/a"</formula>
    </cfRule>
    <cfRule type="cellIs" dxfId="1089" priority="1860" operator="equal">
      <formula>"A"</formula>
    </cfRule>
  </conditionalFormatting>
  <conditionalFormatting sqref="R111">
    <cfRule type="cellIs" dxfId="1088" priority="1995" operator="equal">
      <formula>"G"</formula>
    </cfRule>
    <cfRule type="cellIs" dxfId="1087" priority="1997" operator="equal">
      <formula>"R"</formula>
    </cfRule>
    <cfRule type="cellIs" dxfId="1086" priority="1996" operator="equal">
      <formula>"A"</formula>
    </cfRule>
    <cfRule type="cellIs" dxfId="1085" priority="1994" operator="equal">
      <formula>"n/a"</formula>
    </cfRule>
  </conditionalFormatting>
  <conditionalFormatting sqref="R115">
    <cfRule type="cellIs" dxfId="1084" priority="8" operator="equal">
      <formula>"n/a"</formula>
    </cfRule>
    <cfRule type="cellIs" dxfId="1083" priority="9" operator="equal">
      <formula>"G"</formula>
    </cfRule>
    <cfRule type="cellIs" dxfId="1082" priority="10" operator="equal">
      <formula>"A"</formula>
    </cfRule>
    <cfRule type="cellIs" dxfId="1081" priority="11" operator="equal">
      <formula>"R"</formula>
    </cfRule>
  </conditionalFormatting>
  <conditionalFormatting sqref="R122">
    <cfRule type="cellIs" dxfId="1080" priority="1978" operator="equal">
      <formula>"n/a"</formula>
    </cfRule>
    <cfRule type="cellIs" dxfId="1079" priority="1979" operator="equal">
      <formula>"G"</formula>
    </cfRule>
    <cfRule type="cellIs" dxfId="1078" priority="1980" operator="equal">
      <formula>"A"</formula>
    </cfRule>
    <cfRule type="cellIs" dxfId="1077" priority="1981" operator="equal">
      <formula>"R"</formula>
    </cfRule>
  </conditionalFormatting>
  <conditionalFormatting sqref="R125">
    <cfRule type="cellIs" dxfId="1076" priority="1849" operator="equal">
      <formula>"R"</formula>
    </cfRule>
    <cfRule type="cellIs" dxfId="1075" priority="1848" operator="equal">
      <formula>"A"</formula>
    </cfRule>
    <cfRule type="cellIs" dxfId="1074" priority="1847" operator="equal">
      <formula>"G"</formula>
    </cfRule>
    <cfRule type="cellIs" dxfId="1073" priority="1846" operator="equal">
      <formula>"n/a"</formula>
    </cfRule>
  </conditionalFormatting>
  <conditionalFormatting sqref="R128">
    <cfRule type="cellIs" dxfId="1072" priority="1845" operator="equal">
      <formula>"R"</formula>
    </cfRule>
    <cfRule type="cellIs" dxfId="1071" priority="1844" operator="equal">
      <formula>"A"</formula>
    </cfRule>
    <cfRule type="cellIs" dxfId="1070" priority="1843" operator="equal">
      <formula>"G"</formula>
    </cfRule>
    <cfRule type="cellIs" dxfId="1069" priority="1842" operator="equal">
      <formula>"n/a"</formula>
    </cfRule>
  </conditionalFormatting>
  <conditionalFormatting sqref="R131">
    <cfRule type="cellIs" dxfId="1068" priority="1841" operator="equal">
      <formula>"R"</formula>
    </cfRule>
    <cfRule type="cellIs" dxfId="1067" priority="1840" operator="equal">
      <formula>"A"</formula>
    </cfRule>
    <cfRule type="cellIs" dxfId="1066" priority="1839" operator="equal">
      <formula>"G"</formula>
    </cfRule>
    <cfRule type="cellIs" dxfId="1065" priority="1838" operator="equal">
      <formula>"n/a"</formula>
    </cfRule>
  </conditionalFormatting>
  <conditionalFormatting sqref="R136">
    <cfRule type="cellIs" dxfId="1064" priority="1733" operator="equal">
      <formula>"R"</formula>
    </cfRule>
    <cfRule type="cellIs" dxfId="1063" priority="1732" operator="equal">
      <formula>"A"</formula>
    </cfRule>
    <cfRule type="cellIs" dxfId="1062" priority="1730" operator="equal">
      <formula>"n/a"</formula>
    </cfRule>
    <cfRule type="cellIs" dxfId="1061" priority="1731" operator="equal">
      <formula>"G"</formula>
    </cfRule>
  </conditionalFormatting>
  <conditionalFormatting sqref="S11">
    <cfRule type="iconSet" priority="36">
      <iconSet iconSet="3ArrowsGray" showValue="0">
        <cfvo type="percent" val="0"/>
        <cfvo type="num" val="0"/>
        <cfvo type="num" val="1"/>
      </iconSet>
    </cfRule>
  </conditionalFormatting>
  <conditionalFormatting sqref="S32">
    <cfRule type="iconSet" priority="304">
      <iconSet iconSet="3ArrowsGray" showValue="0">
        <cfvo type="percent" val="0"/>
        <cfvo type="num" val="0"/>
        <cfvo type="num" val="1"/>
      </iconSet>
    </cfRule>
  </conditionalFormatting>
  <conditionalFormatting sqref="S57">
    <cfRule type="iconSet" priority="1623">
      <iconSet iconSet="3ArrowsGray" showValue="0">
        <cfvo type="percent" val="0"/>
        <cfvo type="num" val="0"/>
        <cfvo type="num" val="1"/>
      </iconSet>
    </cfRule>
  </conditionalFormatting>
  <conditionalFormatting sqref="S60">
    <cfRule type="iconSet" priority="821">
      <iconSet iconSet="3ArrowsGray" showValue="0">
        <cfvo type="percent" val="0"/>
        <cfvo type="num" val="0"/>
        <cfvo type="num" val="1"/>
      </iconSet>
    </cfRule>
  </conditionalFormatting>
  <conditionalFormatting sqref="S63">
    <cfRule type="iconSet" priority="721">
      <iconSet iconSet="3ArrowsGray" showValue="0">
        <cfvo type="percent" val="0"/>
        <cfvo type="num" val="0"/>
        <cfvo type="num" val="1"/>
      </iconSet>
    </cfRule>
  </conditionalFormatting>
  <conditionalFormatting sqref="S66">
    <cfRule type="iconSet" priority="701">
      <iconSet iconSet="3ArrowsGray" showValue="0">
        <cfvo type="percent" val="0"/>
        <cfvo type="num" val="0"/>
        <cfvo type="num" val="1"/>
      </iconSet>
    </cfRule>
  </conditionalFormatting>
  <conditionalFormatting sqref="S69">
    <cfRule type="iconSet" priority="681">
      <iconSet iconSet="3ArrowsGray" showValue="0">
        <cfvo type="percent" val="0"/>
        <cfvo type="num" val="0"/>
        <cfvo type="num" val="1"/>
      </iconSet>
    </cfRule>
  </conditionalFormatting>
  <conditionalFormatting sqref="S72">
    <cfRule type="iconSet" priority="561">
      <iconSet iconSet="3ArrowsGray" showValue="0">
        <cfvo type="percent" val="0"/>
        <cfvo type="num" val="0"/>
        <cfvo type="num" val="1"/>
      </iconSet>
    </cfRule>
  </conditionalFormatting>
  <conditionalFormatting sqref="S75">
    <cfRule type="iconSet" priority="761">
      <iconSet iconSet="3ArrowsGray" showValue="0">
        <cfvo type="percent" val="0"/>
        <cfvo type="num" val="0"/>
        <cfvo type="num" val="1"/>
      </iconSet>
    </cfRule>
  </conditionalFormatting>
  <conditionalFormatting sqref="S78">
    <cfRule type="iconSet" priority="601">
      <iconSet iconSet="3ArrowsGray" showValue="0">
        <cfvo type="percent" val="0"/>
        <cfvo type="num" val="0"/>
        <cfvo type="num" val="1"/>
      </iconSet>
    </cfRule>
  </conditionalFormatting>
  <conditionalFormatting sqref="S81">
    <cfRule type="iconSet" priority="581">
      <iconSet iconSet="3ArrowsGray" showValue="0">
        <cfvo type="percent" val="0"/>
        <cfvo type="num" val="0"/>
        <cfvo type="num" val="1"/>
      </iconSet>
    </cfRule>
  </conditionalFormatting>
  <conditionalFormatting sqref="S84">
    <cfRule type="iconSet" priority="26">
      <iconSet iconSet="3ArrowsGray" showValue="0">
        <cfvo type="percent" val="0"/>
        <cfvo type="num" val="0"/>
        <cfvo type="num" val="1"/>
      </iconSet>
    </cfRule>
  </conditionalFormatting>
  <conditionalFormatting sqref="S87">
    <cfRule type="iconSet" priority="541">
      <iconSet iconSet="3ArrowsGray" showValue="0">
        <cfvo type="percent" val="0"/>
        <cfvo type="num" val="0"/>
        <cfvo type="num" val="1"/>
      </iconSet>
    </cfRule>
  </conditionalFormatting>
  <conditionalFormatting sqref="S96">
    <cfRule type="iconSet" priority="1683">
      <iconSet iconSet="3ArrowsGray" showValue="0">
        <cfvo type="percent" val="0"/>
        <cfvo type="num" val="0"/>
        <cfvo type="num" val="1"/>
      </iconSet>
    </cfRule>
  </conditionalFormatting>
  <conditionalFormatting sqref="S99">
    <cfRule type="iconSet" priority="394">
      <iconSet iconSet="3ArrowsGray" showValue="0">
        <cfvo type="percent" val="0"/>
        <cfvo type="num" val="0"/>
        <cfvo type="num" val="1"/>
      </iconSet>
    </cfRule>
  </conditionalFormatting>
  <conditionalFormatting sqref="S105">
    <cfRule type="iconSet" priority="521">
      <iconSet iconSet="3ArrowsGray" showValue="0">
        <cfvo type="percent" val="0"/>
        <cfvo type="num" val="0"/>
        <cfvo type="num" val="1"/>
      </iconSet>
    </cfRule>
  </conditionalFormatting>
  <conditionalFormatting sqref="S115">
    <cfRule type="iconSet" priority="17">
      <iconSet iconSet="3ArrowsGray" showValue="0">
        <cfvo type="percent" val="0"/>
        <cfvo type="num" val="0"/>
        <cfvo type="num" val="1"/>
      </iconSet>
    </cfRule>
  </conditionalFormatting>
  <conditionalFormatting sqref="S131 S102 S26 S93 S38 S41 S23 S20 S29 S54 S111 S108 S17 S35 S122 S125 S128 S47">
    <cfRule type="iconSet" priority="56846">
      <iconSet iconSet="3ArrowsGray" showValue="0">
        <cfvo type="percent" val="0"/>
        <cfvo type="num" val="0"/>
        <cfvo type="num" val="1"/>
      </iconSet>
    </cfRule>
  </conditionalFormatting>
  <conditionalFormatting sqref="S136">
    <cfRule type="iconSet" priority="437">
      <iconSet iconSet="3ArrowsGray" showValue="0">
        <cfvo type="percent" val="0"/>
        <cfvo type="num" val="0"/>
        <cfvo type="num" val="1"/>
      </iconSet>
    </cfRule>
  </conditionalFormatting>
  <conditionalFormatting sqref="AH17">
    <cfRule type="cellIs" dxfId="1060" priority="2746" stopIfTrue="1" operator="lessThan">
      <formula>0.95</formula>
    </cfRule>
    <cfRule type="cellIs" dxfId="1059" priority="2747" operator="lessThan">
      <formula>1</formula>
    </cfRule>
    <cfRule type="cellIs" dxfId="1058" priority="2745" stopIfTrue="1" operator="greaterThanOrEqual">
      <formula>1</formula>
    </cfRule>
  </conditionalFormatting>
  <conditionalFormatting sqref="AH32">
    <cfRule type="cellIs" dxfId="1057" priority="2634" stopIfTrue="1" operator="greaterThanOrEqual">
      <formula>1</formula>
    </cfRule>
    <cfRule type="cellIs" dxfId="1056" priority="2635" stopIfTrue="1" operator="lessThan">
      <formula>0.95</formula>
    </cfRule>
    <cfRule type="cellIs" dxfId="1055" priority="2636" operator="lessThan">
      <formula>1</formula>
    </cfRule>
  </conditionalFormatting>
  <conditionalFormatting sqref="AH38">
    <cfRule type="cellIs" dxfId="1054" priority="2698" stopIfTrue="1" operator="lessThan">
      <formula>0.95</formula>
    </cfRule>
    <cfRule type="cellIs" dxfId="1053" priority="2697" stopIfTrue="1" operator="greaterThanOrEqual">
      <formula>1</formula>
    </cfRule>
    <cfRule type="cellIs" dxfId="1052" priority="2699" operator="lessThan">
      <formula>1</formula>
    </cfRule>
  </conditionalFormatting>
  <conditionalFormatting sqref="AH57">
    <cfRule type="cellIs" dxfId="1051" priority="1639" stopIfTrue="1" operator="greaterThanOrEqual">
      <formula>1</formula>
    </cfRule>
    <cfRule type="cellIs" dxfId="1050" priority="1640" stopIfTrue="1" operator="lessThan">
      <formula>0.95</formula>
    </cfRule>
    <cfRule type="cellIs" dxfId="1049" priority="1641" operator="lessThan">
      <formula>1</formula>
    </cfRule>
  </conditionalFormatting>
  <conditionalFormatting sqref="AH93">
    <cfRule type="cellIs" dxfId="1048" priority="2280" stopIfTrue="1" operator="lessThan">
      <formula>0.95</formula>
    </cfRule>
    <cfRule type="cellIs" dxfId="1047" priority="2279" stopIfTrue="1" operator="greaterThanOrEqual">
      <formula>1</formula>
    </cfRule>
    <cfRule type="cellIs" dxfId="1046" priority="2281" operator="lessThan">
      <formula>1</formula>
    </cfRule>
  </conditionalFormatting>
  <conditionalFormatting sqref="AH125">
    <cfRule type="cellIs" dxfId="1045" priority="2657" operator="lessThan">
      <formula>1</formula>
    </cfRule>
  </conditionalFormatting>
  <conditionalFormatting sqref="AH128">
    <cfRule type="cellIs" dxfId="1044" priority="2649" stopIfTrue="1" operator="greaterThanOrEqual">
      <formula>1</formula>
    </cfRule>
    <cfRule type="cellIs" dxfId="1043" priority="2650" stopIfTrue="1" operator="lessThan">
      <formula>0.95</formula>
    </cfRule>
    <cfRule type="cellIs" dxfId="1042" priority="2651" operator="lessThan">
      <formula>1</formula>
    </cfRule>
  </conditionalFormatting>
  <conditionalFormatting sqref="AH131">
    <cfRule type="cellIs" dxfId="1041" priority="2318" operator="lessThan">
      <formula>1</formula>
    </cfRule>
    <cfRule type="cellIs" dxfId="1040" priority="2317" stopIfTrue="1" operator="lessThan">
      <formula>0.95</formula>
    </cfRule>
    <cfRule type="cellIs" dxfId="1039" priority="2316" stopIfTrue="1" operator="greaterThanOrEqual">
      <formula>1</formula>
    </cfRule>
  </conditionalFormatting>
  <conditionalFormatting sqref="AH20:AI20">
    <cfRule type="cellIs" dxfId="1038" priority="2630" operator="lessThan">
      <formula>1</formula>
    </cfRule>
    <cfRule type="cellIs" dxfId="1037" priority="2628" stopIfTrue="1" operator="greaterThanOrEqual">
      <formula>1</formula>
    </cfRule>
    <cfRule type="cellIs" dxfId="1036" priority="2629" stopIfTrue="1" operator="lessThan">
      <formula>0.95</formula>
    </cfRule>
  </conditionalFormatting>
  <conditionalFormatting sqref="AH23:AI23">
    <cfRule type="cellIs" dxfId="1035" priority="2627" operator="lessThan">
      <formula>1</formula>
    </cfRule>
    <cfRule type="cellIs" dxfId="1034" priority="2626" stopIfTrue="1" operator="lessThan">
      <formula>0.95</formula>
    </cfRule>
    <cfRule type="cellIs" dxfId="1033" priority="2625" stopIfTrue="1" operator="greaterThanOrEqual">
      <formula>1</formula>
    </cfRule>
  </conditionalFormatting>
  <conditionalFormatting sqref="AH26:AI26">
    <cfRule type="cellIs" dxfId="1032" priority="2619" stopIfTrue="1" operator="greaterThanOrEqual">
      <formula>1</formula>
    </cfRule>
    <cfRule type="cellIs" dxfId="1031" priority="2620" stopIfTrue="1" operator="lessThan">
      <formula>0.95</formula>
    </cfRule>
    <cfRule type="cellIs" dxfId="1030" priority="2621" operator="lessThan">
      <formula>1</formula>
    </cfRule>
  </conditionalFormatting>
  <conditionalFormatting sqref="AH29:AI29">
    <cfRule type="cellIs" dxfId="1029" priority="2525" stopIfTrue="1" operator="greaterThanOrEqual">
      <formula>1</formula>
    </cfRule>
    <cfRule type="cellIs" dxfId="1028" priority="2526" stopIfTrue="1" operator="lessThan">
      <formula>0.95</formula>
    </cfRule>
    <cfRule type="cellIs" dxfId="1027" priority="2527" operator="lessThan">
      <formula>1</formula>
    </cfRule>
  </conditionalFormatting>
  <conditionalFormatting sqref="AH35:AI35">
    <cfRule type="cellIs" dxfId="1026" priority="313" operator="lessThan">
      <formula>1</formula>
    </cfRule>
    <cfRule type="cellIs" dxfId="1025" priority="312" stopIfTrue="1" operator="lessThan">
      <formula>0.95</formula>
    </cfRule>
    <cfRule type="cellIs" dxfId="1024" priority="311" stopIfTrue="1" operator="greaterThanOrEqual">
      <formula>1</formula>
    </cfRule>
  </conditionalFormatting>
  <conditionalFormatting sqref="AH41:AI41">
    <cfRule type="cellIs" dxfId="1023" priority="2610" stopIfTrue="1" operator="greaterThanOrEqual">
      <formula>1</formula>
    </cfRule>
    <cfRule type="cellIs" dxfId="1022" priority="2611" stopIfTrue="1" operator="lessThan">
      <formula>0.95</formula>
    </cfRule>
    <cfRule type="cellIs" dxfId="1021" priority="2612" operator="lessThan">
      <formula>1</formula>
    </cfRule>
  </conditionalFormatting>
  <conditionalFormatting sqref="AH47:AI47">
    <cfRule type="cellIs" dxfId="1020" priority="287" stopIfTrue="1" operator="greaterThanOrEqual">
      <formula>1</formula>
    </cfRule>
    <cfRule type="cellIs" dxfId="1019" priority="288" stopIfTrue="1" operator="lessThan">
      <formula>0.95</formula>
    </cfRule>
    <cfRule type="cellIs" dxfId="1018" priority="289" operator="lessThan">
      <formula>1</formula>
    </cfRule>
  </conditionalFormatting>
  <conditionalFormatting sqref="AH54:AI54">
    <cfRule type="cellIs" dxfId="1017" priority="277" stopIfTrue="1" operator="greaterThanOrEqual">
      <formula>1</formula>
    </cfRule>
    <cfRule type="cellIs" dxfId="1016" priority="279" operator="lessThan">
      <formula>1</formula>
    </cfRule>
    <cfRule type="cellIs" dxfId="1015" priority="278" stopIfTrue="1" operator="lessThan">
      <formula>0.95</formula>
    </cfRule>
  </conditionalFormatting>
  <conditionalFormatting sqref="AH60:AI60">
    <cfRule type="cellIs" dxfId="1014" priority="237" stopIfTrue="1" operator="greaterThanOrEqual">
      <formula>1</formula>
    </cfRule>
    <cfRule type="cellIs" dxfId="1013" priority="238" stopIfTrue="1" operator="lessThan">
      <formula>0.95</formula>
    </cfRule>
    <cfRule type="cellIs" dxfId="1012" priority="239" operator="lessThan">
      <formula>1</formula>
    </cfRule>
  </conditionalFormatting>
  <conditionalFormatting sqref="AH63:AI63">
    <cfRule type="cellIs" dxfId="1011" priority="207" stopIfTrue="1" operator="greaterThanOrEqual">
      <formula>1</formula>
    </cfRule>
    <cfRule type="cellIs" dxfId="1010" priority="209" operator="lessThan">
      <formula>1</formula>
    </cfRule>
    <cfRule type="cellIs" dxfId="1009" priority="208" stopIfTrue="1" operator="lessThan">
      <formula>0.95</formula>
    </cfRule>
  </conditionalFormatting>
  <conditionalFormatting sqref="AH66:AI66">
    <cfRule type="cellIs" dxfId="1008" priority="248" stopIfTrue="1" operator="lessThan">
      <formula>0.95</formula>
    </cfRule>
    <cfRule type="cellIs" dxfId="1007" priority="249" operator="lessThan">
      <formula>1</formula>
    </cfRule>
    <cfRule type="cellIs" dxfId="1006" priority="247" stopIfTrue="1" operator="greaterThanOrEqual">
      <formula>1</formula>
    </cfRule>
  </conditionalFormatting>
  <conditionalFormatting sqref="AH69:AI69">
    <cfRule type="cellIs" dxfId="1005" priority="269" operator="lessThan">
      <formula>1</formula>
    </cfRule>
    <cfRule type="cellIs" dxfId="1004" priority="267" stopIfTrue="1" operator="greaterThanOrEqual">
      <formula>1</formula>
    </cfRule>
    <cfRule type="cellIs" dxfId="1003" priority="268" stopIfTrue="1" operator="lessThan">
      <formula>0.95</formula>
    </cfRule>
  </conditionalFormatting>
  <conditionalFormatting sqref="AH72:AI72">
    <cfRule type="cellIs" dxfId="1002" priority="159" operator="lessThan">
      <formula>1</formula>
    </cfRule>
    <cfRule type="cellIs" dxfId="1001" priority="157" stopIfTrue="1" operator="greaterThanOrEqual">
      <formula>1</formula>
    </cfRule>
    <cfRule type="cellIs" dxfId="1000" priority="158" stopIfTrue="1" operator="lessThan">
      <formula>0.95</formula>
    </cfRule>
  </conditionalFormatting>
  <conditionalFormatting sqref="AH75:AI75">
    <cfRule type="cellIs" dxfId="999" priority="197" stopIfTrue="1" operator="greaterThanOrEqual">
      <formula>1</formula>
    </cfRule>
    <cfRule type="cellIs" dxfId="998" priority="199" operator="lessThan">
      <formula>1</formula>
    </cfRule>
    <cfRule type="cellIs" dxfId="997" priority="198" stopIfTrue="1" operator="lessThan">
      <formula>0.95</formula>
    </cfRule>
  </conditionalFormatting>
  <conditionalFormatting sqref="AH78:AI78">
    <cfRule type="cellIs" dxfId="996" priority="179" operator="lessThan">
      <formula>1</formula>
    </cfRule>
    <cfRule type="cellIs" dxfId="995" priority="178" stopIfTrue="1" operator="lessThan">
      <formula>0.95</formula>
    </cfRule>
    <cfRule type="cellIs" dxfId="994" priority="177" stopIfTrue="1" operator="greaterThanOrEqual">
      <formula>1</formula>
    </cfRule>
  </conditionalFormatting>
  <conditionalFormatting sqref="AH81:AI81">
    <cfRule type="cellIs" dxfId="993" priority="167" stopIfTrue="1" operator="greaterThanOrEqual">
      <formula>1</formula>
    </cfRule>
    <cfRule type="cellIs" dxfId="992" priority="169" operator="lessThan">
      <formula>1</formula>
    </cfRule>
    <cfRule type="cellIs" dxfId="991" priority="168" stopIfTrue="1" operator="lessThan">
      <formula>0.95</formula>
    </cfRule>
  </conditionalFormatting>
  <conditionalFormatting sqref="AH84:AI84">
    <cfRule type="cellIs" dxfId="990" priority="22" stopIfTrue="1" operator="greaterThanOrEqual">
      <formula>1</formula>
    </cfRule>
    <cfRule type="cellIs" dxfId="989" priority="23" stopIfTrue="1" operator="lessThan">
      <formula>0.95</formula>
    </cfRule>
    <cfRule type="cellIs" dxfId="988" priority="24" operator="lessThan">
      <formula>1</formula>
    </cfRule>
  </conditionalFormatting>
  <conditionalFormatting sqref="AH87:AI87">
    <cfRule type="cellIs" dxfId="987" priority="147" stopIfTrue="1" operator="greaterThanOrEqual">
      <formula>1</formula>
    </cfRule>
    <cfRule type="cellIs" dxfId="986" priority="148" stopIfTrue="1" operator="lessThan">
      <formula>0.95</formula>
    </cfRule>
    <cfRule type="cellIs" dxfId="985" priority="149" operator="lessThan">
      <formula>1</formula>
    </cfRule>
  </conditionalFormatting>
  <conditionalFormatting sqref="AH96:AI96">
    <cfRule type="cellIs" dxfId="984" priority="107" stopIfTrue="1" operator="greaterThanOrEqual">
      <formula>1</formula>
    </cfRule>
    <cfRule type="cellIs" dxfId="983" priority="109" operator="lessThan">
      <formula>1</formula>
    </cfRule>
    <cfRule type="cellIs" dxfId="982" priority="108" stopIfTrue="1" operator="lessThan">
      <formula>0.95</formula>
    </cfRule>
  </conditionalFormatting>
  <conditionalFormatting sqref="AH99:AI99">
    <cfRule type="cellIs" dxfId="981" priority="87" stopIfTrue="1" operator="greaterThanOrEqual">
      <formula>1</formula>
    </cfRule>
    <cfRule type="cellIs" dxfId="980" priority="89" operator="lessThan">
      <formula>1</formula>
    </cfRule>
    <cfRule type="cellIs" dxfId="979" priority="88" stopIfTrue="1" operator="lessThan">
      <formula>0.95</formula>
    </cfRule>
  </conditionalFormatting>
  <conditionalFormatting sqref="AH102:AI102">
    <cfRule type="cellIs" dxfId="978" priority="2578" stopIfTrue="1" operator="lessThan">
      <formula>0.95</formula>
    </cfRule>
    <cfRule type="cellIs" dxfId="977" priority="2577" stopIfTrue="1" operator="greaterThanOrEqual">
      <formula>1</formula>
    </cfRule>
    <cfRule type="cellIs" dxfId="976" priority="2579" operator="lessThan">
      <formula>1</formula>
    </cfRule>
  </conditionalFormatting>
  <conditionalFormatting sqref="AH105:AI105">
    <cfRule type="cellIs" dxfId="975" priority="128" stopIfTrue="1" operator="lessThan">
      <formula>0.95</formula>
    </cfRule>
    <cfRule type="cellIs" dxfId="974" priority="129" operator="lessThan">
      <formula>1</formula>
    </cfRule>
    <cfRule type="cellIs" dxfId="973" priority="127" stopIfTrue="1" operator="greaterThanOrEqual">
      <formula>1</formula>
    </cfRule>
  </conditionalFormatting>
  <conditionalFormatting sqref="AH108:AI108">
    <cfRule type="cellIs" dxfId="972" priority="2570" stopIfTrue="1" operator="lessThan">
      <formula>0.95</formula>
    </cfRule>
    <cfRule type="cellIs" dxfId="971" priority="2571" operator="lessThan">
      <formula>1</formula>
    </cfRule>
    <cfRule type="cellIs" dxfId="970" priority="2569" stopIfTrue="1" operator="greaterThanOrEqual">
      <formula>1</formula>
    </cfRule>
  </conditionalFormatting>
  <conditionalFormatting sqref="AH111:AI111">
    <cfRule type="cellIs" dxfId="969" priority="119" operator="lessThan">
      <formula>1</formula>
    </cfRule>
    <cfRule type="cellIs" dxfId="968" priority="118" stopIfTrue="1" operator="lessThan">
      <formula>0.95</formula>
    </cfRule>
    <cfRule type="cellIs" dxfId="967" priority="117" stopIfTrue="1" operator="greaterThanOrEqual">
      <formula>1</formula>
    </cfRule>
  </conditionalFormatting>
  <conditionalFormatting sqref="AH115:AI115">
    <cfRule type="cellIs" dxfId="966" priority="5" stopIfTrue="1" operator="greaterThanOrEqual">
      <formula>1</formula>
    </cfRule>
    <cfRule type="cellIs" dxfId="965" priority="6" stopIfTrue="1" operator="lessThan">
      <formula>0.95</formula>
    </cfRule>
    <cfRule type="cellIs" dxfId="964" priority="7" operator="lessThan">
      <formula>1</formula>
    </cfRule>
  </conditionalFormatting>
  <conditionalFormatting sqref="AH122:AI122">
    <cfRule type="cellIs" dxfId="963" priority="79" operator="lessThan">
      <formula>1</formula>
    </cfRule>
    <cfRule type="cellIs" dxfId="962" priority="78" stopIfTrue="1" operator="lessThan">
      <formula>0.95</formula>
    </cfRule>
    <cfRule type="cellIs" dxfId="961" priority="77" stopIfTrue="1" operator="greaterThanOrEqual">
      <formula>1</formula>
    </cfRule>
  </conditionalFormatting>
  <conditionalFormatting sqref="AH125:AI125">
    <cfRule type="cellIs" dxfId="960" priority="2656" stopIfTrue="1" operator="lessThan">
      <formula>0.95</formula>
    </cfRule>
    <cfRule type="cellIs" dxfId="959" priority="1716" stopIfTrue="1" operator="greaterThanOrEqual">
      <formula>1</formula>
    </cfRule>
  </conditionalFormatting>
  <conditionalFormatting sqref="AH136:AI136">
    <cfRule type="cellIs" dxfId="958" priority="69" operator="lessThan">
      <formula>1</formula>
    </cfRule>
    <cfRule type="cellIs" dxfId="957" priority="68" stopIfTrue="1" operator="lessThan">
      <formula>0.95</formula>
    </cfRule>
    <cfRule type="cellIs" dxfId="956" priority="67" stopIfTrue="1" operator="greaterThanOrEqual">
      <formula>1</formula>
    </cfRule>
  </conditionalFormatting>
  <conditionalFormatting sqref="AI17">
    <cfRule type="cellIs" dxfId="955" priority="2743" stopIfTrue="1" operator="lessThan">
      <formula>0.95</formula>
    </cfRule>
    <cfRule type="cellIs" dxfId="954" priority="2744" operator="greaterThanOrEqual">
      <formula>0.95</formula>
    </cfRule>
    <cfRule type="cellIs" dxfId="953" priority="2742" stopIfTrue="1" operator="lessThan">
      <formula>0.9</formula>
    </cfRule>
  </conditionalFormatting>
  <conditionalFormatting sqref="AI32">
    <cfRule type="cellIs" dxfId="952" priority="2633" operator="greaterThanOrEqual">
      <formula>0.95</formula>
    </cfRule>
    <cfRule type="cellIs" dxfId="951" priority="2632" stopIfTrue="1" operator="lessThan">
      <formula>0.95</formula>
    </cfRule>
    <cfRule type="cellIs" dxfId="950" priority="2631" stopIfTrue="1" operator="lessThan">
      <formula>0.9</formula>
    </cfRule>
  </conditionalFormatting>
  <conditionalFormatting sqref="AI38">
    <cfRule type="cellIs" dxfId="949" priority="2695" stopIfTrue="1" operator="lessThan">
      <formula>0.95</formula>
    </cfRule>
    <cfRule type="cellIs" dxfId="948" priority="2694" stopIfTrue="1" operator="lessThan">
      <formula>0.9</formula>
    </cfRule>
    <cfRule type="cellIs" dxfId="947" priority="2696" operator="greaterThanOrEqual">
      <formula>0.95</formula>
    </cfRule>
  </conditionalFormatting>
  <conditionalFormatting sqref="AI57">
    <cfRule type="cellIs" dxfId="946" priority="1638" operator="greaterThanOrEqual">
      <formula>0.95</formula>
    </cfRule>
    <cfRule type="cellIs" dxfId="945" priority="1637" stopIfTrue="1" operator="lessThan">
      <formula>0.95</formula>
    </cfRule>
    <cfRule type="cellIs" dxfId="944" priority="1636" stopIfTrue="1" operator="lessThan">
      <formula>0.9</formula>
    </cfRule>
  </conditionalFormatting>
  <conditionalFormatting sqref="AI93">
    <cfRule type="cellIs" dxfId="943" priority="2278" operator="greaterThanOrEqual">
      <formula>0.95</formula>
    </cfRule>
    <cfRule type="cellIs" dxfId="942" priority="2276" stopIfTrue="1" operator="lessThan">
      <formula>0.9</formula>
    </cfRule>
    <cfRule type="cellIs" dxfId="941" priority="2277" stopIfTrue="1" operator="lessThan">
      <formula>0.95</formula>
    </cfRule>
  </conditionalFormatting>
  <conditionalFormatting sqref="AI125">
    <cfRule type="cellIs" dxfId="940" priority="1717" operator="lessThan">
      <formula>1</formula>
    </cfRule>
  </conditionalFormatting>
  <conditionalFormatting sqref="AI128">
    <cfRule type="cellIs" dxfId="939" priority="1720" operator="lessThan">
      <formula>1</formula>
    </cfRule>
    <cfRule type="cellIs" dxfId="938" priority="1719" stopIfTrue="1" operator="lessThan">
      <formula>0.95</formula>
    </cfRule>
  </conditionalFormatting>
  <conditionalFormatting sqref="AI131">
    <cfRule type="cellIs" dxfId="937" priority="1714" stopIfTrue="1" operator="lessThan">
      <formula>0.95</formula>
    </cfRule>
    <cfRule type="cellIs" dxfId="936" priority="1715" operator="lessThan">
      <formula>1</formula>
    </cfRule>
  </conditionalFormatting>
  <conditionalFormatting sqref="AM11">
    <cfRule type="cellIs" dxfId="935" priority="40" operator="equal">
      <formula>"R"</formula>
    </cfRule>
    <cfRule type="cellIs" dxfId="934" priority="39" operator="equal">
      <formula>"A"</formula>
    </cfRule>
    <cfRule type="cellIs" dxfId="933" priority="38" operator="equal">
      <formula>"G"</formula>
    </cfRule>
    <cfRule type="cellIs" dxfId="932" priority="37" operator="equal">
      <formula>"n/a"</formula>
    </cfRule>
  </conditionalFormatting>
  <conditionalFormatting sqref="AM17">
    <cfRule type="cellIs" dxfId="931" priority="1818" operator="equal">
      <formula>"n/a"</formula>
    </cfRule>
    <cfRule type="cellIs" dxfId="930" priority="1819" operator="equal">
      <formula>"G"</formula>
    </cfRule>
    <cfRule type="cellIs" dxfId="929" priority="1820" operator="equal">
      <formula>"A"</formula>
    </cfRule>
    <cfRule type="cellIs" dxfId="928" priority="1821" operator="equal">
      <formula>"R"</formula>
    </cfRule>
  </conditionalFormatting>
  <conditionalFormatting sqref="AM20">
    <cfRule type="cellIs" dxfId="927" priority="1817" operator="equal">
      <formula>"R"</formula>
    </cfRule>
    <cfRule type="cellIs" dxfId="926" priority="1816" operator="equal">
      <formula>"A"</formula>
    </cfRule>
    <cfRule type="cellIs" dxfId="925" priority="1815" operator="equal">
      <formula>"G"</formula>
    </cfRule>
    <cfRule type="cellIs" dxfId="924" priority="1814" operator="equal">
      <formula>"n/a"</formula>
    </cfRule>
  </conditionalFormatting>
  <conditionalFormatting sqref="AM23">
    <cfRule type="cellIs" dxfId="923" priority="1806" operator="equal">
      <formula>"n/a"</formula>
    </cfRule>
    <cfRule type="cellIs" dxfId="922" priority="1809" operator="equal">
      <formula>"R"</formula>
    </cfRule>
    <cfRule type="cellIs" dxfId="921" priority="1808" operator="equal">
      <formula>"A"</formula>
    </cfRule>
    <cfRule type="cellIs" dxfId="920" priority="1807" operator="equal">
      <formula>"G"</formula>
    </cfRule>
  </conditionalFormatting>
  <conditionalFormatting sqref="AM26">
    <cfRule type="cellIs" dxfId="919" priority="1810" operator="equal">
      <formula>"n/a"</formula>
    </cfRule>
    <cfRule type="cellIs" dxfId="918" priority="1813" operator="equal">
      <formula>"R"</formula>
    </cfRule>
    <cfRule type="cellIs" dxfId="917" priority="1812" operator="equal">
      <formula>"A"</formula>
    </cfRule>
    <cfRule type="cellIs" dxfId="916" priority="1811" operator="equal">
      <formula>"G"</formula>
    </cfRule>
  </conditionalFormatting>
  <conditionalFormatting sqref="AM29">
    <cfRule type="cellIs" dxfId="915" priority="1823" operator="equal">
      <formula>"G"</formula>
    </cfRule>
    <cfRule type="cellIs" dxfId="914" priority="1824" operator="equal">
      <formula>"A"</formula>
    </cfRule>
    <cfRule type="cellIs" dxfId="913" priority="1825" operator="equal">
      <formula>"R"</formula>
    </cfRule>
    <cfRule type="cellIs" dxfId="912" priority="1822" operator="equal">
      <formula>"n/a"</formula>
    </cfRule>
  </conditionalFormatting>
  <conditionalFormatting sqref="AM32">
    <cfRule type="cellIs" dxfId="911" priority="299" operator="equal">
      <formula>"n/a"</formula>
    </cfRule>
    <cfRule type="cellIs" dxfId="910" priority="300" operator="equal">
      <formula>"G"</formula>
    </cfRule>
    <cfRule type="cellIs" dxfId="909" priority="302" operator="equal">
      <formula>"R"</formula>
    </cfRule>
    <cfRule type="cellIs" dxfId="908" priority="301" operator="equal">
      <formula>"A"</formula>
    </cfRule>
  </conditionalFormatting>
  <conditionalFormatting sqref="AM35">
    <cfRule type="cellIs" dxfId="907" priority="1804" operator="equal">
      <formula>"A"</formula>
    </cfRule>
    <cfRule type="cellIs" dxfId="906" priority="1803" operator="equal">
      <formula>"G"</formula>
    </cfRule>
    <cfRule type="cellIs" dxfId="905" priority="1805" operator="equal">
      <formula>"R"</formula>
    </cfRule>
    <cfRule type="cellIs" dxfId="904" priority="1802" operator="equal">
      <formula>"n/a"</formula>
    </cfRule>
  </conditionalFormatting>
  <conditionalFormatting sqref="AM38">
    <cfRule type="cellIs" dxfId="903" priority="1799" operator="equal">
      <formula>"G"</formula>
    </cfRule>
    <cfRule type="cellIs" dxfId="902" priority="1798" operator="equal">
      <formula>"n/a"</formula>
    </cfRule>
    <cfRule type="cellIs" dxfId="901" priority="1801" operator="equal">
      <formula>"R"</formula>
    </cfRule>
    <cfRule type="cellIs" dxfId="900" priority="1800" operator="equal">
      <formula>"A"</formula>
    </cfRule>
  </conditionalFormatting>
  <conditionalFormatting sqref="AM41">
    <cfRule type="cellIs" dxfId="899" priority="2025" operator="equal">
      <formula>"R"</formula>
    </cfRule>
    <cfRule type="cellIs" dxfId="898" priority="2024" operator="equal">
      <formula>"A"</formula>
    </cfRule>
    <cfRule type="cellIs" dxfId="897" priority="2023" operator="equal">
      <formula>"G"</formula>
    </cfRule>
    <cfRule type="cellIs" dxfId="896" priority="2022" operator="equal">
      <formula>"n/a"</formula>
    </cfRule>
  </conditionalFormatting>
  <conditionalFormatting sqref="AM47">
    <cfRule type="cellIs" dxfId="895" priority="285" operator="equal">
      <formula>"A"</formula>
    </cfRule>
    <cfRule type="cellIs" dxfId="894" priority="284" operator="equal">
      <formula>"G"</formula>
    </cfRule>
    <cfRule type="cellIs" dxfId="893" priority="283" operator="equal">
      <formula>"n/a"</formula>
    </cfRule>
    <cfRule type="cellIs" dxfId="892" priority="286" operator="equal">
      <formula>"R"</formula>
    </cfRule>
  </conditionalFormatting>
  <conditionalFormatting sqref="AM54">
    <cfRule type="cellIs" dxfId="891" priority="276" operator="equal">
      <formula>"R"</formula>
    </cfRule>
    <cfRule type="cellIs" dxfId="890" priority="274" operator="equal">
      <formula>"G"</formula>
    </cfRule>
    <cfRule type="cellIs" dxfId="889" priority="273" operator="equal">
      <formula>"n/a"</formula>
    </cfRule>
    <cfRule type="cellIs" dxfId="888" priority="275" operator="equal">
      <formula>"A"</formula>
    </cfRule>
  </conditionalFormatting>
  <conditionalFormatting sqref="AM57">
    <cfRule type="cellIs" dxfId="887" priority="1624" operator="equal">
      <formula>"n/a"</formula>
    </cfRule>
    <cfRule type="cellIs" dxfId="886" priority="1627" operator="equal">
      <formula>"R"</formula>
    </cfRule>
    <cfRule type="cellIs" dxfId="885" priority="1626" operator="equal">
      <formula>"A"</formula>
    </cfRule>
    <cfRule type="cellIs" dxfId="884" priority="1625" operator="equal">
      <formula>"G"</formula>
    </cfRule>
  </conditionalFormatting>
  <conditionalFormatting sqref="AM60">
    <cfRule type="cellIs" dxfId="883" priority="234" operator="equal">
      <formula>"G"</formula>
    </cfRule>
    <cfRule type="cellIs" dxfId="882" priority="235" operator="equal">
      <formula>"A"</formula>
    </cfRule>
    <cfRule type="cellIs" dxfId="881" priority="236" operator="equal">
      <formula>"R"</formula>
    </cfRule>
    <cfRule type="cellIs" dxfId="880" priority="233" operator="equal">
      <formula>"n/a"</formula>
    </cfRule>
  </conditionalFormatting>
  <conditionalFormatting sqref="AM63">
    <cfRule type="cellIs" dxfId="879" priority="203" operator="equal">
      <formula>"n/a"</formula>
    </cfRule>
    <cfRule type="cellIs" dxfId="878" priority="204" operator="equal">
      <formula>"G"</formula>
    </cfRule>
    <cfRule type="cellIs" dxfId="877" priority="205" operator="equal">
      <formula>"A"</formula>
    </cfRule>
    <cfRule type="cellIs" dxfId="876" priority="206" operator="equal">
      <formula>"R"</formula>
    </cfRule>
  </conditionalFormatting>
  <conditionalFormatting sqref="AM66">
    <cfRule type="cellIs" dxfId="875" priority="244" operator="equal">
      <formula>"G"</formula>
    </cfRule>
    <cfRule type="cellIs" dxfId="874" priority="243" operator="equal">
      <formula>"n/a"</formula>
    </cfRule>
    <cfRule type="cellIs" dxfId="873" priority="246" operator="equal">
      <formula>"R"</formula>
    </cfRule>
    <cfRule type="cellIs" dxfId="872" priority="245" operator="equal">
      <formula>"A"</formula>
    </cfRule>
  </conditionalFormatting>
  <conditionalFormatting sqref="AM69">
    <cfRule type="cellIs" dxfId="871" priority="263" operator="equal">
      <formula>"n/a"</formula>
    </cfRule>
    <cfRule type="cellIs" dxfId="870" priority="265" operator="equal">
      <formula>"A"</formula>
    </cfRule>
    <cfRule type="cellIs" dxfId="869" priority="266" operator="equal">
      <formula>"R"</formula>
    </cfRule>
    <cfRule type="cellIs" dxfId="868" priority="264" operator="equal">
      <formula>"G"</formula>
    </cfRule>
  </conditionalFormatting>
  <conditionalFormatting sqref="AM72">
    <cfRule type="cellIs" dxfId="867" priority="153" operator="equal">
      <formula>"n/a"</formula>
    </cfRule>
    <cfRule type="cellIs" dxfId="866" priority="156" operator="equal">
      <formula>"R"</formula>
    </cfRule>
    <cfRule type="cellIs" dxfId="865" priority="155" operator="equal">
      <formula>"A"</formula>
    </cfRule>
    <cfRule type="cellIs" dxfId="864" priority="154" operator="equal">
      <formula>"G"</formula>
    </cfRule>
  </conditionalFormatting>
  <conditionalFormatting sqref="AM75">
    <cfRule type="cellIs" dxfId="863" priority="193" operator="equal">
      <formula>"n/a"</formula>
    </cfRule>
    <cfRule type="cellIs" dxfId="862" priority="194" operator="equal">
      <formula>"G"</formula>
    </cfRule>
    <cfRule type="cellIs" dxfId="861" priority="195" operator="equal">
      <formula>"A"</formula>
    </cfRule>
    <cfRule type="cellIs" dxfId="860" priority="196" operator="equal">
      <formula>"R"</formula>
    </cfRule>
  </conditionalFormatting>
  <conditionalFormatting sqref="AM78">
    <cfRule type="cellIs" dxfId="859" priority="175" operator="equal">
      <formula>"A"</formula>
    </cfRule>
    <cfRule type="cellIs" dxfId="858" priority="176" operator="equal">
      <formula>"R"</formula>
    </cfRule>
    <cfRule type="cellIs" dxfId="857" priority="173" operator="equal">
      <formula>"n/a"</formula>
    </cfRule>
    <cfRule type="cellIs" dxfId="856" priority="174" operator="equal">
      <formula>"G"</formula>
    </cfRule>
  </conditionalFormatting>
  <conditionalFormatting sqref="AM81">
    <cfRule type="cellIs" dxfId="855" priority="166" operator="equal">
      <formula>"R"</formula>
    </cfRule>
    <cfRule type="cellIs" dxfId="854" priority="165" operator="equal">
      <formula>"A"</formula>
    </cfRule>
    <cfRule type="cellIs" dxfId="853" priority="164" operator="equal">
      <formula>"G"</formula>
    </cfRule>
    <cfRule type="cellIs" dxfId="852" priority="163" operator="equal">
      <formula>"n/a"</formula>
    </cfRule>
  </conditionalFormatting>
  <conditionalFormatting sqref="AM84">
    <cfRule type="cellIs" dxfId="851" priority="18" operator="equal">
      <formula>"n/a"</formula>
    </cfRule>
    <cfRule type="cellIs" dxfId="850" priority="19" operator="equal">
      <formula>"G"</formula>
    </cfRule>
    <cfRule type="cellIs" dxfId="849" priority="20" operator="equal">
      <formula>"A"</formula>
    </cfRule>
    <cfRule type="cellIs" dxfId="848" priority="21" operator="equal">
      <formula>"R"</formula>
    </cfRule>
  </conditionalFormatting>
  <conditionalFormatting sqref="AM87">
    <cfRule type="cellIs" dxfId="847" priority="145" operator="equal">
      <formula>"A"</formula>
    </cfRule>
    <cfRule type="cellIs" dxfId="846" priority="144" operator="equal">
      <formula>"G"</formula>
    </cfRule>
    <cfRule type="cellIs" dxfId="845" priority="143" operator="equal">
      <formula>"n/a"</formula>
    </cfRule>
    <cfRule type="cellIs" dxfId="844" priority="146" operator="equal">
      <formula>"R"</formula>
    </cfRule>
  </conditionalFormatting>
  <conditionalFormatting sqref="AM93">
    <cfRule type="cellIs" dxfId="843" priority="1781" operator="equal">
      <formula>"R"</formula>
    </cfRule>
    <cfRule type="cellIs" dxfId="842" priority="1780" operator="equal">
      <formula>"A"</formula>
    </cfRule>
    <cfRule type="cellIs" dxfId="841" priority="1779" operator="equal">
      <formula>"G"</formula>
    </cfRule>
    <cfRule type="cellIs" dxfId="840" priority="1778" operator="equal">
      <formula>"n/a"</formula>
    </cfRule>
  </conditionalFormatting>
  <conditionalFormatting sqref="AM96">
    <cfRule type="cellIs" dxfId="839" priority="103" operator="equal">
      <formula>"n/a"</formula>
    </cfRule>
    <cfRule type="cellIs" dxfId="838" priority="106" operator="equal">
      <formula>"R"</formula>
    </cfRule>
    <cfRule type="cellIs" dxfId="837" priority="105" operator="equal">
      <formula>"A"</formula>
    </cfRule>
    <cfRule type="cellIs" dxfId="836" priority="104" operator="equal">
      <formula>"G"</formula>
    </cfRule>
  </conditionalFormatting>
  <conditionalFormatting sqref="AM99">
    <cfRule type="cellIs" dxfId="835" priority="85" operator="equal">
      <formula>"A"</formula>
    </cfRule>
    <cfRule type="cellIs" dxfId="834" priority="84" operator="equal">
      <formula>"G"</formula>
    </cfRule>
    <cfRule type="cellIs" dxfId="833" priority="83" operator="equal">
      <formula>"n/a"</formula>
    </cfRule>
    <cfRule type="cellIs" dxfId="832" priority="86" operator="equal">
      <formula>"R"</formula>
    </cfRule>
  </conditionalFormatting>
  <conditionalFormatting sqref="AM102">
    <cfRule type="cellIs" dxfId="831" priority="1785" operator="equal">
      <formula>"R"</formula>
    </cfRule>
    <cfRule type="cellIs" dxfId="830" priority="1782" operator="equal">
      <formula>"n/a"</formula>
    </cfRule>
    <cfRule type="cellIs" dxfId="829" priority="1783" operator="equal">
      <formula>"G"</formula>
    </cfRule>
    <cfRule type="cellIs" dxfId="828" priority="1784" operator="equal">
      <formula>"A"</formula>
    </cfRule>
  </conditionalFormatting>
  <conditionalFormatting sqref="AM105">
    <cfRule type="cellIs" dxfId="827" priority="126" operator="equal">
      <formula>"R"</formula>
    </cfRule>
    <cfRule type="cellIs" dxfId="826" priority="125" operator="equal">
      <formula>"A"</formula>
    </cfRule>
    <cfRule type="cellIs" dxfId="825" priority="124" operator="equal">
      <formula>"G"</formula>
    </cfRule>
    <cfRule type="cellIs" dxfId="824" priority="123" operator="equal">
      <formula>"n/a"</formula>
    </cfRule>
  </conditionalFormatting>
  <conditionalFormatting sqref="AM108">
    <cfRule type="cellIs" dxfId="823" priority="1786" operator="equal">
      <formula>"n/a"</formula>
    </cfRule>
    <cfRule type="cellIs" dxfId="822" priority="1788" operator="equal">
      <formula>"A"</formula>
    </cfRule>
    <cfRule type="cellIs" dxfId="821" priority="1787" operator="equal">
      <formula>"G"</formula>
    </cfRule>
    <cfRule type="cellIs" dxfId="820" priority="1789" operator="equal">
      <formula>"R"</formula>
    </cfRule>
  </conditionalFormatting>
  <conditionalFormatting sqref="AM111">
    <cfRule type="cellIs" dxfId="819" priority="116" operator="equal">
      <formula>"R"</formula>
    </cfRule>
    <cfRule type="cellIs" dxfId="818" priority="113" operator="equal">
      <formula>"n/a"</formula>
    </cfRule>
    <cfRule type="cellIs" dxfId="817" priority="114" operator="equal">
      <formula>"G"</formula>
    </cfRule>
    <cfRule type="cellIs" dxfId="816" priority="115" operator="equal">
      <formula>"A"</formula>
    </cfRule>
  </conditionalFormatting>
  <conditionalFormatting sqref="AM115">
    <cfRule type="cellIs" dxfId="815" priority="4" operator="equal">
      <formula>"R"</formula>
    </cfRule>
    <cfRule type="cellIs" dxfId="814" priority="1" operator="equal">
      <formula>"n/a"</formula>
    </cfRule>
    <cfRule type="cellIs" dxfId="813" priority="3" operator="equal">
      <formula>"A"</formula>
    </cfRule>
    <cfRule type="cellIs" dxfId="812" priority="2" operator="equal">
      <formula>"G"</formula>
    </cfRule>
  </conditionalFormatting>
  <conditionalFormatting sqref="AM122">
    <cfRule type="cellIs" dxfId="811" priority="75" operator="equal">
      <formula>"A"</formula>
    </cfRule>
    <cfRule type="cellIs" dxfId="810" priority="76" operator="equal">
      <formula>"R"</formula>
    </cfRule>
    <cfRule type="cellIs" dxfId="809" priority="74" operator="equal">
      <formula>"G"</formula>
    </cfRule>
    <cfRule type="cellIs" dxfId="808" priority="73" operator="equal">
      <formula>"n/a"</formula>
    </cfRule>
  </conditionalFormatting>
  <conditionalFormatting sqref="AM125">
    <cfRule type="cellIs" dxfId="807" priority="1774" operator="equal">
      <formula>"n/a"</formula>
    </cfRule>
    <cfRule type="cellIs" dxfId="806" priority="1777" operator="equal">
      <formula>"R"</formula>
    </cfRule>
    <cfRule type="cellIs" dxfId="805" priority="1775" operator="equal">
      <formula>"G"</formula>
    </cfRule>
    <cfRule type="cellIs" dxfId="804" priority="1776" operator="equal">
      <formula>"A"</formula>
    </cfRule>
  </conditionalFormatting>
  <conditionalFormatting sqref="AM128">
    <cfRule type="cellIs" dxfId="803" priority="1773" operator="equal">
      <formula>"R"</formula>
    </cfRule>
    <cfRule type="cellIs" dxfId="802" priority="1770" operator="equal">
      <formula>"n/a"</formula>
    </cfRule>
    <cfRule type="cellIs" dxfId="801" priority="1771" operator="equal">
      <formula>"G"</formula>
    </cfRule>
    <cfRule type="cellIs" dxfId="800" priority="1772" operator="equal">
      <formula>"A"</formula>
    </cfRule>
  </conditionalFormatting>
  <conditionalFormatting sqref="AM131">
    <cfRule type="cellIs" dxfId="799" priority="1768" operator="equal">
      <formula>"A"</formula>
    </cfRule>
    <cfRule type="cellIs" dxfId="798" priority="1767" operator="equal">
      <formula>"G"</formula>
    </cfRule>
    <cfRule type="cellIs" dxfId="797" priority="1766" operator="equal">
      <formula>"n/a"</formula>
    </cfRule>
    <cfRule type="cellIs" dxfId="796" priority="1769" operator="equal">
      <formula>"R"</formula>
    </cfRule>
  </conditionalFormatting>
  <conditionalFormatting sqref="AM136">
    <cfRule type="cellIs" dxfId="795" priority="63" operator="equal">
      <formula>"n/a"</formula>
    </cfRule>
    <cfRule type="cellIs" dxfId="794" priority="66" operator="equal">
      <formula>"R"</formula>
    </cfRule>
    <cfRule type="cellIs" dxfId="793" priority="65" operator="equal">
      <formula>"A"</formula>
    </cfRule>
    <cfRule type="cellIs" dxfId="792" priority="64" operator="equal">
      <formula>"G"</formula>
    </cfRule>
  </conditionalFormatting>
  <pageMargins left="0.23622047244094491" right="0.23622047244094491" top="0.35433070866141736" bottom="0.35433070866141736" header="0.31496062992125984" footer="0.31496062992125984"/>
  <pageSetup paperSize="8" scale="62" fitToHeight="0" orientation="landscape" r:id="rId63"/>
  <headerFooter>
    <oddFooter>&amp;L&amp;1#&amp;"Calibri"&amp;10&amp;K000000OFFICIAL</oddFooter>
  </headerFooter>
  <rowBreaks count="4" manualBreakCount="4">
    <brk id="33" min="1" max="38" man="1"/>
    <brk id="70" min="1" max="38" man="1"/>
    <brk id="103" min="1" max="38" man="1"/>
    <brk id="132" min="1" max="38" man="1"/>
  </rowBreaks>
  <legacyDrawing r:id="rId6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BC9EFB-D59B-41A3-BA57-3E859AF0DAB7}">
  <sheetPr codeName="Sheet3"/>
  <dimension ref="A2:O77"/>
  <sheetViews>
    <sheetView zoomScale="90" zoomScaleNormal="90" workbookViewId="0">
      <pane ySplit="5" topLeftCell="A6" activePane="bottomLeft" state="frozen"/>
      <selection activeCell="AJ34" sqref="AJ34"/>
      <selection pane="bottomLeft" activeCell="A67" sqref="A67"/>
    </sheetView>
  </sheetViews>
  <sheetFormatPr defaultColWidth="8.453125" defaultRowHeight="12" x14ac:dyDescent="0.35"/>
  <cols>
    <col min="1" max="1" width="25.453125" style="15" customWidth="1"/>
    <col min="2" max="2" width="9.453125" style="1" customWidth="1"/>
    <col min="3" max="3" width="0.54296875" style="15" customWidth="1"/>
    <col min="4" max="4" width="8.453125" style="15" customWidth="1"/>
    <col min="5" max="5" width="8.453125" style="25" customWidth="1"/>
    <col min="6" max="6" width="8.453125" style="15" customWidth="1"/>
    <col min="7" max="7" width="10.453125" style="57" customWidth="1"/>
    <col min="8" max="8" width="10.453125" style="58" customWidth="1"/>
    <col min="9" max="9" width="0.453125" style="15" customWidth="1"/>
    <col min="10" max="11" width="8.453125" style="15" customWidth="1"/>
    <col min="12" max="12" width="0.54296875" style="15" customWidth="1"/>
    <col min="13" max="13" width="15.453125" style="6" bestFit="1" customWidth="1"/>
    <col min="14" max="14" width="98.453125" style="15" customWidth="1"/>
    <col min="15" max="16" width="8.453125" style="15"/>
    <col min="17" max="17" width="74.453125" style="15" customWidth="1"/>
    <col min="18" max="16384" width="8.453125" style="15"/>
  </cols>
  <sheetData>
    <row r="2" spans="1:14" ht="15" customHeight="1" x14ac:dyDescent="0.35">
      <c r="A2" s="665" t="s">
        <v>0</v>
      </c>
      <c r="B2" s="664" t="s">
        <v>1</v>
      </c>
      <c r="C2" s="159"/>
      <c r="D2" s="670" t="s">
        <v>47</v>
      </c>
      <c r="E2" s="670"/>
      <c r="F2" s="670"/>
      <c r="G2" s="670"/>
      <c r="H2" s="670"/>
      <c r="I2" s="670"/>
      <c r="J2" s="670"/>
      <c r="K2" s="670"/>
    </row>
    <row r="3" spans="1:14" ht="12" customHeight="1" x14ac:dyDescent="0.35">
      <c r="A3" s="665"/>
      <c r="B3" s="664"/>
      <c r="C3" s="19"/>
      <c r="D3" s="719" t="s">
        <v>48</v>
      </c>
      <c r="E3" s="719"/>
      <c r="F3" s="719"/>
      <c r="G3" s="719"/>
      <c r="H3" s="719"/>
      <c r="I3" s="160"/>
      <c r="J3" s="670" t="s">
        <v>30</v>
      </c>
      <c r="K3" s="671"/>
      <c r="L3" s="160"/>
    </row>
    <row r="4" spans="1:14" ht="12" customHeight="1" x14ac:dyDescent="0.35">
      <c r="A4" s="665"/>
      <c r="B4" s="664"/>
      <c r="C4" s="20"/>
      <c r="D4" s="684" t="s">
        <v>220</v>
      </c>
      <c r="E4" s="684" t="s">
        <v>54</v>
      </c>
      <c r="F4" s="684" t="s">
        <v>49</v>
      </c>
      <c r="G4" s="684" t="s">
        <v>55</v>
      </c>
      <c r="H4" s="684" t="s">
        <v>50</v>
      </c>
      <c r="I4" s="160"/>
      <c r="J4" s="684" t="s">
        <v>51</v>
      </c>
      <c r="K4" s="730" t="s">
        <v>2</v>
      </c>
      <c r="L4" s="160"/>
      <c r="M4" s="726" t="s">
        <v>65</v>
      </c>
      <c r="N4" s="728" t="s">
        <v>61</v>
      </c>
    </row>
    <row r="5" spans="1:14" ht="12" customHeight="1" x14ac:dyDescent="0.35">
      <c r="A5" s="665"/>
      <c r="B5" s="664"/>
      <c r="C5" s="21"/>
      <c r="D5" s="669"/>
      <c r="E5" s="669"/>
      <c r="F5" s="669"/>
      <c r="G5" s="669"/>
      <c r="H5" s="669"/>
      <c r="I5" s="160"/>
      <c r="J5" s="669"/>
      <c r="K5" s="731"/>
      <c r="L5" s="160"/>
      <c r="M5" s="727"/>
      <c r="N5" s="729"/>
    </row>
    <row r="6" spans="1:14" ht="11.5" x14ac:dyDescent="0.35">
      <c r="A6" s="161"/>
      <c r="B6" s="160"/>
      <c r="E6" s="153"/>
      <c r="G6" s="154"/>
    </row>
    <row r="7" spans="1:14" ht="23" x14ac:dyDescent="0.35">
      <c r="A7" s="3" t="s">
        <v>7</v>
      </c>
      <c r="B7" s="160" t="s">
        <v>3</v>
      </c>
      <c r="C7" s="13"/>
      <c r="D7" s="62" t="s">
        <v>8</v>
      </c>
      <c r="E7" s="5">
        <v>788</v>
      </c>
      <c r="F7" s="4">
        <v>846</v>
      </c>
      <c r="G7" s="75">
        <v>44986</v>
      </c>
      <c r="H7" s="63">
        <v>45170</v>
      </c>
      <c r="J7" s="4">
        <v>846</v>
      </c>
      <c r="K7" s="4">
        <v>846</v>
      </c>
      <c r="M7" s="23"/>
      <c r="N7" s="22"/>
    </row>
    <row r="8" spans="1:14" ht="23" x14ac:dyDescent="0.35">
      <c r="A8" s="3"/>
      <c r="B8" s="160"/>
      <c r="C8" s="13"/>
      <c r="D8" s="62" t="s">
        <v>8</v>
      </c>
      <c r="E8" s="5">
        <v>788</v>
      </c>
      <c r="F8" s="4">
        <v>846</v>
      </c>
      <c r="G8" s="75">
        <v>44986</v>
      </c>
      <c r="H8" s="63">
        <v>45170</v>
      </c>
      <c r="J8" s="16">
        <v>871</v>
      </c>
      <c r="K8" s="16">
        <v>871</v>
      </c>
      <c r="M8" s="23" t="s">
        <v>62</v>
      </c>
      <c r="N8" s="24" t="s">
        <v>63</v>
      </c>
    </row>
    <row r="9" spans="1:14" ht="47.5" x14ac:dyDescent="0.35">
      <c r="A9" s="3"/>
      <c r="B9" s="160"/>
      <c r="C9" s="13"/>
      <c r="D9" s="62" t="s">
        <v>8</v>
      </c>
      <c r="E9" s="5">
        <v>788</v>
      </c>
      <c r="F9" s="16">
        <v>871</v>
      </c>
      <c r="G9" s="75">
        <v>44986</v>
      </c>
      <c r="H9" s="63">
        <v>45170</v>
      </c>
      <c r="J9" s="4">
        <v>871</v>
      </c>
      <c r="K9" s="4">
        <v>871</v>
      </c>
      <c r="M9" s="23" t="s">
        <v>143</v>
      </c>
      <c r="N9" s="24" t="s">
        <v>179</v>
      </c>
    </row>
    <row r="10" spans="1:14" ht="23" x14ac:dyDescent="0.35">
      <c r="A10" s="3"/>
      <c r="B10" s="160"/>
      <c r="C10" s="13"/>
      <c r="D10" s="62" t="s">
        <v>8</v>
      </c>
      <c r="E10" s="26">
        <f>E9+25</f>
        <v>813</v>
      </c>
      <c r="F10" s="4">
        <v>871</v>
      </c>
      <c r="G10" s="75">
        <v>44986</v>
      </c>
      <c r="H10" s="63">
        <v>45170</v>
      </c>
      <c r="J10" s="4">
        <v>871</v>
      </c>
      <c r="K10" s="4">
        <v>871</v>
      </c>
      <c r="M10" s="68" t="s">
        <v>180</v>
      </c>
      <c r="N10" s="24" t="s">
        <v>181</v>
      </c>
    </row>
    <row r="11" spans="1:14" ht="11.5" x14ac:dyDescent="0.35">
      <c r="A11" s="161"/>
      <c r="B11" s="160"/>
      <c r="E11" s="153"/>
      <c r="G11" s="154"/>
    </row>
    <row r="12" spans="1:14" ht="23" x14ac:dyDescent="0.35">
      <c r="A12" s="3" t="s">
        <v>115</v>
      </c>
      <c r="B12" s="160" t="s">
        <v>3</v>
      </c>
      <c r="C12" s="13"/>
      <c r="D12" s="62" t="s">
        <v>20</v>
      </c>
      <c r="E12" s="5">
        <v>218</v>
      </c>
      <c r="F12" s="4">
        <v>238</v>
      </c>
      <c r="G12" s="75">
        <v>44986</v>
      </c>
      <c r="H12" s="63">
        <v>44986</v>
      </c>
      <c r="J12" s="4">
        <v>238</v>
      </c>
      <c r="K12" s="7">
        <v>201.5</v>
      </c>
      <c r="M12" s="23"/>
      <c r="N12" s="22"/>
    </row>
    <row r="13" spans="1:14" ht="59.5" x14ac:dyDescent="0.35">
      <c r="A13" s="3"/>
      <c r="B13" s="160"/>
      <c r="C13" s="13"/>
      <c r="D13" s="62" t="s">
        <v>20</v>
      </c>
      <c r="E13" s="5">
        <v>218</v>
      </c>
      <c r="F13" s="16">
        <v>249.3</v>
      </c>
      <c r="G13" s="75">
        <v>44986</v>
      </c>
      <c r="H13" s="63">
        <v>44986</v>
      </c>
      <c r="J13" s="16">
        <v>249.3</v>
      </c>
      <c r="K13" s="7">
        <v>201.5</v>
      </c>
      <c r="M13" s="23" t="s">
        <v>163</v>
      </c>
      <c r="N13" s="24" t="s">
        <v>182</v>
      </c>
    </row>
    <row r="14" spans="1:14" ht="23" x14ac:dyDescent="0.35">
      <c r="A14" s="3"/>
      <c r="B14" s="160"/>
      <c r="C14" s="13"/>
      <c r="D14" s="62" t="s">
        <v>20</v>
      </c>
      <c r="E14" s="26">
        <f>E13+11.3</f>
        <v>229.3</v>
      </c>
      <c r="F14" s="4">
        <v>249.3</v>
      </c>
      <c r="G14" s="75">
        <v>44986</v>
      </c>
      <c r="H14" s="63">
        <v>44986</v>
      </c>
      <c r="J14" s="4">
        <v>249.3</v>
      </c>
      <c r="K14" s="7">
        <v>201.5</v>
      </c>
      <c r="M14" s="68" t="s">
        <v>180</v>
      </c>
      <c r="N14" s="24" t="s">
        <v>183</v>
      </c>
    </row>
    <row r="15" spans="1:14" ht="23" x14ac:dyDescent="0.35">
      <c r="A15" s="3"/>
      <c r="B15" s="160"/>
      <c r="C15" s="13"/>
      <c r="D15" s="62" t="s">
        <v>20</v>
      </c>
      <c r="E15" s="26">
        <v>229.4</v>
      </c>
      <c r="F15" s="16">
        <v>249.4</v>
      </c>
      <c r="G15" s="74">
        <v>44810</v>
      </c>
      <c r="H15" s="63">
        <v>44986</v>
      </c>
      <c r="J15" s="16">
        <f>F15</f>
        <v>249.4</v>
      </c>
      <c r="K15" s="7">
        <v>201.5</v>
      </c>
      <c r="M15" s="68" t="s">
        <v>196</v>
      </c>
      <c r="N15" s="24" t="s">
        <v>197</v>
      </c>
    </row>
    <row r="16" spans="1:14" ht="23" x14ac:dyDescent="0.35">
      <c r="A16" s="3"/>
      <c r="B16" s="160"/>
      <c r="C16" s="13"/>
      <c r="D16" s="71" t="s">
        <v>241</v>
      </c>
      <c r="E16" s="26">
        <v>379.16399999999999</v>
      </c>
      <c r="F16" s="16">
        <v>403.00099999999998</v>
      </c>
      <c r="G16" s="74">
        <v>47362</v>
      </c>
      <c r="H16" s="74">
        <v>11140</v>
      </c>
      <c r="J16" s="16">
        <v>403.00099999999998</v>
      </c>
      <c r="K16" s="26">
        <v>379.16399999999999</v>
      </c>
      <c r="M16" s="68" t="s">
        <v>242</v>
      </c>
      <c r="N16" s="24" t="s">
        <v>243</v>
      </c>
    </row>
    <row r="17" spans="1:15" ht="11.5" x14ac:dyDescent="0.35">
      <c r="A17" s="3"/>
      <c r="B17" s="160"/>
      <c r="C17" s="13"/>
      <c r="D17" s="6"/>
      <c r="E17" s="5"/>
      <c r="F17" s="5"/>
      <c r="G17" s="75"/>
      <c r="H17" s="59"/>
      <c r="J17" s="5"/>
      <c r="K17" s="14"/>
    </row>
    <row r="18" spans="1:15" ht="23" x14ac:dyDescent="0.35">
      <c r="A18" s="3" t="s">
        <v>98</v>
      </c>
      <c r="B18" s="160" t="s">
        <v>3</v>
      </c>
      <c r="C18" s="13"/>
      <c r="D18" s="62" t="s">
        <v>12</v>
      </c>
      <c r="E18" s="5">
        <v>769</v>
      </c>
      <c r="F18" s="4">
        <v>887</v>
      </c>
      <c r="G18" s="75">
        <v>44593</v>
      </c>
      <c r="H18" s="63">
        <v>45078</v>
      </c>
      <c r="J18" s="4">
        <v>887</v>
      </c>
      <c r="K18" s="7">
        <v>887</v>
      </c>
      <c r="M18" s="23"/>
      <c r="N18" s="22"/>
    </row>
    <row r="19" spans="1:15" ht="23" x14ac:dyDescent="0.35">
      <c r="A19" s="3"/>
      <c r="B19" s="160"/>
      <c r="C19" s="13"/>
      <c r="D19" s="62" t="s">
        <v>184</v>
      </c>
      <c r="E19" s="26">
        <v>1316</v>
      </c>
      <c r="F19" s="16">
        <v>1512</v>
      </c>
      <c r="G19" s="74">
        <v>46226</v>
      </c>
      <c r="H19" s="69">
        <v>46847</v>
      </c>
      <c r="J19" s="16">
        <v>1512</v>
      </c>
      <c r="K19" s="26">
        <v>1316</v>
      </c>
      <c r="M19" s="23" t="s">
        <v>185</v>
      </c>
      <c r="N19" s="22" t="s">
        <v>186</v>
      </c>
    </row>
    <row r="20" spans="1:15" ht="11.5" x14ac:dyDescent="0.35">
      <c r="A20" s="161"/>
      <c r="B20" s="160"/>
      <c r="E20" s="153"/>
      <c r="G20" s="154"/>
    </row>
    <row r="21" spans="1:15" ht="34.5" x14ac:dyDescent="0.35">
      <c r="A21" s="3" t="s">
        <v>101</v>
      </c>
      <c r="B21" s="160" t="s">
        <v>3</v>
      </c>
      <c r="C21" s="13"/>
      <c r="D21" s="62" t="s">
        <v>4</v>
      </c>
      <c r="E21" s="5">
        <v>420</v>
      </c>
      <c r="F21" s="4">
        <v>435</v>
      </c>
      <c r="G21" s="75">
        <v>44652</v>
      </c>
      <c r="H21" s="63">
        <v>44743</v>
      </c>
      <c r="J21" s="4">
        <v>445</v>
      </c>
      <c r="K21" s="7">
        <v>445</v>
      </c>
      <c r="M21" s="23"/>
      <c r="N21" s="22"/>
      <c r="O21" s="70"/>
    </row>
    <row r="22" spans="1:15" ht="46" x14ac:dyDescent="0.35">
      <c r="A22" s="3"/>
      <c r="B22" s="160"/>
      <c r="C22" s="13"/>
      <c r="D22" s="62" t="s">
        <v>4</v>
      </c>
      <c r="E22" s="26">
        <v>458.9</v>
      </c>
      <c r="F22" s="16">
        <v>466.4</v>
      </c>
      <c r="G22" s="74">
        <v>45244</v>
      </c>
      <c r="H22" s="69">
        <v>45361</v>
      </c>
      <c r="J22" s="16">
        <v>458.9</v>
      </c>
      <c r="K22" s="26">
        <v>458.9</v>
      </c>
      <c r="M22" s="23" t="s">
        <v>150</v>
      </c>
      <c r="N22" s="24" t="s">
        <v>187</v>
      </c>
    </row>
    <row r="23" spans="1:15" ht="23" x14ac:dyDescent="0.35">
      <c r="A23" s="3"/>
      <c r="B23" s="160"/>
      <c r="C23" s="13"/>
      <c r="D23" s="62" t="s">
        <v>4</v>
      </c>
      <c r="E23" s="5">
        <v>458.9</v>
      </c>
      <c r="F23" s="4">
        <v>466.4</v>
      </c>
      <c r="G23" s="75">
        <v>45244</v>
      </c>
      <c r="H23" s="63">
        <v>45361</v>
      </c>
      <c r="J23" s="16">
        <v>466.4</v>
      </c>
      <c r="K23" s="7">
        <v>458.9</v>
      </c>
      <c r="M23" s="68" t="s">
        <v>180</v>
      </c>
      <c r="N23" s="24" t="s">
        <v>188</v>
      </c>
    </row>
    <row r="24" spans="1:15" ht="11.5" x14ac:dyDescent="0.35">
      <c r="A24" s="3"/>
      <c r="B24" s="160"/>
      <c r="C24" s="13"/>
      <c r="D24" s="6"/>
      <c r="E24" s="5"/>
      <c r="F24" s="8"/>
      <c r="G24" s="75"/>
      <c r="H24" s="59"/>
      <c r="J24" s="8"/>
      <c r="K24" s="14"/>
    </row>
    <row r="25" spans="1:15" ht="23" x14ac:dyDescent="0.35">
      <c r="A25" s="3" t="s">
        <v>113</v>
      </c>
      <c r="B25" s="160" t="s">
        <v>3</v>
      </c>
      <c r="C25" s="13"/>
      <c r="D25" s="62" t="s">
        <v>52</v>
      </c>
      <c r="E25" s="5">
        <v>574</v>
      </c>
      <c r="F25" s="4">
        <v>730</v>
      </c>
      <c r="G25" s="75">
        <v>46966</v>
      </c>
      <c r="H25" s="63">
        <v>11232</v>
      </c>
      <c r="J25" s="4">
        <v>313.5</v>
      </c>
      <c r="K25" s="7" t="s">
        <v>67</v>
      </c>
      <c r="M25" s="23"/>
      <c r="N25" s="22"/>
    </row>
    <row r="26" spans="1:15" ht="23" x14ac:dyDescent="0.35">
      <c r="A26" s="3"/>
      <c r="B26" s="160"/>
      <c r="C26" s="13"/>
      <c r="D26" s="71" t="s">
        <v>16</v>
      </c>
      <c r="E26" s="26">
        <v>1007</v>
      </c>
      <c r="F26" s="16">
        <v>1182</v>
      </c>
      <c r="G26" s="74">
        <v>47849</v>
      </c>
      <c r="H26" s="69">
        <v>48611</v>
      </c>
      <c r="J26" s="16">
        <v>1182</v>
      </c>
      <c r="K26" s="26">
        <v>1007</v>
      </c>
      <c r="M26" s="23" t="s">
        <v>66</v>
      </c>
      <c r="N26" s="22" t="s">
        <v>189</v>
      </c>
    </row>
    <row r="27" spans="1:15" ht="11.5" x14ac:dyDescent="0.35">
      <c r="A27" s="3"/>
      <c r="B27" s="160"/>
      <c r="C27" s="13"/>
      <c r="D27" s="6"/>
      <c r="E27" s="5"/>
      <c r="F27" s="5"/>
      <c r="G27" s="75"/>
      <c r="H27" s="59"/>
      <c r="J27" s="5"/>
      <c r="K27" s="14"/>
    </row>
    <row r="28" spans="1:15" ht="23" x14ac:dyDescent="0.35">
      <c r="A28" s="3" t="s">
        <v>117</v>
      </c>
      <c r="B28" s="160" t="s">
        <v>3</v>
      </c>
      <c r="C28" s="13"/>
      <c r="D28" s="62" t="s">
        <v>21</v>
      </c>
      <c r="E28" s="5">
        <v>680</v>
      </c>
      <c r="F28" s="4">
        <v>878</v>
      </c>
      <c r="G28" s="75">
        <v>46935</v>
      </c>
      <c r="H28" s="63">
        <v>47150</v>
      </c>
      <c r="J28" s="4" t="s">
        <v>53</v>
      </c>
      <c r="K28" s="7" t="s">
        <v>22</v>
      </c>
      <c r="M28" s="23"/>
      <c r="N28" s="22"/>
    </row>
    <row r="29" spans="1:15" ht="34.5" x14ac:dyDescent="0.35">
      <c r="A29" s="3"/>
      <c r="B29" s="160"/>
      <c r="C29" s="13"/>
      <c r="D29" s="62" t="s">
        <v>21</v>
      </c>
      <c r="E29" s="5">
        <v>680</v>
      </c>
      <c r="F29" s="4">
        <v>878</v>
      </c>
      <c r="G29" s="75">
        <v>46935</v>
      </c>
      <c r="H29" s="63">
        <v>47150</v>
      </c>
      <c r="J29" s="16" t="s">
        <v>174</v>
      </c>
      <c r="K29" s="26" t="s">
        <v>175</v>
      </c>
      <c r="M29" s="23" t="s">
        <v>176</v>
      </c>
      <c r="N29" s="22" t="s">
        <v>244</v>
      </c>
    </row>
    <row r="30" spans="1:15" ht="23" x14ac:dyDescent="0.35">
      <c r="A30" s="3"/>
      <c r="B30" s="160"/>
      <c r="C30" s="13"/>
      <c r="D30" s="62" t="s">
        <v>21</v>
      </c>
      <c r="E30" s="26">
        <f>E29+24.6</f>
        <v>704.6</v>
      </c>
      <c r="F30" s="16">
        <f>F29+24.6</f>
        <v>902.6</v>
      </c>
      <c r="G30" s="75">
        <v>46935</v>
      </c>
      <c r="H30" s="63">
        <v>47150</v>
      </c>
      <c r="J30" s="4" t="s">
        <v>174</v>
      </c>
      <c r="K30" s="7" t="s">
        <v>175</v>
      </c>
      <c r="M30" s="23" t="s">
        <v>180</v>
      </c>
      <c r="N30" s="24" t="s">
        <v>190</v>
      </c>
    </row>
    <row r="31" spans="1:15" ht="23" x14ac:dyDescent="0.35">
      <c r="A31" s="3"/>
      <c r="B31" s="160"/>
      <c r="C31" s="13"/>
      <c r="D31" s="62" t="s">
        <v>21</v>
      </c>
      <c r="E31" s="5">
        <v>704.6</v>
      </c>
      <c r="F31" s="4">
        <v>902.6</v>
      </c>
      <c r="G31" s="74">
        <v>47209</v>
      </c>
      <c r="H31" s="69">
        <v>47423</v>
      </c>
      <c r="J31" s="4" t="s">
        <v>174</v>
      </c>
      <c r="K31" s="7" t="s">
        <v>175</v>
      </c>
      <c r="M31" s="23" t="s">
        <v>196</v>
      </c>
      <c r="N31" s="24" t="s">
        <v>198</v>
      </c>
    </row>
    <row r="32" spans="1:15" ht="11.5" x14ac:dyDescent="0.35">
      <c r="A32" s="3"/>
      <c r="B32" s="160"/>
      <c r="C32" s="13"/>
      <c r="D32" s="6"/>
      <c r="E32" s="5"/>
      <c r="F32" s="5"/>
      <c r="G32" s="75"/>
      <c r="H32" s="59"/>
      <c r="J32" s="5"/>
      <c r="K32" s="5"/>
    </row>
    <row r="33" spans="1:15" ht="34.5" x14ac:dyDescent="0.35">
      <c r="A33" s="3" t="s">
        <v>5</v>
      </c>
      <c r="B33" s="160" t="s">
        <v>3</v>
      </c>
      <c r="C33" s="13"/>
      <c r="D33" s="62" t="s">
        <v>6</v>
      </c>
      <c r="E33" s="5">
        <v>284.3</v>
      </c>
      <c r="F33" s="4">
        <v>293.7</v>
      </c>
      <c r="G33" s="75">
        <v>44805</v>
      </c>
      <c r="H33" s="63">
        <v>44927</v>
      </c>
      <c r="J33" s="4">
        <v>293.7</v>
      </c>
      <c r="K33" s="7">
        <v>284.3</v>
      </c>
      <c r="M33" s="23"/>
      <c r="N33" s="22"/>
    </row>
    <row r="34" spans="1:15" ht="23" x14ac:dyDescent="0.35">
      <c r="A34" s="3"/>
      <c r="B34" s="160"/>
      <c r="C34" s="13"/>
      <c r="D34" s="62" t="s">
        <v>6</v>
      </c>
      <c r="E34" s="5">
        <v>284.3</v>
      </c>
      <c r="F34" s="4">
        <v>293.7</v>
      </c>
      <c r="G34" s="75">
        <v>44805</v>
      </c>
      <c r="H34" s="63">
        <v>44927</v>
      </c>
      <c r="J34" s="16">
        <v>315.3</v>
      </c>
      <c r="K34" s="26">
        <v>305.93</v>
      </c>
      <c r="M34" s="23" t="s">
        <v>62</v>
      </c>
      <c r="N34" s="24" t="s">
        <v>64</v>
      </c>
    </row>
    <row r="35" spans="1:15" ht="23" x14ac:dyDescent="0.35">
      <c r="A35" s="3"/>
      <c r="B35" s="160"/>
      <c r="C35" s="13"/>
      <c r="D35" s="62" t="s">
        <v>6</v>
      </c>
      <c r="E35" s="5">
        <v>284.3</v>
      </c>
      <c r="F35" s="16">
        <v>315.3</v>
      </c>
      <c r="G35" s="75">
        <v>44805</v>
      </c>
      <c r="H35" s="69">
        <v>45627</v>
      </c>
      <c r="J35" s="4">
        <v>315.3</v>
      </c>
      <c r="K35" s="7">
        <v>305.93</v>
      </c>
      <c r="M35" s="23" t="s">
        <v>143</v>
      </c>
      <c r="N35" s="41" t="s">
        <v>144</v>
      </c>
    </row>
    <row r="36" spans="1:15" ht="34.5" x14ac:dyDescent="0.35">
      <c r="A36" s="3"/>
      <c r="B36" s="160"/>
      <c r="C36" s="13"/>
      <c r="D36" s="62" t="s">
        <v>6</v>
      </c>
      <c r="E36" s="26">
        <f>E35+21.6</f>
        <v>305.90000000000003</v>
      </c>
      <c r="F36" s="4">
        <v>315.3</v>
      </c>
      <c r="G36" s="74">
        <v>45392</v>
      </c>
      <c r="H36" s="63">
        <v>45627</v>
      </c>
      <c r="J36" s="4">
        <v>315.3</v>
      </c>
      <c r="K36" s="7">
        <v>305.93</v>
      </c>
      <c r="M36" s="68" t="s">
        <v>180</v>
      </c>
      <c r="N36" s="24" t="s">
        <v>191</v>
      </c>
    </row>
    <row r="37" spans="1:15" ht="11.5" x14ac:dyDescent="0.35">
      <c r="B37" s="160"/>
      <c r="E37" s="153"/>
      <c r="G37" s="154"/>
    </row>
    <row r="38" spans="1:15" ht="34.5" customHeight="1" x14ac:dyDescent="0.35">
      <c r="A38" s="3" t="s">
        <v>13</v>
      </c>
      <c r="B38" s="160" t="s">
        <v>3</v>
      </c>
      <c r="C38" s="13"/>
      <c r="D38" s="62" t="s">
        <v>14</v>
      </c>
      <c r="E38" s="5">
        <v>116.6</v>
      </c>
      <c r="F38" s="4">
        <v>122.6</v>
      </c>
      <c r="G38" s="75">
        <v>46874</v>
      </c>
      <c r="H38" s="63">
        <v>47239</v>
      </c>
      <c r="J38" s="4">
        <v>139.6</v>
      </c>
      <c r="K38" s="7">
        <v>116.6</v>
      </c>
      <c r="M38" s="23" t="s">
        <v>143</v>
      </c>
      <c r="N38" s="22" t="s">
        <v>140</v>
      </c>
    </row>
    <row r="39" spans="1:15" ht="11.5" x14ac:dyDescent="0.35">
      <c r="A39" s="3"/>
      <c r="B39" s="160"/>
      <c r="C39" s="13"/>
      <c r="D39" s="6"/>
      <c r="E39" s="5"/>
      <c r="F39" s="5"/>
      <c r="G39" s="75"/>
      <c r="H39" s="59"/>
      <c r="J39" s="5"/>
      <c r="K39" s="14"/>
    </row>
    <row r="40" spans="1:15" ht="34.5" x14ac:dyDescent="0.35">
      <c r="A40" s="3" t="s">
        <v>111</v>
      </c>
      <c r="B40" s="160" t="s">
        <v>3</v>
      </c>
      <c r="C40" s="13"/>
      <c r="D40" s="62" t="s">
        <v>15</v>
      </c>
      <c r="E40" s="5">
        <v>1330</v>
      </c>
      <c r="F40" s="4">
        <v>1673</v>
      </c>
      <c r="G40" s="75">
        <v>47331</v>
      </c>
      <c r="H40" s="63">
        <v>48274</v>
      </c>
      <c r="J40" s="4">
        <v>1673</v>
      </c>
      <c r="K40" s="7">
        <v>1330</v>
      </c>
      <c r="M40" s="23"/>
      <c r="N40" s="22"/>
    </row>
    <row r="41" spans="1:15" ht="57.5" x14ac:dyDescent="0.35">
      <c r="A41" s="3"/>
      <c r="B41" s="160"/>
      <c r="C41" s="13"/>
      <c r="D41" s="62" t="s">
        <v>15</v>
      </c>
      <c r="E41" s="26">
        <v>1335.43</v>
      </c>
      <c r="F41" s="4">
        <v>1673</v>
      </c>
      <c r="G41" s="74">
        <v>47400</v>
      </c>
      <c r="H41" s="63">
        <v>48274</v>
      </c>
      <c r="J41" s="4">
        <v>1673</v>
      </c>
      <c r="K41" s="26">
        <v>1335.43</v>
      </c>
      <c r="M41" s="23" t="s">
        <v>200</v>
      </c>
      <c r="N41" s="22" t="s">
        <v>201</v>
      </c>
    </row>
    <row r="42" spans="1:15" ht="11.5" x14ac:dyDescent="0.35">
      <c r="A42" s="3"/>
      <c r="B42" s="3"/>
      <c r="C42" s="3"/>
      <c r="D42" s="3"/>
      <c r="E42" s="3"/>
      <c r="F42" s="3"/>
      <c r="G42" s="3"/>
      <c r="H42" s="3"/>
      <c r="I42" s="3"/>
      <c r="J42" s="3"/>
      <c r="K42" s="3"/>
      <c r="L42" s="3"/>
      <c r="M42" s="3"/>
      <c r="N42" s="3"/>
      <c r="O42" s="3"/>
    </row>
    <row r="43" spans="1:15" ht="34.5" x14ac:dyDescent="0.35">
      <c r="A43" s="3" t="s">
        <v>103</v>
      </c>
      <c r="B43" s="160" t="s">
        <v>3</v>
      </c>
      <c r="C43" s="13"/>
      <c r="D43" s="62" t="s">
        <v>128</v>
      </c>
      <c r="E43" s="5">
        <v>70.653999999999996</v>
      </c>
      <c r="F43" s="7">
        <v>76.709999999999994</v>
      </c>
      <c r="G43" s="75">
        <v>45292</v>
      </c>
      <c r="H43" s="76">
        <v>45444</v>
      </c>
      <c r="J43" s="62" t="s">
        <v>164</v>
      </c>
      <c r="K43" s="7">
        <v>70.653999999999996</v>
      </c>
      <c r="M43" s="23" t="s">
        <v>196</v>
      </c>
      <c r="N43" s="22" t="s">
        <v>199</v>
      </c>
    </row>
    <row r="44" spans="1:15" ht="11.5" x14ac:dyDescent="0.35">
      <c r="A44" s="3"/>
      <c r="B44" s="160"/>
      <c r="C44" s="13"/>
      <c r="D44" s="6"/>
      <c r="E44" s="5"/>
      <c r="F44" s="5"/>
      <c r="G44" s="75"/>
      <c r="H44" s="59"/>
      <c r="J44" s="5"/>
      <c r="K44" s="14"/>
    </row>
    <row r="45" spans="1:15" ht="23" x14ac:dyDescent="0.35">
      <c r="A45" s="3" t="s">
        <v>17</v>
      </c>
      <c r="B45" s="160" t="s">
        <v>18</v>
      </c>
      <c r="C45" s="13"/>
      <c r="D45" s="62" t="s">
        <v>19</v>
      </c>
      <c r="E45" s="5">
        <v>248</v>
      </c>
      <c r="F45" s="4">
        <v>266</v>
      </c>
      <c r="G45" s="75">
        <v>48914</v>
      </c>
      <c r="H45" s="63">
        <v>49369</v>
      </c>
      <c r="J45" s="4">
        <v>266</v>
      </c>
      <c r="K45" s="7">
        <v>248</v>
      </c>
      <c r="M45" s="23"/>
      <c r="N45" s="22"/>
    </row>
    <row r="46" spans="1:15" ht="11.5" x14ac:dyDescent="0.35">
      <c r="A46" s="3"/>
      <c r="B46" s="160"/>
      <c r="C46" s="13"/>
      <c r="D46" s="6"/>
      <c r="E46" s="5"/>
      <c r="F46" s="5"/>
      <c r="G46" s="75"/>
      <c r="H46" s="59"/>
      <c r="J46" s="5"/>
      <c r="K46" s="14"/>
    </row>
    <row r="47" spans="1:15" ht="34.5" x14ac:dyDescent="0.35">
      <c r="A47" s="3" t="s">
        <v>245</v>
      </c>
      <c r="B47" s="160" t="s">
        <v>18</v>
      </c>
      <c r="C47" s="13"/>
      <c r="D47" s="62" t="s">
        <v>246</v>
      </c>
      <c r="E47" s="5">
        <v>83</v>
      </c>
      <c r="F47" s="4">
        <f>89+4.5</f>
        <v>93.5</v>
      </c>
      <c r="G47" s="75">
        <v>45029</v>
      </c>
      <c r="H47" s="63">
        <v>45233</v>
      </c>
      <c r="J47" s="4" t="s">
        <v>164</v>
      </c>
      <c r="K47" s="7">
        <v>89</v>
      </c>
      <c r="M47" s="23"/>
      <c r="N47" s="22" t="s">
        <v>247</v>
      </c>
    </row>
    <row r="48" spans="1:15" ht="11.5" x14ac:dyDescent="0.35">
      <c r="A48" s="3"/>
      <c r="B48" s="160"/>
      <c r="C48" s="13"/>
      <c r="D48" s="6"/>
      <c r="E48" s="5"/>
      <c r="F48" s="5"/>
      <c r="G48" s="75"/>
      <c r="H48" s="59"/>
      <c r="J48" s="5"/>
      <c r="K48" s="14"/>
    </row>
    <row r="49" spans="1:14" ht="34.5" x14ac:dyDescent="0.35">
      <c r="B49" s="160"/>
      <c r="C49" s="13"/>
      <c r="D49" s="62" t="s">
        <v>248</v>
      </c>
      <c r="E49" s="26">
        <v>86.5</v>
      </c>
      <c r="F49" s="26">
        <f>89+4.5+3.5</f>
        <v>97</v>
      </c>
      <c r="G49" s="74">
        <v>45352</v>
      </c>
      <c r="H49" s="74">
        <v>45505</v>
      </c>
      <c r="J49" s="62" t="s">
        <v>164</v>
      </c>
      <c r="K49" s="26">
        <v>92.5</v>
      </c>
      <c r="M49" s="23" t="s">
        <v>196</v>
      </c>
      <c r="N49" s="22" t="s">
        <v>249</v>
      </c>
    </row>
    <row r="50" spans="1:14" ht="11.5" x14ac:dyDescent="0.35">
      <c r="A50" s="3"/>
      <c r="B50" s="160"/>
      <c r="C50" s="13"/>
      <c r="D50" s="6"/>
      <c r="E50" s="5"/>
      <c r="F50" s="5"/>
      <c r="G50" s="75"/>
      <c r="H50" s="59"/>
      <c r="J50" s="5"/>
      <c r="K50" s="14"/>
    </row>
    <row r="51" spans="1:14" ht="57.5" x14ac:dyDescent="0.35">
      <c r="A51" s="3" t="s">
        <v>250</v>
      </c>
      <c r="B51" s="160" t="s">
        <v>18</v>
      </c>
      <c r="C51" s="13"/>
      <c r="D51" s="62" t="s">
        <v>251</v>
      </c>
      <c r="E51" s="5">
        <v>54</v>
      </c>
      <c r="F51" s="4">
        <f>58+3</f>
        <v>61</v>
      </c>
      <c r="G51" s="75">
        <v>44467</v>
      </c>
      <c r="H51" s="63">
        <v>44520</v>
      </c>
      <c r="J51" s="4" t="s">
        <v>164</v>
      </c>
      <c r="K51" s="7">
        <v>58</v>
      </c>
      <c r="M51" s="23"/>
      <c r="N51" s="22" t="s">
        <v>252</v>
      </c>
    </row>
    <row r="52" spans="1:14" ht="11.5" x14ac:dyDescent="0.35">
      <c r="A52" s="3"/>
      <c r="B52" s="160"/>
      <c r="C52" s="13"/>
      <c r="D52" s="6"/>
      <c r="E52" s="5"/>
      <c r="F52" s="5"/>
      <c r="G52" s="75"/>
      <c r="H52" s="59"/>
      <c r="J52" s="5"/>
      <c r="K52" s="14"/>
    </row>
    <row r="53" spans="1:14" ht="34.5" x14ac:dyDescent="0.35">
      <c r="B53" s="160"/>
      <c r="C53" s="13"/>
      <c r="D53" s="62" t="s">
        <v>248</v>
      </c>
      <c r="E53" s="26">
        <v>60</v>
      </c>
      <c r="F53" s="26">
        <f>58+3+6</f>
        <v>67</v>
      </c>
      <c r="G53" s="74">
        <v>44593</v>
      </c>
      <c r="H53" s="74">
        <v>44682</v>
      </c>
      <c r="J53" s="62" t="s">
        <v>164</v>
      </c>
      <c r="K53" s="26">
        <v>64</v>
      </c>
      <c r="M53" s="23" t="s">
        <v>196</v>
      </c>
      <c r="N53" s="22" t="s">
        <v>253</v>
      </c>
    </row>
    <row r="54" spans="1:14" ht="11.5" x14ac:dyDescent="0.35">
      <c r="A54" s="3"/>
      <c r="B54" s="160"/>
      <c r="C54" s="13"/>
      <c r="D54" s="6"/>
      <c r="E54" s="5"/>
      <c r="F54" s="5"/>
      <c r="G54" s="75"/>
      <c r="H54" s="59"/>
      <c r="J54" s="5"/>
      <c r="K54" s="14"/>
    </row>
    <row r="55" spans="1:14" ht="46" x14ac:dyDescent="0.35">
      <c r="A55" s="3" t="s">
        <v>254</v>
      </c>
      <c r="B55" s="160" t="s">
        <v>18</v>
      </c>
      <c r="C55" s="13"/>
      <c r="D55" s="62" t="s">
        <v>255</v>
      </c>
      <c r="E55" s="5">
        <v>68.564999999999998</v>
      </c>
      <c r="F55" s="7">
        <v>73.138000000000005</v>
      </c>
      <c r="G55" s="75">
        <v>46905</v>
      </c>
      <c r="H55" s="76">
        <v>46966</v>
      </c>
      <c r="J55" s="7" t="s">
        <v>164</v>
      </c>
      <c r="K55" s="7">
        <v>3.5</v>
      </c>
      <c r="M55" s="23" t="s">
        <v>256</v>
      </c>
      <c r="N55" s="22" t="s">
        <v>257</v>
      </c>
    </row>
    <row r="56" spans="1:14" ht="11.5" x14ac:dyDescent="0.35">
      <c r="A56" s="3"/>
      <c r="B56" s="160"/>
      <c r="C56" s="13"/>
      <c r="D56" s="6"/>
      <c r="E56" s="5"/>
      <c r="F56" s="5"/>
      <c r="G56" s="75"/>
      <c r="H56" s="59"/>
      <c r="J56" s="5"/>
      <c r="K56" s="14"/>
    </row>
    <row r="57" spans="1:14" ht="34.5" x14ac:dyDescent="0.35">
      <c r="A57" s="3" t="s">
        <v>9</v>
      </c>
      <c r="B57" s="160" t="s">
        <v>258</v>
      </c>
      <c r="C57" s="13"/>
      <c r="D57" s="62" t="s">
        <v>11</v>
      </c>
      <c r="E57" s="5">
        <v>63.5</v>
      </c>
      <c r="F57" s="4">
        <v>66.900000000000006</v>
      </c>
      <c r="G57" s="75">
        <v>46113</v>
      </c>
      <c r="H57" s="63">
        <v>46113</v>
      </c>
      <c r="J57" s="4">
        <v>66.900000000000006</v>
      </c>
      <c r="K57" s="4">
        <v>66.900000000000006</v>
      </c>
      <c r="M57" s="23"/>
      <c r="N57" s="22"/>
    </row>
    <row r="58" spans="1:14" ht="11.5" x14ac:dyDescent="0.35">
      <c r="A58" s="3"/>
      <c r="B58" s="160"/>
      <c r="C58" s="13"/>
      <c r="D58" s="6"/>
      <c r="E58" s="5"/>
      <c r="F58" s="5"/>
      <c r="G58" s="75"/>
      <c r="H58" s="59"/>
      <c r="J58" s="5"/>
      <c r="K58" s="14"/>
    </row>
    <row r="59" spans="1:14" ht="34.5" x14ac:dyDescent="0.35">
      <c r="A59" s="3" t="s">
        <v>259</v>
      </c>
      <c r="B59" s="160" t="s">
        <v>258</v>
      </c>
      <c r="C59" s="13"/>
      <c r="D59" s="62" t="s">
        <v>260</v>
      </c>
      <c r="E59" s="5">
        <v>86.8</v>
      </c>
      <c r="F59" s="4">
        <v>104.4</v>
      </c>
      <c r="G59" s="75">
        <v>46752</v>
      </c>
      <c r="H59" s="63">
        <v>46821</v>
      </c>
      <c r="J59" s="4">
        <v>104.4</v>
      </c>
      <c r="K59" s="4">
        <v>33.1</v>
      </c>
      <c r="M59" s="23" t="s">
        <v>256</v>
      </c>
      <c r="N59" s="22" t="s">
        <v>261</v>
      </c>
    </row>
    <row r="60" spans="1:14" ht="11.5" x14ac:dyDescent="0.35">
      <c r="A60" s="3"/>
      <c r="B60" s="160"/>
      <c r="C60" s="13"/>
      <c r="D60" s="6"/>
      <c r="E60" s="5"/>
      <c r="F60" s="5"/>
      <c r="G60" s="75"/>
      <c r="H60" s="59"/>
      <c r="J60" s="5"/>
      <c r="K60" s="14"/>
    </row>
    <row r="61" spans="1:14" ht="46" x14ac:dyDescent="0.35">
      <c r="A61" s="3" t="s">
        <v>262</v>
      </c>
      <c r="B61" s="160" t="s">
        <v>258</v>
      </c>
      <c r="C61" s="13"/>
      <c r="D61" s="62" t="s">
        <v>173</v>
      </c>
      <c r="E61" s="5">
        <v>68.111999999999995</v>
      </c>
      <c r="F61" s="4">
        <v>73.762</v>
      </c>
      <c r="G61" s="75">
        <v>45901</v>
      </c>
      <c r="H61" s="63">
        <v>45901</v>
      </c>
      <c r="J61" s="4">
        <v>73.762</v>
      </c>
      <c r="K61" s="4">
        <v>12.797000000000001</v>
      </c>
      <c r="M61" s="23" t="s">
        <v>256</v>
      </c>
      <c r="N61" s="22" t="s">
        <v>263</v>
      </c>
    </row>
    <row r="62" spans="1:14" ht="11.5" x14ac:dyDescent="0.35">
      <c r="A62" s="3"/>
      <c r="B62" s="160"/>
      <c r="C62" s="13"/>
      <c r="D62" s="6"/>
      <c r="E62" s="5"/>
      <c r="F62" s="5"/>
      <c r="G62" s="155"/>
      <c r="H62" s="59"/>
      <c r="J62" s="5"/>
      <c r="K62" s="14"/>
    </row>
    <row r="63" spans="1:14" ht="23" x14ac:dyDescent="0.35">
      <c r="A63" s="3" t="s">
        <v>264</v>
      </c>
      <c r="B63" s="160" t="s">
        <v>18</v>
      </c>
      <c r="C63" s="13"/>
      <c r="D63" s="62" t="s">
        <v>265</v>
      </c>
      <c r="E63" s="26">
        <v>68</v>
      </c>
      <c r="F63" s="26">
        <v>74</v>
      </c>
      <c r="G63" s="93">
        <v>11262</v>
      </c>
      <c r="H63" s="69">
        <v>11413</v>
      </c>
      <c r="J63" s="26" t="s">
        <v>164</v>
      </c>
      <c r="K63" s="26">
        <v>68</v>
      </c>
      <c r="M63" s="23" t="s">
        <v>266</v>
      </c>
      <c r="N63" s="22" t="s">
        <v>267</v>
      </c>
    </row>
    <row r="64" spans="1:14" ht="11.5" x14ac:dyDescent="0.35">
      <c r="A64" s="3"/>
      <c r="B64" s="160"/>
      <c r="C64" s="13"/>
      <c r="D64" s="6"/>
      <c r="E64" s="5"/>
      <c r="F64" s="5"/>
      <c r="G64" s="155"/>
      <c r="H64" s="59"/>
      <c r="J64" s="5"/>
      <c r="K64" s="14"/>
    </row>
    <row r="65" spans="1:14" ht="34.5" x14ac:dyDescent="0.35">
      <c r="A65" s="3" t="s">
        <v>268</v>
      </c>
      <c r="B65" s="160" t="s">
        <v>18</v>
      </c>
      <c r="C65" s="13"/>
      <c r="D65" s="62" t="s">
        <v>269</v>
      </c>
      <c r="E65" s="26">
        <v>163</v>
      </c>
      <c r="F65" s="26">
        <v>179.5</v>
      </c>
      <c r="G65" s="93">
        <v>48180</v>
      </c>
      <c r="H65" s="93">
        <v>48493</v>
      </c>
      <c r="J65" s="26" t="s">
        <v>164</v>
      </c>
      <c r="K65" s="26">
        <v>11.3</v>
      </c>
      <c r="M65" s="23" t="s">
        <v>270</v>
      </c>
      <c r="N65" s="22" t="s">
        <v>271</v>
      </c>
    </row>
    <row r="66" spans="1:14" ht="11.5" x14ac:dyDescent="0.35">
      <c r="A66" s="3"/>
      <c r="B66" s="160"/>
      <c r="C66" s="13"/>
      <c r="D66" s="6"/>
      <c r="E66" s="5"/>
      <c r="F66" s="5"/>
      <c r="G66" s="155"/>
      <c r="H66" s="59"/>
      <c r="J66" s="5"/>
      <c r="K66" s="14"/>
    </row>
    <row r="67" spans="1:14" ht="46" x14ac:dyDescent="0.35">
      <c r="A67" s="3" t="s">
        <v>272</v>
      </c>
      <c r="B67" s="160" t="s">
        <v>258</v>
      </c>
      <c r="C67" s="13"/>
      <c r="D67" s="62" t="s">
        <v>269</v>
      </c>
      <c r="E67" s="26">
        <v>280</v>
      </c>
      <c r="F67" s="26">
        <v>324.8</v>
      </c>
      <c r="G67" s="93" t="s">
        <v>164</v>
      </c>
      <c r="H67" s="69">
        <v>15436</v>
      </c>
      <c r="J67" s="26">
        <v>0</v>
      </c>
      <c r="K67" s="26">
        <v>0</v>
      </c>
      <c r="M67" s="23" t="s">
        <v>270</v>
      </c>
      <c r="N67" s="22" t="s">
        <v>273</v>
      </c>
    </row>
    <row r="68" spans="1:14" ht="11.5" x14ac:dyDescent="0.35">
      <c r="B68" s="160"/>
      <c r="E68" s="153"/>
      <c r="G68" s="154"/>
    </row>
    <row r="69" spans="1:14" ht="23" x14ac:dyDescent="0.35">
      <c r="A69" s="3" t="s">
        <v>274</v>
      </c>
      <c r="B69" s="160" t="s">
        <v>258</v>
      </c>
      <c r="C69" s="13"/>
      <c r="D69" s="62" t="s">
        <v>269</v>
      </c>
      <c r="E69" s="26">
        <v>80</v>
      </c>
      <c r="F69" s="26" t="s">
        <v>164</v>
      </c>
      <c r="G69" s="69">
        <v>11288</v>
      </c>
      <c r="H69" s="69" t="s">
        <v>164</v>
      </c>
      <c r="J69" s="26" t="s">
        <v>164</v>
      </c>
      <c r="K69" s="26">
        <v>12</v>
      </c>
      <c r="M69" s="23" t="s">
        <v>209</v>
      </c>
      <c r="N69" s="22" t="s">
        <v>275</v>
      </c>
    </row>
    <row r="70" spans="1:14" ht="11.5" x14ac:dyDescent="0.35">
      <c r="B70" s="160"/>
      <c r="E70" s="153"/>
      <c r="G70" s="154"/>
    </row>
    <row r="71" spans="1:14" ht="34.5" x14ac:dyDescent="0.35">
      <c r="A71" s="3" t="s">
        <v>207</v>
      </c>
      <c r="B71" s="160" t="s">
        <v>3</v>
      </c>
      <c r="C71" s="13"/>
      <c r="D71" s="62" t="s">
        <v>208</v>
      </c>
      <c r="E71" s="26">
        <v>68.177000000000007</v>
      </c>
      <c r="F71" s="26">
        <v>74.653000000000006</v>
      </c>
      <c r="G71" s="93">
        <v>46295</v>
      </c>
      <c r="H71" s="69">
        <v>46446</v>
      </c>
      <c r="J71" s="26" t="s">
        <v>164</v>
      </c>
      <c r="K71" s="26">
        <v>68.177000000000007</v>
      </c>
      <c r="M71" s="23" t="s">
        <v>209</v>
      </c>
      <c r="N71" s="22" t="s">
        <v>210</v>
      </c>
    </row>
    <row r="72" spans="1:14" ht="11.5" x14ac:dyDescent="0.35">
      <c r="B72" s="160"/>
      <c r="E72" s="153"/>
      <c r="G72" s="154"/>
    </row>
    <row r="73" spans="1:14" ht="34.5" x14ac:dyDescent="0.35">
      <c r="A73" s="3" t="s">
        <v>276</v>
      </c>
      <c r="B73" s="160" t="s">
        <v>258</v>
      </c>
      <c r="C73" s="13"/>
      <c r="D73" s="62" t="s">
        <v>208</v>
      </c>
      <c r="E73" s="26">
        <v>10.3</v>
      </c>
      <c r="F73" s="26">
        <v>12.7</v>
      </c>
      <c r="G73" s="93">
        <v>46113</v>
      </c>
      <c r="H73" s="69">
        <v>46113</v>
      </c>
      <c r="J73" s="26">
        <v>0</v>
      </c>
      <c r="K73" s="26">
        <v>0</v>
      </c>
      <c r="M73" s="23" t="s">
        <v>277</v>
      </c>
      <c r="N73" s="22" t="s">
        <v>278</v>
      </c>
    </row>
    <row r="74" spans="1:14" ht="11.5" x14ac:dyDescent="0.35">
      <c r="B74" s="160"/>
      <c r="E74" s="153"/>
      <c r="G74" s="154"/>
    </row>
    <row r="75" spans="1:14" ht="23" x14ac:dyDescent="0.35">
      <c r="A75" s="3" t="s">
        <v>233</v>
      </c>
      <c r="B75" s="160" t="s">
        <v>3</v>
      </c>
      <c r="C75" s="13"/>
      <c r="D75" s="62" t="s">
        <v>211</v>
      </c>
      <c r="E75" s="26">
        <v>75</v>
      </c>
      <c r="F75" s="26">
        <v>79</v>
      </c>
      <c r="G75" s="93">
        <v>46524</v>
      </c>
      <c r="H75" s="69">
        <v>46692</v>
      </c>
      <c r="J75" s="26">
        <v>90</v>
      </c>
      <c r="K75" s="26">
        <v>75</v>
      </c>
      <c r="M75" s="23" t="s">
        <v>212</v>
      </c>
      <c r="N75" s="22" t="s">
        <v>213</v>
      </c>
    </row>
    <row r="76" spans="1:14" ht="11.5" x14ac:dyDescent="0.35">
      <c r="B76" s="160"/>
      <c r="E76" s="153"/>
      <c r="G76" s="154"/>
    </row>
    <row r="77" spans="1:14" ht="34.5" x14ac:dyDescent="0.35">
      <c r="A77" s="3" t="s">
        <v>280</v>
      </c>
      <c r="B77" s="160" t="s">
        <v>18</v>
      </c>
      <c r="C77" s="13"/>
      <c r="D77" s="62" t="s">
        <v>281</v>
      </c>
      <c r="E77" s="26">
        <v>140.19999999999999</v>
      </c>
      <c r="F77" s="26">
        <v>157.69999999999999</v>
      </c>
      <c r="G77" s="93">
        <v>11238</v>
      </c>
      <c r="H77" s="69">
        <v>11611</v>
      </c>
      <c r="J77" s="26">
        <v>151.6</v>
      </c>
      <c r="K77" s="26">
        <v>157.69999999999999</v>
      </c>
      <c r="M77" s="23" t="s">
        <v>282</v>
      </c>
      <c r="N77" s="22" t="s">
        <v>283</v>
      </c>
    </row>
  </sheetData>
  <customSheetViews>
    <customSheetView guid="{7E571F1D-D438-4605-90D6-3F831F76D652}" scale="90" state="hidden">
      <pane ySplit="5" topLeftCell="A6" activePane="bottomLeft" state="frozen"/>
      <selection pane="bottomLeft" activeCell="A67" sqref="A67"/>
      <pageMargins left="0.7" right="0.7" top="0.75" bottom="0.75" header="0.3" footer="0.3"/>
      <pageSetup paperSize="9" orientation="portrait" r:id="rId1"/>
      <headerFooter>
        <oddHeader>&amp;L&amp;"Calibri"&amp;10&amp;K000000OFFICIAL&amp;1#</oddHeader>
        <oddFooter>&amp;L&amp;1#&amp;"Calibri"&amp;10&amp;K000000OFFICIAL</oddFooter>
      </headerFooter>
    </customSheetView>
    <customSheetView guid="{466708C2-41CE-4656-AB81-E1E49DF5945D}" scale="90" state="hidden">
      <selection activeCell="A67" sqref="A67"/>
      <pageMargins left="0.7" right="0.7" top="0.75" bottom="0.75" header="0.3" footer="0.3"/>
      <pageSetup paperSize="9" orientation="portrait" r:id="rId2"/>
      <headerFooter>
        <oddHeader>&amp;L&amp;"Calibri"&amp;10&amp;K000000OFFICIAL&amp;1#</oddHeader>
        <oddFooter>&amp;L&amp;1#&amp;"Calibri"&amp;10&amp;K000000OFFICIAL</oddFooter>
      </headerFooter>
    </customSheetView>
    <customSheetView guid="{B84DA703-8C5B-4100-91A4-8807E303D379}" scale="90" state="hidden">
      <pane ySplit="5" topLeftCell="A6" activePane="bottomLeft" state="frozen"/>
      <selection pane="bottomLeft" activeCell="A67" sqref="A67"/>
      <pageMargins left="0.7" right="0.7" top="0.75" bottom="0.75" header="0.3" footer="0.3"/>
      <pageSetup paperSize="9" orientation="portrait" r:id="rId3"/>
      <headerFooter>
        <oddHeader>&amp;L&amp;"Calibri"&amp;10&amp;K000000OFFICIAL&amp;1#</oddHeader>
        <oddFooter>&amp;L&amp;1#&amp;"Calibri"&amp;10&amp;K000000OFFICIAL</oddFooter>
      </headerFooter>
    </customSheetView>
    <customSheetView guid="{527A2BDE-37CE-4B02-9F2C-CD7E7AC81C63}" scale="90" state="hidden">
      <pane ySplit="5" topLeftCell="A6" activePane="bottomLeft" state="frozen"/>
      <selection pane="bottomLeft" activeCell="A67" sqref="A67"/>
      <pageMargins left="0.7" right="0.7" top="0.75" bottom="0.75" header="0.3" footer="0.3"/>
      <pageSetup paperSize="9" orientation="portrait" r:id="rId4"/>
      <headerFooter>
        <oddHeader>&amp;L&amp;"Calibri"&amp;10&amp;K000000OFFICIAL&amp;1#</oddHeader>
        <oddFooter>&amp;L&amp;1#&amp;"Calibri"&amp;10&amp;K000000OFFICIAL</oddFooter>
      </headerFooter>
    </customSheetView>
    <customSheetView guid="{BDCD1595-C0B8-4F6C-B01C-3472C895B827}" scale="90" state="hidden">
      <pane ySplit="5" topLeftCell="A6" activePane="bottomLeft" state="frozen"/>
      <selection pane="bottomLeft" activeCell="A67" sqref="A67"/>
      <pageMargins left="0.7" right="0.7" top="0.75" bottom="0.75" header="0.3" footer="0.3"/>
      <pageSetup paperSize="9" orientation="portrait" r:id="rId5"/>
      <headerFooter>
        <oddHeader>&amp;L&amp;"Calibri"&amp;10&amp;K000000OFFICIAL&amp;1#</oddHeader>
        <oddFooter>&amp;L&amp;1#&amp;"Calibri"&amp;10&amp;K000000OFFICIAL</oddFooter>
      </headerFooter>
    </customSheetView>
    <customSheetView guid="{C57A83F1-F5A3-470B-9579-6A222C54F4E8}" scale="90" state="hidden">
      <pane ySplit="5" topLeftCell="A6" activePane="bottomLeft" state="frozen"/>
      <selection pane="bottomLeft" activeCell="A67" sqref="A67"/>
      <pageMargins left="0.7" right="0.7" top="0.75" bottom="0.75" header="0.3" footer="0.3"/>
      <pageSetup paperSize="9" orientation="portrait" r:id="rId6"/>
      <headerFooter>
        <oddHeader>&amp;L&amp;"Calibri"&amp;10&amp;K000000OFFICIAL&amp;1#</oddHeader>
        <oddFooter>&amp;L&amp;1#&amp;"Calibri"&amp;10&amp;K000000OFFICIAL</oddFooter>
      </headerFooter>
    </customSheetView>
    <customSheetView guid="{3827E543-57D2-48C8-B786-7077EA079DD2}" scale="90" state="hidden">
      <selection activeCell="A67" sqref="A67"/>
      <pageMargins left="0.7" right="0.7" top="0.75" bottom="0.75" header="0.3" footer="0.3"/>
      <pageSetup paperSize="9" orientation="portrait" r:id="rId7"/>
      <headerFooter>
        <oddHeader>&amp;L&amp;"Calibri"&amp;10&amp;K000000OFFICIAL&amp;1#</oddHeader>
        <oddFooter>&amp;L&amp;1#&amp;"Calibri"&amp;10&amp;K000000OFFICIAL</oddFooter>
      </headerFooter>
    </customSheetView>
    <customSheetView guid="{F5FA2A23-9E46-4C2F-B1EE-B71787F95C57}" scale="90" state="hidden">
      <pane ySplit="5" topLeftCell="A6" activePane="bottomLeft" state="frozen"/>
      <selection pane="bottomLeft" activeCell="A67" sqref="A67"/>
      <pageMargins left="0.7" right="0.7" top="0.75" bottom="0.75" header="0.3" footer="0.3"/>
      <pageSetup paperSize="9" orientation="portrait" r:id="rId8"/>
      <headerFooter>
        <oddHeader>&amp;L&amp;"Calibri"&amp;10&amp;K000000OFFICIAL&amp;1#</oddHeader>
        <oddFooter>&amp;L&amp;1#&amp;"Calibri"&amp;10&amp;K000000OFFICIAL</oddFooter>
      </headerFooter>
    </customSheetView>
    <customSheetView guid="{42B0E8B1-ADFA-49AE-A83B-82D384737703}" scale="90" state="hidden">
      <pane ySplit="5" topLeftCell="A6" activePane="bottomLeft" state="frozen"/>
      <selection pane="bottomLeft" activeCell="A67" sqref="A67"/>
      <pageMargins left="0.7" right="0.7" top="0.75" bottom="0.75" header="0.3" footer="0.3"/>
      <pageSetup paperSize="9" orientation="portrait" r:id="rId9"/>
      <headerFooter>
        <oddHeader>&amp;L&amp;"Calibri"&amp;10&amp;K000000OFFICIAL&amp;1#</oddHeader>
        <oddFooter>&amp;L&amp;1#&amp;"Calibri"&amp;10&amp;K000000OFFICIAL</oddFooter>
      </headerFooter>
    </customSheetView>
    <customSheetView guid="{602520CD-F98C-43A6-AA0D-88893E9CB6E8}" scale="90" state="hidden">
      <selection activeCell="A67" sqref="A67"/>
      <pageMargins left="0.7" right="0.7" top="0.75" bottom="0.75" header="0.3" footer="0.3"/>
      <pageSetup paperSize="9" orientation="portrait" r:id="rId10"/>
      <headerFooter>
        <oddHeader>&amp;L&amp;"Calibri"&amp;10&amp;K000000OFFICIAL&amp;1#</oddHeader>
        <oddFooter>&amp;L&amp;1#&amp;"Calibri"&amp;10&amp;K000000OFFICIAL</oddFooter>
      </headerFooter>
    </customSheetView>
    <customSheetView guid="{B8317A9A-0FFD-4A18-80F7-203DB2FC8CA5}" scale="90" state="hidden">
      <selection activeCell="A67" sqref="A67"/>
      <pageMargins left="0.7" right="0.7" top="0.75" bottom="0.75" header="0.3" footer="0.3"/>
      <pageSetup paperSize="9" orientation="portrait" r:id="rId11"/>
      <headerFooter>
        <oddHeader>&amp;L&amp;"Calibri"&amp;10&amp;K000000OFFICIAL&amp;1#</oddHeader>
        <oddFooter>&amp;L&amp;1#&amp;"Calibri"&amp;10&amp;K000000OFFICIAL</oddFooter>
      </headerFooter>
    </customSheetView>
    <customSheetView guid="{2608BE9B-66AC-4D4C-8EE0-E88C94E88140}" scale="90" state="hidden">
      <selection activeCell="A67" sqref="A67"/>
      <pageMargins left="0.7" right="0.7" top="0.75" bottom="0.75" header="0.3" footer="0.3"/>
      <pageSetup paperSize="9" orientation="portrait" r:id="rId12"/>
      <headerFooter>
        <oddHeader>&amp;L&amp;"Calibri"&amp;10&amp;K000000OFFICIAL&amp;1#</oddHeader>
        <oddFooter>&amp;L&amp;1#&amp;"Calibri"&amp;10&amp;K000000OFFICIAL</oddFooter>
      </headerFooter>
    </customSheetView>
    <customSheetView guid="{D850720D-4A1C-48F2-8E1D-8E09B7414A1A}" scale="90" state="hidden">
      <pane ySplit="5" topLeftCell="A6" activePane="bottomLeft" state="frozen"/>
      <selection pane="bottomLeft" activeCell="A67" sqref="A67"/>
      <pageMargins left="0.7" right="0.7" top="0.75" bottom="0.75" header="0.3" footer="0.3"/>
      <pageSetup paperSize="9" orientation="portrait" r:id="rId13"/>
      <headerFooter>
        <oddHeader>&amp;L&amp;"Calibri"&amp;10&amp;K000000OFFICIAL&amp;1#</oddHeader>
        <oddFooter>&amp;L&amp;1#&amp;"Calibri"&amp;10&amp;K000000OFFICIAL</oddFooter>
      </headerFooter>
    </customSheetView>
    <customSheetView guid="{A8E976B8-D767-4DB4-82BD-ABE90880F33F}" scale="90" state="hidden">
      <pane ySplit="5" topLeftCell="A6" activePane="bottomLeft" state="frozen"/>
      <selection pane="bottomLeft" activeCell="A67" sqref="A67"/>
      <pageMargins left="0.7" right="0.7" top="0.75" bottom="0.75" header="0.3" footer="0.3"/>
      <pageSetup paperSize="9" orientation="portrait" r:id="rId14"/>
      <headerFooter>
        <oddHeader>&amp;L&amp;"Calibri"&amp;10&amp;K000000OFFICIAL&amp;1#</oddHeader>
        <oddFooter>&amp;L&amp;1#&amp;"Calibri"&amp;10&amp;K000000OFFICIAL</oddFooter>
      </headerFooter>
    </customSheetView>
    <customSheetView guid="{B95D32C7-1418-4EF6-8936-849885C54A4A}" scale="90" state="hidden">
      <pane ySplit="5" topLeftCell="A6" activePane="bottomLeft" state="frozen"/>
      <selection pane="bottomLeft" activeCell="A67" sqref="A67"/>
      <pageMargins left="0.7" right="0.7" top="0.75" bottom="0.75" header="0.3" footer="0.3"/>
      <pageSetup paperSize="9" orientation="portrait" r:id="rId15"/>
      <headerFooter>
        <oddHeader>&amp;L&amp;"Calibri"&amp;10&amp;K000000OFFICIAL&amp;1#</oddHeader>
        <oddFooter>&amp;L&amp;1#&amp;"Calibri"&amp;10&amp;K000000OFFICIAL</oddFooter>
      </headerFooter>
    </customSheetView>
    <customSheetView guid="{9355C9F4-9C07-4A93-B7F2-69F1D1526716}" scale="90" state="hidden">
      <pane ySplit="5" topLeftCell="A6" activePane="bottomLeft" state="frozen"/>
      <selection pane="bottomLeft" activeCell="A67" sqref="A67"/>
      <pageMargins left="0.7" right="0.7" top="0.75" bottom="0.75" header="0.3" footer="0.3"/>
      <pageSetup paperSize="9" orientation="portrait" r:id="rId16"/>
      <headerFooter>
        <oddHeader>&amp;L&amp;"Calibri"&amp;10&amp;K000000OFFICIAL&amp;1#</oddHeader>
        <oddFooter>&amp;L&amp;1#&amp;"Calibri"&amp;10&amp;K000000OFFICIAL</oddFooter>
      </headerFooter>
    </customSheetView>
    <customSheetView guid="{1ECD6E30-299B-4354-A416-2DAFF33C7022}" scale="90" state="hidden">
      <pane ySplit="5" topLeftCell="A6" activePane="bottomLeft" state="frozen"/>
      <selection pane="bottomLeft" activeCell="A67" sqref="A67"/>
      <pageMargins left="0.7" right="0.7" top="0.75" bottom="0.75" header="0.3" footer="0.3"/>
      <pageSetup paperSize="9" orientation="portrait" r:id="rId17"/>
      <headerFooter>
        <oddHeader>&amp;L&amp;"Calibri"&amp;10&amp;K000000OFFICIAL&amp;1#</oddHeader>
        <oddFooter>&amp;L&amp;1#&amp;"Calibri"&amp;10&amp;K000000OFFICIAL</oddFooter>
      </headerFooter>
    </customSheetView>
    <customSheetView guid="{9AF6E233-883D-48B4-95AB-42B37199AB9E}" scale="90" state="hidden">
      <pane ySplit="5" topLeftCell="A6" activePane="bottomLeft" state="frozen"/>
      <selection pane="bottomLeft" activeCell="A67" sqref="A67"/>
      <pageMargins left="0.7" right="0.7" top="0.75" bottom="0.75" header="0.3" footer="0.3"/>
      <pageSetup paperSize="9" orientation="portrait" r:id="rId18"/>
      <headerFooter>
        <oddHeader>&amp;L&amp;"Calibri"&amp;10&amp;K000000OFFICIAL&amp;1#</oddHeader>
        <oddFooter>&amp;L&amp;1#&amp;"Calibri"&amp;10&amp;K000000OFFICIAL</oddFooter>
      </headerFooter>
    </customSheetView>
    <customSheetView guid="{451730E2-FFE9-4FCE-B8B5-64952C26C672}" scale="90" state="hidden">
      <pane ySplit="5" topLeftCell="A6" activePane="bottomLeft" state="frozen"/>
      <selection pane="bottomLeft" activeCell="A67" sqref="A67"/>
      <pageMargins left="0.7" right="0.7" top="0.75" bottom="0.75" header="0.3" footer="0.3"/>
      <pageSetup paperSize="9" orientation="portrait" r:id="rId19"/>
      <headerFooter>
        <oddHeader>&amp;L&amp;"Calibri"&amp;10&amp;K000000OFFICIAL&amp;1#</oddHeader>
        <oddFooter>&amp;L&amp;1#&amp;"Calibri"&amp;10&amp;K000000OFFICIAL</oddFooter>
      </headerFooter>
    </customSheetView>
    <customSheetView guid="{4EBEE699-7DEF-4A50-9CB7-490835CF0B98}" scale="90" state="hidden">
      <pane ySplit="5" topLeftCell="A6" activePane="bottomLeft" state="frozen"/>
      <selection pane="bottomLeft" activeCell="A67" sqref="A67"/>
      <pageMargins left="0.7" right="0.7" top="0.75" bottom="0.75" header="0.3" footer="0.3"/>
      <pageSetup paperSize="9" orientation="portrait" r:id="rId20"/>
      <headerFooter>
        <oddHeader>&amp;L&amp;"Calibri"&amp;10&amp;K000000OFFICIAL&amp;1#</oddHeader>
        <oddFooter>&amp;L&amp;1#&amp;"Calibri"&amp;10&amp;K000000OFFICIAL</oddFooter>
      </headerFooter>
    </customSheetView>
    <customSheetView guid="{A03C6B09-6B58-4DDE-A3B2-41A27A7049D9}" scale="90" state="hidden">
      <pane ySplit="5" topLeftCell="A6" activePane="bottomLeft" state="frozen"/>
      <selection pane="bottomLeft" activeCell="A67" sqref="A67"/>
      <pageMargins left="0.7" right="0.7" top="0.75" bottom="0.75" header="0.3" footer="0.3"/>
      <pageSetup paperSize="9" orientation="portrait" r:id="rId21"/>
      <headerFooter>
        <oddHeader>&amp;L&amp;"Calibri"&amp;10&amp;K000000OFFICIAL&amp;1#</oddHeader>
        <oddFooter>&amp;L&amp;1#&amp;"Calibri"&amp;10&amp;K000000OFFICIAL</oddFooter>
      </headerFooter>
    </customSheetView>
    <customSheetView guid="{3C97F0B0-2F3C-4E03-96E0-0C4FEC2F24AC}" scale="90" state="hidden">
      <pane ySplit="5" topLeftCell="A6" activePane="bottomLeft" state="frozen"/>
      <selection pane="bottomLeft" activeCell="A67" sqref="A67"/>
      <pageMargins left="0.7" right="0.7" top="0.75" bottom="0.75" header="0.3" footer="0.3"/>
      <pageSetup paperSize="9" orientation="portrait" r:id="rId22"/>
      <headerFooter>
        <oddHeader>&amp;L&amp;"Calibri"&amp;10&amp;K000000OFFICIAL&amp;1#</oddHeader>
        <oddFooter>&amp;L&amp;1#&amp;"Calibri"&amp;10&amp;K000000OFFICIAL</oddFooter>
      </headerFooter>
    </customSheetView>
    <customSheetView guid="{B0A28FD4-D7F6-428C-A7F7-92132DCD74BB}" scale="90" state="hidden">
      <pane ySplit="5" topLeftCell="A6" activePane="bottomLeft" state="frozen"/>
      <selection pane="bottomLeft" activeCell="A67" sqref="A67"/>
      <pageMargins left="0.7" right="0.7" top="0.75" bottom="0.75" header="0.3" footer="0.3"/>
      <pageSetup paperSize="9" orientation="portrait" r:id="rId23"/>
      <headerFooter>
        <oddHeader>&amp;L&amp;"Calibri"&amp;10&amp;K000000OFFICIAL&amp;1#</oddHeader>
        <oddFooter>&amp;L&amp;1#&amp;"Calibri"&amp;10&amp;K000000OFFICIAL</oddFooter>
      </headerFooter>
    </customSheetView>
    <customSheetView guid="{3BB18945-69B5-4B22-8D55-989F8F233459}" scale="90" state="hidden">
      <pane ySplit="5" topLeftCell="A6" activePane="bottomLeft" state="frozen"/>
      <selection pane="bottomLeft" activeCell="A67" sqref="A67"/>
      <pageMargins left="0.7" right="0.7" top="0.75" bottom="0.75" header="0.3" footer="0.3"/>
      <pageSetup paperSize="9" orientation="portrait" r:id="rId24"/>
      <headerFooter>
        <oddHeader>&amp;L&amp;"Calibri"&amp;10&amp;K000000OFFICIAL&amp;1#</oddHeader>
        <oddFooter>&amp;L&amp;1#&amp;"Calibri"&amp;10&amp;K000000OFFICIAL</oddFooter>
      </headerFooter>
    </customSheetView>
    <customSheetView guid="{D16D941B-FC89-4FEC-A49B-5FA2532584DE}" scale="90" state="hidden">
      <pane ySplit="5" topLeftCell="A6" activePane="bottomLeft" state="frozen"/>
      <selection pane="bottomLeft" activeCell="A67" sqref="A67"/>
      <pageMargins left="0.7" right="0.7" top="0.75" bottom="0.75" header="0.3" footer="0.3"/>
      <pageSetup paperSize="9" orientation="portrait" r:id="rId25"/>
      <headerFooter>
        <oddHeader>&amp;L&amp;"Calibri"&amp;10&amp;K000000OFFICIAL&amp;1#</oddHeader>
        <oddFooter>&amp;L&amp;1#&amp;"Calibri"&amp;10&amp;K000000OFFICIAL</oddFooter>
      </headerFooter>
    </customSheetView>
    <customSheetView guid="{C39AE06A-FC0A-4D7D-B287-2FA9CA174191}" scale="90" state="hidden">
      <pane ySplit="5" topLeftCell="A6" activePane="bottomLeft" state="frozen"/>
      <selection pane="bottomLeft" activeCell="A67" sqref="A67"/>
      <pageMargins left="0.7" right="0.7" top="0.75" bottom="0.75" header="0.3" footer="0.3"/>
      <pageSetup paperSize="9" orientation="portrait" r:id="rId26"/>
      <headerFooter>
        <oddHeader>&amp;L&amp;"Calibri"&amp;10&amp;K000000OFFICIAL&amp;1#</oddHeader>
        <oddFooter>&amp;L&amp;1#&amp;"Calibri"&amp;10&amp;K000000OFFICIAL</oddFooter>
      </headerFooter>
    </customSheetView>
    <customSheetView guid="{4E6F9C2D-76F2-4884-BBF6-E02A7BAE11EF}" scale="90" state="hidden">
      <pane ySplit="5" topLeftCell="A6" activePane="bottomLeft" state="frozen"/>
      <selection pane="bottomLeft" activeCell="A67" sqref="A67"/>
      <pageMargins left="0.7" right="0.7" top="0.75" bottom="0.75" header="0.3" footer="0.3"/>
      <pageSetup paperSize="9" orientation="portrait" r:id="rId27"/>
      <headerFooter>
        <oddHeader>&amp;L&amp;"Calibri"&amp;10&amp;K000000OFFICIAL&amp;1#</oddHeader>
        <oddFooter>&amp;L&amp;1#&amp;"Calibri"&amp;10&amp;K000000OFFICIAL</oddFooter>
      </headerFooter>
    </customSheetView>
    <customSheetView guid="{008CCD98-7480-4C51-806A-4B55C801DDC2}" scale="90" state="hidden">
      <selection activeCell="A67" sqref="A67"/>
      <pageMargins left="0.7" right="0.7" top="0.75" bottom="0.75" header="0.3" footer="0.3"/>
      <pageSetup paperSize="9" orientation="portrait" r:id="rId28"/>
      <headerFooter>
        <oddHeader>&amp;L&amp;"Calibri"&amp;10&amp;K000000OFFICIAL&amp;1#</oddHeader>
        <oddFooter>&amp;L&amp;1#&amp;"Calibri"&amp;10&amp;K000000OFFICIAL</oddFooter>
      </headerFooter>
    </customSheetView>
    <customSheetView guid="{D27C51BB-BB54-4F37-8171-98067C39697C}" scale="90" state="hidden">
      <pane ySplit="5" topLeftCell="A6" activePane="bottomLeft" state="frozen"/>
      <selection pane="bottomLeft" activeCell="A67" sqref="A67"/>
      <pageMargins left="0.7" right="0.7" top="0.75" bottom="0.75" header="0.3" footer="0.3"/>
      <pageSetup paperSize="9" orientation="portrait" r:id="rId29"/>
      <headerFooter>
        <oddHeader>&amp;L&amp;"Calibri"&amp;10&amp;K000000OFFICIAL&amp;1#</oddHeader>
        <oddFooter>&amp;L&amp;1#&amp;"Calibri"&amp;10&amp;K000000OFFICIAL</oddFooter>
      </headerFooter>
    </customSheetView>
    <customSheetView guid="{6702457D-A9A8-4F46-8E1C-BC7255F4BA77}" scale="90" state="hidden">
      <pane ySplit="5" topLeftCell="A6" activePane="bottomLeft" state="frozen"/>
      <selection pane="bottomLeft" activeCell="A67" sqref="A67"/>
      <pageMargins left="0.7" right="0.7" top="0.75" bottom="0.75" header="0.3" footer="0.3"/>
      <pageSetup paperSize="9" orientation="portrait" r:id="rId30"/>
      <headerFooter>
        <oddHeader>&amp;L&amp;"Calibri"&amp;10&amp;K000000OFFICIAL&amp;1#</oddHeader>
        <oddFooter>&amp;L&amp;1#&amp;"Calibri"&amp;10&amp;K000000OFFICIAL</oddFooter>
      </headerFooter>
    </customSheetView>
    <customSheetView guid="{016CEBB2-C827-48F4-95E1-85D8C5129F41}" scale="90" state="hidden">
      <pane ySplit="5" topLeftCell="A6" activePane="bottomLeft" state="frozen"/>
      <selection pane="bottomLeft" activeCell="A67" sqref="A67"/>
      <pageMargins left="0.7" right="0.7" top="0.75" bottom="0.75" header="0.3" footer="0.3"/>
      <pageSetup paperSize="9" orientation="portrait" r:id="rId31"/>
      <headerFooter>
        <oddHeader>&amp;L&amp;"Calibri"&amp;10&amp;K000000OFFICIAL&amp;1#</oddHeader>
        <oddFooter>&amp;L&amp;1#&amp;"Calibri"&amp;10&amp;K000000OFFICIAL</oddFooter>
      </headerFooter>
    </customSheetView>
    <customSheetView guid="{EB96DBE4-2D64-4388-853C-CB52A0CB79BA}" scale="90" state="hidden">
      <pane ySplit="5" topLeftCell="A6" activePane="bottomLeft" state="frozen"/>
      <selection pane="bottomLeft" activeCell="A67" sqref="A67"/>
      <pageMargins left="0.7" right="0.7" top="0.75" bottom="0.75" header="0.3" footer="0.3"/>
      <pageSetup paperSize="9" orientation="portrait" r:id="rId32"/>
      <headerFooter>
        <oddHeader>&amp;L&amp;"Calibri"&amp;10&amp;K000000OFFICIAL&amp;1#</oddHeader>
        <oddFooter>&amp;L&amp;1#&amp;"Calibri"&amp;10&amp;K000000OFFICIAL</oddFooter>
      </headerFooter>
    </customSheetView>
    <customSheetView guid="{351EFD38-BF62-4E34-A37F-0EEB3E165043}" scale="90" state="hidden">
      <pane ySplit="5" topLeftCell="A6" activePane="bottomLeft" state="frozen"/>
      <selection pane="bottomLeft" activeCell="A67" sqref="A67"/>
      <pageMargins left="0.7" right="0.7" top="0.75" bottom="0.75" header="0.3" footer="0.3"/>
      <pageSetup paperSize="9" orientation="portrait" r:id="rId33"/>
      <headerFooter>
        <oddHeader>&amp;L&amp;"Calibri"&amp;10&amp;K000000OFFICIAL&amp;1#</oddHeader>
        <oddFooter>&amp;L&amp;1#&amp;"Calibri"&amp;10&amp;K000000OFFICIAL</oddFooter>
      </headerFooter>
    </customSheetView>
    <customSheetView guid="{593284E7-E32C-4D6C-8C2F-3DEEF9DEE1DF}" scale="90" state="hidden">
      <pane ySplit="5" topLeftCell="A6" activePane="bottomLeft" state="frozen"/>
      <selection pane="bottomLeft" activeCell="A67" sqref="A67"/>
      <pageMargins left="0.7" right="0.7" top="0.75" bottom="0.75" header="0.3" footer="0.3"/>
      <pageSetup paperSize="9" orientation="portrait" r:id="rId34"/>
      <headerFooter>
        <oddHeader>&amp;L&amp;"Calibri"&amp;10&amp;K000000OFFICIAL&amp;1#</oddHeader>
        <oddFooter>&amp;L&amp;1#&amp;"Calibri"&amp;10&amp;K000000OFFICIAL</oddFooter>
      </headerFooter>
    </customSheetView>
    <customSheetView guid="{E06B4FE8-6127-47B2-A6A5-4FAC9EEB4538}" scale="90" state="hidden">
      <selection activeCell="A67" sqref="A67"/>
      <pageMargins left="0.7" right="0.7" top="0.75" bottom="0.75" header="0.3" footer="0.3"/>
      <pageSetup paperSize="9" orientation="portrait" r:id="rId35"/>
      <headerFooter>
        <oddHeader>&amp;L&amp;"Calibri"&amp;10&amp;K000000OFFICIAL&amp;1#</oddHeader>
        <oddFooter>&amp;L&amp;1#&amp;"Calibri"&amp;10&amp;K000000OFFICIAL</oddFooter>
      </headerFooter>
    </customSheetView>
    <customSheetView guid="{51B3083F-A103-41AB-A137-63549C54B838}" scale="90" state="hidden">
      <pane ySplit="5" topLeftCell="A6" activePane="bottomLeft" state="frozen"/>
      <selection pane="bottomLeft" activeCell="A67" sqref="A67"/>
      <pageMargins left="0.7" right="0.7" top="0.75" bottom="0.75" header="0.3" footer="0.3"/>
      <pageSetup paperSize="9" orientation="portrait" r:id="rId36"/>
      <headerFooter>
        <oddHeader>&amp;L&amp;"Calibri"&amp;10&amp;K000000OFFICIAL&amp;1#</oddHeader>
        <oddFooter>&amp;L&amp;1#&amp;"Calibri"&amp;10&amp;K000000OFFICIAL</oddFooter>
      </headerFooter>
    </customSheetView>
    <customSheetView guid="{8CB67476-3FD4-42E0-ACD6-62ACA9412843}" scale="90" state="hidden">
      <pane ySplit="5" topLeftCell="A6" activePane="bottomLeft" state="frozen"/>
      <selection pane="bottomLeft" activeCell="A67" sqref="A67"/>
      <pageMargins left="0.7" right="0.7" top="0.75" bottom="0.75" header="0.3" footer="0.3"/>
      <pageSetup paperSize="9" orientation="portrait" r:id="rId37"/>
      <headerFooter>
        <oddHeader>&amp;L&amp;"Calibri"&amp;10&amp;K000000OFFICIAL&amp;1#</oddHeader>
        <oddFooter>&amp;L&amp;1#&amp;"Calibri"&amp;10&amp;K000000OFFICIAL</oddFooter>
      </headerFooter>
    </customSheetView>
    <customSheetView guid="{151EB58C-4EFD-4330-8D1A-8AACF5F7C679}" scale="90" state="hidden">
      <pane ySplit="5" topLeftCell="A6" activePane="bottomLeft" state="frozen"/>
      <selection pane="bottomLeft" activeCell="A67" sqref="A67"/>
      <pageMargins left="0.7" right="0.7" top="0.75" bottom="0.75" header="0.3" footer="0.3"/>
      <pageSetup paperSize="9" orientation="portrait" r:id="rId38"/>
      <headerFooter>
        <oddHeader>&amp;L&amp;"Calibri"&amp;10&amp;K000000OFFICIAL&amp;1#</oddHeader>
        <oddFooter>&amp;L&amp;1#&amp;"Calibri"&amp;10&amp;K000000OFFICIAL</oddFooter>
      </headerFooter>
    </customSheetView>
    <customSheetView guid="{8263C9D2-452D-46FA-AFA0-452B42DC0298}" scale="90" state="hidden">
      <pane ySplit="5" topLeftCell="A6" activePane="bottomLeft" state="frozen"/>
      <selection pane="bottomLeft" activeCell="A67" sqref="A67"/>
      <pageMargins left="0.7" right="0.7" top="0.75" bottom="0.75" header="0.3" footer="0.3"/>
      <pageSetup paperSize="9" orientation="portrait" r:id="rId39"/>
      <headerFooter>
        <oddHeader>&amp;L&amp;"Calibri"&amp;10&amp;K000000OFFICIAL&amp;1#</oddHeader>
        <oddFooter>&amp;L&amp;1#&amp;"Calibri"&amp;10&amp;K000000OFFICIAL</oddFooter>
      </headerFooter>
    </customSheetView>
    <customSheetView guid="{DF265C7B-1EEB-47EB-982A-6938E81F7AC2}" scale="90" state="hidden">
      <pane ySplit="5" topLeftCell="A6" activePane="bottomLeft" state="frozen"/>
      <selection pane="bottomLeft" activeCell="A67" sqref="A67"/>
      <pageMargins left="0.7" right="0.7" top="0.75" bottom="0.75" header="0.3" footer="0.3"/>
      <pageSetup paperSize="9" orientation="portrait" r:id="rId40"/>
      <headerFooter>
        <oddHeader>&amp;L&amp;"Calibri"&amp;10&amp;K000000OFFICIAL&amp;1#</oddHeader>
        <oddFooter>&amp;L&amp;1#&amp;"Calibri"&amp;10&amp;K000000OFFICIAL</oddFooter>
      </headerFooter>
    </customSheetView>
    <customSheetView guid="{9F91FBC4-6A13-42C2-A2D9-42A2AC814E28}" scale="90" state="hidden">
      <pane ySplit="5" topLeftCell="A6" activePane="bottomLeft" state="frozen"/>
      <selection pane="bottomLeft" activeCell="A67" sqref="A67"/>
      <pageMargins left="0.7" right="0.7" top="0.75" bottom="0.75" header="0.3" footer="0.3"/>
      <pageSetup paperSize="9" orientation="portrait" r:id="rId41"/>
      <headerFooter>
        <oddHeader>&amp;L&amp;"Calibri"&amp;10&amp;K000000OFFICIAL&amp;1#</oddHeader>
        <oddFooter>&amp;L&amp;1#&amp;"Calibri"&amp;10&amp;K000000OFFICIAL</oddFooter>
      </headerFooter>
    </customSheetView>
    <customSheetView guid="{F4A6298C-1A75-4FA9-A6A4-2BE13CCFE545}" scale="90" state="hidden">
      <pane ySplit="5" topLeftCell="A6" activePane="bottomLeft" state="frozen"/>
      <selection pane="bottomLeft" activeCell="A67" sqref="A67"/>
      <pageMargins left="0.7" right="0.7" top="0.75" bottom="0.75" header="0.3" footer="0.3"/>
      <pageSetup paperSize="9" orientation="portrait" r:id="rId42"/>
      <headerFooter>
        <oddHeader>&amp;L&amp;"Calibri"&amp;10&amp;K000000OFFICIAL&amp;1#</oddHeader>
        <oddFooter>&amp;L&amp;1#&amp;"Calibri"&amp;10&amp;K000000OFFICIAL</oddFooter>
      </headerFooter>
    </customSheetView>
    <customSheetView guid="{29AC9BE3-332A-4738-949C-1F8C0D32BAEE}" scale="90" state="hidden">
      <pane ySplit="5" topLeftCell="A6" activePane="bottomLeft" state="frozen"/>
      <selection pane="bottomLeft" activeCell="A67" sqref="A67"/>
      <pageMargins left="0.7" right="0.7" top="0.75" bottom="0.75" header="0.3" footer="0.3"/>
      <pageSetup paperSize="9" orientation="portrait" r:id="rId43"/>
      <headerFooter>
        <oddHeader>&amp;L&amp;"Calibri"&amp;10&amp;K000000OFFICIAL&amp;1#</oddHeader>
        <oddFooter>&amp;L&amp;1#&amp;"Calibri"&amp;10&amp;K000000OFFICIAL</oddFooter>
      </headerFooter>
    </customSheetView>
    <customSheetView guid="{75EE3B92-AF4D-4E93-A70E-6ADE60CC674F}" scale="90" state="hidden">
      <pane ySplit="4" topLeftCell="A6" activePane="bottomLeft" state="frozen"/>
      <selection pane="bottomLeft" activeCell="A67" sqref="A67"/>
      <pageMargins left="0.7" right="0.7" top="0.75" bottom="0.75" header="0.3" footer="0.3"/>
      <pageSetup paperSize="9" orientation="portrait" r:id="rId44"/>
      <headerFooter>
        <oddHeader>&amp;L&amp;"Calibri"&amp;10&amp;K000000OFFICIAL&amp;1#</oddHeader>
        <oddFooter>&amp;L&amp;1#&amp;"Calibri"&amp;10&amp;K000000OFFICIAL</oddFooter>
      </headerFooter>
    </customSheetView>
    <customSheetView guid="{CA7E8063-5145-49E1-8E00-2E1025705A81}" scale="90" state="hidden">
      <pane ySplit="5" topLeftCell="A6" activePane="bottomLeft" state="frozen"/>
      <selection pane="bottomLeft" activeCell="A67" sqref="A67"/>
      <pageMargins left="0.7" right="0.7" top="0.75" bottom="0.75" header="0.3" footer="0.3"/>
      <pageSetup paperSize="9" orientation="portrait" r:id="rId45"/>
      <headerFooter>
        <oddHeader>&amp;L&amp;"Calibri"&amp;10&amp;K000000OFFICIAL&amp;1#</oddHeader>
        <oddFooter>&amp;L&amp;1#&amp;"Calibri"&amp;10&amp;K000000OFFICIAL</oddFooter>
      </headerFooter>
    </customSheetView>
    <customSheetView guid="{51DFD3D6-BC25-47B4-B28F-D640534DB3A9}" scale="90" state="hidden">
      <pane ySplit="5" topLeftCell="A6" activePane="bottomLeft" state="frozen"/>
      <selection pane="bottomLeft" activeCell="A67" sqref="A67"/>
      <pageMargins left="0.7" right="0.7" top="0.75" bottom="0.75" header="0.3" footer="0.3"/>
      <pageSetup paperSize="9" orientation="portrait" r:id="rId46"/>
      <headerFooter>
        <oddHeader>&amp;L&amp;"Calibri"&amp;10&amp;K000000OFFICIAL&amp;1#</oddHeader>
        <oddFooter>&amp;L&amp;1#&amp;"Calibri"&amp;10&amp;K000000OFFICIAL</oddFooter>
      </headerFooter>
    </customSheetView>
    <customSheetView guid="{37F5A0AB-EB39-4832-9D67-F67D908BF486}" scale="90" state="hidden">
      <pane ySplit="5" topLeftCell="A6" activePane="bottomLeft" state="frozen"/>
      <selection pane="bottomLeft" activeCell="A67" sqref="A67"/>
      <pageMargins left="0.7" right="0.7" top="0.75" bottom="0.75" header="0.3" footer="0.3"/>
      <pageSetup paperSize="9" orientation="portrait" r:id="rId47"/>
      <headerFooter>
        <oddHeader>&amp;L&amp;"Calibri"&amp;10&amp;K000000OFFICIAL&amp;1#</oddHeader>
        <oddFooter>&amp;L&amp;1#&amp;"Calibri"&amp;10&amp;K000000OFFICIAL</oddFooter>
      </headerFooter>
    </customSheetView>
    <customSheetView guid="{70582C04-BB53-4A99-A3C1-673011D9AE1C}" scale="90" state="hidden">
      <pane ySplit="5" topLeftCell="A6" activePane="bottomLeft" state="frozen"/>
      <selection pane="bottomLeft" activeCell="A67" sqref="A67"/>
      <pageMargins left="0.7" right="0.7" top="0.75" bottom="0.75" header="0.3" footer="0.3"/>
      <pageSetup paperSize="9" orientation="portrait" r:id="rId48"/>
      <headerFooter>
        <oddHeader>&amp;L&amp;"Calibri"&amp;10&amp;K000000OFFICIAL&amp;1#</oddHeader>
        <oddFooter>&amp;L&amp;1#&amp;"Calibri"&amp;10&amp;K000000OFFICIAL</oddFooter>
      </headerFooter>
    </customSheetView>
    <customSheetView guid="{442F9A23-CA6E-4109-B10C-ACF5FD36B859}" scale="90" state="hidden">
      <pane ySplit="5" topLeftCell="A6" activePane="bottomLeft" state="frozen"/>
      <selection pane="bottomLeft" activeCell="A67" sqref="A67"/>
      <pageMargins left="0.7" right="0.7" top="0.75" bottom="0.75" header="0.3" footer="0.3"/>
      <pageSetup paperSize="9" orientation="portrait" r:id="rId49"/>
      <headerFooter>
        <oddHeader>&amp;L&amp;"Calibri"&amp;10&amp;K000000OFFICIAL&amp;1#</oddHeader>
        <oddFooter>&amp;L&amp;1#&amp;"Calibri"&amp;10&amp;K000000OFFICIAL</oddFooter>
      </headerFooter>
    </customSheetView>
    <customSheetView guid="{E4713981-DD11-40CE-BE52-873D93BDDE05}" scale="90" state="hidden">
      <pane ySplit="5" topLeftCell="A6" activePane="bottomLeft" state="frozen"/>
      <selection pane="bottomLeft" activeCell="A67" sqref="A67"/>
      <pageMargins left="0.7" right="0.7" top="0.75" bottom="0.75" header="0.3" footer="0.3"/>
      <pageSetup paperSize="9" orientation="portrait" r:id="rId50"/>
      <headerFooter>
        <oddHeader>&amp;L&amp;"Calibri"&amp;10&amp;K000000OFFICIAL&amp;1#</oddHeader>
        <oddFooter>&amp;L&amp;1#&amp;"Calibri"&amp;10&amp;K000000OFFICIAL</oddFooter>
      </headerFooter>
    </customSheetView>
    <customSheetView guid="{83044EFE-7F92-4F81-B034-85D9567158C2}" scale="90" state="hidden">
      <pane ySplit="5" topLeftCell="A6" activePane="bottomLeft" state="frozen"/>
      <selection pane="bottomLeft" activeCell="A67" sqref="A67"/>
      <pageMargins left="0.7" right="0.7" top="0.75" bottom="0.75" header="0.3" footer="0.3"/>
      <pageSetup paperSize="9" orientation="portrait" r:id="rId51"/>
      <headerFooter>
        <oddHeader>&amp;L&amp;"Calibri"&amp;10&amp;K000000OFFICIAL&amp;1#</oddHeader>
        <oddFooter>&amp;L&amp;1#&amp;"Calibri"&amp;10&amp;K000000OFFICIAL</oddFooter>
      </headerFooter>
    </customSheetView>
    <customSheetView guid="{E3A3AE56-8881-4A6F-9299-803C489AD1B4}" scale="90" state="hidden">
      <pane ySplit="5" topLeftCell="A6" activePane="bottomLeft" state="frozen"/>
      <selection pane="bottomLeft" activeCell="A67" sqref="A67"/>
      <pageMargins left="0.7" right="0.7" top="0.75" bottom="0.75" header="0.3" footer="0.3"/>
      <pageSetup paperSize="9" orientation="portrait" r:id="rId52"/>
      <headerFooter>
        <oddHeader>&amp;L&amp;"Calibri"&amp;10&amp;K000000OFFICIAL&amp;1#</oddHeader>
        <oddFooter>&amp;L&amp;1#&amp;"Calibri"&amp;10&amp;K000000OFFICIAL</oddFooter>
      </headerFooter>
    </customSheetView>
    <customSheetView guid="{FBC63E8F-69FE-4648-B709-FA1212EFFB29}" scale="90" state="hidden">
      <pane ySplit="5" topLeftCell="A6" activePane="bottomLeft" state="frozen"/>
      <selection pane="bottomLeft" activeCell="A67" sqref="A67"/>
      <pageMargins left="0.7" right="0.7" top="0.75" bottom="0.75" header="0.3" footer="0.3"/>
      <pageSetup paperSize="9" orientation="portrait" r:id="rId53"/>
      <headerFooter>
        <oddHeader>&amp;L&amp;"Calibri"&amp;10&amp;K000000OFFICIAL&amp;1#</oddHeader>
        <oddFooter>&amp;L&amp;1#&amp;"Calibri"&amp;10&amp;K000000OFFICIAL</oddFooter>
      </headerFooter>
    </customSheetView>
    <customSheetView guid="{0EDA65D2-43FB-421C-9D8C-D8082C64B09A}" scale="90" state="hidden">
      <pane ySplit="5" topLeftCell="A6" activePane="bottomLeft" state="frozen"/>
      <selection pane="bottomLeft" activeCell="A67" sqref="A67"/>
      <pageMargins left="0.7" right="0.7" top="0.75" bottom="0.75" header="0.3" footer="0.3"/>
      <pageSetup paperSize="9" orientation="portrait" r:id="rId54"/>
      <headerFooter>
        <oddHeader>&amp;L&amp;"Calibri"&amp;10&amp;K000000OFFICIAL&amp;1#</oddHeader>
        <oddFooter>&amp;L&amp;1#&amp;"Calibri"&amp;10&amp;K000000OFFICIAL</oddFooter>
      </headerFooter>
    </customSheetView>
    <customSheetView guid="{B434A8A8-5A4C-48C0-82E7-2458B9D2EEEF}" scale="90" state="hidden">
      <pane ySplit="5" topLeftCell="A6" activePane="bottomLeft" state="frozen"/>
      <selection pane="bottomLeft" activeCell="A67" sqref="A67"/>
      <pageMargins left="0.7" right="0.7" top="0.75" bottom="0.75" header="0.3" footer="0.3"/>
      <pageSetup paperSize="9" orientation="portrait" r:id="rId55"/>
      <headerFooter>
        <oddHeader>&amp;L&amp;"Calibri"&amp;10&amp;K000000OFFICIAL&amp;1#</oddHeader>
        <oddFooter>&amp;L&amp;1#&amp;"Calibri"&amp;10&amp;K000000OFFICIAL</oddFooter>
      </headerFooter>
    </customSheetView>
    <customSheetView guid="{EDD5A64E-02C0-4DD6-80BA-449123FCDAA2}" scale="90" state="hidden">
      <pane ySplit="5" topLeftCell="A6" activePane="bottomLeft" state="frozen"/>
      <selection pane="bottomLeft" activeCell="A67" sqref="A67"/>
      <pageMargins left="0.7" right="0.7" top="0.75" bottom="0.75" header="0.3" footer="0.3"/>
      <pageSetup paperSize="9" orientation="portrait" r:id="rId56"/>
      <headerFooter>
        <oddHeader>&amp;L&amp;"Calibri"&amp;10&amp;K000000OFFICIAL&amp;1#</oddHeader>
        <oddFooter>&amp;L&amp;1#&amp;"Calibri"&amp;10&amp;K000000OFFICIAL</oddFooter>
      </headerFooter>
    </customSheetView>
    <customSheetView guid="{97D58294-343B-4B62-A826-0DDDE29B5F0D}" scale="90" state="hidden">
      <pane ySplit="5" topLeftCell="A6" activePane="bottomLeft" state="frozen"/>
      <selection pane="bottomLeft" activeCell="A67" sqref="A67"/>
      <pageMargins left="0.7" right="0.7" top="0.75" bottom="0.75" header="0.3" footer="0.3"/>
      <pageSetup paperSize="9" orientation="portrait" r:id="rId57"/>
      <headerFooter>
        <oddHeader>&amp;L&amp;"Calibri"&amp;10&amp;K000000OFFICIAL&amp;1#</oddHeader>
        <oddFooter>&amp;L&amp;1#&amp;"Calibri"&amp;10&amp;K000000OFFICIAL</oddFooter>
      </headerFooter>
    </customSheetView>
    <customSheetView guid="{800416AC-1374-44AC-811C-612C85EF24E6}" scale="90" state="hidden">
      <pane ySplit="5" topLeftCell="A6" activePane="bottomLeft" state="frozen"/>
      <selection pane="bottomLeft" activeCell="A67" sqref="A67"/>
      <pageMargins left="0.7" right="0.7" top="0.75" bottom="0.75" header="0.3" footer="0.3"/>
      <pageSetup paperSize="9" orientation="portrait" r:id="rId58"/>
      <headerFooter>
        <oddHeader>&amp;L&amp;"Calibri"&amp;10&amp;K000000OFFICIAL&amp;1#</oddHeader>
        <oddFooter>&amp;L&amp;1#&amp;"Calibri"&amp;10&amp;K000000OFFICIAL</oddFooter>
      </headerFooter>
    </customSheetView>
    <customSheetView guid="{2EA8DBF7-9763-457C-AA9F-1EEB2F136D1F}" scale="90" state="hidden">
      <pane ySplit="5" topLeftCell="A6" activePane="bottomLeft" state="frozen"/>
      <selection pane="bottomLeft" activeCell="A67" sqref="A67"/>
      <pageMargins left="0.7" right="0.7" top="0.75" bottom="0.75" header="0.3" footer="0.3"/>
      <pageSetup paperSize="9" orientation="portrait" r:id="rId59"/>
      <headerFooter>
        <oddHeader>&amp;L&amp;"Calibri"&amp;10&amp;K000000OFFICIAL&amp;1#</oddHeader>
        <oddFooter>&amp;L&amp;1#&amp;"Calibri"&amp;10&amp;K000000OFFICIAL</oddFooter>
      </headerFooter>
    </customSheetView>
    <customSheetView guid="{78AA4A71-CE17-4C4D-849E-E3E1A44EA907}" scale="90" state="hidden">
      <pane ySplit="5" topLeftCell="A6" activePane="bottomLeft" state="frozen"/>
      <selection pane="bottomLeft" activeCell="A67" sqref="A67"/>
      <pageMargins left="0.7" right="0.7" top="0.75" bottom="0.75" header="0.3" footer="0.3"/>
      <pageSetup paperSize="9" orientation="portrait" r:id="rId60"/>
      <headerFooter>
        <oddHeader>&amp;L&amp;"Calibri"&amp;10&amp;K000000OFFICIAL&amp;1#</oddHeader>
        <oddFooter>&amp;L&amp;1#&amp;"Calibri"&amp;10&amp;K000000OFFICIAL</oddFooter>
      </headerFooter>
    </customSheetView>
    <customSheetView guid="{C7C13768-4A8D-4CBA-978C-F4A7B5550C00}" scale="90" state="hidden">
      <pane ySplit="5" topLeftCell="A6" activePane="bottomLeft" state="frozen"/>
      <selection pane="bottomLeft" activeCell="A67" sqref="A67"/>
      <pageMargins left="0.7" right="0.7" top="0.75" bottom="0.75" header="0.3" footer="0.3"/>
      <pageSetup paperSize="9" orientation="portrait" r:id="rId61"/>
      <headerFooter>
        <oddHeader>&amp;L&amp;"Calibri"&amp;10&amp;K000000OFFICIAL&amp;1#</oddHeader>
        <oddFooter>&amp;L&amp;1#&amp;"Calibri"&amp;10&amp;K000000OFFICIAL</oddFooter>
      </headerFooter>
    </customSheetView>
    <customSheetView guid="{D59DDBAA-620D-43B7-A6D9-759808D3397A}" scale="90" state="hidden">
      <pane ySplit="5" topLeftCell="A6" activePane="bottomLeft" state="frozen"/>
      <selection pane="bottomLeft" activeCell="A67" sqref="A67"/>
      <pageMargins left="0.7" right="0.7" top="0.75" bottom="0.75" header="0.3" footer="0.3"/>
      <pageSetup paperSize="9" orientation="portrait" r:id="rId62"/>
      <headerFooter>
        <oddHeader>&amp;L&amp;"Calibri"&amp;10&amp;K000000OFFICIAL&amp;1#</oddHeader>
        <oddFooter>&amp;L&amp;1#&amp;"Calibri"&amp;10&amp;K000000OFFICIAL</oddFooter>
      </headerFooter>
    </customSheetView>
  </customSheetViews>
  <mergeCells count="14">
    <mergeCell ref="M4:M5"/>
    <mergeCell ref="N4:N5"/>
    <mergeCell ref="D4:D5"/>
    <mergeCell ref="E4:E5"/>
    <mergeCell ref="G4:G5"/>
    <mergeCell ref="F4:F5"/>
    <mergeCell ref="H4:H5"/>
    <mergeCell ref="J4:J5"/>
    <mergeCell ref="K4:K5"/>
    <mergeCell ref="A2:A5"/>
    <mergeCell ref="B2:B5"/>
    <mergeCell ref="D3:H3"/>
    <mergeCell ref="J3:K3"/>
    <mergeCell ref="D2:K2"/>
  </mergeCells>
  <pageMargins left="0.7" right="0.7" top="0.75" bottom="0.75" header="0.3" footer="0.3"/>
  <pageSetup paperSize="9" orientation="portrait" r:id="rId63"/>
  <headerFooter>
    <oddHeader>&amp;L&amp;"Calibri"&amp;10&amp;K000000OFFICIAL&amp;1#</oddHeader>
    <oddFooter>&amp;L&amp;1#&amp;"Calibri"&amp;10&amp;K000000OFFICIAL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975284-7239-439D-99F0-853BEEB5125B}">
  <sheetPr codeName="Sheet4"/>
  <dimension ref="A1:K41"/>
  <sheetViews>
    <sheetView topLeftCell="A2" zoomScaleNormal="100" workbookViewId="0">
      <pane ySplit="4" topLeftCell="A27" activePane="bottomLeft" state="frozen"/>
      <selection activeCell="AJ34" sqref="AJ34"/>
      <selection pane="bottomLeft" activeCell="AJ34" sqref="AJ34"/>
    </sheetView>
  </sheetViews>
  <sheetFormatPr defaultColWidth="8.54296875" defaultRowHeight="11.5" x14ac:dyDescent="0.35"/>
  <cols>
    <col min="1" max="1" width="25.54296875" style="15" customWidth="1"/>
    <col min="2" max="2" width="9.54296875" style="1" customWidth="1"/>
    <col min="3" max="3" width="0.54296875" style="15" customWidth="1"/>
    <col min="4" max="4" width="8.54296875" style="15" customWidth="1"/>
    <col min="5" max="5" width="0.453125" style="15" customWidth="1"/>
    <col min="6" max="6" width="10.54296875" style="15" customWidth="1"/>
    <col min="7" max="7" width="0.453125" style="15" customWidth="1"/>
    <col min="8" max="8" width="10.54296875" style="27" customWidth="1"/>
    <col min="9" max="9" width="0.54296875" style="15" customWidth="1"/>
    <col min="10" max="10" width="8.54296875" style="6"/>
    <col min="11" max="11" width="98.54296875" style="15" customWidth="1"/>
    <col min="12" max="13" width="8.54296875" style="15"/>
    <col min="14" max="14" width="74.453125" style="15" customWidth="1"/>
    <col min="15" max="16384" width="8.54296875" style="15"/>
  </cols>
  <sheetData>
    <row r="1" spans="1:11" hidden="1" x14ac:dyDescent="0.35"/>
    <row r="2" spans="1:11" ht="23.25" customHeight="1" x14ac:dyDescent="0.35">
      <c r="A2" s="665" t="s">
        <v>0</v>
      </c>
      <c r="B2" s="664" t="s">
        <v>1</v>
      </c>
      <c r="C2" s="17"/>
      <c r="D2" s="670" t="s">
        <v>69</v>
      </c>
      <c r="E2" s="732"/>
      <c r="F2" s="732"/>
      <c r="G2" s="732"/>
      <c r="H2" s="732"/>
    </row>
    <row r="3" spans="1:11" ht="23.25" customHeight="1" x14ac:dyDescent="0.35">
      <c r="A3" s="665"/>
      <c r="B3" s="664"/>
      <c r="C3" s="19"/>
      <c r="D3" s="678" t="s">
        <v>72</v>
      </c>
      <c r="E3" s="28"/>
      <c r="F3" s="679" t="s">
        <v>33</v>
      </c>
      <c r="G3" s="680"/>
      <c r="H3" s="680"/>
      <c r="I3" s="1"/>
    </row>
    <row r="4" spans="1:11" ht="23.25" customHeight="1" x14ac:dyDescent="0.35">
      <c r="A4" s="665"/>
      <c r="B4" s="664"/>
      <c r="C4" s="20"/>
      <c r="D4" s="678"/>
      <c r="E4" s="28"/>
      <c r="F4" s="34" t="s">
        <v>73</v>
      </c>
      <c r="G4" s="29"/>
      <c r="H4" s="36" t="s">
        <v>74</v>
      </c>
      <c r="I4" s="1"/>
      <c r="J4" s="726" t="s">
        <v>65</v>
      </c>
      <c r="K4" s="728" t="s">
        <v>61</v>
      </c>
    </row>
    <row r="5" spans="1:11" ht="54" customHeight="1" x14ac:dyDescent="0.35">
      <c r="A5" s="665"/>
      <c r="B5" s="664"/>
      <c r="C5" s="21"/>
      <c r="D5" s="684"/>
      <c r="E5" s="30"/>
      <c r="F5" s="18" t="s">
        <v>81</v>
      </c>
      <c r="G5" s="30"/>
      <c r="H5" s="37" t="s">
        <v>129</v>
      </c>
      <c r="I5" s="1"/>
      <c r="J5" s="727"/>
      <c r="K5" s="729"/>
    </row>
    <row r="6" spans="1:11" ht="5.25" customHeight="1" x14ac:dyDescent="0.35">
      <c r="A6" s="2"/>
      <c r="F6" s="1"/>
      <c r="G6" s="1"/>
      <c r="H6" s="38"/>
    </row>
    <row r="7" spans="1:11" ht="38.25" customHeight="1" x14ac:dyDescent="0.35">
      <c r="A7" s="3" t="s">
        <v>7</v>
      </c>
      <c r="B7" s="1" t="s">
        <v>3</v>
      </c>
      <c r="C7" s="13"/>
      <c r="D7" s="35" t="s">
        <v>124</v>
      </c>
      <c r="E7" s="13"/>
      <c r="F7" s="7">
        <v>793.2</v>
      </c>
      <c r="G7" s="14"/>
      <c r="H7" s="39">
        <v>45016</v>
      </c>
      <c r="J7" s="23" t="s">
        <v>143</v>
      </c>
      <c r="K7" s="22" t="s">
        <v>145</v>
      </c>
    </row>
    <row r="8" spans="1:11" ht="5.25" customHeight="1" x14ac:dyDescent="0.35">
      <c r="A8" s="2"/>
    </row>
    <row r="9" spans="1:11" ht="38.25" customHeight="1" x14ac:dyDescent="0.35">
      <c r="A9" s="3" t="s">
        <v>115</v>
      </c>
      <c r="B9" s="1" t="s">
        <v>3</v>
      </c>
      <c r="C9" s="13"/>
      <c r="D9" s="35" t="s">
        <v>125</v>
      </c>
      <c r="E9" s="13"/>
      <c r="F9" s="7">
        <v>343.90990519999997</v>
      </c>
      <c r="G9" s="14"/>
      <c r="H9" s="39">
        <v>46344</v>
      </c>
      <c r="J9" s="23" t="s">
        <v>143</v>
      </c>
      <c r="K9" s="22" t="s">
        <v>145</v>
      </c>
    </row>
    <row r="10" spans="1:11" ht="5.25" customHeight="1" x14ac:dyDescent="0.35">
      <c r="A10" s="3"/>
      <c r="C10" s="13"/>
    </row>
    <row r="11" spans="1:11" ht="38.25" customHeight="1" x14ac:dyDescent="0.35">
      <c r="A11" s="3" t="s">
        <v>98</v>
      </c>
      <c r="B11" s="1" t="s">
        <v>3</v>
      </c>
      <c r="C11" s="13"/>
      <c r="D11" s="35" t="s">
        <v>125</v>
      </c>
      <c r="E11" s="13"/>
      <c r="F11" s="7">
        <v>1316</v>
      </c>
      <c r="G11" s="14"/>
      <c r="H11" s="39">
        <v>46226</v>
      </c>
      <c r="J11" s="23" t="s">
        <v>143</v>
      </c>
      <c r="K11" s="22" t="s">
        <v>145</v>
      </c>
    </row>
    <row r="12" spans="1:11" ht="5.25" customHeight="1" x14ac:dyDescent="0.35">
      <c r="A12" s="2"/>
    </row>
    <row r="13" spans="1:11" ht="38.25" customHeight="1" x14ac:dyDescent="0.35">
      <c r="A13" s="3" t="s">
        <v>101</v>
      </c>
      <c r="B13" s="1" t="s">
        <v>3</v>
      </c>
      <c r="C13" s="13"/>
      <c r="D13" s="35" t="s">
        <v>128</v>
      </c>
      <c r="E13" s="13"/>
      <c r="F13" s="7">
        <v>419.522673</v>
      </c>
      <c r="G13" s="14"/>
      <c r="H13" s="39">
        <v>45050</v>
      </c>
      <c r="J13" s="23" t="s">
        <v>143</v>
      </c>
      <c r="K13" s="22" t="s">
        <v>145</v>
      </c>
    </row>
    <row r="14" spans="1:11" ht="5.25" customHeight="1" x14ac:dyDescent="0.35">
      <c r="A14" s="3"/>
      <c r="C14" s="13"/>
    </row>
    <row r="15" spans="1:11" ht="38.25" customHeight="1" x14ac:dyDescent="0.35">
      <c r="A15" s="3" t="s">
        <v>113</v>
      </c>
      <c r="B15" s="1" t="s">
        <v>3</v>
      </c>
      <c r="C15" s="13"/>
      <c r="D15" s="35" t="s">
        <v>126</v>
      </c>
      <c r="E15" s="13"/>
      <c r="F15" s="7">
        <v>959.6</v>
      </c>
      <c r="G15" s="14"/>
      <c r="H15" s="39">
        <v>47871</v>
      </c>
      <c r="J15" s="23" t="s">
        <v>143</v>
      </c>
      <c r="K15" s="22" t="s">
        <v>145</v>
      </c>
    </row>
    <row r="16" spans="1:11" ht="5.25" customHeight="1" x14ac:dyDescent="0.35">
      <c r="A16" s="3"/>
      <c r="C16" s="13"/>
      <c r="D16" s="13"/>
      <c r="E16" s="13"/>
      <c r="F16" s="31"/>
      <c r="G16" s="32"/>
      <c r="H16" s="38"/>
    </row>
    <row r="17" spans="1:11" ht="38.25" customHeight="1" x14ac:dyDescent="0.35">
      <c r="A17" s="3" t="s">
        <v>117</v>
      </c>
      <c r="B17" s="1" t="s">
        <v>3</v>
      </c>
      <c r="C17" s="13"/>
      <c r="D17" s="35" t="s">
        <v>127</v>
      </c>
      <c r="E17" s="13"/>
      <c r="F17" s="7">
        <v>647.67882000000009</v>
      </c>
      <c r="G17" s="14"/>
      <c r="H17" s="39">
        <v>47066</v>
      </c>
      <c r="J17" s="23" t="s">
        <v>143</v>
      </c>
      <c r="K17" s="22" t="s">
        <v>145</v>
      </c>
    </row>
    <row r="18" spans="1:11" ht="38.25" customHeight="1" x14ac:dyDescent="0.35">
      <c r="A18" s="3"/>
      <c r="C18" s="13"/>
      <c r="D18" s="35" t="s">
        <v>153</v>
      </c>
      <c r="E18" s="13"/>
      <c r="F18" s="7">
        <v>647.67882000000009</v>
      </c>
      <c r="G18" s="14"/>
      <c r="H18" s="56">
        <v>46944</v>
      </c>
      <c r="J18" s="23" t="s">
        <v>154</v>
      </c>
      <c r="K18" s="22" t="s">
        <v>155</v>
      </c>
    </row>
    <row r="19" spans="1:11" ht="5.25" customHeight="1" x14ac:dyDescent="0.35">
      <c r="A19" s="3"/>
      <c r="C19" s="13"/>
    </row>
    <row r="20" spans="1:11" ht="38.25" customHeight="1" x14ac:dyDescent="0.35">
      <c r="A20" s="3" t="s">
        <v>5</v>
      </c>
      <c r="B20" s="1" t="s">
        <v>3</v>
      </c>
      <c r="C20" s="13"/>
      <c r="D20" s="35" t="s">
        <v>6</v>
      </c>
      <c r="E20" s="40"/>
      <c r="F20" s="7">
        <v>305.931037</v>
      </c>
      <c r="G20" s="5"/>
      <c r="H20" s="39">
        <v>45392</v>
      </c>
      <c r="J20" s="23" t="s">
        <v>143</v>
      </c>
      <c r="K20" s="22" t="s">
        <v>145</v>
      </c>
    </row>
    <row r="21" spans="1:11" ht="38.25" customHeight="1" x14ac:dyDescent="0.35">
      <c r="A21" s="3"/>
      <c r="C21" s="13"/>
      <c r="D21" s="35" t="s">
        <v>6</v>
      </c>
      <c r="E21" s="40"/>
      <c r="F21" s="26">
        <v>285.91510297000002</v>
      </c>
      <c r="G21" s="5"/>
      <c r="H21" s="39">
        <v>45392</v>
      </c>
      <c r="J21" s="23" t="s">
        <v>146</v>
      </c>
      <c r="K21" s="22" t="s">
        <v>152</v>
      </c>
    </row>
    <row r="22" spans="1:11" ht="5.25" customHeight="1" x14ac:dyDescent="0.35">
      <c r="A22" s="3"/>
      <c r="C22" s="13"/>
    </row>
    <row r="23" spans="1:11" ht="38.25" customHeight="1" x14ac:dyDescent="0.35">
      <c r="A23" s="3" t="s">
        <v>13</v>
      </c>
      <c r="B23" s="1" t="s">
        <v>3</v>
      </c>
      <c r="C23" s="13"/>
      <c r="D23" s="35" t="s">
        <v>141</v>
      </c>
      <c r="E23" s="40"/>
      <c r="F23" s="7">
        <v>113.6</v>
      </c>
      <c r="G23" s="5"/>
      <c r="H23" s="39">
        <v>46892</v>
      </c>
      <c r="J23" s="23" t="s">
        <v>143</v>
      </c>
      <c r="K23" s="22" t="s">
        <v>145</v>
      </c>
    </row>
    <row r="24" spans="1:11" ht="5.25" customHeight="1" x14ac:dyDescent="0.35">
      <c r="A24" s="3"/>
      <c r="C24" s="13"/>
    </row>
    <row r="25" spans="1:11" ht="38.25" customHeight="1" x14ac:dyDescent="0.35">
      <c r="A25" s="3" t="s">
        <v>111</v>
      </c>
      <c r="B25" s="1" t="s">
        <v>3</v>
      </c>
      <c r="C25" s="13"/>
      <c r="D25" s="35" t="s">
        <v>128</v>
      </c>
      <c r="E25" s="40"/>
      <c r="F25" s="7">
        <v>1277.3</v>
      </c>
      <c r="G25" s="5"/>
      <c r="H25" s="39">
        <v>47350</v>
      </c>
      <c r="J25" s="23" t="s">
        <v>143</v>
      </c>
      <c r="K25" s="22" t="s">
        <v>145</v>
      </c>
    </row>
    <row r="26" spans="1:11" ht="38.25" customHeight="1" x14ac:dyDescent="0.35">
      <c r="A26" s="3"/>
      <c r="C26" s="13"/>
      <c r="D26" s="35" t="s">
        <v>128</v>
      </c>
      <c r="E26" s="40"/>
      <c r="F26" s="26">
        <v>1227.71</v>
      </c>
      <c r="G26" s="5"/>
      <c r="H26" s="39">
        <v>47350</v>
      </c>
      <c r="J26" s="23" t="s">
        <v>154</v>
      </c>
      <c r="K26" s="22" t="s">
        <v>156</v>
      </c>
    </row>
    <row r="27" spans="1:11" ht="5.25" customHeight="1" x14ac:dyDescent="0.35">
      <c r="A27" s="3"/>
      <c r="C27" s="13"/>
      <c r="D27" s="13"/>
      <c r="E27" s="13"/>
      <c r="F27" s="5"/>
      <c r="G27" s="33"/>
      <c r="H27" s="38"/>
    </row>
    <row r="28" spans="1:11" ht="38.25" customHeight="1" x14ac:dyDescent="0.35">
      <c r="A28" s="3" t="s">
        <v>17</v>
      </c>
      <c r="B28" s="1" t="s">
        <v>18</v>
      </c>
      <c r="C28" s="13"/>
      <c r="D28" s="35" t="s">
        <v>19</v>
      </c>
      <c r="E28" s="13"/>
      <c r="F28" s="7">
        <v>233.8</v>
      </c>
      <c r="G28" s="14"/>
      <c r="H28" s="39">
        <v>48944</v>
      </c>
      <c r="J28" s="23" t="s">
        <v>143</v>
      </c>
      <c r="K28" s="22" t="s">
        <v>145</v>
      </c>
    </row>
    <row r="29" spans="1:11" ht="38.25" customHeight="1" x14ac:dyDescent="0.35">
      <c r="A29" s="3"/>
      <c r="C29" s="13"/>
      <c r="D29" s="35" t="s">
        <v>19</v>
      </c>
      <c r="E29" s="13"/>
      <c r="F29" s="26">
        <v>254.2</v>
      </c>
      <c r="G29" s="14"/>
      <c r="H29" s="56">
        <v>49646</v>
      </c>
      <c r="J29" s="23" t="s">
        <v>146</v>
      </c>
      <c r="K29" s="22" t="s">
        <v>151</v>
      </c>
    </row>
    <row r="30" spans="1:11" ht="5.25" customHeight="1" x14ac:dyDescent="0.35">
      <c r="A30" s="3"/>
      <c r="C30" s="13"/>
      <c r="D30" s="13"/>
      <c r="E30" s="13"/>
      <c r="F30" s="5"/>
      <c r="G30" s="33"/>
      <c r="H30" s="38"/>
    </row>
    <row r="31" spans="1:11" ht="38.25" customHeight="1" x14ac:dyDescent="0.35">
      <c r="A31" s="3" t="s">
        <v>9</v>
      </c>
      <c r="B31" s="1" t="s">
        <v>10</v>
      </c>
      <c r="C31" s="13"/>
      <c r="D31" s="35" t="s">
        <v>11</v>
      </c>
      <c r="E31" s="13"/>
      <c r="F31" s="7">
        <v>66.900000000000006</v>
      </c>
      <c r="G31" s="14"/>
      <c r="H31" s="39">
        <v>46023</v>
      </c>
      <c r="J31" s="23" t="s">
        <v>143</v>
      </c>
      <c r="K31" s="22" t="s">
        <v>145</v>
      </c>
    </row>
    <row r="32" spans="1:11" ht="10.5" customHeight="1" x14ac:dyDescent="0.35">
      <c r="A32" s="3"/>
      <c r="C32" s="13"/>
      <c r="D32" s="13"/>
      <c r="E32" s="13"/>
      <c r="F32" s="5"/>
      <c r="G32" s="33"/>
      <c r="H32" s="38"/>
    </row>
    <row r="33" spans="1:8" ht="10.5" customHeight="1" x14ac:dyDescent="0.35">
      <c r="A33" s="3"/>
      <c r="C33" s="13"/>
      <c r="D33" s="13"/>
      <c r="E33" s="13"/>
      <c r="F33" s="5"/>
      <c r="G33" s="33"/>
      <c r="H33" s="38"/>
    </row>
    <row r="34" spans="1:8" ht="10.5" customHeight="1" x14ac:dyDescent="0.35">
      <c r="A34" s="3"/>
      <c r="C34" s="13"/>
      <c r="D34" s="13"/>
      <c r="E34" s="13"/>
      <c r="F34" s="5"/>
      <c r="G34" s="33"/>
      <c r="H34" s="38"/>
    </row>
    <row r="35" spans="1:8" ht="10.5" customHeight="1" x14ac:dyDescent="0.35">
      <c r="A35" s="3"/>
      <c r="C35" s="13"/>
      <c r="D35" s="13"/>
      <c r="E35" s="13"/>
      <c r="F35" s="5"/>
      <c r="G35" s="33"/>
      <c r="H35" s="38"/>
    </row>
    <row r="36" spans="1:8" ht="10.5" customHeight="1" x14ac:dyDescent="0.35">
      <c r="A36" s="3"/>
      <c r="C36" s="13"/>
      <c r="D36" s="13"/>
      <c r="E36" s="13"/>
      <c r="F36" s="5"/>
      <c r="G36" s="33"/>
      <c r="H36" s="38"/>
    </row>
    <row r="37" spans="1:8" ht="10.5" customHeight="1" x14ac:dyDescent="0.35">
      <c r="A37" s="3"/>
      <c r="C37" s="13"/>
      <c r="D37" s="13"/>
      <c r="E37" s="13"/>
      <c r="F37" s="5"/>
      <c r="G37" s="33"/>
      <c r="H37" s="38"/>
    </row>
    <row r="38" spans="1:8" ht="10.5" customHeight="1" x14ac:dyDescent="0.35">
      <c r="A38" s="3"/>
      <c r="C38" s="13"/>
      <c r="D38" s="13"/>
      <c r="E38" s="13"/>
      <c r="F38" s="5"/>
      <c r="G38" s="33"/>
      <c r="H38" s="38"/>
    </row>
    <row r="39" spans="1:8" ht="10.5" customHeight="1" x14ac:dyDescent="0.35">
      <c r="A39" s="3"/>
      <c r="C39" s="13"/>
      <c r="D39" s="13"/>
      <c r="E39" s="13"/>
      <c r="F39" s="5"/>
      <c r="G39" s="33"/>
      <c r="H39" s="38"/>
    </row>
    <row r="40" spans="1:8" ht="10.5" customHeight="1" x14ac:dyDescent="0.35">
      <c r="A40" s="3"/>
      <c r="C40" s="13"/>
    </row>
    <row r="41" spans="1:8" ht="10.5" customHeight="1" x14ac:dyDescent="0.35">
      <c r="A41" s="3"/>
      <c r="C41" s="13"/>
    </row>
  </sheetData>
  <sheetProtection algorithmName="SHA-512" hashValue="+ekyJXf2mdHINyAzoRLq79QBOIOQMOH4Tj8hbC3jCtQElFstxLFFgSuXnFNKQDw2awTGGqgqfN33A/P6G/NyxQ==" saltValue="3GdNWzS1x/grHg4dcQBKBg==" spinCount="100000" sheet="1" objects="1" scenarios="1"/>
  <customSheetViews>
    <customSheetView guid="{7E571F1D-D438-4605-90D6-3F831F76D652}" hiddenRows="1" state="hidden" topLeftCell="A2">
      <pane ySplit="4" topLeftCell="A27" activePane="bottomLeft" state="frozen"/>
      <selection pane="bottomLeft" activeCell="AJ34" sqref="AJ34"/>
      <pageMargins left="0.7" right="0.7" top="0.75" bottom="0.75" header="0.3" footer="0.3"/>
      <pageSetup paperSize="9" orientation="portrait" r:id="rId1"/>
      <headerFooter>
        <oddHeader>&amp;L&amp;"Calibri"&amp;10&amp;K000000OFFICIAL&amp;1#</oddHeader>
        <oddFooter>&amp;L&amp;1#&amp;"Calibri"&amp;10&amp;K000000OFFICIAL</oddFooter>
      </headerFooter>
    </customSheetView>
    <customSheetView guid="{466708C2-41CE-4656-AB81-E1E49DF5945D}" hiddenRows="1" state="hidden" topLeftCell="A2">
      <pane ySplit="5.125" topLeftCell="A27" activePane="bottomLeft" state="frozen"/>
      <selection pane="bottomLeft" activeCell="AJ34" sqref="AJ34"/>
      <pageMargins left="0.7" right="0.7" top="0.75" bottom="0.75" header="0.3" footer="0.3"/>
      <pageSetup paperSize="9" orientation="portrait" r:id="rId2"/>
      <headerFooter>
        <oddHeader>&amp;L&amp;"Calibri"&amp;10&amp;K000000OFFICIAL&amp;1#</oddHeader>
        <oddFooter>&amp;L&amp;1#&amp;"Calibri"&amp;10&amp;K000000OFFICIAL</oddFooter>
      </headerFooter>
    </customSheetView>
    <customSheetView guid="{B84DA703-8C5B-4100-91A4-8807E303D379}" hiddenRows="1" state="hidden" topLeftCell="A2">
      <pane ySplit="4" topLeftCell="A27" activePane="bottomLeft" state="frozen"/>
      <selection pane="bottomLeft" activeCell="AJ34" sqref="AJ34"/>
      <pageMargins left="0.7" right="0.7" top="0.75" bottom="0.75" header="0.3" footer="0.3"/>
      <pageSetup paperSize="9" orientation="portrait" r:id="rId3"/>
      <headerFooter>
        <oddHeader>&amp;L&amp;"Calibri"&amp;10&amp;K000000OFFICIAL&amp;1#</oddHeader>
        <oddFooter>&amp;L&amp;1#&amp;"Calibri"&amp;10&amp;K000000OFFICIAL</oddFooter>
      </headerFooter>
    </customSheetView>
    <customSheetView guid="{527A2BDE-37CE-4B02-9F2C-CD7E7AC81C63}" hiddenRows="1" state="hidden" topLeftCell="A2">
      <pane ySplit="4" topLeftCell="A27" activePane="bottomLeft" state="frozen"/>
      <selection pane="bottomLeft" activeCell="AJ34" sqref="AJ34"/>
      <pageMargins left="0.7" right="0.7" top="0.75" bottom="0.75" header="0.3" footer="0.3"/>
      <pageSetup paperSize="9" orientation="portrait" r:id="rId4"/>
      <headerFooter>
        <oddHeader>&amp;L&amp;"Calibri"&amp;10&amp;K000000OFFICIAL&amp;1#</oddHeader>
        <oddFooter>&amp;L&amp;1#&amp;"Calibri"&amp;10&amp;K000000OFFICIAL</oddFooter>
      </headerFooter>
    </customSheetView>
    <customSheetView guid="{BDCD1595-C0B8-4F6C-B01C-3472C895B827}" hiddenRows="1" state="hidden" topLeftCell="A2">
      <pane ySplit="4" topLeftCell="A27" activePane="bottomLeft" state="frozen"/>
      <selection pane="bottomLeft" activeCell="AJ34" sqref="AJ34"/>
      <pageMargins left="0.7" right="0.7" top="0.75" bottom="0.75" header="0.3" footer="0.3"/>
      <pageSetup paperSize="9" orientation="portrait" r:id="rId5"/>
      <headerFooter>
        <oddHeader>&amp;L&amp;"Calibri"&amp;10&amp;K000000OFFICIAL&amp;1#</oddHeader>
        <oddFooter>&amp;L&amp;1#&amp;"Calibri"&amp;10&amp;K000000OFFICIAL</oddFooter>
      </headerFooter>
    </customSheetView>
    <customSheetView guid="{C57A83F1-F5A3-470B-9579-6A222C54F4E8}" hiddenRows="1" state="hidden" topLeftCell="A2">
      <pane ySplit="4" topLeftCell="A27" activePane="bottomLeft" state="frozen"/>
      <selection pane="bottomLeft" activeCell="AJ34" sqref="AJ34"/>
      <pageMargins left="0.7" right="0.7" top="0.75" bottom="0.75" header="0.3" footer="0.3"/>
      <pageSetup paperSize="9" orientation="portrait" r:id="rId6"/>
      <headerFooter>
        <oddHeader>&amp;L&amp;"Calibri"&amp;10&amp;K000000OFFICIAL&amp;1#</oddHeader>
        <oddFooter>&amp;L&amp;1#&amp;"Calibri"&amp;10&amp;K000000OFFICIAL</oddFooter>
      </headerFooter>
    </customSheetView>
    <customSheetView guid="{3827E543-57D2-48C8-B786-7077EA079DD2}" hiddenRows="1" state="hidden" topLeftCell="A2">
      <pane ySplit="5.125" topLeftCell="A27" activePane="bottomLeft" state="frozen"/>
      <selection pane="bottomLeft" activeCell="AJ34" sqref="AJ34"/>
      <pageMargins left="0.7" right="0.7" top="0.75" bottom="0.75" header="0.3" footer="0.3"/>
      <pageSetup paperSize="9" orientation="portrait" r:id="rId7"/>
      <headerFooter>
        <oddHeader>&amp;L&amp;"Calibri"&amp;10&amp;K000000OFFICIAL&amp;1#</oddHeader>
        <oddFooter>&amp;L&amp;1#&amp;"Calibri"&amp;10&amp;K000000OFFICIAL</oddFooter>
      </headerFooter>
    </customSheetView>
    <customSheetView guid="{F5FA2A23-9E46-4C2F-B1EE-B71787F95C57}" hiddenRows="1" state="hidden" topLeftCell="A2">
      <pane ySplit="4" topLeftCell="A27" activePane="bottomLeft" state="frozen"/>
      <selection pane="bottomLeft" activeCell="AJ34" sqref="AJ34"/>
      <pageMargins left="0.7" right="0.7" top="0.75" bottom="0.75" header="0.3" footer="0.3"/>
      <pageSetup paperSize="9" orientation="portrait" r:id="rId8"/>
      <headerFooter>
        <oddHeader>&amp;L&amp;"Calibri"&amp;10&amp;K000000OFFICIAL&amp;1#</oddHeader>
        <oddFooter>&amp;L&amp;1#&amp;"Calibri"&amp;10&amp;K000000OFFICIAL</oddFooter>
      </headerFooter>
    </customSheetView>
    <customSheetView guid="{42B0E8B1-ADFA-49AE-A83B-82D384737703}" hiddenRows="1" state="hidden" topLeftCell="A2">
      <pane ySplit="4" topLeftCell="A27" activePane="bottomLeft" state="frozen"/>
      <selection pane="bottomLeft" activeCell="AJ34" sqref="AJ34"/>
      <pageMargins left="0.7" right="0.7" top="0.75" bottom="0.75" header="0.3" footer="0.3"/>
      <pageSetup paperSize="9" orientation="portrait" r:id="rId9"/>
      <headerFooter>
        <oddHeader>&amp;L&amp;"Calibri"&amp;10&amp;K000000OFFICIAL&amp;1#</oddHeader>
        <oddFooter>&amp;L&amp;1#&amp;"Calibri"&amp;10&amp;K000000OFFICIAL</oddFooter>
      </headerFooter>
    </customSheetView>
    <customSheetView guid="{602520CD-F98C-43A6-AA0D-88893E9CB6E8}" hiddenRows="1" state="hidden" topLeftCell="A2">
      <pane ySplit="4.583333333333333" topLeftCell="A27" activePane="bottomLeft" state="frozen"/>
      <selection pane="bottomLeft" activeCell="AJ34" sqref="AJ34"/>
      <pageMargins left="0.7" right="0.7" top="0.75" bottom="0.75" header="0.3" footer="0.3"/>
      <pageSetup paperSize="9" orientation="portrait" r:id="rId10"/>
      <headerFooter>
        <oddHeader>&amp;L&amp;"Calibri"&amp;10&amp;K000000OFFICIAL&amp;1#</oddHeader>
        <oddFooter>&amp;L&amp;1#&amp;"Calibri"&amp;10&amp;K000000OFFICIAL</oddFooter>
      </headerFooter>
    </customSheetView>
    <customSheetView guid="{B8317A9A-0FFD-4A18-80F7-203DB2FC8CA5}" hiddenRows="1" state="hidden" topLeftCell="A2">
      <pane ySplit="5.125" topLeftCell="A27" activePane="bottomLeft" state="frozen"/>
      <selection pane="bottomLeft" activeCell="AJ34" sqref="AJ34"/>
      <pageMargins left="0.7" right="0.7" top="0.75" bottom="0.75" header="0.3" footer="0.3"/>
      <pageSetup paperSize="9" orientation="portrait" r:id="rId11"/>
      <headerFooter>
        <oddHeader>&amp;L&amp;"Calibri"&amp;10&amp;K000000OFFICIAL&amp;1#</oddHeader>
        <oddFooter>&amp;L&amp;1#&amp;"Calibri"&amp;10&amp;K000000OFFICIAL</oddFooter>
      </headerFooter>
    </customSheetView>
    <customSheetView guid="{2608BE9B-66AC-4D4C-8EE0-E88C94E88140}" hiddenRows="1" state="hidden" topLeftCell="A2">
      <pane ySplit="4.583333333333333" topLeftCell="A27" activePane="bottomLeft" state="frozen"/>
      <selection pane="bottomLeft" activeCell="AJ34" sqref="AJ34"/>
      <pageMargins left="0.7" right="0.7" top="0.75" bottom="0.75" header="0.3" footer="0.3"/>
      <pageSetup paperSize="9" orientation="portrait" r:id="rId12"/>
      <headerFooter>
        <oddHeader>&amp;L&amp;"Calibri"&amp;10&amp;K000000OFFICIAL&amp;1#</oddHeader>
        <oddFooter>&amp;L&amp;1#&amp;"Calibri"&amp;10&amp;K000000OFFICIAL</oddFooter>
      </headerFooter>
    </customSheetView>
    <customSheetView guid="{D850720D-4A1C-48F2-8E1D-8E09B7414A1A}" hiddenRows="1" state="hidden" topLeftCell="A2">
      <pane ySplit="4" topLeftCell="A27" activePane="bottomLeft" state="frozen"/>
      <selection pane="bottomLeft" activeCell="AJ34" sqref="AJ34"/>
      <pageMargins left="0.7" right="0.7" top="0.75" bottom="0.75" header="0.3" footer="0.3"/>
      <pageSetup paperSize="9" orientation="portrait" r:id="rId13"/>
      <headerFooter>
        <oddHeader>&amp;L&amp;"Calibri"&amp;10&amp;K000000OFFICIAL&amp;1#</oddHeader>
        <oddFooter>&amp;L&amp;1#&amp;"Calibri"&amp;10&amp;K000000OFFICIAL</oddFooter>
      </headerFooter>
    </customSheetView>
    <customSheetView guid="{A8E976B8-D767-4DB4-82BD-ABE90880F33F}" hiddenRows="1" state="hidden" topLeftCell="A2">
      <pane ySplit="4" topLeftCell="A27" activePane="bottomLeft" state="frozen"/>
      <selection pane="bottomLeft" activeCell="AJ34" sqref="AJ34"/>
      <pageMargins left="0.7" right="0.7" top="0.75" bottom="0.75" header="0.3" footer="0.3"/>
      <pageSetup paperSize="9" orientation="portrait" r:id="rId14"/>
      <headerFooter>
        <oddHeader>&amp;L&amp;"Calibri"&amp;10&amp;K000000OFFICIAL&amp;1#</oddHeader>
        <oddFooter>&amp;L&amp;1#&amp;"Calibri"&amp;10&amp;K000000OFFICIAL</oddFooter>
      </headerFooter>
    </customSheetView>
    <customSheetView guid="{B95D32C7-1418-4EF6-8936-849885C54A4A}" hiddenRows="1" state="hidden" topLeftCell="A2">
      <pane ySplit="4" topLeftCell="A27" activePane="bottomLeft" state="frozen"/>
      <selection pane="bottomLeft" activeCell="AJ34" sqref="AJ34"/>
      <pageMargins left="0.7" right="0.7" top="0.75" bottom="0.75" header="0.3" footer="0.3"/>
      <pageSetup paperSize="9" orientation="portrait" r:id="rId15"/>
      <headerFooter>
        <oddHeader>&amp;L&amp;"Calibri"&amp;10&amp;K000000OFFICIAL&amp;1#</oddHeader>
        <oddFooter>&amp;L&amp;1#&amp;"Calibri"&amp;10&amp;K000000OFFICIAL</oddFooter>
      </headerFooter>
    </customSheetView>
    <customSheetView guid="{9355C9F4-9C07-4A93-B7F2-69F1D1526716}" hiddenRows="1" state="hidden" topLeftCell="A2">
      <pane ySplit="4" topLeftCell="A27" activePane="bottomLeft" state="frozen"/>
      <selection pane="bottomLeft" activeCell="AJ34" sqref="AJ34"/>
      <pageMargins left="0.7" right="0.7" top="0.75" bottom="0.75" header="0.3" footer="0.3"/>
      <pageSetup paperSize="9" orientation="portrait" r:id="rId16"/>
      <headerFooter>
        <oddHeader>&amp;L&amp;"Calibri"&amp;10&amp;K000000OFFICIAL&amp;1#</oddHeader>
        <oddFooter>&amp;L&amp;1#&amp;"Calibri"&amp;10&amp;K000000OFFICIAL</oddFooter>
      </headerFooter>
    </customSheetView>
    <customSheetView guid="{1ECD6E30-299B-4354-A416-2DAFF33C7022}" hiddenRows="1" state="hidden" topLeftCell="A2">
      <pane ySplit="4" topLeftCell="A27" activePane="bottomLeft" state="frozen"/>
      <selection pane="bottomLeft" activeCell="AJ34" sqref="AJ34"/>
      <pageMargins left="0.7" right="0.7" top="0.75" bottom="0.75" header="0.3" footer="0.3"/>
      <pageSetup paperSize="9" orientation="portrait" r:id="rId17"/>
      <headerFooter>
        <oddHeader>&amp;L&amp;"Calibri"&amp;10&amp;K000000OFFICIAL&amp;1#</oddHeader>
        <oddFooter>&amp;L&amp;1#&amp;"Calibri"&amp;10&amp;K000000OFFICIAL</oddFooter>
      </headerFooter>
    </customSheetView>
    <customSheetView guid="{9AF6E233-883D-48B4-95AB-42B37199AB9E}" hiddenRows="1" state="hidden" topLeftCell="A2">
      <pane ySplit="4" topLeftCell="A27" activePane="bottomLeft" state="frozen"/>
      <selection pane="bottomLeft" activeCell="AJ34" sqref="AJ34"/>
      <pageMargins left="0.7" right="0.7" top="0.75" bottom="0.75" header="0.3" footer="0.3"/>
      <pageSetup paperSize="9" orientation="portrait" r:id="rId18"/>
      <headerFooter>
        <oddHeader>&amp;L&amp;"Calibri"&amp;10&amp;K000000OFFICIAL&amp;1#</oddHeader>
        <oddFooter>&amp;L&amp;1#&amp;"Calibri"&amp;10&amp;K000000OFFICIAL</oddFooter>
      </headerFooter>
    </customSheetView>
    <customSheetView guid="{451730E2-FFE9-4FCE-B8B5-64952C26C672}" hiddenRows="1" state="hidden" topLeftCell="A2">
      <pane ySplit="4" topLeftCell="A27" activePane="bottomLeft" state="frozen"/>
      <selection pane="bottomLeft" activeCell="AJ34" sqref="AJ34"/>
      <pageMargins left="0.7" right="0.7" top="0.75" bottom="0.75" header="0.3" footer="0.3"/>
      <pageSetup paperSize="9" orientation="portrait" r:id="rId19"/>
      <headerFooter>
        <oddHeader>&amp;L&amp;"Calibri"&amp;10&amp;K000000OFFICIAL&amp;1#</oddHeader>
        <oddFooter>&amp;L&amp;1#&amp;"Calibri"&amp;10&amp;K000000OFFICIAL</oddFooter>
      </headerFooter>
    </customSheetView>
    <customSheetView guid="{4EBEE699-7DEF-4A50-9CB7-490835CF0B98}" hiddenRows="1" state="hidden" topLeftCell="A2">
      <pane ySplit="4" topLeftCell="A27" activePane="bottomLeft" state="frozen"/>
      <selection pane="bottomLeft" activeCell="AJ34" sqref="AJ34"/>
      <pageMargins left="0.7" right="0.7" top="0.75" bottom="0.75" header="0.3" footer="0.3"/>
      <pageSetup paperSize="9" orientation="portrait" r:id="rId20"/>
      <headerFooter>
        <oddHeader>&amp;L&amp;"Calibri"&amp;10&amp;K000000OFFICIAL&amp;1#</oddHeader>
        <oddFooter>&amp;L&amp;1#&amp;"Calibri"&amp;10&amp;K000000OFFICIAL</oddFooter>
      </headerFooter>
    </customSheetView>
    <customSheetView guid="{A03C6B09-6B58-4DDE-A3B2-41A27A7049D9}" hiddenRows="1" state="hidden" topLeftCell="A2">
      <pane ySplit="4" topLeftCell="A27" activePane="bottomLeft" state="frozen"/>
      <selection pane="bottomLeft" activeCell="AJ34" sqref="AJ34"/>
      <pageMargins left="0.7" right="0.7" top="0.75" bottom="0.75" header="0.3" footer="0.3"/>
      <pageSetup paperSize="9" orientation="portrait" r:id="rId21"/>
      <headerFooter>
        <oddHeader>&amp;L&amp;"Calibri"&amp;10&amp;K000000OFFICIAL&amp;1#</oddHeader>
        <oddFooter>&amp;L&amp;1#&amp;"Calibri"&amp;10&amp;K000000OFFICIAL</oddFooter>
      </headerFooter>
    </customSheetView>
    <customSheetView guid="{3C97F0B0-2F3C-4E03-96E0-0C4FEC2F24AC}" hiddenRows="1" state="hidden" topLeftCell="A2">
      <pane ySplit="4" topLeftCell="A27" activePane="bottomLeft" state="frozen"/>
      <selection pane="bottomLeft" activeCell="AJ34" sqref="AJ34"/>
      <pageMargins left="0.7" right="0.7" top="0.75" bottom="0.75" header="0.3" footer="0.3"/>
      <pageSetup paperSize="9" orientation="portrait" r:id="rId22"/>
      <headerFooter>
        <oddHeader>&amp;L&amp;"Calibri"&amp;10&amp;K000000OFFICIAL&amp;1#</oddHeader>
        <oddFooter>&amp;L&amp;1#&amp;"Calibri"&amp;10&amp;K000000OFFICIAL</oddFooter>
      </headerFooter>
    </customSheetView>
    <customSheetView guid="{B0A28FD4-D7F6-428C-A7F7-92132DCD74BB}" hiddenRows="1" state="hidden" topLeftCell="A2">
      <pane ySplit="4" topLeftCell="A27" activePane="bottomLeft" state="frozen"/>
      <selection pane="bottomLeft" activeCell="AJ34" sqref="AJ34"/>
      <pageMargins left="0.7" right="0.7" top="0.75" bottom="0.75" header="0.3" footer="0.3"/>
      <pageSetup paperSize="9" orientation="portrait" r:id="rId23"/>
      <headerFooter>
        <oddHeader>&amp;L&amp;"Calibri"&amp;10&amp;K000000OFFICIAL&amp;1#</oddHeader>
        <oddFooter>&amp;L&amp;1#&amp;"Calibri"&amp;10&amp;K000000OFFICIAL</oddFooter>
      </headerFooter>
    </customSheetView>
    <customSheetView guid="{3BB18945-69B5-4B22-8D55-989F8F233459}" hiddenRows="1" state="hidden" topLeftCell="A2">
      <pane ySplit="4" topLeftCell="A27" activePane="bottomLeft" state="frozen"/>
      <selection pane="bottomLeft" activeCell="AJ34" sqref="AJ34"/>
      <pageMargins left="0.7" right="0.7" top="0.75" bottom="0.75" header="0.3" footer="0.3"/>
      <pageSetup paperSize="9" orientation="portrait" r:id="rId24"/>
      <headerFooter>
        <oddHeader>&amp;L&amp;"Calibri"&amp;10&amp;K000000OFFICIAL&amp;1#</oddHeader>
        <oddFooter>&amp;L&amp;1#&amp;"Calibri"&amp;10&amp;K000000OFFICIAL</oddFooter>
      </headerFooter>
    </customSheetView>
    <customSheetView guid="{D16D941B-FC89-4FEC-A49B-5FA2532584DE}" hiddenRows="1" state="hidden" topLeftCell="A2">
      <pane ySplit="4" topLeftCell="A27" activePane="bottomLeft" state="frozen"/>
      <selection pane="bottomLeft" activeCell="AJ34" sqref="AJ34"/>
      <pageMargins left="0.7" right="0.7" top="0.75" bottom="0.75" header="0.3" footer="0.3"/>
      <pageSetup paperSize="9" orientation="portrait" r:id="rId25"/>
      <headerFooter>
        <oddHeader>&amp;L&amp;"Calibri"&amp;10&amp;K000000OFFICIAL&amp;1#</oddHeader>
        <oddFooter>&amp;L&amp;1#&amp;"Calibri"&amp;10&amp;K000000OFFICIAL</oddFooter>
      </headerFooter>
    </customSheetView>
    <customSheetView guid="{C39AE06A-FC0A-4D7D-B287-2FA9CA174191}" hiddenRows="1" state="hidden" topLeftCell="A2">
      <pane ySplit="4" topLeftCell="A27" activePane="bottomLeft" state="frozen"/>
      <selection pane="bottomLeft" activeCell="AJ34" sqref="AJ34"/>
      <pageMargins left="0.7" right="0.7" top="0.75" bottom="0.75" header="0.3" footer="0.3"/>
      <pageSetup paperSize="9" orientation="portrait" r:id="rId26"/>
      <headerFooter>
        <oddHeader>&amp;L&amp;"Calibri"&amp;10&amp;K000000OFFICIAL&amp;1#</oddHeader>
        <oddFooter>&amp;L&amp;1#&amp;"Calibri"&amp;10&amp;K000000OFFICIAL</oddFooter>
      </headerFooter>
    </customSheetView>
    <customSheetView guid="{4E6F9C2D-76F2-4884-BBF6-E02A7BAE11EF}" hiddenRows="1" state="hidden" topLeftCell="A2">
      <pane ySplit="4" topLeftCell="A27" activePane="bottomLeft" state="frozen"/>
      <selection pane="bottomLeft" activeCell="AJ34" sqref="AJ34"/>
      <pageMargins left="0.7" right="0.7" top="0.75" bottom="0.75" header="0.3" footer="0.3"/>
      <pageSetup paperSize="9" orientation="portrait" r:id="rId27"/>
      <headerFooter>
        <oddHeader>&amp;L&amp;"Calibri"&amp;10&amp;K000000OFFICIAL&amp;1#</oddHeader>
        <oddFooter>&amp;L&amp;1#&amp;"Calibri"&amp;10&amp;K000000OFFICIAL</oddFooter>
      </headerFooter>
    </customSheetView>
    <customSheetView guid="{008CCD98-7480-4C51-806A-4B55C801DDC2}" hiddenRows="1" state="hidden" topLeftCell="A2">
      <pane ySplit="5.1666666666666661" topLeftCell="A27" activePane="bottomLeft" state="frozen"/>
      <selection pane="bottomLeft" activeCell="AJ34" sqref="AJ34"/>
      <pageMargins left="0.7" right="0.7" top="0.75" bottom="0.75" header="0.3" footer="0.3"/>
      <pageSetup paperSize="9" orientation="portrait" r:id="rId28"/>
      <headerFooter>
        <oddHeader>&amp;L&amp;"Calibri"&amp;10&amp;K000000OFFICIAL&amp;1#</oddHeader>
        <oddFooter>&amp;L&amp;1#&amp;"Calibri"&amp;10&amp;K000000OFFICIAL</oddFooter>
      </headerFooter>
    </customSheetView>
    <customSheetView guid="{D27C51BB-BB54-4F37-8171-98067C39697C}" hiddenRows="1" state="hidden" topLeftCell="A2">
      <pane ySplit="4" topLeftCell="A27" activePane="bottomLeft" state="frozen"/>
      <selection pane="bottomLeft" activeCell="AJ34" sqref="AJ34"/>
      <pageMargins left="0.7" right="0.7" top="0.75" bottom="0.75" header="0.3" footer="0.3"/>
      <pageSetup paperSize="9" orientation="portrait" r:id="rId29"/>
      <headerFooter>
        <oddHeader>&amp;L&amp;"Calibri"&amp;10&amp;K000000OFFICIAL&amp;1#</oddHeader>
        <oddFooter>&amp;L&amp;1#&amp;"Calibri"&amp;10&amp;K000000OFFICIAL</oddFooter>
      </headerFooter>
    </customSheetView>
    <customSheetView guid="{6702457D-A9A8-4F46-8E1C-BC7255F4BA77}" hiddenRows="1" state="hidden" topLeftCell="A2">
      <pane ySplit="4" topLeftCell="A27" activePane="bottomLeft" state="frozen"/>
      <selection pane="bottomLeft" activeCell="AJ34" sqref="AJ34"/>
      <pageMargins left="0.7" right="0.7" top="0.75" bottom="0.75" header="0.3" footer="0.3"/>
      <pageSetup paperSize="9" orientation="portrait" r:id="rId30"/>
      <headerFooter>
        <oddHeader>&amp;L&amp;"Calibri"&amp;10&amp;K000000OFFICIAL&amp;1#</oddHeader>
        <oddFooter>&amp;L&amp;1#&amp;"Calibri"&amp;10&amp;K000000OFFICIAL</oddFooter>
      </headerFooter>
    </customSheetView>
    <customSheetView guid="{016CEBB2-C827-48F4-95E1-85D8C5129F41}" hiddenRows="1" state="hidden" topLeftCell="A2">
      <pane ySplit="4" topLeftCell="A27" activePane="bottomLeft" state="frozen"/>
      <selection pane="bottomLeft" activeCell="AJ34" sqref="AJ34"/>
      <pageMargins left="0.7" right="0.7" top="0.75" bottom="0.75" header="0.3" footer="0.3"/>
      <pageSetup paperSize="9" orientation="portrait" r:id="rId31"/>
      <headerFooter>
        <oddHeader>&amp;L&amp;"Calibri"&amp;10&amp;K000000OFFICIAL&amp;1#</oddHeader>
        <oddFooter>&amp;L&amp;1#&amp;"Calibri"&amp;10&amp;K000000OFFICIAL</oddFooter>
      </headerFooter>
    </customSheetView>
    <customSheetView guid="{EB96DBE4-2D64-4388-853C-CB52A0CB79BA}" hiddenRows="1" state="hidden" topLeftCell="A2">
      <pane ySplit="4" topLeftCell="A27" activePane="bottomLeft" state="frozen"/>
      <selection pane="bottomLeft" activeCell="AJ34" sqref="AJ34"/>
      <pageMargins left="0.7" right="0.7" top="0.75" bottom="0.75" header="0.3" footer="0.3"/>
      <pageSetup paperSize="9" orientation="portrait" r:id="rId32"/>
      <headerFooter>
        <oddHeader>&amp;L&amp;"Calibri"&amp;10&amp;K000000OFFICIAL&amp;1#</oddHeader>
        <oddFooter>&amp;L&amp;1#&amp;"Calibri"&amp;10&amp;K000000OFFICIAL</oddFooter>
      </headerFooter>
    </customSheetView>
    <customSheetView guid="{351EFD38-BF62-4E34-A37F-0EEB3E165043}" hiddenRows="1" state="hidden" topLeftCell="A2">
      <pane ySplit="4" topLeftCell="A27" activePane="bottomLeft" state="frozen"/>
      <selection pane="bottomLeft" activeCell="AJ34" sqref="AJ34"/>
      <pageMargins left="0.7" right="0.7" top="0.75" bottom="0.75" header="0.3" footer="0.3"/>
      <pageSetup paperSize="9" orientation="portrait" r:id="rId33"/>
      <headerFooter>
        <oddHeader>&amp;L&amp;"Calibri"&amp;10&amp;K000000OFFICIAL&amp;1#</oddHeader>
        <oddFooter>&amp;L&amp;1#&amp;"Calibri"&amp;10&amp;K000000OFFICIAL</oddFooter>
      </headerFooter>
    </customSheetView>
    <customSheetView guid="{593284E7-E32C-4D6C-8C2F-3DEEF9DEE1DF}" hiddenRows="1" state="hidden" topLeftCell="A2">
      <pane ySplit="4" topLeftCell="A27" activePane="bottomLeft" state="frozen"/>
      <selection pane="bottomLeft" activeCell="AJ34" sqref="AJ34"/>
      <pageMargins left="0.7" right="0.7" top="0.75" bottom="0.75" header="0.3" footer="0.3"/>
      <pageSetup paperSize="9" orientation="portrait" r:id="rId34"/>
      <headerFooter>
        <oddHeader>&amp;L&amp;"Calibri"&amp;10&amp;K000000OFFICIAL&amp;1#</oddHeader>
        <oddFooter>&amp;L&amp;1#&amp;"Calibri"&amp;10&amp;K000000OFFICIAL</oddFooter>
      </headerFooter>
    </customSheetView>
    <customSheetView guid="{E06B4FE8-6127-47B2-A6A5-4FAC9EEB4538}" hiddenRows="1" state="hidden" topLeftCell="A2">
      <pane ySplit="4.583333333333333" topLeftCell="A27" activePane="bottomLeft" state="frozen"/>
      <selection pane="bottomLeft" activeCell="AJ34" sqref="AJ34"/>
      <pageMargins left="0.7" right="0.7" top="0.75" bottom="0.75" header="0.3" footer="0.3"/>
      <pageSetup paperSize="9" orientation="portrait" r:id="rId35"/>
      <headerFooter>
        <oddHeader>&amp;L&amp;"Calibri"&amp;10&amp;K000000OFFICIAL&amp;1#</oddHeader>
        <oddFooter>&amp;L&amp;1#&amp;"Calibri"&amp;10&amp;K000000OFFICIAL</oddFooter>
      </headerFooter>
    </customSheetView>
    <customSheetView guid="{51B3083F-A103-41AB-A137-63549C54B838}" hiddenRows="1" state="hidden" topLeftCell="A2">
      <pane ySplit="4" topLeftCell="A27" activePane="bottomLeft" state="frozen"/>
      <selection pane="bottomLeft" activeCell="AJ34" sqref="AJ34"/>
      <pageMargins left="0.7" right="0.7" top="0.75" bottom="0.75" header="0.3" footer="0.3"/>
      <pageSetup paperSize="9" orientation="portrait" r:id="rId36"/>
      <headerFooter>
        <oddHeader>&amp;L&amp;"Calibri"&amp;10&amp;K000000OFFICIAL&amp;1#</oddHeader>
        <oddFooter>&amp;L&amp;1#&amp;"Calibri"&amp;10&amp;K000000OFFICIAL</oddFooter>
      </headerFooter>
    </customSheetView>
    <customSheetView guid="{8CB67476-3FD4-42E0-ACD6-62ACA9412843}" hiddenRows="1" state="hidden" topLeftCell="A2">
      <pane ySplit="4" topLeftCell="A27" activePane="bottomLeft" state="frozen"/>
      <selection pane="bottomLeft" activeCell="AJ34" sqref="AJ34"/>
      <pageMargins left="0.7" right="0.7" top="0.75" bottom="0.75" header="0.3" footer="0.3"/>
      <pageSetup paperSize="9" orientation="portrait" r:id="rId37"/>
      <headerFooter>
        <oddHeader>&amp;L&amp;"Calibri"&amp;10&amp;K000000OFFICIAL&amp;1#</oddHeader>
        <oddFooter>&amp;L&amp;1#&amp;"Calibri"&amp;10&amp;K000000OFFICIAL</oddFooter>
      </headerFooter>
    </customSheetView>
    <customSheetView guid="{151EB58C-4EFD-4330-8D1A-8AACF5F7C679}" hiddenRows="1" state="hidden" topLeftCell="A2">
      <pane ySplit="4" topLeftCell="A27" activePane="bottomLeft" state="frozen"/>
      <selection pane="bottomLeft" activeCell="AJ34" sqref="AJ34"/>
      <pageMargins left="0.7" right="0.7" top="0.75" bottom="0.75" header="0.3" footer="0.3"/>
      <pageSetup paperSize="9" orientation="portrait" r:id="rId38"/>
      <headerFooter>
        <oddHeader>&amp;L&amp;"Calibri"&amp;10&amp;K000000OFFICIAL&amp;1#</oddHeader>
        <oddFooter>&amp;L&amp;1#&amp;"Calibri"&amp;10&amp;K000000OFFICIAL</oddFooter>
      </headerFooter>
    </customSheetView>
    <customSheetView guid="{8263C9D2-452D-46FA-AFA0-452B42DC0298}" hiddenRows="1" state="hidden" topLeftCell="A2">
      <pane ySplit="4" topLeftCell="A27" activePane="bottomLeft" state="frozen"/>
      <selection pane="bottomLeft" activeCell="AJ34" sqref="AJ34"/>
      <pageMargins left="0.7" right="0.7" top="0.75" bottom="0.75" header="0.3" footer="0.3"/>
      <pageSetup paperSize="9" orientation="portrait" r:id="rId39"/>
      <headerFooter>
        <oddHeader>&amp;L&amp;"Calibri"&amp;10&amp;K000000OFFICIAL&amp;1#</oddHeader>
        <oddFooter>&amp;L&amp;1#&amp;"Calibri"&amp;10&amp;K000000OFFICIAL</oddFooter>
      </headerFooter>
    </customSheetView>
    <customSheetView guid="{DF265C7B-1EEB-47EB-982A-6938E81F7AC2}" hiddenRows="1" state="hidden" topLeftCell="A2">
      <pane ySplit="4" topLeftCell="A27" activePane="bottomLeft" state="frozen"/>
      <selection pane="bottomLeft" activeCell="AJ34" sqref="AJ34"/>
      <pageMargins left="0.7" right="0.7" top="0.75" bottom="0.75" header="0.3" footer="0.3"/>
      <pageSetup paperSize="9" orientation="portrait" r:id="rId40"/>
      <headerFooter>
        <oddHeader>&amp;L&amp;"Calibri"&amp;10&amp;K000000OFFICIAL&amp;1#</oddHeader>
        <oddFooter>&amp;L&amp;1#&amp;"Calibri"&amp;10&amp;K000000OFFICIAL</oddFooter>
      </headerFooter>
    </customSheetView>
    <customSheetView guid="{9F91FBC4-6A13-42C2-A2D9-42A2AC814E28}" hiddenRows="1" state="hidden" topLeftCell="A2">
      <pane ySplit="4" topLeftCell="A27" activePane="bottomLeft" state="frozen"/>
      <selection pane="bottomLeft" activeCell="AJ34" sqref="AJ34"/>
      <pageMargins left="0.7" right="0.7" top="0.75" bottom="0.75" header="0.3" footer="0.3"/>
      <pageSetup paperSize="9" orientation="portrait" r:id="rId41"/>
      <headerFooter>
        <oddHeader>&amp;L&amp;"Calibri"&amp;10&amp;K000000OFFICIAL&amp;1#</oddHeader>
        <oddFooter>&amp;L&amp;1#&amp;"Calibri"&amp;10&amp;K000000OFFICIAL</oddFooter>
      </headerFooter>
    </customSheetView>
    <customSheetView guid="{F4A6298C-1A75-4FA9-A6A4-2BE13CCFE545}" hiddenRows="1" state="hidden" topLeftCell="A2">
      <pane ySplit="4" topLeftCell="A27" activePane="bottomLeft" state="frozen"/>
      <selection pane="bottomLeft" activeCell="AJ34" sqref="AJ34"/>
      <pageMargins left="0.7" right="0.7" top="0.75" bottom="0.75" header="0.3" footer="0.3"/>
      <pageSetup paperSize="9" orientation="portrait" r:id="rId42"/>
      <headerFooter>
        <oddHeader>&amp;L&amp;"Calibri"&amp;10&amp;K000000OFFICIAL&amp;1#</oddHeader>
        <oddFooter>&amp;L&amp;1#&amp;"Calibri"&amp;10&amp;K000000OFFICIAL</oddFooter>
      </headerFooter>
    </customSheetView>
    <customSheetView guid="{29AC9BE3-332A-4738-949C-1F8C0D32BAEE}" hiddenRows="1" state="hidden" topLeftCell="A2">
      <pane ySplit="4" topLeftCell="A27" activePane="bottomLeft" state="frozen"/>
      <selection pane="bottomLeft" activeCell="AJ34" sqref="AJ34"/>
      <pageMargins left="0.7" right="0.7" top="0.75" bottom="0.75" header="0.3" footer="0.3"/>
      <pageSetup paperSize="9" orientation="portrait" r:id="rId43"/>
      <headerFooter>
        <oddHeader>&amp;L&amp;"Calibri"&amp;10&amp;K000000OFFICIAL&amp;1#</oddHeader>
        <oddFooter>&amp;L&amp;1#&amp;"Calibri"&amp;10&amp;K000000OFFICIAL</oddFooter>
      </headerFooter>
    </customSheetView>
    <customSheetView guid="{75EE3B92-AF4D-4E93-A70E-6ADE60CC674F}" hiddenRows="1" state="hidden" topLeftCell="A2">
      <pane ySplit="3.25" topLeftCell="A27" activePane="bottomLeft" state="frozen"/>
      <selection pane="bottomLeft" activeCell="AJ34" sqref="AJ34"/>
      <pageMargins left="0.7" right="0.7" top="0.75" bottom="0.75" header="0.3" footer="0.3"/>
      <pageSetup paperSize="9" orientation="portrait" r:id="rId44"/>
      <headerFooter>
        <oddHeader>&amp;L&amp;"Calibri"&amp;10&amp;K000000OFFICIAL&amp;1#</oddHeader>
        <oddFooter>&amp;L&amp;1#&amp;"Calibri"&amp;10&amp;K000000OFFICIAL</oddFooter>
      </headerFooter>
    </customSheetView>
    <customSheetView guid="{CA7E8063-5145-49E1-8E00-2E1025705A81}" hiddenRows="1" state="hidden" topLeftCell="A2">
      <pane ySplit="4" topLeftCell="A27" activePane="bottomLeft" state="frozen"/>
      <selection pane="bottomLeft" activeCell="AJ34" sqref="AJ34"/>
      <pageMargins left="0.7" right="0.7" top="0.75" bottom="0.75" header="0.3" footer="0.3"/>
      <pageSetup paperSize="9" orientation="portrait" r:id="rId45"/>
      <headerFooter>
        <oddHeader>&amp;L&amp;"Calibri"&amp;10&amp;K000000OFFICIAL&amp;1#</oddHeader>
        <oddFooter>&amp;L&amp;1#&amp;"Calibri"&amp;10&amp;K000000OFFICIAL</oddFooter>
      </headerFooter>
    </customSheetView>
    <customSheetView guid="{51DFD3D6-BC25-47B4-B28F-D640534DB3A9}" hiddenRows="1" state="hidden" topLeftCell="A2">
      <pane ySplit="4" topLeftCell="A27" activePane="bottomLeft" state="frozen"/>
      <selection pane="bottomLeft" activeCell="AJ34" sqref="AJ34"/>
      <pageMargins left="0.7" right="0.7" top="0.75" bottom="0.75" header="0.3" footer="0.3"/>
      <pageSetup paperSize="9" orientation="portrait" r:id="rId46"/>
      <headerFooter>
        <oddHeader>&amp;L&amp;"Calibri"&amp;10&amp;K000000OFFICIAL&amp;1#</oddHeader>
        <oddFooter>&amp;L&amp;1#&amp;"Calibri"&amp;10&amp;K000000OFFICIAL</oddFooter>
      </headerFooter>
    </customSheetView>
    <customSheetView guid="{37F5A0AB-EB39-4832-9D67-F67D908BF486}" hiddenRows="1" state="hidden" topLeftCell="A2">
      <pane ySplit="4" topLeftCell="A27" activePane="bottomLeft" state="frozen"/>
      <selection pane="bottomLeft" activeCell="AJ34" sqref="AJ34"/>
      <pageMargins left="0.7" right="0.7" top="0.75" bottom="0.75" header="0.3" footer="0.3"/>
      <pageSetup paperSize="9" orientation="portrait" r:id="rId47"/>
      <headerFooter>
        <oddHeader>&amp;L&amp;"Calibri"&amp;10&amp;K000000OFFICIAL&amp;1#</oddHeader>
        <oddFooter>&amp;L&amp;1#&amp;"Calibri"&amp;10&amp;K000000OFFICIAL</oddFooter>
      </headerFooter>
    </customSheetView>
    <customSheetView guid="{70582C04-BB53-4A99-A3C1-673011D9AE1C}" hiddenRows="1" state="hidden" topLeftCell="A2">
      <pane ySplit="4" topLeftCell="A27" activePane="bottomLeft" state="frozen"/>
      <selection pane="bottomLeft" activeCell="AJ34" sqref="AJ34"/>
      <pageMargins left="0.7" right="0.7" top="0.75" bottom="0.75" header="0.3" footer="0.3"/>
      <pageSetup paperSize="9" orientation="portrait" r:id="rId48"/>
      <headerFooter>
        <oddHeader>&amp;L&amp;"Calibri"&amp;10&amp;K000000OFFICIAL&amp;1#</oddHeader>
        <oddFooter>&amp;L&amp;1#&amp;"Calibri"&amp;10&amp;K000000OFFICIAL</oddFooter>
      </headerFooter>
    </customSheetView>
    <customSheetView guid="{442F9A23-CA6E-4109-B10C-ACF5FD36B859}" hiddenRows="1" state="hidden" topLeftCell="A2">
      <pane ySplit="4" topLeftCell="A27" activePane="bottomLeft" state="frozen"/>
      <selection pane="bottomLeft" activeCell="AJ34" sqref="AJ34"/>
      <pageMargins left="0.7" right="0.7" top="0.75" bottom="0.75" header="0.3" footer="0.3"/>
      <pageSetup paperSize="9" orientation="portrait" r:id="rId49"/>
      <headerFooter>
        <oddHeader>&amp;L&amp;"Calibri"&amp;10&amp;K000000OFFICIAL&amp;1#</oddHeader>
        <oddFooter>&amp;L&amp;1#&amp;"Calibri"&amp;10&amp;K000000OFFICIAL</oddFooter>
      </headerFooter>
    </customSheetView>
    <customSheetView guid="{E4713981-DD11-40CE-BE52-873D93BDDE05}" hiddenRows="1" state="hidden" topLeftCell="A2">
      <pane ySplit="4" topLeftCell="A27" activePane="bottomLeft" state="frozen"/>
      <selection pane="bottomLeft" activeCell="AJ34" sqref="AJ34"/>
      <pageMargins left="0.7" right="0.7" top="0.75" bottom="0.75" header="0.3" footer="0.3"/>
      <pageSetup paperSize="9" orientation="portrait" r:id="rId50"/>
      <headerFooter>
        <oddHeader>&amp;L&amp;"Calibri"&amp;10&amp;K000000OFFICIAL&amp;1#</oddHeader>
        <oddFooter>&amp;L&amp;1#&amp;"Calibri"&amp;10&amp;K000000OFFICIAL</oddFooter>
      </headerFooter>
    </customSheetView>
    <customSheetView guid="{83044EFE-7F92-4F81-B034-85D9567158C2}" hiddenRows="1" state="hidden" topLeftCell="A2">
      <pane ySplit="4" topLeftCell="A27" activePane="bottomLeft" state="frozen"/>
      <selection pane="bottomLeft" activeCell="AJ34" sqref="AJ34"/>
      <pageMargins left="0.7" right="0.7" top="0.75" bottom="0.75" header="0.3" footer="0.3"/>
      <pageSetup paperSize="9" orientation="portrait" r:id="rId51"/>
      <headerFooter>
        <oddHeader>&amp;L&amp;"Calibri"&amp;10&amp;K000000OFFICIAL&amp;1#</oddHeader>
        <oddFooter>&amp;L&amp;1#&amp;"Calibri"&amp;10&amp;K000000OFFICIAL</oddFooter>
      </headerFooter>
    </customSheetView>
    <customSheetView guid="{E3A3AE56-8881-4A6F-9299-803C489AD1B4}" hiddenRows="1" state="hidden" topLeftCell="A2">
      <pane ySplit="4" topLeftCell="A27" activePane="bottomLeft" state="frozen"/>
      <selection pane="bottomLeft" activeCell="AJ34" sqref="AJ34"/>
      <pageMargins left="0.7" right="0.7" top="0.75" bottom="0.75" header="0.3" footer="0.3"/>
      <pageSetup paperSize="9" orientation="portrait" r:id="rId52"/>
      <headerFooter>
        <oddHeader>&amp;L&amp;"Calibri"&amp;10&amp;K000000OFFICIAL&amp;1#</oddHeader>
        <oddFooter>&amp;L&amp;1#&amp;"Calibri"&amp;10&amp;K000000OFFICIAL</oddFooter>
      </headerFooter>
    </customSheetView>
    <customSheetView guid="{FBC63E8F-69FE-4648-B709-FA1212EFFB29}" hiddenRows="1" state="hidden" topLeftCell="A2">
      <pane ySplit="4" topLeftCell="A27" activePane="bottomLeft" state="frozen"/>
      <selection pane="bottomLeft" activeCell="AJ34" sqref="AJ34"/>
      <pageMargins left="0.7" right="0.7" top="0.75" bottom="0.75" header="0.3" footer="0.3"/>
      <pageSetup paperSize="9" orientation="portrait" r:id="rId53"/>
      <headerFooter>
        <oddHeader>&amp;L&amp;"Calibri"&amp;10&amp;K000000OFFICIAL&amp;1#</oddHeader>
        <oddFooter>&amp;L&amp;1#&amp;"Calibri"&amp;10&amp;K000000OFFICIAL</oddFooter>
      </headerFooter>
    </customSheetView>
    <customSheetView guid="{0EDA65D2-43FB-421C-9D8C-D8082C64B09A}" hiddenRows="1" state="hidden" topLeftCell="A2">
      <pane ySplit="4" topLeftCell="A27" activePane="bottomLeft" state="frozen"/>
      <selection pane="bottomLeft" activeCell="AJ34" sqref="AJ34"/>
      <pageMargins left="0.7" right="0.7" top="0.75" bottom="0.75" header="0.3" footer="0.3"/>
      <pageSetup paperSize="9" orientation="portrait" r:id="rId54"/>
      <headerFooter>
        <oddHeader>&amp;L&amp;"Calibri"&amp;10&amp;K000000OFFICIAL&amp;1#</oddHeader>
        <oddFooter>&amp;L&amp;1#&amp;"Calibri"&amp;10&amp;K000000OFFICIAL</oddFooter>
      </headerFooter>
    </customSheetView>
    <customSheetView guid="{B434A8A8-5A4C-48C0-82E7-2458B9D2EEEF}" hiddenRows="1" state="hidden" topLeftCell="A2">
      <pane ySplit="4" topLeftCell="A27" activePane="bottomLeft" state="frozen"/>
      <selection pane="bottomLeft" activeCell="AJ34" sqref="AJ34"/>
      <pageMargins left="0.7" right="0.7" top="0.75" bottom="0.75" header="0.3" footer="0.3"/>
      <pageSetup paperSize="9" orientation="portrait" r:id="rId55"/>
      <headerFooter>
        <oddHeader>&amp;L&amp;"Calibri"&amp;10&amp;K000000OFFICIAL&amp;1#</oddHeader>
        <oddFooter>&amp;L&amp;1#&amp;"Calibri"&amp;10&amp;K000000OFFICIAL</oddFooter>
      </headerFooter>
    </customSheetView>
    <customSheetView guid="{EDD5A64E-02C0-4DD6-80BA-449123FCDAA2}" hiddenRows="1" state="hidden" topLeftCell="A2">
      <pane ySplit="4" topLeftCell="A27" activePane="bottomLeft" state="frozen"/>
      <selection pane="bottomLeft" activeCell="AJ34" sqref="AJ34"/>
      <pageMargins left="0.7" right="0.7" top="0.75" bottom="0.75" header="0.3" footer="0.3"/>
      <pageSetup paperSize="9" orientation="portrait" r:id="rId56"/>
      <headerFooter>
        <oddHeader>&amp;L&amp;"Calibri"&amp;10&amp;K000000OFFICIAL&amp;1#</oddHeader>
        <oddFooter>&amp;L&amp;1#&amp;"Calibri"&amp;10&amp;K000000OFFICIAL</oddFooter>
      </headerFooter>
    </customSheetView>
    <customSheetView guid="{97D58294-343B-4B62-A826-0DDDE29B5F0D}" hiddenRows="1" state="hidden" topLeftCell="A2">
      <pane ySplit="4" topLeftCell="A27" activePane="bottomLeft" state="frozen"/>
      <selection pane="bottomLeft" activeCell="AJ34" sqref="AJ34"/>
      <pageMargins left="0.7" right="0.7" top="0.75" bottom="0.75" header="0.3" footer="0.3"/>
      <pageSetup paperSize="9" orientation="portrait" r:id="rId57"/>
      <headerFooter>
        <oddHeader>&amp;L&amp;"Calibri"&amp;10&amp;K000000OFFICIAL&amp;1#</oddHeader>
        <oddFooter>&amp;L&amp;1#&amp;"Calibri"&amp;10&amp;K000000OFFICIAL</oddFooter>
      </headerFooter>
    </customSheetView>
    <customSheetView guid="{800416AC-1374-44AC-811C-612C85EF24E6}" hiddenRows="1" state="hidden" topLeftCell="A2">
      <pane ySplit="4" topLeftCell="A27" activePane="bottomLeft" state="frozen"/>
      <selection pane="bottomLeft" activeCell="AJ34" sqref="AJ34"/>
      <pageMargins left="0.7" right="0.7" top="0.75" bottom="0.75" header="0.3" footer="0.3"/>
      <pageSetup paperSize="9" orientation="portrait" r:id="rId58"/>
      <headerFooter>
        <oddHeader>&amp;L&amp;"Calibri"&amp;10&amp;K000000OFFICIAL&amp;1#</oddHeader>
        <oddFooter>&amp;L&amp;1#&amp;"Calibri"&amp;10&amp;K000000OFFICIAL</oddFooter>
      </headerFooter>
    </customSheetView>
    <customSheetView guid="{2EA8DBF7-9763-457C-AA9F-1EEB2F136D1F}" hiddenRows="1" state="hidden" topLeftCell="A2">
      <pane ySplit="4" topLeftCell="A27" activePane="bottomLeft" state="frozen"/>
      <selection pane="bottomLeft" activeCell="AJ34" sqref="AJ34"/>
      <pageMargins left="0.7" right="0.7" top="0.75" bottom="0.75" header="0.3" footer="0.3"/>
      <pageSetup paperSize="9" orientation="portrait" r:id="rId59"/>
      <headerFooter>
        <oddHeader>&amp;L&amp;"Calibri"&amp;10&amp;K000000OFFICIAL&amp;1#</oddHeader>
        <oddFooter>&amp;L&amp;1#&amp;"Calibri"&amp;10&amp;K000000OFFICIAL</oddFooter>
      </headerFooter>
    </customSheetView>
    <customSheetView guid="{78AA4A71-CE17-4C4D-849E-E3E1A44EA907}" hiddenRows="1" state="hidden" topLeftCell="A2">
      <pane ySplit="4" topLeftCell="A27" activePane="bottomLeft" state="frozen"/>
      <selection pane="bottomLeft" activeCell="AJ34" sqref="AJ34"/>
      <pageMargins left="0.7" right="0.7" top="0.75" bottom="0.75" header="0.3" footer="0.3"/>
      <pageSetup paperSize="9" orientation="portrait" r:id="rId60"/>
      <headerFooter>
        <oddHeader>&amp;L&amp;"Calibri"&amp;10&amp;K000000OFFICIAL&amp;1#</oddHeader>
        <oddFooter>&amp;L&amp;1#&amp;"Calibri"&amp;10&amp;K000000OFFICIAL</oddFooter>
      </headerFooter>
    </customSheetView>
    <customSheetView guid="{C7C13768-4A8D-4CBA-978C-F4A7B5550C00}" hiddenRows="1" state="hidden" topLeftCell="A2">
      <pane ySplit="4" topLeftCell="A27" activePane="bottomLeft" state="frozen"/>
      <selection pane="bottomLeft" activeCell="AJ34" sqref="AJ34"/>
      <pageMargins left="0.7" right="0.7" top="0.75" bottom="0.75" header="0.3" footer="0.3"/>
      <pageSetup paperSize="9" orientation="portrait" r:id="rId61"/>
      <headerFooter>
        <oddHeader>&amp;L&amp;"Calibri"&amp;10&amp;K000000OFFICIAL&amp;1#</oddHeader>
        <oddFooter>&amp;L&amp;1#&amp;"Calibri"&amp;10&amp;K000000OFFICIAL</oddFooter>
      </headerFooter>
    </customSheetView>
    <customSheetView guid="{D59DDBAA-620D-43B7-A6D9-759808D3397A}" hiddenRows="1" state="hidden" topLeftCell="A2">
      <pane ySplit="4" topLeftCell="A27" activePane="bottomLeft" state="frozen"/>
      <selection pane="bottomLeft" activeCell="AJ34" sqref="AJ34"/>
      <pageMargins left="0.7" right="0.7" top="0.75" bottom="0.75" header="0.3" footer="0.3"/>
      <pageSetup paperSize="9" orientation="portrait" r:id="rId62"/>
      <headerFooter>
        <oddHeader>&amp;L&amp;"Calibri"&amp;10&amp;K000000OFFICIAL&amp;1#</oddHeader>
        <oddFooter>&amp;L&amp;1#&amp;"Calibri"&amp;10&amp;K000000OFFICIAL</oddFooter>
      </headerFooter>
    </customSheetView>
  </customSheetViews>
  <mergeCells count="7">
    <mergeCell ref="A2:A5"/>
    <mergeCell ref="B2:B5"/>
    <mergeCell ref="D2:H2"/>
    <mergeCell ref="J4:J5"/>
    <mergeCell ref="K4:K5"/>
    <mergeCell ref="D3:D5"/>
    <mergeCell ref="F3:H3"/>
  </mergeCells>
  <pageMargins left="0.7" right="0.7" top="0.75" bottom="0.75" header="0.3" footer="0.3"/>
  <pageSetup paperSize="9" orientation="portrait" r:id="rId63"/>
  <headerFooter>
    <oddHeader>&amp;L&amp;"Calibri"&amp;10&amp;K000000OFFICIAL&amp;1#</oddHeader>
    <oddFooter>&amp;L&amp;1#&amp;"Calibri"&amp;10&amp;K000000OFFICIAL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E00641-4A3D-44DE-974E-90702840E915}">
  <sheetPr codeName="Sheet2">
    <pageSetUpPr fitToPage="1"/>
  </sheetPr>
  <dimension ref="A2:A50"/>
  <sheetViews>
    <sheetView zoomScale="90" zoomScaleNormal="90" workbookViewId="0">
      <selection activeCell="C12" sqref="C12"/>
    </sheetView>
  </sheetViews>
  <sheetFormatPr defaultColWidth="8.54296875" defaultRowHeight="12.5" x14ac:dyDescent="0.25"/>
  <cols>
    <col min="1" max="6" width="27.54296875" style="9" customWidth="1"/>
    <col min="7" max="16384" width="8.54296875" style="9"/>
  </cols>
  <sheetData>
    <row r="2" spans="1:1" ht="13" x14ac:dyDescent="0.25">
      <c r="A2" s="10" t="s">
        <v>157</v>
      </c>
    </row>
    <row r="3" spans="1:1" x14ac:dyDescent="0.25">
      <c r="A3" s="60" t="s">
        <v>158</v>
      </c>
    </row>
    <row r="4" spans="1:1" x14ac:dyDescent="0.25">
      <c r="A4" s="60" t="s">
        <v>159</v>
      </c>
    </row>
    <row r="5" spans="1:1" ht="13" x14ac:dyDescent="0.25">
      <c r="A5" s="11" t="s">
        <v>23</v>
      </c>
    </row>
    <row r="6" spans="1:1" ht="13" x14ac:dyDescent="0.25">
      <c r="A6" s="11" t="s">
        <v>24</v>
      </c>
    </row>
    <row r="7" spans="1:1" ht="13" x14ac:dyDescent="0.25">
      <c r="A7" s="11" t="s">
        <v>25</v>
      </c>
    </row>
    <row r="8" spans="1:1" x14ac:dyDescent="0.25">
      <c r="A8" s="9" t="s">
        <v>56</v>
      </c>
    </row>
    <row r="10" spans="1:1" ht="13" x14ac:dyDescent="0.25">
      <c r="A10" s="10" t="s">
        <v>68</v>
      </c>
    </row>
    <row r="11" spans="1:1" ht="13" x14ac:dyDescent="0.25">
      <c r="A11" s="11" t="s">
        <v>23</v>
      </c>
    </row>
    <row r="12" spans="1:1" ht="13" x14ac:dyDescent="0.25">
      <c r="A12" s="11" t="s">
        <v>24</v>
      </c>
    </row>
    <row r="13" spans="1:1" ht="13" x14ac:dyDescent="0.25">
      <c r="A13" s="11" t="s">
        <v>25</v>
      </c>
    </row>
    <row r="14" spans="1:1" x14ac:dyDescent="0.25">
      <c r="A14" s="9" t="s">
        <v>60</v>
      </c>
    </row>
    <row r="15" spans="1:1" x14ac:dyDescent="0.25">
      <c r="A15" s="9" t="s">
        <v>57</v>
      </c>
    </row>
    <row r="17" spans="1:1" ht="13" x14ac:dyDescent="0.25">
      <c r="A17" s="10" t="s">
        <v>26</v>
      </c>
    </row>
    <row r="18" spans="1:1" x14ac:dyDescent="0.25">
      <c r="A18" s="11" t="s">
        <v>27</v>
      </c>
    </row>
    <row r="19" spans="1:1" x14ac:dyDescent="0.25">
      <c r="A19" s="11" t="s">
        <v>28</v>
      </c>
    </row>
    <row r="20" spans="1:1" x14ac:dyDescent="0.25">
      <c r="A20" s="11" t="s">
        <v>29</v>
      </c>
    </row>
    <row r="21" spans="1:1" x14ac:dyDescent="0.25">
      <c r="A21" s="11"/>
    </row>
    <row r="22" spans="1:1" ht="13" x14ac:dyDescent="0.25">
      <c r="A22" s="10" t="s">
        <v>30</v>
      </c>
    </row>
    <row r="23" spans="1:1" x14ac:dyDescent="0.25">
      <c r="A23" s="11" t="s">
        <v>58</v>
      </c>
    </row>
    <row r="24" spans="1:1" x14ac:dyDescent="0.25">
      <c r="A24" s="11" t="s">
        <v>59</v>
      </c>
    </row>
    <row r="26" spans="1:1" ht="13" x14ac:dyDescent="0.25">
      <c r="A26" s="10" t="s">
        <v>31</v>
      </c>
    </row>
    <row r="27" spans="1:1" x14ac:dyDescent="0.25">
      <c r="A27" s="11" t="s">
        <v>32</v>
      </c>
    </row>
    <row r="28" spans="1:1" x14ac:dyDescent="0.25">
      <c r="A28" s="11"/>
    </row>
    <row r="29" spans="1:1" ht="13" x14ac:dyDescent="0.25">
      <c r="A29" s="10" t="s">
        <v>33</v>
      </c>
    </row>
    <row r="30" spans="1:1" x14ac:dyDescent="0.25">
      <c r="A30" s="11" t="s">
        <v>34</v>
      </c>
    </row>
    <row r="31" spans="1:1" x14ac:dyDescent="0.25">
      <c r="A31" s="12" t="s">
        <v>35</v>
      </c>
    </row>
    <row r="32" spans="1:1" x14ac:dyDescent="0.25">
      <c r="A32" s="12" t="s">
        <v>36</v>
      </c>
    </row>
    <row r="33" spans="1:1" x14ac:dyDescent="0.25">
      <c r="A33" s="11" t="s">
        <v>37</v>
      </c>
    </row>
    <row r="34" spans="1:1" x14ac:dyDescent="0.25">
      <c r="A34" s="12" t="s">
        <v>38</v>
      </c>
    </row>
    <row r="35" spans="1:1" x14ac:dyDescent="0.25">
      <c r="A35" s="12" t="s">
        <v>39</v>
      </c>
    </row>
    <row r="36" spans="1:1" x14ac:dyDescent="0.25">
      <c r="A36" s="12"/>
    </row>
    <row r="37" spans="1:1" ht="13" x14ac:dyDescent="0.25">
      <c r="A37" s="10" t="s">
        <v>40</v>
      </c>
    </row>
    <row r="38" spans="1:1" x14ac:dyDescent="0.25">
      <c r="A38" s="11" t="s">
        <v>41</v>
      </c>
    </row>
    <row r="39" spans="1:1" ht="13" x14ac:dyDescent="0.25">
      <c r="A39" s="11" t="s">
        <v>138</v>
      </c>
    </row>
    <row r="40" spans="1:1" ht="13" x14ac:dyDescent="0.25">
      <c r="A40" s="11" t="s">
        <v>139</v>
      </c>
    </row>
    <row r="42" spans="1:1" ht="13" x14ac:dyDescent="0.25">
      <c r="A42" s="10" t="s">
        <v>42</v>
      </c>
    </row>
    <row r="43" spans="1:1" ht="13" x14ac:dyDescent="0.25">
      <c r="A43" s="11" t="s">
        <v>43</v>
      </c>
    </row>
    <row r="44" spans="1:1" ht="13" x14ac:dyDescent="0.25">
      <c r="A44" s="11" t="s">
        <v>44</v>
      </c>
    </row>
    <row r="45" spans="1:1" ht="13" x14ac:dyDescent="0.25">
      <c r="A45" s="11" t="s">
        <v>45</v>
      </c>
    </row>
    <row r="47" spans="1:1" ht="13" x14ac:dyDescent="0.25">
      <c r="A47" s="10" t="s">
        <v>46</v>
      </c>
    </row>
    <row r="48" spans="1:1" ht="13" x14ac:dyDescent="0.25">
      <c r="A48" s="11" t="s">
        <v>43</v>
      </c>
    </row>
    <row r="49" spans="1:1" ht="13" x14ac:dyDescent="0.25">
      <c r="A49" s="11" t="s">
        <v>44</v>
      </c>
    </row>
    <row r="50" spans="1:1" ht="13" x14ac:dyDescent="0.25">
      <c r="A50" s="11" t="s">
        <v>45</v>
      </c>
    </row>
  </sheetData>
  <sheetProtection algorithmName="SHA-512" hashValue="u4YiLaWBeRziDSa+2wfUcFJxJA7jf0jsGl5DKS0OApt/mNejYKG+JGJyTJJsysfYCh0hvebY8QYAr/9dLGMjNg==" saltValue="Z2EyDeMlCOuIYGWtuZVlPQ==" spinCount="100000" sheet="1" objects="1" scenarios="1"/>
  <customSheetViews>
    <customSheetView guid="{7E571F1D-D438-4605-90D6-3F831F76D652}" scale="90" fitToPage="1">
      <selection activeCell="C12" sqref="C12"/>
      <pageMargins left="0.70866141732283472" right="0.70866141732283472" top="0.74803149606299213" bottom="0.74803149606299213" header="0.31496062992125984" footer="0.31496062992125984"/>
      <pageSetup paperSize="9" scale="46" orientation="landscape" r:id="rId1"/>
    </customSheetView>
    <customSheetView guid="{466708C2-41CE-4656-AB81-E1E49DF5945D}" scale="90" fitToPage="1">
      <selection activeCell="C12" sqref="C12"/>
      <pageMargins left="0.70866141732283472" right="0.70866141732283472" top="0.74803149606299213" bottom="0.74803149606299213" header="0.31496062992125984" footer="0.31496062992125984"/>
      <pageSetup paperSize="9" scale="46" orientation="landscape" r:id="rId2"/>
    </customSheetView>
    <customSheetView guid="{B84DA703-8C5B-4100-91A4-8807E303D379}" scale="90" fitToPage="1">
      <selection activeCell="C12" sqref="C12"/>
      <pageMargins left="0.70866141732283472" right="0.70866141732283472" top="0.74803149606299213" bottom="0.74803149606299213" header="0.31496062992125984" footer="0.31496062992125984"/>
      <pageSetup paperSize="9" scale="46" orientation="landscape" r:id="rId3"/>
    </customSheetView>
    <customSheetView guid="{527A2BDE-37CE-4B02-9F2C-CD7E7AC81C63}" scale="90" fitToPage="1">
      <selection activeCell="C12" sqref="C12"/>
      <pageMargins left="0.70866141732283472" right="0.70866141732283472" top="0.74803149606299213" bottom="0.74803149606299213" header="0.31496062992125984" footer="0.31496062992125984"/>
      <pageSetup paperSize="9" scale="46" orientation="landscape" r:id="rId4"/>
    </customSheetView>
    <customSheetView guid="{BDCD1595-C0B8-4F6C-B01C-3472C895B827}" scale="90" fitToPage="1">
      <selection activeCell="C12" sqref="C12"/>
      <pageMargins left="0.70866141732283472" right="0.70866141732283472" top="0.74803149606299213" bottom="0.74803149606299213" header="0.31496062992125984" footer="0.31496062992125984"/>
      <pageSetup paperSize="9" scale="46" orientation="landscape" r:id="rId5"/>
    </customSheetView>
    <customSheetView guid="{C57A83F1-F5A3-470B-9579-6A222C54F4E8}" scale="90" fitToPage="1">
      <selection activeCell="C12" sqref="C12"/>
      <pageMargins left="0.70866141732283472" right="0.70866141732283472" top="0.74803149606299213" bottom="0.74803149606299213" header="0.31496062992125984" footer="0.31496062992125984"/>
      <pageSetup paperSize="9" scale="46" orientation="landscape" r:id="rId6"/>
    </customSheetView>
    <customSheetView guid="{3827E543-57D2-48C8-B786-7077EA079DD2}" scale="90" fitToPage="1">
      <selection activeCell="C12" sqref="C12"/>
      <pageMargins left="0.70866141732283472" right="0.70866141732283472" top="0.74803149606299213" bottom="0.74803149606299213" header="0.31496062992125984" footer="0.31496062992125984"/>
      <pageSetup paperSize="9" scale="46" orientation="landscape" r:id="rId7"/>
    </customSheetView>
    <customSheetView guid="{F5FA2A23-9E46-4C2F-B1EE-B71787F95C57}" scale="90" fitToPage="1">
      <selection activeCell="A13" sqref="A13"/>
      <pageMargins left="0.70866141732283472" right="0.70866141732283472" top="0.74803149606299213" bottom="0.74803149606299213" header="0.31496062992125984" footer="0.31496062992125984"/>
      <pageSetup paperSize="9" scale="46" orientation="landscape" r:id="rId8"/>
    </customSheetView>
    <customSheetView guid="{42B0E8B1-ADFA-49AE-A83B-82D384737703}" scale="90" fitToPage="1">
      <selection activeCell="A13" sqref="A13"/>
      <pageMargins left="0.70866141732283472" right="0.70866141732283472" top="0.74803149606299213" bottom="0.74803149606299213" header="0.31496062992125984" footer="0.31496062992125984"/>
      <pageSetup paperSize="9" scale="46" orientation="landscape" r:id="rId9"/>
    </customSheetView>
    <customSheetView guid="{602520CD-F98C-43A6-AA0D-88893E9CB6E8}" scale="90" fitToPage="1">
      <selection activeCell="A11" sqref="A11"/>
      <pageMargins left="0.70866141732283472" right="0.70866141732283472" top="0.74803149606299213" bottom="0.74803149606299213" header="0.31496062992125984" footer="0.31496062992125984"/>
      <pageSetup paperSize="9" scale="46" orientation="landscape" r:id="rId10"/>
    </customSheetView>
    <customSheetView guid="{B8317A9A-0FFD-4A18-80F7-203DB2FC8CA5}" scale="90" fitToPage="1">
      <selection activeCell="A11" sqref="A11"/>
      <pageMargins left="0.70866141732283472" right="0.70866141732283472" top="0.74803149606299213" bottom="0.74803149606299213" header="0.31496062992125984" footer="0.31496062992125984"/>
      <pageSetup paperSize="9" scale="46" orientation="landscape" r:id="rId11"/>
    </customSheetView>
    <customSheetView guid="{2608BE9B-66AC-4D4C-8EE0-E88C94E88140}" scale="90" fitToPage="1">
      <selection activeCell="A11" sqref="A11"/>
      <pageMargins left="0.70866141732283472" right="0.70866141732283472" top="0.74803149606299213" bottom="0.74803149606299213" header="0.31496062992125984" footer="0.31496062992125984"/>
      <pageSetup paperSize="9" scale="46" orientation="landscape" r:id="rId12"/>
    </customSheetView>
    <customSheetView guid="{D850720D-4A1C-48F2-8E1D-8E09B7414A1A}" scale="90" fitToPage="1" topLeftCell="A13">
      <selection activeCell="B26" sqref="B26"/>
      <pageMargins left="0.70866141732283472" right="0.70866141732283472" top="0.74803149606299213" bottom="0.74803149606299213" header="0.31496062992125984" footer="0.31496062992125984"/>
      <pageSetup paperSize="9" scale="46" orientation="landscape" r:id="rId13"/>
    </customSheetView>
    <customSheetView guid="{A8E976B8-D767-4DB4-82BD-ABE90880F33F}" scale="90" fitToPage="1" topLeftCell="A13">
      <selection activeCell="B26" sqref="B26"/>
      <pageMargins left="0.70866141732283472" right="0.70866141732283472" top="0.74803149606299213" bottom="0.74803149606299213" header="0.31496062992125984" footer="0.31496062992125984"/>
      <pageSetup paperSize="9" scale="46" orientation="landscape" r:id="rId14"/>
    </customSheetView>
    <customSheetView guid="{B95D32C7-1418-4EF6-8936-849885C54A4A}" scale="90">
      <selection activeCell="A8" sqref="A8"/>
      <pageMargins left="0.70866141732283472" right="0.70866141732283472" top="0.74803149606299213" bottom="0.74803149606299213" header="0.31496062992125984" footer="0.31496062992125984"/>
      <pageSetup paperSize="9" scale="50" orientation="landscape" r:id="rId15"/>
    </customSheetView>
    <customSheetView guid="{9355C9F4-9C07-4A93-B7F2-69F1D1526716}" scale="90">
      <selection activeCell="A8" sqref="A8"/>
      <pageMargins left="0.70866141732283472" right="0.70866141732283472" top="0.74803149606299213" bottom="0.74803149606299213" header="0.31496062992125984" footer="0.31496062992125984"/>
      <pageSetup paperSize="9" scale="50" orientation="landscape" r:id="rId16"/>
    </customSheetView>
    <customSheetView guid="{1ECD6E30-299B-4354-A416-2DAFF33C7022}" scale="90" topLeftCell="A4">
      <selection activeCell="A18" sqref="A18"/>
      <pageMargins left="0.7" right="0.7" top="0.75" bottom="0.75" header="0.3" footer="0.3"/>
      <pageSetup paperSize="9" orientation="portrait" r:id="rId17"/>
    </customSheetView>
    <customSheetView guid="{9AF6E233-883D-48B4-95AB-42B37199AB9E}" scale="90">
      <selection activeCell="A13" sqref="A13:XFD13"/>
      <pageMargins left="0.7" right="0.7" top="0.75" bottom="0.75" header="0.3" footer="0.3"/>
      <pageSetup paperSize="9" orientation="portrait" r:id="rId18"/>
    </customSheetView>
    <customSheetView guid="{451730E2-FFE9-4FCE-B8B5-64952C26C672}" scale="80">
      <selection activeCell="A12" sqref="A12"/>
      <pageMargins left="0.7" right="0.7" top="0.75" bottom="0.75" header="0.3" footer="0.3"/>
      <pageSetup paperSize="9" orientation="portrait" r:id="rId19"/>
    </customSheetView>
    <customSheetView guid="{4EBEE699-7DEF-4A50-9CB7-490835CF0B98}" scale="80">
      <selection activeCell="A12" sqref="A12"/>
      <pageMargins left="0.7" right="0.7" top="0.75" bottom="0.75" header="0.3" footer="0.3"/>
      <pageSetup paperSize="9" orientation="portrait" r:id="rId20"/>
    </customSheetView>
    <customSheetView guid="{A03C6B09-6B58-4DDE-A3B2-41A27A7049D9}" scale="80">
      <selection activeCell="A12" sqref="A12"/>
      <pageMargins left="0.7" right="0.7" top="0.75" bottom="0.75" header="0.3" footer="0.3"/>
      <pageSetup paperSize="9" orientation="portrait" r:id="rId21"/>
    </customSheetView>
    <customSheetView guid="{3C97F0B0-2F3C-4E03-96E0-0C4FEC2F24AC}" topLeftCell="A32">
      <selection activeCell="D49" sqref="D49"/>
      <pageMargins left="0.7" right="0.7" top="0.75" bottom="0.75" header="0.3" footer="0.3"/>
      <pageSetup paperSize="9" orientation="portrait" r:id="rId22"/>
    </customSheetView>
    <customSheetView guid="{B0A28FD4-D7F6-428C-A7F7-92132DCD74BB}" topLeftCell="A32">
      <selection activeCell="D49" sqref="D49"/>
      <pageMargins left="0.7" right="0.7" top="0.75" bottom="0.75" header="0.3" footer="0.3"/>
      <pageSetup paperSize="9" orientation="portrait" r:id="rId23"/>
    </customSheetView>
    <customSheetView guid="{3BB18945-69B5-4B22-8D55-989F8F233459}" topLeftCell="A32">
      <selection activeCell="D49" sqref="D49"/>
      <pageMargins left="0.7" right="0.7" top="0.75" bottom="0.75" header="0.3" footer="0.3"/>
      <pageSetup paperSize="9" orientation="portrait" r:id="rId24"/>
    </customSheetView>
    <customSheetView guid="{D16D941B-FC89-4FEC-A49B-5FA2532584DE}" topLeftCell="A22">
      <selection activeCell="A44" sqref="A44"/>
      <pageMargins left="0.7" right="0.7" top="0.75" bottom="0.75" header="0.3" footer="0.3"/>
      <pageSetup paperSize="9" orientation="portrait" r:id="rId25"/>
    </customSheetView>
    <customSheetView guid="{C39AE06A-FC0A-4D7D-B287-2FA9CA174191}">
      <selection activeCell="B18" sqref="B18"/>
      <pageMargins left="0.7" right="0.7" top="0.75" bottom="0.75" header="0.3" footer="0.3"/>
      <pageSetup paperSize="9" orientation="portrait" r:id="rId26"/>
    </customSheetView>
    <customSheetView guid="{4E6F9C2D-76F2-4884-BBF6-E02A7BAE11EF}" topLeftCell="A30">
      <selection activeCell="B18" sqref="B18"/>
      <pageMargins left="0.7" right="0.7" top="0.75" bottom="0.75" header="0.3" footer="0.3"/>
      <pageSetup paperSize="9" orientation="portrait" r:id="rId27"/>
    </customSheetView>
    <customSheetView guid="{008CCD98-7480-4C51-806A-4B55C801DDC2}">
      <selection activeCell="B18" sqref="B18"/>
      <pageMargins left="0.7" right="0.7" top="0.75" bottom="0.75" header="0.3" footer="0.3"/>
      <pageSetup paperSize="9" orientation="portrait" r:id="rId28"/>
    </customSheetView>
    <customSheetView guid="{D27C51BB-BB54-4F37-8171-98067C39697C}">
      <selection activeCell="A47" sqref="A47"/>
      <pageMargins left="0.7" right="0.7" top="0.75" bottom="0.75" header="0.3" footer="0.3"/>
      <pageSetup paperSize="9" orientation="portrait" r:id="rId29"/>
    </customSheetView>
    <customSheetView guid="{6702457D-A9A8-4F46-8E1C-BC7255F4BA77}">
      <selection activeCell="B18" sqref="B18"/>
      <pageMargins left="0.7" right="0.7" top="0.75" bottom="0.75" header="0.3" footer="0.3"/>
      <pageSetup paperSize="9" orientation="portrait" r:id="rId30"/>
    </customSheetView>
    <customSheetView guid="{016CEBB2-C827-48F4-95E1-85D8C5129F41}">
      <selection activeCell="B18" sqref="B18"/>
      <pageMargins left="0.7" right="0.7" top="0.75" bottom="0.75" header="0.3" footer="0.3"/>
      <pageSetup paperSize="9" orientation="portrait" r:id="rId31"/>
    </customSheetView>
    <customSheetView guid="{EB96DBE4-2D64-4388-853C-CB52A0CB79BA}">
      <selection activeCell="B18" sqref="B18"/>
      <pageMargins left="0.7" right="0.7" top="0.75" bottom="0.75" header="0.3" footer="0.3"/>
      <pageSetup paperSize="9" orientation="portrait" r:id="rId32"/>
    </customSheetView>
    <customSheetView guid="{351EFD38-BF62-4E34-A37F-0EEB3E165043}" topLeftCell="A22">
      <selection activeCell="A44" sqref="A44"/>
      <pageMargins left="0.7" right="0.7" top="0.75" bottom="0.75" header="0.3" footer="0.3"/>
      <pageSetup paperSize="9" orientation="portrait" r:id="rId33"/>
    </customSheetView>
    <customSheetView guid="{593284E7-E32C-4D6C-8C2F-3DEEF9DEE1DF}" topLeftCell="A32">
      <selection activeCell="D49" sqref="D49"/>
      <pageMargins left="0.7" right="0.7" top="0.75" bottom="0.75" header="0.3" footer="0.3"/>
      <pageSetup paperSize="9" orientation="portrait" r:id="rId34"/>
    </customSheetView>
    <customSheetView guid="{E06B4FE8-6127-47B2-A6A5-4FAC9EEB4538}" topLeftCell="A32">
      <selection activeCell="D49" sqref="D49"/>
      <pageMargins left="0.7" right="0.7" top="0.75" bottom="0.75" header="0.3" footer="0.3"/>
      <pageSetup paperSize="9" orientation="portrait" r:id="rId35"/>
    </customSheetView>
    <customSheetView guid="{51B3083F-A103-41AB-A137-63549C54B838}" topLeftCell="A32">
      <selection activeCell="D49" sqref="D49"/>
      <pageMargins left="0.7" right="0.7" top="0.75" bottom="0.75" header="0.3" footer="0.3"/>
      <pageSetup paperSize="9" orientation="portrait" r:id="rId36"/>
    </customSheetView>
    <customSheetView guid="{8CB67476-3FD4-42E0-ACD6-62ACA9412843}" topLeftCell="A32">
      <selection activeCell="D49" sqref="D49"/>
      <pageMargins left="0.7" right="0.7" top="0.75" bottom="0.75" header="0.3" footer="0.3"/>
      <pageSetup paperSize="9" orientation="portrait" r:id="rId37"/>
    </customSheetView>
    <customSheetView guid="{151EB58C-4EFD-4330-8D1A-8AACF5F7C679}" scale="80">
      <selection activeCell="BI66" sqref="BI66"/>
      <pageMargins left="0.7" right="0.7" top="0.75" bottom="0.75" header="0.3" footer="0.3"/>
      <pageSetup paperSize="9" orientation="portrait" r:id="rId38"/>
    </customSheetView>
    <customSheetView guid="{8263C9D2-452D-46FA-AFA0-452B42DC0298}" scale="80">
      <selection activeCell="BI66" sqref="BI66"/>
      <pageMargins left="0.7" right="0.7" top="0.75" bottom="0.75" header="0.3" footer="0.3"/>
      <pageSetup paperSize="9" orientation="portrait" r:id="rId39"/>
    </customSheetView>
    <customSheetView guid="{DF265C7B-1EEB-47EB-982A-6938E81F7AC2}" scale="90">
      <selection activeCell="A13" sqref="A13:XFD13"/>
      <pageMargins left="0.7" right="0.7" top="0.75" bottom="0.75" header="0.3" footer="0.3"/>
      <pageSetup paperSize="9" orientation="portrait" r:id="rId40"/>
    </customSheetView>
    <customSheetView guid="{9F91FBC4-6A13-42C2-A2D9-42A2AC814E28}" scale="90">
      <selection activeCell="A2" sqref="A2:Q8"/>
      <pageMargins left="0.7" right="0.7" top="0.75" bottom="0.75" header="0.3" footer="0.3"/>
      <pageSetup paperSize="9" orientation="portrait" r:id="rId41"/>
    </customSheetView>
    <customSheetView guid="{F4A6298C-1A75-4FA9-A6A4-2BE13CCFE545}" scale="90" topLeftCell="A4">
      <selection activeCell="A18" sqref="A18"/>
      <pageMargins left="0.7" right="0.7" top="0.75" bottom="0.75" header="0.3" footer="0.3"/>
      <pageSetup paperSize="9" orientation="portrait" r:id="rId42"/>
    </customSheetView>
    <customSheetView guid="{29AC9BE3-332A-4738-949C-1F8C0D32BAEE}" scale="90">
      <selection activeCell="A8" sqref="A8"/>
      <pageMargins left="0.70866141732283472" right="0.70866141732283472" top="0.74803149606299213" bottom="0.74803149606299213" header="0.31496062992125984" footer="0.31496062992125984"/>
      <pageSetup paperSize="9" scale="50" orientation="landscape" r:id="rId43"/>
    </customSheetView>
    <customSheetView guid="{75EE3B92-AF4D-4E93-A70E-6ADE60CC674F}" scale="90">
      <selection activeCell="A8" sqref="A8"/>
      <pageMargins left="0.70866141732283472" right="0.70866141732283472" top="0.74803149606299213" bottom="0.74803149606299213" header="0.31496062992125984" footer="0.31496062992125984"/>
      <pageSetup paperSize="9" scale="50" orientation="landscape" r:id="rId44"/>
    </customSheetView>
    <customSheetView guid="{CA7E8063-5145-49E1-8E00-2E1025705A81}" scale="90">
      <selection activeCell="A8" sqref="A8"/>
      <pageMargins left="0.70866141732283472" right="0.70866141732283472" top="0.74803149606299213" bottom="0.74803149606299213" header="0.31496062992125984" footer="0.31496062992125984"/>
      <pageSetup paperSize="9" scale="50" orientation="landscape" r:id="rId45"/>
    </customSheetView>
    <customSheetView guid="{51DFD3D6-BC25-47B4-B28F-D640534DB3A9}" scale="90">
      <selection activeCell="A8" sqref="A8"/>
      <pageMargins left="0.70866141732283472" right="0.70866141732283472" top="0.74803149606299213" bottom="0.74803149606299213" header="0.31496062992125984" footer="0.31496062992125984"/>
      <pageSetup paperSize="9" scale="50" orientation="landscape" r:id="rId46"/>
    </customSheetView>
    <customSheetView guid="{37F5A0AB-EB39-4832-9D67-F67D908BF486}" scale="90">
      <selection activeCell="A8" sqref="A8"/>
      <pageMargins left="0.70866141732283472" right="0.70866141732283472" top="0.74803149606299213" bottom="0.74803149606299213" header="0.31496062992125984" footer="0.31496062992125984"/>
      <pageSetup paperSize="9" scale="50" orientation="landscape" r:id="rId47"/>
    </customSheetView>
    <customSheetView guid="{70582C04-BB53-4A99-A3C1-673011D9AE1C}" scale="90">
      <selection activeCell="A8" sqref="A8"/>
      <pageMargins left="0.70866141732283472" right="0.70866141732283472" top="0.74803149606299213" bottom="0.74803149606299213" header="0.31496062992125984" footer="0.31496062992125984"/>
      <pageSetup paperSize="9" scale="50" orientation="landscape" r:id="rId48"/>
    </customSheetView>
    <customSheetView guid="{442F9A23-CA6E-4109-B10C-ACF5FD36B859}" scale="90" fitToPage="1">
      <selection activeCell="A11" sqref="A11"/>
      <pageMargins left="0.70866141732283472" right="0.70866141732283472" top="0.74803149606299213" bottom="0.74803149606299213" header="0.31496062992125984" footer="0.31496062992125984"/>
      <pageSetup paperSize="9" scale="46" orientation="landscape" r:id="rId49"/>
    </customSheetView>
    <customSheetView guid="{E4713981-DD11-40CE-BE52-873D93BDDE05}" scale="90" fitToPage="1">
      <selection activeCell="A11" sqref="A11"/>
      <pageMargins left="0.70866141732283472" right="0.70866141732283472" top="0.74803149606299213" bottom="0.74803149606299213" header="0.31496062992125984" footer="0.31496062992125984"/>
      <pageSetup paperSize="9" scale="46" orientation="landscape" r:id="rId50"/>
    </customSheetView>
    <customSheetView guid="{83044EFE-7F92-4F81-B034-85D9567158C2}" scale="90" fitToPage="1">
      <selection activeCell="A11" sqref="A11"/>
      <pageMargins left="0.70866141732283472" right="0.70866141732283472" top="0.74803149606299213" bottom="0.74803149606299213" header="0.31496062992125984" footer="0.31496062992125984"/>
      <pageSetup paperSize="9" scale="46" orientation="landscape" r:id="rId51"/>
    </customSheetView>
    <customSheetView guid="{E3A3AE56-8881-4A6F-9299-803C489AD1B4}" scale="90" fitToPage="1">
      <selection activeCell="A11" sqref="A11"/>
      <pageMargins left="0.70866141732283472" right="0.70866141732283472" top="0.74803149606299213" bottom="0.74803149606299213" header="0.31496062992125984" footer="0.31496062992125984"/>
      <pageSetup paperSize="9" scale="46" orientation="landscape" r:id="rId52"/>
    </customSheetView>
    <customSheetView guid="{FBC63E8F-69FE-4648-B709-FA1212EFFB29}" scale="90" fitToPage="1">
      <selection activeCell="A11" sqref="A11"/>
      <pageMargins left="0.70866141732283472" right="0.70866141732283472" top="0.74803149606299213" bottom="0.74803149606299213" header="0.31496062992125984" footer="0.31496062992125984"/>
      <pageSetup paperSize="9" scale="46" orientation="landscape" r:id="rId53"/>
    </customSheetView>
    <customSheetView guid="{0EDA65D2-43FB-421C-9D8C-D8082C64B09A}" scale="90" fitToPage="1">
      <selection activeCell="A13" sqref="A13"/>
      <pageMargins left="0.70866141732283472" right="0.70866141732283472" top="0.74803149606299213" bottom="0.74803149606299213" header="0.31496062992125984" footer="0.31496062992125984"/>
      <pageSetup paperSize="9" scale="46" orientation="landscape" r:id="rId54"/>
    </customSheetView>
    <customSheetView guid="{B434A8A8-5A4C-48C0-82E7-2458B9D2EEEF}" scale="90" fitToPage="1">
      <selection activeCell="A13" sqref="A13"/>
      <pageMargins left="0.70866141732283472" right="0.70866141732283472" top="0.74803149606299213" bottom="0.74803149606299213" header="0.31496062992125984" footer="0.31496062992125984"/>
      <pageSetup paperSize="9" scale="46" orientation="landscape" r:id="rId55"/>
    </customSheetView>
    <customSheetView guid="{EDD5A64E-02C0-4DD6-80BA-449123FCDAA2}" scale="90" fitToPage="1">
      <selection activeCell="A13" sqref="A13"/>
      <pageMargins left="0.70866141732283472" right="0.70866141732283472" top="0.74803149606299213" bottom="0.74803149606299213" header="0.31496062992125984" footer="0.31496062992125984"/>
      <pageSetup paperSize="9" scale="46" orientation="landscape" r:id="rId56"/>
    </customSheetView>
    <customSheetView guid="{97D58294-343B-4B62-A826-0DDDE29B5F0D}" scale="90" fitToPage="1">
      <selection activeCell="A13" sqref="A13"/>
      <pageMargins left="0.70866141732283472" right="0.70866141732283472" top="0.74803149606299213" bottom="0.74803149606299213" header="0.31496062992125984" footer="0.31496062992125984"/>
      <pageSetup paperSize="9" scale="46" orientation="landscape" r:id="rId57"/>
    </customSheetView>
    <customSheetView guid="{800416AC-1374-44AC-811C-612C85EF24E6}" scale="90" fitToPage="1">
      <selection activeCell="A13" sqref="A13"/>
      <pageMargins left="0.70866141732283472" right="0.70866141732283472" top="0.74803149606299213" bottom="0.74803149606299213" header="0.31496062992125984" footer="0.31496062992125984"/>
      <pageSetup paperSize="9" scale="46" orientation="landscape" r:id="rId58"/>
    </customSheetView>
    <customSheetView guid="{2EA8DBF7-9763-457C-AA9F-1EEB2F136D1F}" scale="90" fitToPage="1">
      <selection activeCell="A13" sqref="A13"/>
      <pageMargins left="0.70866141732283472" right="0.70866141732283472" top="0.74803149606299213" bottom="0.74803149606299213" header="0.31496062992125984" footer="0.31496062992125984"/>
      <pageSetup paperSize="9" scale="46" orientation="landscape" r:id="rId59"/>
    </customSheetView>
    <customSheetView guid="{78AA4A71-CE17-4C4D-849E-E3E1A44EA907}" scale="90" fitToPage="1">
      <selection activeCell="A13" sqref="A13"/>
      <pageMargins left="0.70866141732283472" right="0.70866141732283472" top="0.74803149606299213" bottom="0.74803149606299213" header="0.31496062992125984" footer="0.31496062992125984"/>
      <pageSetup paperSize="9" scale="46" orientation="landscape" r:id="rId60"/>
    </customSheetView>
    <customSheetView guid="{C7C13768-4A8D-4CBA-978C-F4A7B5550C00}" scale="90" fitToPage="1">
      <selection activeCell="C12" sqref="C12"/>
      <pageMargins left="0.70866141732283472" right="0.70866141732283472" top="0.74803149606299213" bottom="0.74803149606299213" header="0.31496062992125984" footer="0.31496062992125984"/>
      <pageSetup paperSize="9" scale="46" orientation="landscape" r:id="rId61"/>
    </customSheetView>
    <customSheetView guid="{D59DDBAA-620D-43B7-A6D9-759808D3397A}" scale="90" fitToPage="1">
      <selection activeCell="C12" sqref="C12"/>
      <pageMargins left="0.70866141732283472" right="0.70866141732283472" top="0.74803149606299213" bottom="0.74803149606299213" header="0.31496062992125984" footer="0.31496062992125984"/>
      <pageSetup paperSize="9" scale="46" orientation="landscape" r:id="rId62"/>
    </customSheetView>
  </customSheetViews>
  <pageMargins left="0.70866141732283472" right="0.70866141732283472" top="0.74803149606299213" bottom="0.74803149606299213" header="0.31496062992125984" footer="0.31496062992125984"/>
  <pageSetup paperSize="9" scale="46" orientation="landscape" r:id="rId6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3EAC78-94E8-4406-AB9A-2DDD3A074C51}">
  <sheetPr codeName="Sheet5"/>
  <dimension ref="A1:O99"/>
  <sheetViews>
    <sheetView topLeftCell="A99" zoomScale="85" zoomScaleNormal="85" workbookViewId="0">
      <selection activeCell="F8" sqref="F8"/>
    </sheetView>
  </sheetViews>
  <sheetFormatPr defaultColWidth="8.453125" defaultRowHeight="11.5" x14ac:dyDescent="0.35"/>
  <cols>
    <col min="1" max="1" width="25.453125" style="276" customWidth="1"/>
    <col min="2" max="2" width="9.453125" style="433" customWidth="1"/>
    <col min="3" max="3" width="0.54296875" style="276" customWidth="1"/>
    <col min="4" max="4" width="8.453125" style="276" customWidth="1"/>
    <col min="5" max="5" width="8.453125" style="251" customWidth="1"/>
    <col min="6" max="6" width="8.453125" style="276" customWidth="1"/>
    <col min="7" max="7" width="10.453125" style="252" customWidth="1"/>
    <col min="8" max="8" width="10.453125" style="248" customWidth="1"/>
    <col min="9" max="9" width="0.453125" style="276" customWidth="1"/>
    <col min="10" max="11" width="8.453125" style="276" customWidth="1"/>
    <col min="12" max="12" width="0.54296875" style="276" customWidth="1"/>
    <col min="13" max="13" width="8.453125" style="274"/>
    <col min="14" max="14" width="116.453125" style="276" customWidth="1"/>
    <col min="15" max="16" width="8.453125" style="276"/>
    <col min="17" max="17" width="74.453125" style="276" customWidth="1"/>
    <col min="18" max="16384" width="8.453125" style="276"/>
  </cols>
  <sheetData>
    <row r="1" spans="1:14" hidden="1" x14ac:dyDescent="0.35"/>
    <row r="2" spans="1:14" ht="23.25" customHeight="1" x14ac:dyDescent="0.35">
      <c r="A2" s="665" t="s">
        <v>0</v>
      </c>
      <c r="B2" s="664" t="s">
        <v>1</v>
      </c>
      <c r="C2" s="432"/>
      <c r="D2" s="670" t="s">
        <v>47</v>
      </c>
      <c r="E2" s="670"/>
      <c r="F2" s="670"/>
      <c r="G2" s="670"/>
      <c r="H2" s="670"/>
      <c r="I2" s="670"/>
      <c r="J2" s="670"/>
      <c r="K2" s="670"/>
    </row>
    <row r="3" spans="1:14" ht="23.25" customHeight="1" x14ac:dyDescent="0.35">
      <c r="A3" s="665"/>
      <c r="B3" s="664"/>
      <c r="C3" s="240"/>
      <c r="D3" s="719" t="s">
        <v>48</v>
      </c>
      <c r="E3" s="719"/>
      <c r="F3" s="719"/>
      <c r="G3" s="719"/>
      <c r="H3" s="719"/>
      <c r="I3" s="433"/>
      <c r="J3" s="670" t="s">
        <v>30</v>
      </c>
      <c r="K3" s="671"/>
      <c r="L3" s="433"/>
    </row>
    <row r="4" spans="1:14" ht="23.25" customHeight="1" x14ac:dyDescent="0.35">
      <c r="A4" s="665"/>
      <c r="B4" s="664"/>
      <c r="C4" s="241"/>
      <c r="D4" s="684" t="s">
        <v>220</v>
      </c>
      <c r="E4" s="684" t="s">
        <v>54</v>
      </c>
      <c r="F4" s="684" t="s">
        <v>49</v>
      </c>
      <c r="G4" s="733" t="s">
        <v>55</v>
      </c>
      <c r="H4" s="733" t="s">
        <v>50</v>
      </c>
      <c r="I4" s="433"/>
      <c r="J4" s="684" t="s">
        <v>51</v>
      </c>
      <c r="K4" s="730" t="s">
        <v>2</v>
      </c>
      <c r="L4" s="433"/>
      <c r="M4" s="726" t="s">
        <v>65</v>
      </c>
      <c r="N4" s="728" t="s">
        <v>61</v>
      </c>
    </row>
    <row r="5" spans="1:14" ht="54" customHeight="1" x14ac:dyDescent="0.35">
      <c r="A5" s="665"/>
      <c r="B5" s="664"/>
      <c r="C5" s="242"/>
      <c r="D5" s="669"/>
      <c r="E5" s="669"/>
      <c r="F5" s="669"/>
      <c r="G5" s="734"/>
      <c r="H5" s="734"/>
      <c r="I5" s="433"/>
      <c r="J5" s="669"/>
      <c r="K5" s="731"/>
      <c r="L5" s="433"/>
      <c r="M5" s="727"/>
      <c r="N5" s="729"/>
    </row>
    <row r="6" spans="1:14" ht="5.25" customHeight="1" x14ac:dyDescent="0.35">
      <c r="A6" s="272"/>
    </row>
    <row r="7" spans="1:14" ht="38.25" customHeight="1" x14ac:dyDescent="0.35">
      <c r="A7" s="273" t="s">
        <v>7</v>
      </c>
      <c r="B7" s="433" t="s">
        <v>3</v>
      </c>
      <c r="C7" s="275"/>
      <c r="D7" s="243" t="s">
        <v>8</v>
      </c>
      <c r="E7" s="5">
        <v>788</v>
      </c>
      <c r="F7" s="4">
        <v>846</v>
      </c>
      <c r="G7" s="253">
        <v>44986</v>
      </c>
      <c r="H7" s="254">
        <v>45170</v>
      </c>
      <c r="J7" s="4">
        <v>846</v>
      </c>
      <c r="K7" s="4">
        <v>846</v>
      </c>
      <c r="M7" s="245"/>
      <c r="N7" s="244"/>
    </row>
    <row r="8" spans="1:14" ht="38.25" customHeight="1" x14ac:dyDescent="0.35">
      <c r="A8" s="273"/>
      <c r="C8" s="275"/>
      <c r="D8" s="243" t="s">
        <v>8</v>
      </c>
      <c r="E8" s="5">
        <v>788</v>
      </c>
      <c r="F8" s="4">
        <v>846</v>
      </c>
      <c r="G8" s="253">
        <v>44986</v>
      </c>
      <c r="H8" s="254">
        <v>45170</v>
      </c>
      <c r="J8" s="4">
        <v>871</v>
      </c>
      <c r="K8" s="4">
        <v>871</v>
      </c>
      <c r="M8" s="245" t="s">
        <v>62</v>
      </c>
      <c r="N8" s="246" t="s">
        <v>63</v>
      </c>
    </row>
    <row r="9" spans="1:14" ht="52.5" customHeight="1" x14ac:dyDescent="0.35">
      <c r="A9" s="273"/>
      <c r="C9" s="275"/>
      <c r="D9" s="243" t="s">
        <v>8</v>
      </c>
      <c r="E9" s="5">
        <v>788</v>
      </c>
      <c r="F9" s="4">
        <v>871</v>
      </c>
      <c r="G9" s="253">
        <v>44986</v>
      </c>
      <c r="H9" s="254">
        <v>45170</v>
      </c>
      <c r="J9" s="4">
        <v>871</v>
      </c>
      <c r="K9" s="4">
        <v>871</v>
      </c>
      <c r="M9" s="245" t="s">
        <v>143</v>
      </c>
      <c r="N9" s="246" t="s">
        <v>179</v>
      </c>
    </row>
    <row r="10" spans="1:14" ht="38.25" customHeight="1" x14ac:dyDescent="0.35">
      <c r="A10" s="273"/>
      <c r="C10" s="275"/>
      <c r="D10" s="243" t="s">
        <v>8</v>
      </c>
      <c r="E10" s="5">
        <f>E9+25</f>
        <v>813</v>
      </c>
      <c r="F10" s="4">
        <v>871</v>
      </c>
      <c r="G10" s="253">
        <v>44986</v>
      </c>
      <c r="H10" s="254">
        <v>45170</v>
      </c>
      <c r="J10" s="4">
        <v>871</v>
      </c>
      <c r="K10" s="4">
        <v>871</v>
      </c>
      <c r="M10" s="250" t="s">
        <v>180</v>
      </c>
      <c r="N10" s="246" t="s">
        <v>181</v>
      </c>
    </row>
    <row r="11" spans="1:14" ht="38.25" customHeight="1" x14ac:dyDescent="0.35">
      <c r="A11" s="273"/>
      <c r="C11" s="275"/>
      <c r="D11" s="243" t="s">
        <v>291</v>
      </c>
      <c r="E11" s="5">
        <v>866.7</v>
      </c>
      <c r="F11" s="4">
        <v>897.9</v>
      </c>
      <c r="G11" s="253">
        <v>46505</v>
      </c>
      <c r="H11" s="254">
        <v>47053</v>
      </c>
      <c r="J11" s="4">
        <v>897.9</v>
      </c>
      <c r="K11" s="4">
        <v>897.9</v>
      </c>
      <c r="M11" s="250" t="s">
        <v>292</v>
      </c>
      <c r="N11" s="246" t="s">
        <v>293</v>
      </c>
    </row>
    <row r="12" spans="1:14" ht="5.25" customHeight="1" x14ac:dyDescent="0.35">
      <c r="A12" s="272"/>
    </row>
    <row r="13" spans="1:14" ht="38.25" customHeight="1" x14ac:dyDescent="0.35">
      <c r="A13" s="273" t="s">
        <v>115</v>
      </c>
      <c r="B13" s="433" t="s">
        <v>3</v>
      </c>
      <c r="C13" s="275"/>
      <c r="D13" s="243" t="s">
        <v>20</v>
      </c>
      <c r="E13" s="5">
        <v>218</v>
      </c>
      <c r="F13" s="4">
        <v>238</v>
      </c>
      <c r="G13" s="253">
        <v>44986</v>
      </c>
      <c r="H13" s="254">
        <v>44986</v>
      </c>
      <c r="J13" s="4">
        <v>238</v>
      </c>
      <c r="K13" s="7">
        <v>201.5</v>
      </c>
      <c r="M13" s="245"/>
      <c r="N13" s="244"/>
    </row>
    <row r="14" spans="1:14" ht="70.5" customHeight="1" x14ac:dyDescent="0.35">
      <c r="A14" s="273"/>
      <c r="C14" s="275"/>
      <c r="D14" s="243" t="s">
        <v>20</v>
      </c>
      <c r="E14" s="5">
        <v>218</v>
      </c>
      <c r="F14" s="4">
        <v>249.3</v>
      </c>
      <c r="G14" s="253">
        <v>44986</v>
      </c>
      <c r="H14" s="254">
        <v>44986</v>
      </c>
      <c r="J14" s="4">
        <v>249.3</v>
      </c>
      <c r="K14" s="4">
        <v>201.5</v>
      </c>
      <c r="M14" s="245" t="s">
        <v>163</v>
      </c>
      <c r="N14" s="246" t="s">
        <v>182</v>
      </c>
    </row>
    <row r="15" spans="1:14" ht="38.25" customHeight="1" x14ac:dyDescent="0.35">
      <c r="A15" s="273"/>
      <c r="C15" s="275"/>
      <c r="D15" s="243" t="s">
        <v>20</v>
      </c>
      <c r="E15" s="5">
        <f>E14+11.3</f>
        <v>229.3</v>
      </c>
      <c r="F15" s="4">
        <v>249.3</v>
      </c>
      <c r="G15" s="253">
        <v>44986</v>
      </c>
      <c r="H15" s="254">
        <v>44986</v>
      </c>
      <c r="J15" s="4">
        <v>249.3</v>
      </c>
      <c r="K15" s="4">
        <v>201.5</v>
      </c>
      <c r="M15" s="250" t="s">
        <v>180</v>
      </c>
      <c r="N15" s="246" t="s">
        <v>183</v>
      </c>
    </row>
    <row r="16" spans="1:14" ht="38.25" customHeight="1" x14ac:dyDescent="0.35">
      <c r="A16" s="273"/>
      <c r="C16" s="275"/>
      <c r="D16" s="243" t="s">
        <v>20</v>
      </c>
      <c r="E16" s="5">
        <v>229.4</v>
      </c>
      <c r="F16" s="4">
        <v>249.4</v>
      </c>
      <c r="G16" s="253">
        <v>44810</v>
      </c>
      <c r="H16" s="254">
        <v>44986</v>
      </c>
      <c r="J16" s="4">
        <f>F16</f>
        <v>249.4</v>
      </c>
      <c r="K16" s="4">
        <v>201.5</v>
      </c>
      <c r="M16" s="250" t="s">
        <v>196</v>
      </c>
      <c r="N16" s="246" t="s">
        <v>197</v>
      </c>
    </row>
    <row r="17" spans="1:15" ht="38.25" customHeight="1" x14ac:dyDescent="0.35">
      <c r="A17" s="273"/>
      <c r="C17" s="275"/>
      <c r="D17" s="243" t="s">
        <v>241</v>
      </c>
      <c r="E17" s="5">
        <v>379.16399999999999</v>
      </c>
      <c r="F17" s="4">
        <v>403.00099999999998</v>
      </c>
      <c r="G17" s="253">
        <v>47362</v>
      </c>
      <c r="H17" s="254">
        <v>47665</v>
      </c>
      <c r="J17" s="4">
        <v>403.00099999999998</v>
      </c>
      <c r="K17" s="4">
        <v>379.16399999999999</v>
      </c>
      <c r="M17" s="250" t="s">
        <v>242</v>
      </c>
      <c r="N17" s="246" t="s">
        <v>243</v>
      </c>
    </row>
    <row r="18" spans="1:15" ht="5.25" customHeight="1" x14ac:dyDescent="0.35">
      <c r="A18" s="273"/>
      <c r="C18" s="275"/>
      <c r="D18" s="274"/>
      <c r="E18" s="5"/>
      <c r="F18" s="5"/>
      <c r="G18" s="253"/>
      <c r="H18" s="255"/>
      <c r="J18" s="5"/>
      <c r="K18" s="14"/>
    </row>
    <row r="19" spans="1:15" ht="38.25" customHeight="1" x14ac:dyDescent="0.35">
      <c r="A19" s="273" t="s">
        <v>98</v>
      </c>
      <c r="B19" s="433" t="s">
        <v>3</v>
      </c>
      <c r="C19" s="275"/>
      <c r="D19" s="243" t="s">
        <v>12</v>
      </c>
      <c r="E19" s="5">
        <v>769</v>
      </c>
      <c r="F19" s="4">
        <v>887</v>
      </c>
      <c r="G19" s="253">
        <v>44593</v>
      </c>
      <c r="H19" s="254">
        <v>45078</v>
      </c>
      <c r="J19" s="4">
        <v>887</v>
      </c>
      <c r="K19" s="7">
        <v>887</v>
      </c>
      <c r="M19" s="245"/>
      <c r="N19" s="244"/>
    </row>
    <row r="20" spans="1:15" ht="38.25" customHeight="1" x14ac:dyDescent="0.35">
      <c r="A20" s="273"/>
      <c r="C20" s="275"/>
      <c r="D20" s="243" t="s">
        <v>184</v>
      </c>
      <c r="E20" s="5">
        <v>1316</v>
      </c>
      <c r="F20" s="4">
        <v>1512</v>
      </c>
      <c r="G20" s="253">
        <v>46226</v>
      </c>
      <c r="H20" s="254">
        <v>46847</v>
      </c>
      <c r="J20" s="4">
        <v>1512</v>
      </c>
      <c r="K20" s="7">
        <v>1316</v>
      </c>
      <c r="M20" s="245" t="s">
        <v>185</v>
      </c>
      <c r="N20" s="244" t="s">
        <v>186</v>
      </c>
    </row>
    <row r="21" spans="1:15" ht="38.25" customHeight="1" x14ac:dyDescent="0.35">
      <c r="A21" s="273"/>
      <c r="C21" s="275"/>
      <c r="D21" s="243" t="s">
        <v>184</v>
      </c>
      <c r="E21" s="5">
        <v>1316</v>
      </c>
      <c r="F21" s="4">
        <v>1512</v>
      </c>
      <c r="G21" s="253">
        <v>46332</v>
      </c>
      <c r="H21" s="254">
        <v>46847</v>
      </c>
      <c r="J21" s="4">
        <v>1512</v>
      </c>
      <c r="K21" s="4">
        <v>1333</v>
      </c>
      <c r="M21" s="245" t="s">
        <v>237</v>
      </c>
      <c r="N21" s="244" t="s">
        <v>298</v>
      </c>
    </row>
    <row r="22" spans="1:15" ht="5.25" customHeight="1" x14ac:dyDescent="0.35">
      <c r="A22" s="272"/>
    </row>
    <row r="23" spans="1:15" ht="38.25" customHeight="1" x14ac:dyDescent="0.35">
      <c r="A23" s="273" t="s">
        <v>101</v>
      </c>
      <c r="B23" s="433" t="s">
        <v>3</v>
      </c>
      <c r="C23" s="275"/>
      <c r="D23" s="243" t="s">
        <v>4</v>
      </c>
      <c r="E23" s="5">
        <v>420</v>
      </c>
      <c r="F23" s="4">
        <v>435</v>
      </c>
      <c r="G23" s="253">
        <v>44652</v>
      </c>
      <c r="H23" s="254">
        <v>44743</v>
      </c>
      <c r="J23" s="4">
        <v>445</v>
      </c>
      <c r="K23" s="7">
        <v>445</v>
      </c>
      <c r="M23" s="245"/>
      <c r="N23" s="244"/>
      <c r="O23" s="249"/>
    </row>
    <row r="24" spans="1:15" ht="57.75" customHeight="1" x14ac:dyDescent="0.35">
      <c r="A24" s="273"/>
      <c r="C24" s="275"/>
      <c r="D24" s="243" t="s">
        <v>4</v>
      </c>
      <c r="E24" s="5">
        <v>458.9</v>
      </c>
      <c r="F24" s="4">
        <v>466.4</v>
      </c>
      <c r="G24" s="253">
        <v>45244</v>
      </c>
      <c r="H24" s="254">
        <v>45361</v>
      </c>
      <c r="J24" s="4">
        <v>458.9</v>
      </c>
      <c r="K24" s="4">
        <v>458.9</v>
      </c>
      <c r="M24" s="245" t="s">
        <v>150</v>
      </c>
      <c r="N24" s="246" t="s">
        <v>187</v>
      </c>
    </row>
    <row r="25" spans="1:15" ht="38.25" customHeight="1" x14ac:dyDescent="0.35">
      <c r="A25" s="273"/>
      <c r="C25" s="275"/>
      <c r="D25" s="243" t="s">
        <v>4</v>
      </c>
      <c r="E25" s="5">
        <v>458.9</v>
      </c>
      <c r="F25" s="4">
        <v>466.4</v>
      </c>
      <c r="G25" s="253">
        <v>45244</v>
      </c>
      <c r="H25" s="254">
        <v>45361</v>
      </c>
      <c r="J25" s="4">
        <v>466.4</v>
      </c>
      <c r="K25" s="4">
        <v>458.9</v>
      </c>
      <c r="M25" s="250" t="s">
        <v>180</v>
      </c>
      <c r="N25" s="246" t="s">
        <v>188</v>
      </c>
    </row>
    <row r="26" spans="1:15" ht="38.25" customHeight="1" x14ac:dyDescent="0.35">
      <c r="A26" s="273"/>
      <c r="C26" s="275"/>
      <c r="D26" s="243" t="s">
        <v>375</v>
      </c>
      <c r="E26" s="5">
        <v>458.9</v>
      </c>
      <c r="F26" s="4">
        <v>466.4</v>
      </c>
      <c r="G26" s="253">
        <v>45244</v>
      </c>
      <c r="H26" s="254">
        <v>45361</v>
      </c>
      <c r="J26" s="4">
        <v>466.4</v>
      </c>
      <c r="K26" s="4">
        <v>458.9</v>
      </c>
      <c r="M26" s="250" t="s">
        <v>377</v>
      </c>
      <c r="N26" s="246" t="s">
        <v>378</v>
      </c>
    </row>
    <row r="27" spans="1:15" ht="5.25" customHeight="1" x14ac:dyDescent="0.35">
      <c r="A27" s="273"/>
      <c r="C27" s="275"/>
      <c r="D27" s="274"/>
      <c r="E27" s="5"/>
      <c r="F27" s="8"/>
      <c r="G27" s="253"/>
      <c r="H27" s="255"/>
      <c r="J27" s="8"/>
      <c r="K27" s="14"/>
    </row>
    <row r="28" spans="1:15" ht="38.25" customHeight="1" x14ac:dyDescent="0.35">
      <c r="A28" s="273" t="s">
        <v>113</v>
      </c>
      <c r="B28" s="433" t="s">
        <v>3</v>
      </c>
      <c r="C28" s="275"/>
      <c r="D28" s="243" t="s">
        <v>52</v>
      </c>
      <c r="E28" s="5">
        <v>574</v>
      </c>
      <c r="F28" s="4">
        <v>730</v>
      </c>
      <c r="G28" s="253">
        <v>46966</v>
      </c>
      <c r="H28" s="254">
        <v>47757</v>
      </c>
      <c r="J28" s="4">
        <v>313.5</v>
      </c>
      <c r="K28" s="7" t="s">
        <v>67</v>
      </c>
      <c r="M28" s="245"/>
      <c r="N28" s="244"/>
    </row>
    <row r="29" spans="1:15" ht="38.25" customHeight="1" x14ac:dyDescent="0.35">
      <c r="A29" s="273"/>
      <c r="C29" s="275"/>
      <c r="D29" s="243" t="s">
        <v>16</v>
      </c>
      <c r="E29" s="5">
        <v>1007</v>
      </c>
      <c r="F29" s="4">
        <v>1182</v>
      </c>
      <c r="G29" s="253">
        <v>47849</v>
      </c>
      <c r="H29" s="254">
        <v>48611</v>
      </c>
      <c r="J29" s="4">
        <v>1182</v>
      </c>
      <c r="K29" s="4">
        <v>1007</v>
      </c>
      <c r="M29" s="245" t="s">
        <v>66</v>
      </c>
      <c r="N29" s="244" t="s">
        <v>189</v>
      </c>
    </row>
    <row r="30" spans="1:15" ht="5.25" customHeight="1" x14ac:dyDescent="0.35">
      <c r="A30" s="273"/>
      <c r="C30" s="275"/>
      <c r="D30" s="274"/>
      <c r="E30" s="5"/>
      <c r="F30" s="5"/>
      <c r="G30" s="253"/>
      <c r="H30" s="255"/>
      <c r="J30" s="5"/>
      <c r="K30" s="14"/>
    </row>
    <row r="31" spans="1:15" ht="38.25" customHeight="1" x14ac:dyDescent="0.35">
      <c r="A31" s="273" t="s">
        <v>117</v>
      </c>
      <c r="B31" s="433" t="s">
        <v>3</v>
      </c>
      <c r="C31" s="275"/>
      <c r="D31" s="243" t="s">
        <v>21</v>
      </c>
      <c r="E31" s="5">
        <v>680</v>
      </c>
      <c r="F31" s="4">
        <v>878</v>
      </c>
      <c r="G31" s="253">
        <v>46935</v>
      </c>
      <c r="H31" s="254">
        <v>47150</v>
      </c>
      <c r="J31" s="4" t="s">
        <v>53</v>
      </c>
      <c r="K31" s="7" t="s">
        <v>22</v>
      </c>
      <c r="M31" s="245"/>
      <c r="N31" s="244"/>
    </row>
    <row r="32" spans="1:15" ht="84.75" customHeight="1" x14ac:dyDescent="0.35">
      <c r="A32" s="273"/>
      <c r="C32" s="275"/>
      <c r="D32" s="243" t="s">
        <v>21</v>
      </c>
      <c r="E32" s="5">
        <v>680</v>
      </c>
      <c r="F32" s="4">
        <v>878</v>
      </c>
      <c r="G32" s="253">
        <v>46935</v>
      </c>
      <c r="H32" s="254">
        <v>47150</v>
      </c>
      <c r="J32" s="4" t="s">
        <v>174</v>
      </c>
      <c r="K32" s="4" t="s">
        <v>175</v>
      </c>
      <c r="M32" s="245" t="s">
        <v>176</v>
      </c>
      <c r="N32" s="244" t="s">
        <v>244</v>
      </c>
    </row>
    <row r="33" spans="1:15" ht="55.5" customHeight="1" x14ac:dyDescent="0.35">
      <c r="A33" s="273"/>
      <c r="C33" s="275"/>
      <c r="D33" s="243" t="s">
        <v>21</v>
      </c>
      <c r="E33" s="5">
        <f>E32+24.6</f>
        <v>704.6</v>
      </c>
      <c r="F33" s="4">
        <f>F32+24.6</f>
        <v>902.6</v>
      </c>
      <c r="G33" s="253">
        <v>46935</v>
      </c>
      <c r="H33" s="254">
        <v>47150</v>
      </c>
      <c r="J33" s="4" t="s">
        <v>174</v>
      </c>
      <c r="K33" s="4" t="s">
        <v>175</v>
      </c>
      <c r="M33" s="245" t="s">
        <v>180</v>
      </c>
      <c r="N33" s="246" t="s">
        <v>190</v>
      </c>
    </row>
    <row r="34" spans="1:15" ht="55.5" customHeight="1" x14ac:dyDescent="0.35">
      <c r="A34" s="273"/>
      <c r="C34" s="275"/>
      <c r="D34" s="243" t="s">
        <v>21</v>
      </c>
      <c r="E34" s="5">
        <v>704.6</v>
      </c>
      <c r="F34" s="4">
        <v>902.6</v>
      </c>
      <c r="G34" s="253">
        <v>47209</v>
      </c>
      <c r="H34" s="254">
        <v>47423</v>
      </c>
      <c r="J34" s="4" t="s">
        <v>174</v>
      </c>
      <c r="K34" s="4" t="s">
        <v>175</v>
      </c>
      <c r="M34" s="245" t="s">
        <v>196</v>
      </c>
      <c r="N34" s="246" t="s">
        <v>198</v>
      </c>
    </row>
    <row r="35" spans="1:15" ht="5.25" customHeight="1" x14ac:dyDescent="0.35">
      <c r="A35" s="273"/>
      <c r="C35" s="275"/>
      <c r="D35" s="274"/>
      <c r="E35" s="5"/>
      <c r="F35" s="5"/>
      <c r="G35" s="253"/>
      <c r="H35" s="255"/>
      <c r="J35" s="5"/>
      <c r="K35" s="5"/>
    </row>
    <row r="36" spans="1:15" ht="38.25" customHeight="1" x14ac:dyDescent="0.35">
      <c r="A36" s="273" t="s">
        <v>5</v>
      </c>
      <c r="B36" s="433" t="s">
        <v>3</v>
      </c>
      <c r="C36" s="275"/>
      <c r="D36" s="243" t="s">
        <v>6</v>
      </c>
      <c r="E36" s="5">
        <v>284.3</v>
      </c>
      <c r="F36" s="4">
        <v>293.7</v>
      </c>
      <c r="G36" s="253">
        <v>44805</v>
      </c>
      <c r="H36" s="254">
        <v>44927</v>
      </c>
      <c r="J36" s="4">
        <v>293.7</v>
      </c>
      <c r="K36" s="7">
        <v>284.3</v>
      </c>
      <c r="M36" s="245"/>
      <c r="N36" s="244"/>
    </row>
    <row r="37" spans="1:15" ht="38.25" customHeight="1" x14ac:dyDescent="0.35">
      <c r="A37" s="273"/>
      <c r="C37" s="275"/>
      <c r="D37" s="243" t="s">
        <v>6</v>
      </c>
      <c r="E37" s="5">
        <v>284.3</v>
      </c>
      <c r="F37" s="4">
        <v>293.7</v>
      </c>
      <c r="G37" s="253">
        <v>44805</v>
      </c>
      <c r="H37" s="254">
        <v>44927</v>
      </c>
      <c r="J37" s="4">
        <v>315.3</v>
      </c>
      <c r="K37" s="4">
        <v>305.93</v>
      </c>
      <c r="M37" s="245" t="s">
        <v>62</v>
      </c>
      <c r="N37" s="246" t="s">
        <v>64</v>
      </c>
    </row>
    <row r="38" spans="1:15" ht="38.25" customHeight="1" x14ac:dyDescent="0.35">
      <c r="A38" s="273"/>
      <c r="C38" s="275"/>
      <c r="D38" s="243" t="s">
        <v>6</v>
      </c>
      <c r="E38" s="5">
        <v>284.3</v>
      </c>
      <c r="F38" s="4">
        <v>315.3</v>
      </c>
      <c r="G38" s="253">
        <v>44805</v>
      </c>
      <c r="H38" s="254">
        <v>45627</v>
      </c>
      <c r="J38" s="4">
        <v>315.3</v>
      </c>
      <c r="K38" s="4">
        <v>305.93</v>
      </c>
      <c r="M38" s="245" t="s">
        <v>143</v>
      </c>
      <c r="N38" s="247" t="s">
        <v>144</v>
      </c>
    </row>
    <row r="39" spans="1:15" ht="38.25" customHeight="1" x14ac:dyDescent="0.35">
      <c r="A39" s="273"/>
      <c r="C39" s="275"/>
      <c r="D39" s="243" t="s">
        <v>6</v>
      </c>
      <c r="E39" s="5">
        <f>E38+21.6</f>
        <v>305.90000000000003</v>
      </c>
      <c r="F39" s="4">
        <v>315.3</v>
      </c>
      <c r="G39" s="253">
        <v>45392</v>
      </c>
      <c r="H39" s="254">
        <v>45627</v>
      </c>
      <c r="J39" s="4">
        <v>315.3</v>
      </c>
      <c r="K39" s="4">
        <v>305.93</v>
      </c>
      <c r="M39" s="250" t="s">
        <v>180</v>
      </c>
      <c r="N39" s="246" t="s">
        <v>191</v>
      </c>
    </row>
    <row r="40" spans="1:15" ht="5.25" customHeight="1" x14ac:dyDescent="0.35"/>
    <row r="41" spans="1:15" ht="38.25" customHeight="1" x14ac:dyDescent="0.35">
      <c r="A41" s="273" t="s">
        <v>13</v>
      </c>
      <c r="B41" s="433" t="s">
        <v>3</v>
      </c>
      <c r="C41" s="275"/>
      <c r="D41" s="243" t="s">
        <v>14</v>
      </c>
      <c r="E41" s="5">
        <v>116.6</v>
      </c>
      <c r="F41" s="4">
        <v>122.6</v>
      </c>
      <c r="G41" s="253">
        <v>46874</v>
      </c>
      <c r="H41" s="254">
        <v>47239</v>
      </c>
      <c r="J41" s="4">
        <v>139.6</v>
      </c>
      <c r="K41" s="7">
        <v>116.6</v>
      </c>
      <c r="M41" s="245" t="s">
        <v>143</v>
      </c>
      <c r="N41" s="244" t="s">
        <v>140</v>
      </c>
    </row>
    <row r="42" spans="1:15" ht="5.25" customHeight="1" x14ac:dyDescent="0.35">
      <c r="A42" s="273"/>
      <c r="C42" s="275"/>
      <c r="D42" s="274"/>
      <c r="E42" s="5"/>
      <c r="F42" s="5"/>
      <c r="G42" s="253"/>
      <c r="H42" s="255"/>
      <c r="J42" s="5"/>
      <c r="K42" s="14"/>
    </row>
    <row r="43" spans="1:15" ht="38.25" customHeight="1" x14ac:dyDescent="0.35">
      <c r="A43" s="273" t="s">
        <v>111</v>
      </c>
      <c r="B43" s="433" t="s">
        <v>3</v>
      </c>
      <c r="C43" s="275"/>
      <c r="D43" s="243" t="s">
        <v>15</v>
      </c>
      <c r="E43" s="5">
        <v>1330</v>
      </c>
      <c r="F43" s="4">
        <v>1673</v>
      </c>
      <c r="G43" s="253">
        <v>47331</v>
      </c>
      <c r="H43" s="254">
        <v>48274</v>
      </c>
      <c r="J43" s="4">
        <v>1673</v>
      </c>
      <c r="K43" s="7">
        <v>1330</v>
      </c>
      <c r="M43" s="245"/>
      <c r="N43" s="244"/>
    </row>
    <row r="44" spans="1:15" ht="38.25" customHeight="1" x14ac:dyDescent="0.35">
      <c r="A44" s="273"/>
      <c r="C44" s="275"/>
      <c r="D44" s="243" t="s">
        <v>15</v>
      </c>
      <c r="E44" s="5">
        <v>1335.43</v>
      </c>
      <c r="F44" s="4">
        <v>1673</v>
      </c>
      <c r="G44" s="253">
        <v>47400</v>
      </c>
      <c r="H44" s="254">
        <v>48274</v>
      </c>
      <c r="J44" s="4">
        <v>1673</v>
      </c>
      <c r="K44" s="4">
        <v>1335.43</v>
      </c>
      <c r="M44" s="245" t="s">
        <v>200</v>
      </c>
      <c r="N44" s="244" t="s">
        <v>201</v>
      </c>
    </row>
    <row r="45" spans="1:15" ht="5.25" customHeight="1" x14ac:dyDescent="0.35">
      <c r="A45" s="273"/>
      <c r="B45" s="273"/>
      <c r="C45" s="273"/>
      <c r="D45" s="273"/>
      <c r="E45" s="273"/>
      <c r="F45" s="273"/>
      <c r="G45" s="256"/>
      <c r="H45" s="256"/>
      <c r="I45" s="273"/>
      <c r="J45" s="273"/>
      <c r="K45" s="273"/>
      <c r="L45" s="273"/>
      <c r="M45" s="273"/>
      <c r="N45" s="273"/>
      <c r="O45" s="273"/>
    </row>
    <row r="46" spans="1:15" ht="38.25" customHeight="1" x14ac:dyDescent="0.35">
      <c r="A46" s="273" t="s">
        <v>103</v>
      </c>
      <c r="B46" s="433" t="s">
        <v>3</v>
      </c>
      <c r="C46" s="275"/>
      <c r="D46" s="243" t="s">
        <v>128</v>
      </c>
      <c r="E46" s="5">
        <v>70.653999999999996</v>
      </c>
      <c r="F46" s="7">
        <v>76.709999999999994</v>
      </c>
      <c r="G46" s="253">
        <v>45292</v>
      </c>
      <c r="H46" s="257">
        <v>45444</v>
      </c>
      <c r="J46" s="243" t="s">
        <v>164</v>
      </c>
      <c r="K46" s="7">
        <v>70.653999999999996</v>
      </c>
      <c r="M46" s="245" t="s">
        <v>196</v>
      </c>
      <c r="N46" s="244" t="s">
        <v>199</v>
      </c>
    </row>
    <row r="47" spans="1:15" ht="38.25" customHeight="1" x14ac:dyDescent="0.35">
      <c r="A47" s="273"/>
      <c r="C47" s="275"/>
      <c r="D47" s="243" t="s">
        <v>365</v>
      </c>
      <c r="E47" s="5">
        <v>68.5</v>
      </c>
      <c r="F47" s="7">
        <v>74.599999999999994</v>
      </c>
      <c r="G47" s="253">
        <v>45834</v>
      </c>
      <c r="H47" s="257">
        <v>45911</v>
      </c>
      <c r="J47" s="243" t="s">
        <v>164</v>
      </c>
      <c r="K47" s="7">
        <v>74.599999999999994</v>
      </c>
      <c r="M47" s="245" t="s">
        <v>366</v>
      </c>
      <c r="N47" s="244" t="s">
        <v>367</v>
      </c>
    </row>
    <row r="48" spans="1:15" ht="5.25" customHeight="1" x14ac:dyDescent="0.35">
      <c r="A48" s="273"/>
      <c r="C48" s="275"/>
      <c r="D48" s="274"/>
      <c r="E48" s="5"/>
      <c r="F48" s="5"/>
      <c r="G48" s="253"/>
      <c r="H48" s="255"/>
      <c r="J48" s="5"/>
      <c r="K48" s="14"/>
    </row>
    <row r="49" spans="1:14" ht="38.25" customHeight="1" x14ac:dyDescent="0.35">
      <c r="A49" s="273" t="s">
        <v>17</v>
      </c>
      <c r="B49" s="433" t="s">
        <v>18</v>
      </c>
      <c r="C49" s="275"/>
      <c r="D49" s="243" t="s">
        <v>19</v>
      </c>
      <c r="E49" s="5">
        <v>248</v>
      </c>
      <c r="F49" s="4">
        <v>266</v>
      </c>
      <c r="G49" s="253">
        <v>48914</v>
      </c>
      <c r="H49" s="254">
        <v>49369</v>
      </c>
      <c r="J49" s="4">
        <v>266</v>
      </c>
      <c r="K49" s="7">
        <v>248</v>
      </c>
      <c r="M49" s="245"/>
      <c r="N49" s="244"/>
    </row>
    <row r="50" spans="1:14" ht="5.25" customHeight="1" x14ac:dyDescent="0.35">
      <c r="A50" s="273"/>
      <c r="C50" s="275"/>
      <c r="D50" s="274"/>
      <c r="E50" s="5"/>
      <c r="F50" s="5"/>
      <c r="G50" s="253"/>
      <c r="H50" s="255"/>
      <c r="J50" s="5"/>
      <c r="K50" s="14"/>
    </row>
    <row r="51" spans="1:14" ht="38.25" customHeight="1" x14ac:dyDescent="0.35">
      <c r="A51" s="273" t="s">
        <v>245</v>
      </c>
      <c r="B51" s="433" t="s">
        <v>18</v>
      </c>
      <c r="C51" s="275"/>
      <c r="D51" s="243" t="s">
        <v>246</v>
      </c>
      <c r="E51" s="5">
        <v>83</v>
      </c>
      <c r="F51" s="4">
        <f>89+4.5</f>
        <v>93.5</v>
      </c>
      <c r="G51" s="253">
        <v>45029</v>
      </c>
      <c r="H51" s="254">
        <v>45233</v>
      </c>
      <c r="J51" s="4" t="s">
        <v>164</v>
      </c>
      <c r="K51" s="7">
        <v>89</v>
      </c>
      <c r="M51" s="245"/>
      <c r="N51" s="244" t="s">
        <v>247</v>
      </c>
    </row>
    <row r="52" spans="1:14" ht="38.25" customHeight="1" x14ac:dyDescent="0.35">
      <c r="C52" s="275"/>
      <c r="D52" s="243" t="s">
        <v>248</v>
      </c>
      <c r="E52" s="5">
        <v>86.5</v>
      </c>
      <c r="F52" s="4">
        <f>89+4.5+3.5</f>
        <v>97</v>
      </c>
      <c r="G52" s="253">
        <v>45352</v>
      </c>
      <c r="H52" s="254">
        <v>45505</v>
      </c>
      <c r="J52" s="4" t="s">
        <v>164</v>
      </c>
      <c r="K52" s="4">
        <v>92.5</v>
      </c>
      <c r="M52" s="245" t="s">
        <v>196</v>
      </c>
      <c r="N52" s="244" t="s">
        <v>249</v>
      </c>
    </row>
    <row r="53" spans="1:14" ht="5.25" customHeight="1" x14ac:dyDescent="0.35">
      <c r="A53" s="273"/>
      <c r="C53" s="275"/>
      <c r="D53" s="274"/>
      <c r="E53" s="5"/>
      <c r="F53" s="5"/>
      <c r="G53" s="253"/>
      <c r="H53" s="255"/>
      <c r="J53" s="5"/>
      <c r="K53" s="14"/>
    </row>
    <row r="54" spans="1:14" ht="38.25" customHeight="1" x14ac:dyDescent="0.35">
      <c r="A54" s="273" t="s">
        <v>250</v>
      </c>
      <c r="B54" s="433" t="s">
        <v>18</v>
      </c>
      <c r="C54" s="275"/>
      <c r="D54" s="243" t="s">
        <v>251</v>
      </c>
      <c r="E54" s="5">
        <v>54</v>
      </c>
      <c r="F54" s="4">
        <f>58+3</f>
        <v>61</v>
      </c>
      <c r="G54" s="253">
        <v>44467</v>
      </c>
      <c r="H54" s="254">
        <v>44520</v>
      </c>
      <c r="J54" s="4" t="s">
        <v>164</v>
      </c>
      <c r="K54" s="7">
        <v>58</v>
      </c>
      <c r="M54" s="245"/>
      <c r="N54" s="244" t="s">
        <v>252</v>
      </c>
    </row>
    <row r="55" spans="1:14" ht="38.25" customHeight="1" x14ac:dyDescent="0.35">
      <c r="C55" s="275"/>
      <c r="D55" s="243" t="s">
        <v>248</v>
      </c>
      <c r="E55" s="5">
        <v>60</v>
      </c>
      <c r="F55" s="4">
        <f>58+3+6</f>
        <v>67</v>
      </c>
      <c r="G55" s="253">
        <v>44593</v>
      </c>
      <c r="H55" s="254">
        <v>44682</v>
      </c>
      <c r="J55" s="4" t="s">
        <v>164</v>
      </c>
      <c r="K55" s="4">
        <v>64</v>
      </c>
      <c r="M55" s="245" t="s">
        <v>196</v>
      </c>
      <c r="N55" s="244" t="s">
        <v>253</v>
      </c>
    </row>
    <row r="56" spans="1:14" ht="5.25" customHeight="1" x14ac:dyDescent="0.35">
      <c r="A56" s="273"/>
      <c r="C56" s="275"/>
      <c r="D56" s="274"/>
      <c r="E56" s="5"/>
      <c r="F56" s="5"/>
      <c r="G56" s="253"/>
      <c r="H56" s="255"/>
      <c r="J56" s="5"/>
      <c r="K56" s="14"/>
    </row>
    <row r="57" spans="1:14" ht="38.25" customHeight="1" x14ac:dyDescent="0.35">
      <c r="A57" s="273" t="s">
        <v>254</v>
      </c>
      <c r="B57" s="433" t="s">
        <v>18</v>
      </c>
      <c r="C57" s="275"/>
      <c r="D57" s="243" t="s">
        <v>255</v>
      </c>
      <c r="E57" s="5">
        <v>68.564999999999998</v>
      </c>
      <c r="F57" s="7">
        <v>73.138000000000005</v>
      </c>
      <c r="G57" s="253">
        <v>46905</v>
      </c>
      <c r="H57" s="257">
        <v>46966</v>
      </c>
      <c r="J57" s="7" t="s">
        <v>164</v>
      </c>
      <c r="K57" s="7">
        <v>3.5</v>
      </c>
      <c r="M57" s="245" t="s">
        <v>256</v>
      </c>
      <c r="N57" s="244" t="s">
        <v>257</v>
      </c>
    </row>
    <row r="58" spans="1:14" ht="5.25" customHeight="1" x14ac:dyDescent="0.35">
      <c r="A58" s="273"/>
      <c r="C58" s="275"/>
      <c r="D58" s="274"/>
      <c r="E58" s="5"/>
      <c r="F58" s="5"/>
      <c r="G58" s="253"/>
      <c r="H58" s="255"/>
      <c r="J58" s="5"/>
      <c r="K58" s="14"/>
    </row>
    <row r="59" spans="1:14" ht="38.25" customHeight="1" x14ac:dyDescent="0.35">
      <c r="A59" s="273" t="s">
        <v>9</v>
      </c>
      <c r="B59" s="433" t="s">
        <v>258</v>
      </c>
      <c r="C59" s="275"/>
      <c r="D59" s="243" t="s">
        <v>11</v>
      </c>
      <c r="E59" s="5">
        <v>63.5</v>
      </c>
      <c r="F59" s="4">
        <v>66.900000000000006</v>
      </c>
      <c r="G59" s="253">
        <v>46113</v>
      </c>
      <c r="H59" s="254">
        <v>46113</v>
      </c>
      <c r="J59" s="4">
        <v>66.900000000000006</v>
      </c>
      <c r="K59" s="4">
        <v>66.900000000000006</v>
      </c>
      <c r="M59" s="245"/>
      <c r="N59" s="244"/>
    </row>
    <row r="60" spans="1:14" ht="5.25" customHeight="1" x14ac:dyDescent="0.35">
      <c r="A60" s="273"/>
      <c r="C60" s="275"/>
      <c r="D60" s="274"/>
      <c r="E60" s="5"/>
      <c r="F60" s="5"/>
      <c r="G60" s="253"/>
      <c r="H60" s="255"/>
      <c r="J60" s="5"/>
      <c r="K60" s="14"/>
    </row>
    <row r="61" spans="1:14" ht="38.25" customHeight="1" x14ac:dyDescent="0.35">
      <c r="A61" s="273" t="s">
        <v>259</v>
      </c>
      <c r="B61" s="433" t="s">
        <v>258</v>
      </c>
      <c r="C61" s="275"/>
      <c r="D61" s="243" t="s">
        <v>260</v>
      </c>
      <c r="E61" s="5">
        <v>86.8</v>
      </c>
      <c r="F61" s="4">
        <v>104.4</v>
      </c>
      <c r="G61" s="253">
        <v>46752</v>
      </c>
      <c r="H61" s="254">
        <v>46821</v>
      </c>
      <c r="J61" s="4">
        <v>104.4</v>
      </c>
      <c r="K61" s="4">
        <v>33.1</v>
      </c>
      <c r="M61" s="245" t="s">
        <v>256</v>
      </c>
      <c r="N61" s="244" t="s">
        <v>261</v>
      </c>
    </row>
    <row r="62" spans="1:14" ht="5.25" customHeight="1" x14ac:dyDescent="0.35">
      <c r="A62" s="273"/>
      <c r="C62" s="275"/>
      <c r="D62" s="274"/>
      <c r="E62" s="5"/>
      <c r="F62" s="5"/>
      <c r="G62" s="253"/>
      <c r="H62" s="255"/>
      <c r="J62" s="5"/>
      <c r="K62" s="14"/>
    </row>
    <row r="63" spans="1:14" ht="38.25" customHeight="1" x14ac:dyDescent="0.35">
      <c r="A63" s="273" t="s">
        <v>262</v>
      </c>
      <c r="B63" s="433" t="s">
        <v>258</v>
      </c>
      <c r="C63" s="275"/>
      <c r="D63" s="243" t="s">
        <v>173</v>
      </c>
      <c r="E63" s="5">
        <v>68.111999999999995</v>
      </c>
      <c r="F63" s="4">
        <v>73.762</v>
      </c>
      <c r="G63" s="253">
        <v>45901</v>
      </c>
      <c r="H63" s="254">
        <v>45901</v>
      </c>
      <c r="J63" s="4">
        <v>73.762</v>
      </c>
      <c r="K63" s="4">
        <v>12.797000000000001</v>
      </c>
      <c r="M63" s="245" t="s">
        <v>256</v>
      </c>
      <c r="N63" s="244" t="s">
        <v>263</v>
      </c>
    </row>
    <row r="64" spans="1:14" ht="3" customHeight="1" x14ac:dyDescent="0.35">
      <c r="A64" s="273"/>
      <c r="C64" s="275"/>
      <c r="D64" s="274"/>
      <c r="E64" s="5"/>
      <c r="F64" s="5"/>
      <c r="G64" s="209"/>
      <c r="H64" s="255"/>
      <c r="J64" s="5"/>
      <c r="K64" s="14"/>
    </row>
    <row r="65" spans="1:14" ht="36" customHeight="1" x14ac:dyDescent="0.35">
      <c r="A65" s="273" t="s">
        <v>264</v>
      </c>
      <c r="B65" s="433" t="s">
        <v>18</v>
      </c>
      <c r="C65" s="275"/>
      <c r="D65" s="243" t="s">
        <v>265</v>
      </c>
      <c r="E65" s="5">
        <v>68</v>
      </c>
      <c r="F65" s="4">
        <v>74</v>
      </c>
      <c r="G65" s="253">
        <v>47787</v>
      </c>
      <c r="H65" s="254">
        <v>47938</v>
      </c>
      <c r="J65" s="4" t="s">
        <v>164</v>
      </c>
      <c r="K65" s="4">
        <v>68</v>
      </c>
      <c r="M65" s="245" t="s">
        <v>266</v>
      </c>
      <c r="N65" s="244" t="s">
        <v>267</v>
      </c>
    </row>
    <row r="66" spans="1:14" ht="4.5" customHeight="1" x14ac:dyDescent="0.35">
      <c r="A66" s="273"/>
      <c r="C66" s="275"/>
      <c r="D66" s="274"/>
      <c r="E66" s="5"/>
      <c r="F66" s="5"/>
      <c r="G66" s="209"/>
      <c r="H66" s="255"/>
      <c r="J66" s="5"/>
      <c r="K66" s="14"/>
    </row>
    <row r="67" spans="1:14" ht="36" customHeight="1" x14ac:dyDescent="0.35">
      <c r="A67" s="273" t="s">
        <v>268</v>
      </c>
      <c r="B67" s="433" t="s">
        <v>18</v>
      </c>
      <c r="C67" s="275"/>
      <c r="D67" s="243" t="s">
        <v>269</v>
      </c>
      <c r="E67" s="5">
        <v>163</v>
      </c>
      <c r="F67" s="4">
        <v>179.5</v>
      </c>
      <c r="G67" s="253">
        <v>48180</v>
      </c>
      <c r="H67" s="254">
        <v>48493</v>
      </c>
      <c r="J67" s="4" t="s">
        <v>164</v>
      </c>
      <c r="K67" s="4">
        <v>11.3</v>
      </c>
      <c r="M67" s="245" t="s">
        <v>270</v>
      </c>
      <c r="N67" s="244" t="s">
        <v>271</v>
      </c>
    </row>
    <row r="68" spans="1:14" ht="4.5" customHeight="1" x14ac:dyDescent="0.35">
      <c r="A68" s="273"/>
      <c r="C68" s="275"/>
      <c r="D68" s="274"/>
      <c r="E68" s="5"/>
      <c r="F68" s="5"/>
      <c r="G68" s="209"/>
      <c r="H68" s="255"/>
      <c r="J68" s="5"/>
      <c r="K68" s="14"/>
    </row>
    <row r="69" spans="1:14" ht="44.25" customHeight="1" x14ac:dyDescent="0.35">
      <c r="A69" s="273" t="s">
        <v>272</v>
      </c>
      <c r="B69" s="433" t="s">
        <v>258</v>
      </c>
      <c r="C69" s="275"/>
      <c r="D69" s="243" t="s">
        <v>269</v>
      </c>
      <c r="E69" s="5">
        <v>280</v>
      </c>
      <c r="F69" s="4">
        <v>324.8</v>
      </c>
      <c r="G69" s="253" t="s">
        <v>164</v>
      </c>
      <c r="H69" s="254">
        <v>51961</v>
      </c>
      <c r="J69" s="4">
        <v>0</v>
      </c>
      <c r="K69" s="4">
        <v>0</v>
      </c>
      <c r="M69" s="245" t="s">
        <v>270</v>
      </c>
      <c r="N69" s="244" t="s">
        <v>273</v>
      </c>
    </row>
    <row r="70" spans="1:14" ht="4.5" customHeight="1" x14ac:dyDescent="0.35"/>
    <row r="71" spans="1:14" ht="44.25" customHeight="1" x14ac:dyDescent="0.35">
      <c r="A71" s="273" t="s">
        <v>274</v>
      </c>
      <c r="B71" s="433" t="s">
        <v>258</v>
      </c>
      <c r="C71" s="275"/>
      <c r="D71" s="243" t="s">
        <v>269</v>
      </c>
      <c r="E71" s="5">
        <v>80</v>
      </c>
      <c r="F71" s="4" t="s">
        <v>164</v>
      </c>
      <c r="G71" s="253">
        <v>47813</v>
      </c>
      <c r="H71" s="254" t="s">
        <v>164</v>
      </c>
      <c r="J71" s="4" t="s">
        <v>164</v>
      </c>
      <c r="K71" s="4">
        <v>12</v>
      </c>
      <c r="M71" s="245" t="s">
        <v>209</v>
      </c>
      <c r="N71" s="244" t="s">
        <v>275</v>
      </c>
    </row>
    <row r="72" spans="1:14" ht="4.5" customHeight="1" x14ac:dyDescent="0.35"/>
    <row r="73" spans="1:14" ht="44.25" customHeight="1" x14ac:dyDescent="0.35">
      <c r="A73" s="273" t="s">
        <v>207</v>
      </c>
      <c r="B73" s="433" t="s">
        <v>3</v>
      </c>
      <c r="C73" s="275"/>
      <c r="D73" s="243" t="s">
        <v>208</v>
      </c>
      <c r="E73" s="5">
        <v>68.177000000000007</v>
      </c>
      <c r="F73" s="4">
        <v>74.653000000000006</v>
      </c>
      <c r="G73" s="253">
        <v>46295</v>
      </c>
      <c r="H73" s="254">
        <v>46446</v>
      </c>
      <c r="J73" s="4" t="s">
        <v>164</v>
      </c>
      <c r="K73" s="4">
        <v>68.177000000000007</v>
      </c>
      <c r="M73" s="245" t="s">
        <v>209</v>
      </c>
      <c r="N73" s="244" t="s">
        <v>210</v>
      </c>
    </row>
    <row r="74" spans="1:14" ht="44.25" customHeight="1" x14ac:dyDescent="0.35">
      <c r="A74" s="273"/>
      <c r="C74" s="275"/>
      <c r="D74" s="243" t="s">
        <v>376</v>
      </c>
      <c r="E74" s="5">
        <v>69.099999999999994</v>
      </c>
      <c r="F74" s="4">
        <v>75.8</v>
      </c>
      <c r="G74" s="253">
        <v>46295</v>
      </c>
      <c r="H74" s="254">
        <v>46446</v>
      </c>
      <c r="J74" s="4" t="s">
        <v>164</v>
      </c>
      <c r="K74" s="4">
        <v>69.099999999999994</v>
      </c>
      <c r="M74" s="245" t="s">
        <v>369</v>
      </c>
      <c r="N74" s="244" t="s">
        <v>379</v>
      </c>
    </row>
    <row r="75" spans="1:14" ht="4.5" customHeight="1" x14ac:dyDescent="0.35"/>
    <row r="76" spans="1:14" ht="44.25" customHeight="1" x14ac:dyDescent="0.35">
      <c r="A76" s="273" t="s">
        <v>276</v>
      </c>
      <c r="B76" s="433" t="s">
        <v>258</v>
      </c>
      <c r="C76" s="275"/>
      <c r="D76" s="243" t="s">
        <v>208</v>
      </c>
      <c r="E76" s="5">
        <v>10.3</v>
      </c>
      <c r="F76" s="4">
        <v>12.7</v>
      </c>
      <c r="G76" s="253">
        <v>46113</v>
      </c>
      <c r="H76" s="254">
        <v>46113</v>
      </c>
      <c r="J76" s="4">
        <v>0</v>
      </c>
      <c r="K76" s="4">
        <v>0</v>
      </c>
      <c r="M76" s="245" t="s">
        <v>277</v>
      </c>
      <c r="N76" s="244" t="s">
        <v>278</v>
      </c>
    </row>
    <row r="77" spans="1:14" ht="4.5" customHeight="1" x14ac:dyDescent="0.35"/>
    <row r="78" spans="1:14" ht="44.25" customHeight="1" x14ac:dyDescent="0.35">
      <c r="A78" s="273" t="s">
        <v>233</v>
      </c>
      <c r="B78" s="433" t="s">
        <v>3</v>
      </c>
      <c r="C78" s="275"/>
      <c r="D78" s="243" t="s">
        <v>211</v>
      </c>
      <c r="E78" s="5">
        <v>75</v>
      </c>
      <c r="F78" s="4">
        <v>79</v>
      </c>
      <c r="G78" s="253">
        <v>46524</v>
      </c>
      <c r="H78" s="254">
        <v>46692</v>
      </c>
      <c r="J78" s="4">
        <v>90</v>
      </c>
      <c r="K78" s="4">
        <v>75</v>
      </c>
      <c r="M78" s="245" t="s">
        <v>212</v>
      </c>
      <c r="N78" s="244" t="s">
        <v>380</v>
      </c>
    </row>
    <row r="79" spans="1:14" ht="44.25" customHeight="1" x14ac:dyDescent="0.35">
      <c r="A79" s="273"/>
      <c r="C79" s="275"/>
      <c r="D79" s="243" t="s">
        <v>376</v>
      </c>
      <c r="E79" s="5">
        <v>75.099999999999994</v>
      </c>
      <c r="F79" s="4">
        <v>79.8</v>
      </c>
      <c r="G79" s="253">
        <v>46524</v>
      </c>
      <c r="H79" s="254">
        <v>46692</v>
      </c>
      <c r="J79" s="4">
        <v>90</v>
      </c>
      <c r="K79" s="4">
        <v>75.099999999999994</v>
      </c>
      <c r="M79" s="245" t="s">
        <v>369</v>
      </c>
      <c r="N79" s="244" t="s">
        <v>381</v>
      </c>
    </row>
    <row r="80" spans="1:14" ht="4.5" customHeight="1" x14ac:dyDescent="0.35"/>
    <row r="81" spans="1:14" ht="44.25" customHeight="1" x14ac:dyDescent="0.35">
      <c r="A81" s="273" t="s">
        <v>280</v>
      </c>
      <c r="B81" s="433" t="s">
        <v>18</v>
      </c>
      <c r="C81" s="275"/>
      <c r="D81" s="243" t="s">
        <v>281</v>
      </c>
      <c r="E81" s="5">
        <v>140.19999999999999</v>
      </c>
      <c r="F81" s="4">
        <v>157.69999999999999</v>
      </c>
      <c r="G81" s="253">
        <v>47763</v>
      </c>
      <c r="H81" s="254">
        <v>48136</v>
      </c>
      <c r="J81" s="4">
        <v>157.69999999999999</v>
      </c>
      <c r="K81" s="4">
        <v>140.19999999999999</v>
      </c>
      <c r="M81" s="245" t="s">
        <v>282</v>
      </c>
      <c r="N81" s="244" t="s">
        <v>283</v>
      </c>
    </row>
    <row r="82" spans="1:14" ht="4.5" customHeight="1" x14ac:dyDescent="0.35"/>
    <row r="83" spans="1:14" ht="48" customHeight="1" x14ac:dyDescent="0.35">
      <c r="A83" s="273" t="s">
        <v>287</v>
      </c>
      <c r="B83" s="433" t="s">
        <v>3</v>
      </c>
      <c r="C83" s="275"/>
      <c r="D83" s="243" t="s">
        <v>286</v>
      </c>
      <c r="E83" s="5">
        <v>776</v>
      </c>
      <c r="F83" s="4">
        <v>837</v>
      </c>
      <c r="G83" s="253">
        <v>49490</v>
      </c>
      <c r="H83" s="254">
        <v>49795</v>
      </c>
      <c r="J83" s="4">
        <v>382</v>
      </c>
      <c r="K83" s="4">
        <v>186</v>
      </c>
      <c r="M83" s="245" t="s">
        <v>288</v>
      </c>
      <c r="N83" s="244" t="s">
        <v>289</v>
      </c>
    </row>
    <row r="84" spans="1:14" ht="4.5" customHeight="1" x14ac:dyDescent="0.35"/>
    <row r="85" spans="1:14" ht="48" customHeight="1" x14ac:dyDescent="0.35">
      <c r="A85" s="273" t="s">
        <v>119</v>
      </c>
      <c r="B85" s="433" t="s">
        <v>3</v>
      </c>
      <c r="C85" s="275"/>
      <c r="D85" s="243" t="s">
        <v>246</v>
      </c>
      <c r="E85" s="5">
        <v>40.662999999999997</v>
      </c>
      <c r="F85" s="7">
        <v>48.64</v>
      </c>
      <c r="G85" s="253">
        <v>45051</v>
      </c>
      <c r="H85" s="257">
        <v>45138</v>
      </c>
      <c r="J85" s="7">
        <v>48.6</v>
      </c>
      <c r="K85" s="7">
        <v>48.6</v>
      </c>
      <c r="M85" s="245" t="s">
        <v>309</v>
      </c>
      <c r="N85" s="258" t="s">
        <v>322</v>
      </c>
    </row>
    <row r="86" spans="1:14" ht="48" customHeight="1" x14ac:dyDescent="0.35">
      <c r="A86" s="273"/>
      <c r="C86" s="275"/>
      <c r="D86" s="243" t="s">
        <v>246</v>
      </c>
      <c r="E86" s="5">
        <v>40.662999999999997</v>
      </c>
      <c r="F86" s="4">
        <v>48.64</v>
      </c>
      <c r="G86" s="253">
        <v>45051</v>
      </c>
      <c r="H86" s="254">
        <v>45264</v>
      </c>
      <c r="J86" s="4">
        <v>79</v>
      </c>
      <c r="K86" s="4">
        <v>69</v>
      </c>
      <c r="M86" s="245" t="s">
        <v>314</v>
      </c>
      <c r="N86" s="258" t="s">
        <v>318</v>
      </c>
    </row>
    <row r="87" spans="1:14" ht="48" customHeight="1" x14ac:dyDescent="0.35">
      <c r="A87" s="273"/>
      <c r="C87" s="275"/>
      <c r="D87" s="243" t="s">
        <v>311</v>
      </c>
      <c r="E87" s="5">
        <v>69</v>
      </c>
      <c r="F87" s="4">
        <v>79</v>
      </c>
      <c r="G87" s="253">
        <v>46022</v>
      </c>
      <c r="H87" s="254">
        <v>46234</v>
      </c>
      <c r="J87" s="4" t="s">
        <v>312</v>
      </c>
      <c r="K87" s="4" t="s">
        <v>312</v>
      </c>
      <c r="M87" s="245" t="s">
        <v>309</v>
      </c>
      <c r="N87" s="259" t="s">
        <v>323</v>
      </c>
    </row>
    <row r="88" spans="1:14" ht="48" customHeight="1" x14ac:dyDescent="0.35">
      <c r="A88" s="273"/>
      <c r="C88" s="275"/>
      <c r="D88" s="243" t="s">
        <v>368</v>
      </c>
      <c r="E88" s="5">
        <v>69</v>
      </c>
      <c r="F88" s="4">
        <v>79</v>
      </c>
      <c r="G88" s="253">
        <v>46022</v>
      </c>
      <c r="H88" s="254">
        <v>46234</v>
      </c>
      <c r="J88" s="4">
        <v>69</v>
      </c>
      <c r="K88" s="4">
        <v>69</v>
      </c>
      <c r="M88" s="245" t="s">
        <v>369</v>
      </c>
      <c r="N88" s="259" t="s">
        <v>370</v>
      </c>
    </row>
    <row r="89" spans="1:14" ht="4.5" customHeight="1" x14ac:dyDescent="0.35"/>
    <row r="90" spans="1:14" ht="48" customHeight="1" x14ac:dyDescent="0.35">
      <c r="A90" s="273" t="s">
        <v>121</v>
      </c>
      <c r="B90" s="433" t="s">
        <v>3</v>
      </c>
      <c r="C90" s="275"/>
      <c r="D90" s="243" t="s">
        <v>310</v>
      </c>
      <c r="E90" s="5">
        <v>25.838000000000001</v>
      </c>
      <c r="F90" s="4">
        <v>31.94</v>
      </c>
      <c r="G90" s="253">
        <v>45058</v>
      </c>
      <c r="H90" s="254">
        <v>45412</v>
      </c>
      <c r="J90" s="4">
        <v>31.9</v>
      </c>
      <c r="K90" s="4">
        <v>25.8</v>
      </c>
      <c r="M90" s="245" t="s">
        <v>309</v>
      </c>
      <c r="N90" s="258" t="s">
        <v>324</v>
      </c>
    </row>
    <row r="91" spans="1:14" ht="4.5" customHeight="1" x14ac:dyDescent="0.35"/>
    <row r="92" spans="1:14" ht="48" customHeight="1" x14ac:dyDescent="0.35">
      <c r="A92" s="273" t="s">
        <v>295</v>
      </c>
      <c r="B92" s="433" t="s">
        <v>3</v>
      </c>
      <c r="C92" s="275"/>
      <c r="D92" s="243" t="s">
        <v>313</v>
      </c>
      <c r="E92" s="5">
        <v>54</v>
      </c>
      <c r="F92" s="4">
        <v>65</v>
      </c>
      <c r="G92" s="253">
        <v>47297</v>
      </c>
      <c r="H92" s="254">
        <v>47648</v>
      </c>
      <c r="J92" s="4" t="s">
        <v>164</v>
      </c>
      <c r="K92" s="4">
        <v>11</v>
      </c>
      <c r="M92" s="245" t="s">
        <v>314</v>
      </c>
      <c r="N92" s="258" t="s">
        <v>315</v>
      </c>
    </row>
    <row r="93" spans="1:14" ht="4.5" customHeight="1" x14ac:dyDescent="0.35"/>
    <row r="94" spans="1:14" ht="48" customHeight="1" x14ac:dyDescent="0.35">
      <c r="A94" s="273" t="s">
        <v>299</v>
      </c>
      <c r="B94" s="433" t="s">
        <v>3</v>
      </c>
      <c r="C94" s="275"/>
      <c r="D94" s="243" t="s">
        <v>316</v>
      </c>
      <c r="E94" s="5">
        <f>(774.5+34+27.3)-60.4</f>
        <v>775.4</v>
      </c>
      <c r="F94" s="7">
        <f>(855+25+27.3+48)-63.5</f>
        <v>891.8</v>
      </c>
      <c r="G94" s="253" t="s">
        <v>95</v>
      </c>
      <c r="H94" s="257" t="s">
        <v>95</v>
      </c>
      <c r="J94" s="7">
        <v>891.8</v>
      </c>
      <c r="K94" s="7">
        <v>891.8</v>
      </c>
      <c r="M94" s="245" t="s">
        <v>309</v>
      </c>
      <c r="N94" s="258" t="s">
        <v>325</v>
      </c>
    </row>
    <row r="95" spans="1:14" ht="48" customHeight="1" x14ac:dyDescent="0.35">
      <c r="A95" s="273"/>
      <c r="C95" s="275"/>
      <c r="D95" s="243" t="s">
        <v>321</v>
      </c>
      <c r="E95" s="5">
        <v>775.4</v>
      </c>
      <c r="F95" s="7">
        <v>891.8</v>
      </c>
      <c r="G95" s="253" t="s">
        <v>95</v>
      </c>
      <c r="H95" s="257" t="s">
        <v>95</v>
      </c>
      <c r="J95" s="7">
        <v>921.8</v>
      </c>
      <c r="K95" s="7">
        <v>921.8</v>
      </c>
      <c r="M95" s="245" t="s">
        <v>314</v>
      </c>
      <c r="N95" s="258" t="s">
        <v>318</v>
      </c>
    </row>
    <row r="96" spans="1:14" ht="82.5" customHeight="1" x14ac:dyDescent="0.35">
      <c r="D96" s="243" t="s">
        <v>326</v>
      </c>
      <c r="E96" s="5">
        <f>E94+28</f>
        <v>803.4</v>
      </c>
      <c r="F96" s="7">
        <f>F94+38</f>
        <v>929.8</v>
      </c>
      <c r="G96" s="253">
        <v>46022</v>
      </c>
      <c r="H96" s="257">
        <v>46234</v>
      </c>
      <c r="J96" s="7" t="s">
        <v>312</v>
      </c>
      <c r="K96" s="7" t="s">
        <v>312</v>
      </c>
      <c r="M96" s="245" t="s">
        <v>309</v>
      </c>
      <c r="N96" s="259" t="s">
        <v>371</v>
      </c>
    </row>
    <row r="97" spans="1:14" ht="48" customHeight="1" x14ac:dyDescent="0.35">
      <c r="D97" s="243" t="s">
        <v>372</v>
      </c>
      <c r="E97" s="5">
        <v>904</v>
      </c>
      <c r="F97" s="4">
        <v>921.8</v>
      </c>
      <c r="G97" s="253">
        <v>46022</v>
      </c>
      <c r="H97" s="254">
        <v>46234</v>
      </c>
      <c r="J97" s="4">
        <v>921.8</v>
      </c>
      <c r="K97" s="4">
        <v>921.8</v>
      </c>
      <c r="M97" s="245" t="s">
        <v>373</v>
      </c>
      <c r="N97" s="259" t="s">
        <v>374</v>
      </c>
    </row>
    <row r="98" spans="1:14" ht="4.5" customHeight="1" x14ac:dyDescent="0.35"/>
    <row r="99" spans="1:14" ht="48" customHeight="1" x14ac:dyDescent="0.35">
      <c r="A99" s="273" t="s">
        <v>320</v>
      </c>
      <c r="B99" s="433" t="s">
        <v>3</v>
      </c>
      <c r="C99" s="275"/>
      <c r="D99" s="243" t="s">
        <v>291</v>
      </c>
      <c r="E99" s="5">
        <v>130</v>
      </c>
      <c r="F99" s="4">
        <v>200</v>
      </c>
      <c r="G99" s="253" t="s">
        <v>319</v>
      </c>
      <c r="H99" s="254" t="s">
        <v>319</v>
      </c>
      <c r="J99" s="4">
        <v>200</v>
      </c>
      <c r="K99" s="4">
        <v>200</v>
      </c>
      <c r="M99" s="245" t="s">
        <v>314</v>
      </c>
      <c r="N99" s="213"/>
    </row>
  </sheetData>
  <sheetProtection algorithmName="SHA-512" hashValue="0MVZLw3QKmQROHtIdSXslpPILogFsaBJCZXZCmon5MoyIN+khCyLO5u7kNpdeT0Sjv4h9o9s8RxYNaeEHJCi/w==" saltValue="QAN6QhR/ntaURXoA2lTiOw==" spinCount="100000" sheet="1" objects="1" scenarios="1"/>
  <customSheetViews>
    <customSheetView guid="{7E571F1D-D438-4605-90D6-3F831F76D652}" scale="85" hiddenRows="1" state="hidden" topLeftCell="A99">
      <selection activeCell="F8" sqref="F8"/>
      <pageMargins left="0.7" right="0.7" top="0.75" bottom="0.75" header="0.3" footer="0.3"/>
    </customSheetView>
    <customSheetView guid="{466708C2-41CE-4656-AB81-E1E49DF5945D}" scale="85" hiddenRows="1" state="hidden" topLeftCell="A99">
      <selection activeCell="F8" sqref="F8"/>
      <pageMargins left="0.7" right="0.7" top="0.75" bottom="0.75" header="0.3" footer="0.3"/>
    </customSheetView>
    <customSheetView guid="{B84DA703-8C5B-4100-91A4-8807E303D379}" scale="85" hiddenRows="1" state="hidden" topLeftCell="A99">
      <selection activeCell="F8" sqref="F8"/>
      <pageMargins left="0.7" right="0.7" top="0.75" bottom="0.75" header="0.3" footer="0.3"/>
    </customSheetView>
    <customSheetView guid="{527A2BDE-37CE-4B02-9F2C-CD7E7AC81C63}" scale="85" hiddenRows="1" state="hidden" topLeftCell="A99">
      <selection activeCell="F8" sqref="F8"/>
      <pageMargins left="0.7" right="0.7" top="0.75" bottom="0.75" header="0.3" footer="0.3"/>
    </customSheetView>
    <customSheetView guid="{BDCD1595-C0B8-4F6C-B01C-3472C895B827}" scale="85" hiddenRows="1" state="hidden" topLeftCell="A99">
      <selection activeCell="F8" sqref="F8"/>
      <pageMargins left="0.7" right="0.7" top="0.75" bottom="0.75" header="0.3" footer="0.3"/>
    </customSheetView>
    <customSheetView guid="{C57A83F1-F5A3-470B-9579-6A222C54F4E8}" scale="85" hiddenRows="1" state="hidden" topLeftCell="A2">
      <selection activeCell="F8" sqref="F8"/>
      <pageMargins left="0.7" right="0.7" top="0.75" bottom="0.75" header="0.3" footer="0.3"/>
    </customSheetView>
    <customSheetView guid="{3827E543-57D2-48C8-B786-7077EA079DD2}" scale="85" hiddenRows="1" state="hidden" topLeftCell="A2">
      <selection activeCell="F8" sqref="F8"/>
      <pageMargins left="0.7" right="0.7" top="0.75" bottom="0.75" header="0.3" footer="0.3"/>
    </customSheetView>
    <customSheetView guid="{F5FA2A23-9E46-4C2F-B1EE-B71787F95C57}" scale="85" hiddenRows="1" state="hidden" topLeftCell="A2">
      <selection activeCell="F8" sqref="F8"/>
      <pageMargins left="0.7" right="0.7" top="0.75" bottom="0.75" header="0.3" footer="0.3"/>
    </customSheetView>
    <customSheetView guid="{42B0E8B1-ADFA-49AE-A83B-82D384737703}" scale="85" hiddenRows="1" state="hidden" topLeftCell="A2">
      <selection activeCell="F8" sqref="F8"/>
      <pageMargins left="0.7" right="0.7" top="0.75" bottom="0.75" header="0.3" footer="0.3"/>
    </customSheetView>
    <customSheetView guid="{602520CD-F98C-43A6-AA0D-88893E9CB6E8}" scale="85" hiddenRows="1" state="hidden" topLeftCell="A2">
      <selection activeCell="F8" sqref="F8"/>
      <pageMargins left="0.7" right="0.7" top="0.75" bottom="0.75" header="0.3" footer="0.3"/>
    </customSheetView>
    <customSheetView guid="{B8317A9A-0FFD-4A18-80F7-203DB2FC8CA5}" scale="85" hiddenRows="1" topLeftCell="A2">
      <selection activeCell="F8" sqref="F8"/>
      <pageMargins left="0.7" right="0.7" top="0.75" bottom="0.75" header="0.3" footer="0.3"/>
    </customSheetView>
    <customSheetView guid="{2608BE9B-66AC-4D4C-8EE0-E88C94E88140}" scale="85" hiddenRows="1" topLeftCell="A2">
      <selection activeCell="F8" sqref="F8"/>
      <pageMargins left="0.7" right="0.7" top="0.75" bottom="0.75" header="0.3" footer="0.3"/>
    </customSheetView>
    <customSheetView guid="{D850720D-4A1C-48F2-8E1D-8E09B7414A1A}" scale="85" hiddenRows="1" topLeftCell="A2">
      <selection activeCell="F8" sqref="F8"/>
      <pageMargins left="0.7" right="0.7" top="0.75" bottom="0.75" header="0.3" footer="0.3"/>
    </customSheetView>
    <customSheetView guid="{A8E976B8-D767-4DB4-82BD-ABE90880F33F}" scale="85" hiddenRows="1" topLeftCell="A2">
      <selection activeCell="F8" sqref="F8"/>
      <pageMargins left="0.7" right="0.7" top="0.75" bottom="0.75" header="0.3" footer="0.3"/>
    </customSheetView>
    <customSheetView guid="{B95D32C7-1418-4EF6-8936-849885C54A4A}" scale="85" hiddenRows="1" topLeftCell="A20">
      <selection activeCell="H38" sqref="H38"/>
      <pageMargins left="0.7" right="0.7" top="0.75" bottom="0.75" header="0.3" footer="0.3"/>
    </customSheetView>
    <customSheetView guid="{9355C9F4-9C07-4A93-B7F2-69F1D1526716}" scale="85" hiddenRows="1" topLeftCell="A20">
      <selection activeCell="H38" sqref="H38"/>
      <pageMargins left="0.7" right="0.7" top="0.75" bottom="0.75" header="0.3" footer="0.3"/>
    </customSheetView>
    <customSheetView guid="{1ECD6E30-299B-4354-A416-2DAFF33C7022}" scale="85" hiddenRows="1" topLeftCell="A12">
      <selection activeCell="A2" sqref="A2:A5"/>
      <pageMargins left="0.7" right="0.7" top="0.75" bottom="0.75" header="0.3" footer="0.3"/>
    </customSheetView>
    <customSheetView guid="{9AF6E233-883D-48B4-95AB-42B37199AB9E}" scale="85" hiddenRows="1" topLeftCell="A2">
      <selection activeCell="A2" sqref="A2:A5"/>
      <pageMargins left="0.7" right="0.7" top="0.75" bottom="0.75" header="0.3" footer="0.3"/>
    </customSheetView>
    <customSheetView guid="{451730E2-FFE9-4FCE-B8B5-64952C26C672}" scale="85" hiddenRows="1" topLeftCell="A37">
      <selection activeCell="M41" sqref="M41"/>
      <pageMargins left="0.7" right="0.7" top="0.75" bottom="0.75" header="0.3" footer="0.3"/>
    </customSheetView>
    <customSheetView guid="{4EBEE699-7DEF-4A50-9CB7-490835CF0B98}" scale="85" hiddenRows="1" topLeftCell="A37">
      <selection activeCell="M41" sqref="M41"/>
      <pageMargins left="0.7" right="0.7" top="0.75" bottom="0.75" header="0.3" footer="0.3"/>
    </customSheetView>
    <customSheetView guid="{A03C6B09-6B58-4DDE-A3B2-41A27A7049D9}" scale="85" hiddenRows="1" topLeftCell="A37">
      <selection activeCell="M41" sqref="M41"/>
      <pageMargins left="0.7" right="0.7" top="0.75" bottom="0.75" header="0.3" footer="0.3"/>
    </customSheetView>
    <customSheetView guid="{3C97F0B0-2F3C-4E03-96E0-0C4FEC2F24AC}" scale="85" hiddenRows="1" topLeftCell="A37">
      <selection activeCell="M41" sqref="M41"/>
      <pageMargins left="0.7" right="0.7" top="0.75" bottom="0.75" header="0.3" footer="0.3"/>
    </customSheetView>
    <customSheetView guid="{B0A28FD4-D7F6-428C-A7F7-92132DCD74BB}" scale="85" hiddenRows="1" topLeftCell="A37">
      <selection activeCell="M41" sqref="M41"/>
      <pageMargins left="0.7" right="0.7" top="0.75" bottom="0.75" header="0.3" footer="0.3"/>
    </customSheetView>
    <customSheetView guid="{3BB18945-69B5-4B22-8D55-989F8F233459}" scale="85" hiddenRows="1" topLeftCell="A37">
      <selection activeCell="M41" sqref="M41"/>
      <pageMargins left="0.7" right="0.7" top="0.75" bottom="0.75" header="0.3" footer="0.3"/>
    </customSheetView>
    <customSheetView guid="{D16D941B-FC89-4FEC-A49B-5FA2532584DE}" scale="85" hiddenRows="1" topLeftCell="A37">
      <selection activeCell="M41" sqref="M41"/>
      <pageMargins left="0.7" right="0.7" top="0.75" bottom="0.75" header="0.3" footer="0.3"/>
    </customSheetView>
    <customSheetView guid="{C39AE06A-FC0A-4D7D-B287-2FA9CA174191}" scale="85" hiddenRows="1" topLeftCell="A37">
      <selection activeCell="M41" sqref="M41"/>
      <pageMargins left="0.7" right="0.7" top="0.75" bottom="0.75" header="0.3" footer="0.3"/>
    </customSheetView>
    <customSheetView guid="{4E6F9C2D-76F2-4884-BBF6-E02A7BAE11EF}" scale="85" hiddenRows="1" topLeftCell="A78">
      <selection activeCell="H90" sqref="H90"/>
      <pageMargins left="0.7" right="0.7" top="0.75" bottom="0.75" header="0.3" footer="0.3"/>
    </customSheetView>
    <customSheetView guid="{008CCD98-7480-4C51-806A-4B55C801DDC2}" scale="85" hiddenRows="1" topLeftCell="A78">
      <selection activeCell="H90" sqref="H90"/>
      <pageMargins left="0.7" right="0.7" top="0.75" bottom="0.75" header="0.3" footer="0.3"/>
    </customSheetView>
    <customSheetView guid="{D27C51BB-BB54-4F37-8171-98067C39697C}" scale="85" hiddenRows="1" topLeftCell="A92">
      <selection activeCell="F97" sqref="F97"/>
      <pageMargins left="0.7" right="0.7" top="0.75" bottom="0.75" header="0.3" footer="0.3"/>
    </customSheetView>
    <customSheetView guid="{6702457D-A9A8-4F46-8E1C-BC7255F4BA77}" scale="85" hiddenRows="1" topLeftCell="A58">
      <selection activeCell="E73" sqref="E73"/>
      <pageMargins left="0.7" right="0.7" top="0.75" bottom="0.75" header="0.3" footer="0.3"/>
    </customSheetView>
    <customSheetView guid="{016CEBB2-C827-48F4-95E1-85D8C5129F41}" scale="85" hiddenRows="1" topLeftCell="A106">
      <selection activeCell="A99" sqref="A99"/>
      <pageMargins left="0.7" right="0.7" top="0.75" bottom="0.75" header="0.3" footer="0.3"/>
    </customSheetView>
    <customSheetView guid="{EB96DBE4-2D64-4388-853C-CB52A0CB79BA}" scale="85" hiddenRows="1" topLeftCell="A37">
      <selection activeCell="M41" sqref="M41"/>
      <pageMargins left="0.7" right="0.7" top="0.75" bottom="0.75" header="0.3" footer="0.3"/>
    </customSheetView>
    <customSheetView guid="{351EFD38-BF62-4E34-A37F-0EEB3E165043}" scale="85" hiddenRows="1" topLeftCell="A37">
      <selection activeCell="M41" sqref="M41"/>
      <pageMargins left="0.7" right="0.7" top="0.75" bottom="0.75" header="0.3" footer="0.3"/>
    </customSheetView>
    <customSheetView guid="{593284E7-E32C-4D6C-8C2F-3DEEF9DEE1DF}" scale="85" hiddenRows="1" topLeftCell="A37">
      <selection activeCell="M41" sqref="M41"/>
      <pageMargins left="0.7" right="0.7" top="0.75" bottom="0.75" header="0.3" footer="0.3"/>
    </customSheetView>
    <customSheetView guid="{E06B4FE8-6127-47B2-A6A5-4FAC9EEB4538}" scale="85" hiddenRows="1" topLeftCell="A37">
      <selection activeCell="M41" sqref="M41"/>
      <pageMargins left="0.7" right="0.7" top="0.75" bottom="0.75" header="0.3" footer="0.3"/>
    </customSheetView>
    <customSheetView guid="{51B3083F-A103-41AB-A137-63549C54B838}" scale="85" hiddenRows="1" topLeftCell="A37">
      <selection activeCell="M41" sqref="M41"/>
      <pageMargins left="0.7" right="0.7" top="0.75" bottom="0.75" header="0.3" footer="0.3"/>
    </customSheetView>
    <customSheetView guid="{8CB67476-3FD4-42E0-ACD6-62ACA9412843}" scale="85" hiddenRows="1" topLeftCell="A37">
      <selection activeCell="M41" sqref="M41"/>
      <pageMargins left="0.7" right="0.7" top="0.75" bottom="0.75" header="0.3" footer="0.3"/>
    </customSheetView>
    <customSheetView guid="{151EB58C-4EFD-4330-8D1A-8AACF5F7C679}" scale="85" hiddenRows="1" topLeftCell="A38">
      <selection activeCell="BI66" sqref="BI66"/>
      <pageMargins left="0.7" right="0.7" top="0.75" bottom="0.75" header="0.3" footer="0.3"/>
    </customSheetView>
    <customSheetView guid="{8263C9D2-452D-46FA-AFA0-452B42DC0298}" scale="85" hiddenRows="1" topLeftCell="A38">
      <selection activeCell="BI66" sqref="BI66"/>
      <pageMargins left="0.7" right="0.7" top="0.75" bottom="0.75" header="0.3" footer="0.3"/>
    </customSheetView>
    <customSheetView guid="{DF265C7B-1EEB-47EB-982A-6938E81F7AC2}" scale="85" hiddenRows="1" topLeftCell="A2">
      <selection activeCell="A2" sqref="A2:A5"/>
      <pageMargins left="0.7" right="0.7" top="0.75" bottom="0.75" header="0.3" footer="0.3"/>
    </customSheetView>
    <customSheetView guid="{9F91FBC4-6A13-42C2-A2D9-42A2AC814E28}" scale="85" hiddenRows="1" topLeftCell="A2">
      <selection activeCell="A2" sqref="A2:A5"/>
      <pageMargins left="0.7" right="0.7" top="0.75" bottom="0.75" header="0.3" footer="0.3"/>
    </customSheetView>
    <customSheetView guid="{F4A6298C-1A75-4FA9-A6A4-2BE13CCFE545}" scale="85" hiddenRows="1" topLeftCell="A12">
      <selection activeCell="A2" sqref="A2:A5"/>
      <pageMargins left="0.7" right="0.7" top="0.75" bottom="0.75" header="0.3" footer="0.3"/>
    </customSheetView>
    <customSheetView guid="{29AC9BE3-332A-4738-949C-1F8C0D32BAEE}" scale="85" hiddenRows="1" topLeftCell="A20">
      <selection activeCell="H38" sqref="H38"/>
      <pageMargins left="0.7" right="0.7" top="0.75" bottom="0.75" header="0.3" footer="0.3"/>
    </customSheetView>
    <customSheetView guid="{75EE3B92-AF4D-4E93-A70E-6ADE60CC674F}" scale="85" hiddenRows="1" topLeftCell="A20">
      <selection activeCell="H38" sqref="H38"/>
      <pageMargins left="0.7" right="0.7" top="0.75" bottom="0.75" header="0.3" footer="0.3"/>
    </customSheetView>
    <customSheetView guid="{CA7E8063-5145-49E1-8E00-2E1025705A81}" scale="85" hiddenRows="1" topLeftCell="A20">
      <selection activeCell="H38" sqref="H38"/>
      <pageMargins left="0.7" right="0.7" top="0.75" bottom="0.75" header="0.3" footer="0.3"/>
    </customSheetView>
    <customSheetView guid="{51DFD3D6-BC25-47B4-B28F-D640534DB3A9}" scale="85" hiddenRows="1" topLeftCell="A20">
      <selection activeCell="H38" sqref="H38"/>
      <pageMargins left="0.7" right="0.7" top="0.75" bottom="0.75" header="0.3" footer="0.3"/>
    </customSheetView>
    <customSheetView guid="{37F5A0AB-EB39-4832-9D67-F67D908BF486}" scale="85" hiddenRows="1" topLeftCell="A20">
      <selection activeCell="H38" sqref="H38"/>
      <pageMargins left="0.7" right="0.7" top="0.75" bottom="0.75" header="0.3" footer="0.3"/>
    </customSheetView>
    <customSheetView guid="{70582C04-BB53-4A99-A3C1-673011D9AE1C}" scale="85" hiddenRows="1" topLeftCell="A39">
      <selection activeCell="N34" sqref="N34"/>
      <pageMargins left="0.7" right="0.7" top="0.75" bottom="0.75" header="0.3" footer="0.3"/>
    </customSheetView>
    <customSheetView guid="{442F9A23-CA6E-4109-B10C-ACF5FD36B859}" scale="85" hiddenRows="1" topLeftCell="A2">
      <selection activeCell="F8" sqref="F8"/>
      <pageMargins left="0.7" right="0.7" top="0.75" bottom="0.75" header="0.3" footer="0.3"/>
    </customSheetView>
    <customSheetView guid="{E4713981-DD11-40CE-BE52-873D93BDDE05}" scale="85" hiddenRows="1" topLeftCell="A2">
      <selection activeCell="F8" sqref="F8"/>
      <pageMargins left="0.7" right="0.7" top="0.75" bottom="0.75" header="0.3" footer="0.3"/>
    </customSheetView>
    <customSheetView guid="{83044EFE-7F92-4F81-B034-85D9567158C2}" scale="85" hiddenRows="1" topLeftCell="A2">
      <selection activeCell="F8" sqref="F8"/>
      <pageMargins left="0.7" right="0.7" top="0.75" bottom="0.75" header="0.3" footer="0.3"/>
    </customSheetView>
    <customSheetView guid="{E3A3AE56-8881-4A6F-9299-803C489AD1B4}" scale="85" hiddenRows="1" topLeftCell="A2">
      <selection activeCell="F8" sqref="F8"/>
      <pageMargins left="0.7" right="0.7" top="0.75" bottom="0.75" header="0.3" footer="0.3"/>
    </customSheetView>
    <customSheetView guid="{FBC63E8F-69FE-4648-B709-FA1212EFFB29}" scale="85" hiddenRows="1" topLeftCell="A2">
      <selection activeCell="F8" sqref="F8"/>
      <pageMargins left="0.7" right="0.7" top="0.75" bottom="0.75" header="0.3" footer="0.3"/>
    </customSheetView>
    <customSheetView guid="{0EDA65D2-43FB-421C-9D8C-D8082C64B09A}" scale="85" hiddenRows="1" state="hidden" topLeftCell="A2">
      <selection activeCell="F8" sqref="F8"/>
      <pageMargins left="0.7" right="0.7" top="0.75" bottom="0.75" header="0.3" footer="0.3"/>
    </customSheetView>
    <customSheetView guid="{B434A8A8-5A4C-48C0-82E7-2458B9D2EEEF}" scale="85" hiddenRows="1" state="hidden" topLeftCell="A2">
      <selection activeCell="F8" sqref="F8"/>
      <pageMargins left="0.7" right="0.7" top="0.75" bottom="0.75" header="0.3" footer="0.3"/>
    </customSheetView>
    <customSheetView guid="{EDD5A64E-02C0-4DD6-80BA-449123FCDAA2}" scale="85" hiddenRows="1" state="hidden" topLeftCell="A2">
      <selection activeCell="F8" sqref="F8"/>
      <pageMargins left="0.7" right="0.7" top="0.75" bottom="0.75" header="0.3" footer="0.3"/>
    </customSheetView>
    <customSheetView guid="{97D58294-343B-4B62-A826-0DDDE29B5F0D}" scale="85" hiddenRows="1" state="hidden" topLeftCell="A2">
      <selection activeCell="F8" sqref="F8"/>
      <pageMargins left="0.7" right="0.7" top="0.75" bottom="0.75" header="0.3" footer="0.3"/>
    </customSheetView>
    <customSheetView guid="{800416AC-1374-44AC-811C-612C85EF24E6}" scale="85" hiddenRows="1" state="hidden" topLeftCell="A2">
      <selection activeCell="F8" sqref="F8"/>
      <pageMargins left="0.7" right="0.7" top="0.75" bottom="0.75" header="0.3" footer="0.3"/>
    </customSheetView>
    <customSheetView guid="{2EA8DBF7-9763-457C-AA9F-1EEB2F136D1F}" scale="85" hiddenRows="1" state="hidden" topLeftCell="A2">
      <selection activeCell="F8" sqref="F8"/>
      <pageMargins left="0.7" right="0.7" top="0.75" bottom="0.75" header="0.3" footer="0.3"/>
    </customSheetView>
    <customSheetView guid="{78AA4A71-CE17-4C4D-849E-E3E1A44EA907}" scale="85" hiddenRows="1" state="hidden" topLeftCell="A2">
      <selection activeCell="F8" sqref="F8"/>
      <pageMargins left="0.7" right="0.7" top="0.75" bottom="0.75" header="0.3" footer="0.3"/>
    </customSheetView>
    <customSheetView guid="{C7C13768-4A8D-4CBA-978C-F4A7B5550C00}" scale="85" hiddenRows="1" state="hidden" topLeftCell="A99">
      <selection activeCell="F8" sqref="F8"/>
      <pageMargins left="0.7" right="0.7" top="0.75" bottom="0.75" header="0.3" footer="0.3"/>
    </customSheetView>
    <customSheetView guid="{D59DDBAA-620D-43B7-A6D9-759808D3397A}" scale="85" hiddenRows="1" state="hidden" topLeftCell="A99">
      <selection activeCell="F8" sqref="F8"/>
      <pageMargins left="0.7" right="0.7" top="0.75" bottom="0.75" header="0.3" footer="0.3"/>
    </customSheetView>
  </customSheetViews>
  <mergeCells count="14">
    <mergeCell ref="J4:J5"/>
    <mergeCell ref="K4:K5"/>
    <mergeCell ref="M4:M5"/>
    <mergeCell ref="N4:N5"/>
    <mergeCell ref="A2:A5"/>
    <mergeCell ref="B2:B5"/>
    <mergeCell ref="D2:K2"/>
    <mergeCell ref="D3:H3"/>
    <mergeCell ref="J3:K3"/>
    <mergeCell ref="D4:D5"/>
    <mergeCell ref="E4:E5"/>
    <mergeCell ref="F4:F5"/>
    <mergeCell ref="G4:G5"/>
    <mergeCell ref="H4:H5"/>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4EF461-F0AE-421B-9155-F1BEAD57440E}">
  <sheetPr codeName="Sheet13">
    <pageSetUpPr fitToPage="1"/>
  </sheetPr>
  <dimension ref="A1:AI83"/>
  <sheetViews>
    <sheetView zoomScale="55" zoomScaleNormal="55" workbookViewId="0">
      <pane xSplit="1" ySplit="4" topLeftCell="B5" activePane="bottomRight" state="frozen"/>
      <selection activeCell="BI66" sqref="BI66"/>
      <selection pane="topRight" activeCell="BI66" sqref="BI66"/>
      <selection pane="bottomLeft" activeCell="BI66" sqref="BI66"/>
      <selection pane="bottomRight" activeCell="A29" sqref="A29"/>
    </sheetView>
  </sheetViews>
  <sheetFormatPr defaultColWidth="9.453125" defaultRowHeight="14.5" outlineLevelRow="1" x14ac:dyDescent="0.35"/>
  <cols>
    <col min="1" max="1" width="41.54296875" style="619" customWidth="1"/>
    <col min="2" max="2" width="10.453125" style="619" customWidth="1"/>
    <col min="3" max="3" width="9.453125" style="619" customWidth="1"/>
    <col min="4" max="4" width="8.453125" style="619" customWidth="1"/>
    <col min="5" max="5" width="12.54296875" style="619" customWidth="1"/>
    <col min="6" max="6" width="13.453125" style="619" customWidth="1"/>
    <col min="7" max="7" width="13" style="619" customWidth="1"/>
    <col min="8" max="8" width="12.54296875" style="619" customWidth="1"/>
    <col min="9" max="9" width="12.453125" style="619" customWidth="1"/>
    <col min="10" max="10" width="13.54296875" style="619" customWidth="1"/>
    <col min="11" max="11" width="13.453125" style="619" customWidth="1"/>
    <col min="12" max="14" width="9.453125" style="619"/>
    <col min="15" max="15" width="13.453125" style="619" customWidth="1"/>
    <col min="16" max="17" width="12.453125" style="619" customWidth="1"/>
    <col min="18" max="18" width="12.54296875" style="619" customWidth="1"/>
    <col min="19" max="19" width="12.453125" style="619" customWidth="1"/>
    <col min="20" max="20" width="12" style="619" customWidth="1"/>
    <col min="21" max="21" width="13.453125" style="619" customWidth="1"/>
    <col min="22" max="23" width="13.54296875" style="619" customWidth="1"/>
    <col min="24" max="24" width="13.453125" style="619" customWidth="1"/>
    <col min="25" max="25" width="8.54296875" style="619" customWidth="1"/>
    <col min="26" max="26" width="9" style="619" customWidth="1"/>
    <col min="27" max="27" width="13.54296875" style="619" customWidth="1"/>
    <col min="28" max="28" width="13.453125" style="619" customWidth="1"/>
    <col min="29" max="29" width="11.453125" style="619" customWidth="1"/>
    <col min="30" max="30" width="22.54296875" style="468" customWidth="1"/>
    <col min="31" max="31" width="22.54296875" style="466" customWidth="1"/>
    <col min="32" max="32" width="1.54296875" style="466" customWidth="1"/>
    <col min="33" max="34" width="22.54296875" style="554" customWidth="1"/>
    <col min="35" max="16384" width="9.453125" style="466"/>
  </cols>
  <sheetData>
    <row r="1" spans="1:34" ht="15" customHeight="1" x14ac:dyDescent="0.35">
      <c r="A1" s="277"/>
      <c r="B1" s="762" t="s">
        <v>216</v>
      </c>
      <c r="C1" s="738"/>
      <c r="D1" s="738"/>
      <c r="E1" s="738"/>
      <c r="F1" s="738"/>
      <c r="G1" s="738"/>
      <c r="H1" s="738"/>
      <c r="I1" s="738"/>
      <c r="J1" s="738"/>
      <c r="K1" s="739"/>
      <c r="L1" s="756" t="s">
        <v>69</v>
      </c>
      <c r="M1" s="738"/>
      <c r="N1" s="738"/>
      <c r="O1" s="738"/>
      <c r="P1" s="738"/>
      <c r="Q1" s="738"/>
      <c r="R1" s="738"/>
      <c r="S1" s="738"/>
      <c r="T1" s="738"/>
      <c r="U1" s="738"/>
      <c r="V1" s="738"/>
      <c r="W1" s="738"/>
      <c r="X1" s="738"/>
      <c r="Y1" s="738"/>
      <c r="Z1" s="738"/>
      <c r="AA1" s="738"/>
      <c r="AB1" s="739"/>
      <c r="AC1" s="278"/>
      <c r="AD1" s="757" t="s">
        <v>482</v>
      </c>
      <c r="AE1" s="757"/>
      <c r="AF1" s="757"/>
      <c r="AG1" s="757"/>
      <c r="AH1" s="757"/>
    </row>
    <row r="2" spans="1:34" ht="15" customHeight="1" x14ac:dyDescent="0.35">
      <c r="A2" s="279" t="s">
        <v>215</v>
      </c>
      <c r="B2" s="755" t="s">
        <v>215</v>
      </c>
      <c r="C2" s="753"/>
      <c r="D2" s="754" t="s">
        <v>48</v>
      </c>
      <c r="E2" s="738"/>
      <c r="F2" s="738"/>
      <c r="G2" s="738"/>
      <c r="H2" s="738"/>
      <c r="I2" s="739"/>
      <c r="J2" s="754" t="s">
        <v>30</v>
      </c>
      <c r="K2" s="739"/>
      <c r="L2" s="755" t="s">
        <v>215</v>
      </c>
      <c r="M2" s="753"/>
      <c r="N2" s="755" t="s">
        <v>215</v>
      </c>
      <c r="O2" s="753" t="s">
        <v>215</v>
      </c>
      <c r="P2" s="754" t="s">
        <v>33</v>
      </c>
      <c r="Q2" s="738"/>
      <c r="R2" s="738"/>
      <c r="S2" s="738"/>
      <c r="T2" s="738"/>
      <c r="U2" s="739"/>
      <c r="V2" s="754" t="s">
        <v>217</v>
      </c>
      <c r="W2" s="738"/>
      <c r="X2" s="738"/>
      <c r="Y2" s="738"/>
      <c r="Z2" s="738"/>
      <c r="AA2" s="738"/>
      <c r="AB2" s="739"/>
      <c r="AC2" s="280" t="s">
        <v>215</v>
      </c>
      <c r="AD2" s="757"/>
      <c r="AE2" s="757"/>
      <c r="AF2" s="757"/>
      <c r="AG2" s="757"/>
      <c r="AH2" s="757"/>
    </row>
    <row r="3" spans="1:34" ht="15.75" customHeight="1" x14ac:dyDescent="0.35">
      <c r="A3" s="281" t="s">
        <v>215</v>
      </c>
      <c r="B3" s="751" t="s">
        <v>215</v>
      </c>
      <c r="C3" s="746"/>
      <c r="D3" s="752" t="s">
        <v>215</v>
      </c>
      <c r="E3" s="753"/>
      <c r="F3" s="756" t="s">
        <v>73</v>
      </c>
      <c r="G3" s="739"/>
      <c r="H3" s="756" t="s">
        <v>74</v>
      </c>
      <c r="I3" s="739"/>
      <c r="J3" s="282" t="s">
        <v>215</v>
      </c>
      <c r="K3" s="282" t="s">
        <v>215</v>
      </c>
      <c r="L3" s="760" t="s">
        <v>215</v>
      </c>
      <c r="M3" s="748"/>
      <c r="N3" s="760" t="s">
        <v>215</v>
      </c>
      <c r="O3" s="748" t="s">
        <v>215</v>
      </c>
      <c r="P3" s="759" t="s">
        <v>73</v>
      </c>
      <c r="Q3" s="738"/>
      <c r="R3" s="739"/>
      <c r="S3" s="759" t="s">
        <v>74</v>
      </c>
      <c r="T3" s="738"/>
      <c r="U3" s="739"/>
      <c r="V3" s="620" t="s">
        <v>215</v>
      </c>
      <c r="W3" s="620" t="s">
        <v>215</v>
      </c>
      <c r="X3" s="620" t="s">
        <v>215</v>
      </c>
      <c r="Y3" s="620" t="s">
        <v>215</v>
      </c>
      <c r="Z3" s="620" t="s">
        <v>215</v>
      </c>
      <c r="AA3" s="759" t="s">
        <v>80</v>
      </c>
      <c r="AB3" s="739"/>
      <c r="AC3" s="621" t="s">
        <v>215</v>
      </c>
      <c r="AD3" s="758" t="s">
        <v>484</v>
      </c>
      <c r="AE3" s="758"/>
      <c r="AG3" s="761" t="s">
        <v>483</v>
      </c>
      <c r="AH3" s="761"/>
    </row>
    <row r="4" spans="1:34" ht="50.25" customHeight="1" x14ac:dyDescent="0.35">
      <c r="A4" s="283" t="s">
        <v>218</v>
      </c>
      <c r="B4" s="745" t="s">
        <v>219</v>
      </c>
      <c r="C4" s="746"/>
      <c r="D4" s="743" t="s">
        <v>220</v>
      </c>
      <c r="E4" s="744"/>
      <c r="F4" s="618" t="s">
        <v>221</v>
      </c>
      <c r="G4" s="618" t="s">
        <v>222</v>
      </c>
      <c r="H4" s="284" t="s">
        <v>221</v>
      </c>
      <c r="I4" s="285" t="s">
        <v>222</v>
      </c>
      <c r="J4" s="286" t="s">
        <v>223</v>
      </c>
      <c r="K4" s="286" t="s">
        <v>2</v>
      </c>
      <c r="L4" s="747" t="s">
        <v>68</v>
      </c>
      <c r="M4" s="748"/>
      <c r="N4" s="749" t="s">
        <v>224</v>
      </c>
      <c r="O4" s="750"/>
      <c r="P4" s="618" t="s">
        <v>81</v>
      </c>
      <c r="Q4" s="618" t="s">
        <v>225</v>
      </c>
      <c r="R4" s="618" t="s">
        <v>92</v>
      </c>
      <c r="S4" s="618" t="s">
        <v>81</v>
      </c>
      <c r="T4" s="618" t="s">
        <v>84</v>
      </c>
      <c r="U4" s="618" t="s">
        <v>226</v>
      </c>
      <c r="V4" s="287" t="s">
        <v>227</v>
      </c>
      <c r="W4" s="287" t="s">
        <v>228</v>
      </c>
      <c r="X4" s="287" t="s">
        <v>229</v>
      </c>
      <c r="Y4" s="287" t="s">
        <v>230</v>
      </c>
      <c r="Z4" s="287" t="s">
        <v>231</v>
      </c>
      <c r="AA4" s="618" t="s">
        <v>214</v>
      </c>
      <c r="AB4" s="618" t="s">
        <v>86</v>
      </c>
      <c r="AC4" s="283" t="s">
        <v>70</v>
      </c>
      <c r="AD4" s="573" t="s">
        <v>455</v>
      </c>
      <c r="AE4" s="573" t="s">
        <v>31</v>
      </c>
      <c r="AG4" s="570" t="s">
        <v>455</v>
      </c>
      <c r="AH4" s="570" t="s">
        <v>31</v>
      </c>
    </row>
    <row r="5" spans="1:34" ht="38.25" customHeight="1" x14ac:dyDescent="0.35">
      <c r="A5" s="289" t="s">
        <v>294</v>
      </c>
      <c r="B5" s="311" t="s">
        <v>88</v>
      </c>
      <c r="C5" s="291">
        <v>0</v>
      </c>
      <c r="D5" s="292" t="s">
        <v>234</v>
      </c>
      <c r="E5" s="293">
        <v>43670</v>
      </c>
      <c r="F5" s="294">
        <v>47818000</v>
      </c>
      <c r="G5" s="294">
        <v>51060000</v>
      </c>
      <c r="H5" s="295">
        <v>46058</v>
      </c>
      <c r="I5" s="295">
        <v>46321</v>
      </c>
      <c r="J5" s="294">
        <v>51060000</v>
      </c>
      <c r="K5" s="294">
        <v>47818000</v>
      </c>
      <c r="L5" s="311" t="s">
        <v>88</v>
      </c>
      <c r="M5" s="291">
        <v>0</v>
      </c>
      <c r="N5" s="291" t="str">
        <f>D5</f>
        <v>FBC</v>
      </c>
      <c r="O5" s="297">
        <v>44634</v>
      </c>
      <c r="P5" s="294">
        <v>38593832</v>
      </c>
      <c r="Q5" s="294">
        <v>38562535.920000002</v>
      </c>
      <c r="R5" s="294">
        <v>29500.03</v>
      </c>
      <c r="S5" s="295">
        <v>46058</v>
      </c>
      <c r="T5" s="295">
        <v>46836</v>
      </c>
      <c r="U5" s="298">
        <v>0</v>
      </c>
      <c r="V5" s="294">
        <v>38574743.159999996</v>
      </c>
      <c r="W5" s="294">
        <v>23196600.929000001</v>
      </c>
      <c r="X5" s="294">
        <v>28369282.530000001</v>
      </c>
      <c r="Y5" s="299">
        <v>0.81766611138191514</v>
      </c>
      <c r="Z5" s="300">
        <v>0.60134168185606141</v>
      </c>
      <c r="AA5" s="288">
        <f>IFERROR(V5/P5,"")</f>
        <v>0.99950539143145978</v>
      </c>
      <c r="AB5" s="288">
        <f>IFERROR(W5/P5,"")</f>
        <v>0.60104425310759502</v>
      </c>
      <c r="AC5" s="311" t="s">
        <v>90</v>
      </c>
      <c r="AD5" s="469" t="str">
        <f>$D5&amp;CHAR(10)&amp;TEXT($E5,"(mmm-yy)")</f>
        <v>FBC
(Jul-19)</v>
      </c>
      <c r="AE5" s="553" t="str">
        <f>$N5&amp;CHAR(10)&amp;TEXT($O5,"(mmm-yy)")</f>
        <v>FBC
(Mar-22)</v>
      </c>
      <c r="AG5" s="571" t="s">
        <v>492</v>
      </c>
      <c r="AH5" s="571" t="s">
        <v>375</v>
      </c>
    </row>
    <row r="6" spans="1:34" ht="24.5" outlineLevel="1" collapsed="1" x14ac:dyDescent="0.35">
      <c r="A6" s="289" t="s">
        <v>215</v>
      </c>
      <c r="B6" s="301" t="s">
        <v>215</v>
      </c>
      <c r="C6" s="302" t="str" cm="2">
        <f t="array" ref="C6">IFERROR(_xlfn.SWITCH(C5,-1,"i",0,"g",1,"h"),"")</f>
        <v>g</v>
      </c>
      <c r="D6" s="292" t="s">
        <v>215</v>
      </c>
      <c r="E6" s="292" t="s">
        <v>215</v>
      </c>
      <c r="F6" s="303" t="s">
        <v>215</v>
      </c>
      <c r="G6" s="303" t="s">
        <v>215</v>
      </c>
      <c r="H6" s="303" t="s">
        <v>215</v>
      </c>
      <c r="I6" s="303" t="s">
        <v>215</v>
      </c>
      <c r="J6" s="303" t="s">
        <v>215</v>
      </c>
      <c r="K6" s="303" t="s">
        <v>215</v>
      </c>
      <c r="L6" s="301" t="s">
        <v>215</v>
      </c>
      <c r="M6" s="302" t="str" cm="2">
        <f t="array" ref="M6">IFERROR(_xlfn.SWITCH(M5,-1,"i",0,"g",1,"h"),"")</f>
        <v>g</v>
      </c>
      <c r="N6" s="302"/>
      <c r="O6" s="303" t="s">
        <v>215</v>
      </c>
      <c r="P6" s="303" t="s">
        <v>215</v>
      </c>
      <c r="Q6" s="303" t="s">
        <v>215</v>
      </c>
      <c r="R6" s="303" t="s">
        <v>215</v>
      </c>
      <c r="S6" s="303" t="s">
        <v>215</v>
      </c>
      <c r="T6" s="303" t="s">
        <v>215</v>
      </c>
      <c r="U6" s="303" t="s">
        <v>215</v>
      </c>
      <c r="V6" s="303" t="s">
        <v>215</v>
      </c>
      <c r="W6" s="303" t="s">
        <v>215</v>
      </c>
      <c r="X6" s="303" t="s">
        <v>215</v>
      </c>
      <c r="Y6" s="304" t="s">
        <v>215</v>
      </c>
      <c r="Z6" s="305" t="s">
        <v>215</v>
      </c>
      <c r="AA6" s="303" t="s">
        <v>215</v>
      </c>
      <c r="AB6" s="303" t="s">
        <v>215</v>
      </c>
      <c r="AC6" s="303" t="s">
        <v>215</v>
      </c>
      <c r="AD6" s="469"/>
      <c r="AE6" s="567"/>
      <c r="AG6" s="571"/>
      <c r="AH6" s="571"/>
    </row>
    <row r="7" spans="1:34" ht="16" x14ac:dyDescent="0.35">
      <c r="A7" s="737"/>
      <c r="B7" s="738"/>
      <c r="C7" s="738"/>
      <c r="D7" s="738"/>
      <c r="E7" s="738"/>
      <c r="F7" s="738"/>
      <c r="G7" s="738"/>
      <c r="H7" s="738"/>
      <c r="I7" s="738"/>
      <c r="J7" s="738"/>
      <c r="K7" s="738"/>
      <c r="L7" s="738"/>
      <c r="M7" s="738"/>
      <c r="N7" s="738"/>
      <c r="O7" s="738"/>
      <c r="P7" s="738"/>
      <c r="Q7" s="738"/>
      <c r="R7" s="738"/>
      <c r="S7" s="738"/>
      <c r="T7" s="738"/>
      <c r="U7" s="738"/>
      <c r="V7" s="738"/>
      <c r="W7" s="738"/>
      <c r="X7" s="738"/>
      <c r="Y7" s="738"/>
      <c r="Z7" s="738"/>
      <c r="AA7" s="738"/>
      <c r="AB7" s="738"/>
      <c r="AC7" s="739"/>
      <c r="AD7" s="469"/>
      <c r="AE7" s="567"/>
      <c r="AG7" s="571"/>
      <c r="AH7" s="571"/>
    </row>
    <row r="8" spans="1:34" ht="8.25" customHeight="1" x14ac:dyDescent="0.35">
      <c r="A8" s="735" t="s">
        <v>215</v>
      </c>
      <c r="B8" s="736"/>
      <c r="C8" s="736"/>
      <c r="D8" s="736"/>
      <c r="E8" s="736"/>
      <c r="F8" s="736"/>
      <c r="G8" s="736"/>
      <c r="H8" s="736"/>
      <c r="I8" s="736"/>
      <c r="J8" s="736"/>
      <c r="K8" s="736"/>
      <c r="L8" s="736"/>
      <c r="M8" s="736"/>
      <c r="N8" s="736"/>
      <c r="O8" s="736"/>
      <c r="P8" s="736"/>
      <c r="Q8" s="736"/>
      <c r="R8" s="736"/>
      <c r="S8" s="736"/>
      <c r="T8" s="736"/>
      <c r="U8" s="736"/>
      <c r="V8" s="736"/>
      <c r="W8" s="736"/>
      <c r="X8" s="736"/>
      <c r="Y8" s="736"/>
      <c r="Z8" s="736"/>
      <c r="AA8" s="736"/>
      <c r="AB8" s="736"/>
      <c r="AC8" s="736"/>
      <c r="AE8" s="468"/>
      <c r="AG8" s="571"/>
      <c r="AH8" s="571"/>
    </row>
    <row r="9" spans="1:34" ht="36.75" customHeight="1" x14ac:dyDescent="0.35">
      <c r="A9" s="289" t="s">
        <v>306</v>
      </c>
      <c r="B9" s="311" t="s">
        <v>88</v>
      </c>
      <c r="C9" s="291">
        <v>0</v>
      </c>
      <c r="D9" s="292" t="s">
        <v>234</v>
      </c>
      <c r="E9" s="293">
        <v>44124</v>
      </c>
      <c r="F9" s="294">
        <v>31614000</v>
      </c>
      <c r="G9" s="294">
        <v>35175000</v>
      </c>
      <c r="H9" s="295">
        <v>45220</v>
      </c>
      <c r="I9" s="295">
        <v>45428</v>
      </c>
      <c r="J9" s="294">
        <v>35175000</v>
      </c>
      <c r="K9" s="294">
        <v>31614000</v>
      </c>
      <c r="L9" s="311" t="s">
        <v>88</v>
      </c>
      <c r="M9" s="291">
        <v>0</v>
      </c>
      <c r="N9" s="291" t="str">
        <f>D9</f>
        <v>FBC</v>
      </c>
      <c r="O9" s="297">
        <v>44287</v>
      </c>
      <c r="P9" s="294">
        <v>31971082</v>
      </c>
      <c r="Q9" s="294">
        <v>26925405.940000001</v>
      </c>
      <c r="R9" s="294">
        <v>7681.03</v>
      </c>
      <c r="S9" s="295">
        <v>45220</v>
      </c>
      <c r="T9" s="295">
        <v>46244</v>
      </c>
      <c r="U9" s="298">
        <v>0</v>
      </c>
      <c r="V9" s="294">
        <v>31971082.649999999</v>
      </c>
      <c r="W9" s="294">
        <v>31803875.695500001</v>
      </c>
      <c r="X9" s="294">
        <v>26785210.699999999</v>
      </c>
      <c r="Y9" s="299">
        <v>1.1873670157651588</v>
      </c>
      <c r="Z9" s="300">
        <v>0.99477005654358097</v>
      </c>
      <c r="AA9" s="288">
        <f>IFERROR(V9/P9,"")</f>
        <v>1.0000000203308728</v>
      </c>
      <c r="AB9" s="288">
        <f>IFERROR(W9/P9,"")</f>
        <v>0.99477007676812446</v>
      </c>
      <c r="AC9" s="311" t="s">
        <v>91</v>
      </c>
      <c r="AD9" s="553" t="str">
        <f>$D9&amp;CHAR(10)&amp;TEXT($E9,"(mmm-yy)")</f>
        <v>FBC
(Oct-20)</v>
      </c>
      <c r="AE9" s="553" t="str">
        <f>$N9&amp;CHAR(10)&amp;TEXT($O9,"(mmm-yy)")</f>
        <v>FBC
(Apr-21)</v>
      </c>
      <c r="AG9" s="571" t="s">
        <v>493</v>
      </c>
      <c r="AH9" s="571" t="s">
        <v>14</v>
      </c>
    </row>
    <row r="10" spans="1:34" ht="15" customHeight="1" outlineLevel="1" collapsed="1" x14ac:dyDescent="0.35">
      <c r="A10" s="289" t="s">
        <v>215</v>
      </c>
      <c r="B10" s="301" t="s">
        <v>215</v>
      </c>
      <c r="C10" s="302" t="str" cm="2">
        <f t="array" ref="C10">IFERROR(_xlfn.SWITCH(C9,-1,"i",0,"g",1,"h"),"")</f>
        <v>g</v>
      </c>
      <c r="D10" s="292" t="s">
        <v>215</v>
      </c>
      <c r="E10" s="292" t="s">
        <v>215</v>
      </c>
      <c r="F10" s="303" t="s">
        <v>215</v>
      </c>
      <c r="G10" s="303" t="s">
        <v>215</v>
      </c>
      <c r="H10" s="303" t="s">
        <v>215</v>
      </c>
      <c r="I10" s="303" t="s">
        <v>215</v>
      </c>
      <c r="J10" s="303" t="s">
        <v>215</v>
      </c>
      <c r="K10" s="303" t="s">
        <v>215</v>
      </c>
      <c r="L10" s="301" t="s">
        <v>215</v>
      </c>
      <c r="M10" s="302" t="str" cm="2">
        <f t="array" ref="M10">IFERROR(_xlfn.SWITCH(M9,-1,"i",0,"g",1,"h"),"")</f>
        <v>g</v>
      </c>
      <c r="N10" s="302"/>
      <c r="O10" s="303" t="s">
        <v>215</v>
      </c>
      <c r="P10" s="303" t="s">
        <v>215</v>
      </c>
      <c r="Q10" s="303" t="s">
        <v>215</v>
      </c>
      <c r="R10" s="303" t="s">
        <v>215</v>
      </c>
      <c r="S10" s="303" t="s">
        <v>215</v>
      </c>
      <c r="T10" s="303" t="s">
        <v>215</v>
      </c>
      <c r="U10" s="303" t="s">
        <v>215</v>
      </c>
      <c r="V10" s="303" t="s">
        <v>215</v>
      </c>
      <c r="W10" s="303" t="s">
        <v>215</v>
      </c>
      <c r="X10" s="303" t="s">
        <v>215</v>
      </c>
      <c r="Y10" s="305" t="s">
        <v>215</v>
      </c>
      <c r="Z10" s="304" t="s">
        <v>215</v>
      </c>
      <c r="AA10" s="303" t="s">
        <v>215</v>
      </c>
      <c r="AB10" s="303" t="s">
        <v>215</v>
      </c>
      <c r="AC10" s="308" t="s">
        <v>215</v>
      </c>
      <c r="AG10" s="571"/>
      <c r="AH10" s="571"/>
    </row>
    <row r="11" spans="1:34" ht="16" x14ac:dyDescent="0.35">
      <c r="A11" s="737"/>
      <c r="B11" s="738"/>
      <c r="C11" s="738"/>
      <c r="D11" s="738"/>
      <c r="E11" s="738"/>
      <c r="F11" s="738"/>
      <c r="G11" s="738"/>
      <c r="H11" s="738"/>
      <c r="I11" s="738"/>
      <c r="J11" s="738"/>
      <c r="K11" s="738"/>
      <c r="L11" s="738"/>
      <c r="M11" s="738"/>
      <c r="N11" s="738"/>
      <c r="O11" s="738"/>
      <c r="P11" s="738"/>
      <c r="Q11" s="738"/>
      <c r="R11" s="738"/>
      <c r="S11" s="738"/>
      <c r="T11" s="738"/>
      <c r="U11" s="738"/>
      <c r="V11" s="738"/>
      <c r="W11" s="738"/>
      <c r="X11" s="738"/>
      <c r="Y11" s="738"/>
      <c r="Z11" s="738"/>
      <c r="AA11" s="738"/>
      <c r="AB11" s="738"/>
      <c r="AC11" s="739"/>
      <c r="AG11" s="571"/>
      <c r="AH11" s="571"/>
    </row>
    <row r="12" spans="1:34" ht="8.25" customHeight="1" x14ac:dyDescent="0.35">
      <c r="A12" s="735" t="s">
        <v>215</v>
      </c>
      <c r="B12" s="736"/>
      <c r="C12" s="736"/>
      <c r="D12" s="736"/>
      <c r="E12" s="736"/>
      <c r="F12" s="736"/>
      <c r="G12" s="736"/>
      <c r="H12" s="736"/>
      <c r="I12" s="736"/>
      <c r="J12" s="736"/>
      <c r="K12" s="736"/>
      <c r="L12" s="736"/>
      <c r="M12" s="736"/>
      <c r="N12" s="736"/>
      <c r="O12" s="736"/>
      <c r="P12" s="736"/>
      <c r="Q12" s="736"/>
      <c r="R12" s="736"/>
      <c r="S12" s="736"/>
      <c r="T12" s="736"/>
      <c r="U12" s="736"/>
      <c r="V12" s="736"/>
      <c r="W12" s="736"/>
      <c r="X12" s="736"/>
      <c r="Y12" s="736"/>
      <c r="Z12" s="736"/>
      <c r="AA12" s="736"/>
      <c r="AB12" s="736"/>
      <c r="AC12" s="736"/>
      <c r="AG12" s="571"/>
      <c r="AH12" s="571"/>
    </row>
    <row r="13" spans="1:34" ht="32" x14ac:dyDescent="0.35">
      <c r="A13" s="289" t="s">
        <v>352</v>
      </c>
      <c r="B13" s="311" t="s">
        <v>95</v>
      </c>
      <c r="C13" s="291">
        <v>0</v>
      </c>
      <c r="D13" s="292" t="s">
        <v>232</v>
      </c>
      <c r="E13" s="293">
        <v>45108</v>
      </c>
      <c r="F13" s="294">
        <v>30000000</v>
      </c>
      <c r="G13" s="294">
        <v>31039000</v>
      </c>
      <c r="H13" s="295" t="s">
        <v>215</v>
      </c>
      <c r="I13" s="295" t="s">
        <v>215</v>
      </c>
      <c r="J13" s="294">
        <v>0</v>
      </c>
      <c r="K13" s="294">
        <v>3393000</v>
      </c>
      <c r="L13" s="311" t="s">
        <v>91</v>
      </c>
      <c r="M13" s="291">
        <v>0</v>
      </c>
      <c r="N13" s="291" t="str">
        <f>D13</f>
        <v>OBC</v>
      </c>
      <c r="O13" s="297">
        <v>45271</v>
      </c>
      <c r="P13" s="294">
        <v>30826939</v>
      </c>
      <c r="Q13" s="294">
        <v>31202410.140000001</v>
      </c>
      <c r="R13" s="294">
        <v>317.63</v>
      </c>
      <c r="S13" s="295">
        <v>47204</v>
      </c>
      <c r="T13" s="295">
        <v>47529</v>
      </c>
      <c r="U13" s="298">
        <v>0</v>
      </c>
      <c r="V13" s="294">
        <v>5489184.5099999998</v>
      </c>
      <c r="W13" s="294">
        <v>1834116.7493</v>
      </c>
      <c r="X13" s="294">
        <v>2514547.77</v>
      </c>
      <c r="Y13" s="299">
        <v>0.72940222937184451</v>
      </c>
      <c r="Z13" s="300">
        <v>0.33413282901288371</v>
      </c>
      <c r="AA13" s="288">
        <f>IFERROR(V13/P13,"")</f>
        <v>0.17806453342642939</v>
      </c>
      <c r="AB13" s="288">
        <f>IFERROR(W13/P13,"")</f>
        <v>5.9497206300632058E-2</v>
      </c>
      <c r="AC13" s="311" t="s">
        <v>91</v>
      </c>
      <c r="AD13" s="553" t="str">
        <f>$D13&amp;CHAR(10)&amp;TEXT($E13,"(mmm-yy)")</f>
        <v>OBC
(Jul-23)</v>
      </c>
      <c r="AE13" s="553" t="str">
        <f>$N13&amp;CHAR(10)&amp;TEXT($O13,"(mmm-yy)")</f>
        <v>OBC
(Dec-23)</v>
      </c>
      <c r="AG13" s="571" t="s">
        <v>494</v>
      </c>
      <c r="AH13" s="571" t="s">
        <v>495</v>
      </c>
    </row>
    <row r="14" spans="1:34" ht="17.25" customHeight="1" outlineLevel="1" collapsed="1" x14ac:dyDescent="0.35">
      <c r="A14" s="289" t="s">
        <v>215</v>
      </c>
      <c r="B14" s="301" t="s">
        <v>215</v>
      </c>
      <c r="C14" s="302" t="str" cm="2">
        <f t="array" ref="C14">IFERROR(_xlfn.SWITCH(C13,-1,"i",0,"g",1,"h"),"")</f>
        <v>g</v>
      </c>
      <c r="D14" s="292" t="s">
        <v>215</v>
      </c>
      <c r="E14" s="292" t="s">
        <v>215</v>
      </c>
      <c r="F14" s="303" t="s">
        <v>215</v>
      </c>
      <c r="G14" s="303" t="s">
        <v>215</v>
      </c>
      <c r="H14" s="303" t="s">
        <v>215</v>
      </c>
      <c r="I14" s="303" t="s">
        <v>215</v>
      </c>
      <c r="J14" s="303" t="s">
        <v>215</v>
      </c>
      <c r="K14" s="303" t="s">
        <v>215</v>
      </c>
      <c r="L14" s="301" t="s">
        <v>215</v>
      </c>
      <c r="M14" s="302" t="str" cm="2">
        <f t="array" ref="M14">IFERROR(_xlfn.SWITCH(M13,-1,"i",0,"g",1,"h"),"")</f>
        <v>g</v>
      </c>
      <c r="N14" s="302"/>
      <c r="O14" s="303" t="s">
        <v>215</v>
      </c>
      <c r="P14" s="303" t="s">
        <v>215</v>
      </c>
      <c r="Q14" s="303" t="s">
        <v>215</v>
      </c>
      <c r="R14" s="303" t="s">
        <v>215</v>
      </c>
      <c r="S14" s="303" t="s">
        <v>215</v>
      </c>
      <c r="T14" s="303" t="s">
        <v>215</v>
      </c>
      <c r="U14" s="303" t="s">
        <v>215</v>
      </c>
      <c r="V14" s="303" t="s">
        <v>215</v>
      </c>
      <c r="W14" s="303" t="s">
        <v>215</v>
      </c>
      <c r="X14" s="303" t="s">
        <v>215</v>
      </c>
      <c r="Y14" s="304" t="s">
        <v>215</v>
      </c>
      <c r="Z14" s="305" t="s">
        <v>215</v>
      </c>
      <c r="AA14" s="303" t="s">
        <v>215</v>
      </c>
      <c r="AB14" s="303" t="s">
        <v>215</v>
      </c>
      <c r="AC14" s="308" t="s">
        <v>215</v>
      </c>
      <c r="AG14" s="571"/>
      <c r="AH14" s="571"/>
    </row>
    <row r="15" spans="1:34" ht="16" x14ac:dyDescent="0.35">
      <c r="A15" s="737"/>
      <c r="B15" s="738"/>
      <c r="C15" s="738"/>
      <c r="D15" s="738"/>
      <c r="E15" s="738"/>
      <c r="F15" s="738"/>
      <c r="G15" s="738"/>
      <c r="H15" s="738"/>
      <c r="I15" s="738"/>
      <c r="J15" s="738"/>
      <c r="K15" s="738"/>
      <c r="L15" s="738"/>
      <c r="M15" s="738"/>
      <c r="N15" s="738"/>
      <c r="O15" s="738"/>
      <c r="P15" s="738"/>
      <c r="Q15" s="738"/>
      <c r="R15" s="738"/>
      <c r="S15" s="738"/>
      <c r="T15" s="738"/>
      <c r="U15" s="738"/>
      <c r="V15" s="738"/>
      <c r="W15" s="738"/>
      <c r="X15" s="738"/>
      <c r="Y15" s="738"/>
      <c r="Z15" s="738"/>
      <c r="AA15" s="738"/>
      <c r="AB15" s="738"/>
      <c r="AC15" s="739"/>
      <c r="AG15" s="571"/>
      <c r="AH15" s="571"/>
    </row>
    <row r="16" spans="1:34" ht="8.25" customHeight="1" x14ac:dyDescent="0.35">
      <c r="A16" s="735" t="s">
        <v>215</v>
      </c>
      <c r="B16" s="736"/>
      <c r="C16" s="736"/>
      <c r="D16" s="736"/>
      <c r="E16" s="736"/>
      <c r="F16" s="736"/>
      <c r="G16" s="736"/>
      <c r="H16" s="736"/>
      <c r="I16" s="736"/>
      <c r="J16" s="736"/>
      <c r="K16" s="736"/>
      <c r="L16" s="736"/>
      <c r="M16" s="736"/>
      <c r="N16" s="736"/>
      <c r="O16" s="736"/>
      <c r="P16" s="736"/>
      <c r="Q16" s="736"/>
      <c r="R16" s="736"/>
      <c r="S16" s="736"/>
      <c r="T16" s="736"/>
      <c r="U16" s="736"/>
      <c r="V16" s="736"/>
      <c r="W16" s="736"/>
      <c r="X16" s="736"/>
      <c r="Y16" s="736"/>
      <c r="Z16" s="736"/>
      <c r="AA16" s="736"/>
      <c r="AB16" s="736"/>
      <c r="AC16" s="736"/>
      <c r="AG16" s="571"/>
      <c r="AH16" s="571"/>
    </row>
    <row r="17" spans="1:34" ht="29" x14ac:dyDescent="0.35">
      <c r="A17" s="289" t="s">
        <v>523</v>
      </c>
      <c r="B17" s="311" t="s">
        <v>91</v>
      </c>
      <c r="C17" s="291">
        <v>0</v>
      </c>
      <c r="D17" s="292">
        <v>0</v>
      </c>
      <c r="E17" s="293">
        <v>45874</v>
      </c>
      <c r="F17" s="294">
        <v>28293193</v>
      </c>
      <c r="G17" s="294">
        <v>0</v>
      </c>
      <c r="H17" s="295">
        <v>47756</v>
      </c>
      <c r="I17" s="295" t="s">
        <v>215</v>
      </c>
      <c r="J17" s="294">
        <v>0</v>
      </c>
      <c r="K17" s="294">
        <v>2704643</v>
      </c>
      <c r="L17" s="311" t="s">
        <v>90</v>
      </c>
      <c r="M17" s="291">
        <v>0</v>
      </c>
      <c r="N17" s="291">
        <f>D17</f>
        <v>0</v>
      </c>
      <c r="O17" s="297">
        <v>45159</v>
      </c>
      <c r="P17" s="294">
        <v>25602972</v>
      </c>
      <c r="Q17" s="294">
        <v>32328176.960000001</v>
      </c>
      <c r="R17" s="294">
        <v>42236.67</v>
      </c>
      <c r="S17" s="295">
        <v>46637</v>
      </c>
      <c r="T17" s="295">
        <v>46647</v>
      </c>
      <c r="U17" s="298">
        <v>17</v>
      </c>
      <c r="V17" s="294">
        <v>23363958.710000001</v>
      </c>
      <c r="W17" s="294">
        <v>22930891.458700001</v>
      </c>
      <c r="X17" s="294">
        <v>29865991.149999999</v>
      </c>
      <c r="Y17" s="299">
        <v>0.76779274940286046</v>
      </c>
      <c r="Z17" s="300">
        <v>0.98146430334536405</v>
      </c>
      <c r="AA17" s="288">
        <f>IFERROR(V17/P17,"")</f>
        <v>0.91254869590920928</v>
      </c>
      <c r="AB17" s="288">
        <f>IFERROR(W17/P17,"")</f>
        <v>0.89563397009925261</v>
      </c>
      <c r="AC17" s="311" t="s">
        <v>90</v>
      </c>
      <c r="AD17" s="553" t="str">
        <f>$D17&amp;CHAR(10)&amp;TEXT($E17,"(mmm-yy)")</f>
        <v>0
(Aug-25)</v>
      </c>
      <c r="AE17" s="553" t="str">
        <f>$N17&amp;CHAR(10)&amp;TEXT($O17,"(mmm-yy)")</f>
        <v>0
(Aug-23)</v>
      </c>
      <c r="AG17" s="571" t="s">
        <v>533</v>
      </c>
      <c r="AH17" s="571" t="s">
        <v>534</v>
      </c>
    </row>
    <row r="18" spans="1:34" ht="17.25" customHeight="1" outlineLevel="1" collapsed="1" x14ac:dyDescent="0.35">
      <c r="A18" s="289" t="s">
        <v>215</v>
      </c>
      <c r="B18" s="301" t="s">
        <v>215</v>
      </c>
      <c r="C18" s="302" t="str" cm="2">
        <f t="array" ref="C18">IFERROR(_xlfn.SWITCH(C17,-1,"i",0,"g",1,"h"),"")</f>
        <v>g</v>
      </c>
      <c r="D18" s="292"/>
      <c r="E18" s="292" t="s">
        <v>215</v>
      </c>
      <c r="F18" s="303" t="s">
        <v>215</v>
      </c>
      <c r="G18" s="303" t="s">
        <v>215</v>
      </c>
      <c r="H18" s="303" t="s">
        <v>215</v>
      </c>
      <c r="I18" s="303" t="s">
        <v>215</v>
      </c>
      <c r="J18" s="303" t="s">
        <v>215</v>
      </c>
      <c r="K18" s="303" t="s">
        <v>215</v>
      </c>
      <c r="L18" s="301" t="s">
        <v>215</v>
      </c>
      <c r="M18" s="302" t="str" cm="2">
        <f t="array" ref="M18">IFERROR(_xlfn.SWITCH(M17,-1,"i",0,"g",1,"h"),"")</f>
        <v>g</v>
      </c>
      <c r="N18" s="302"/>
      <c r="O18" s="303" t="s">
        <v>215</v>
      </c>
      <c r="P18" s="303" t="s">
        <v>215</v>
      </c>
      <c r="Q18" s="303" t="s">
        <v>215</v>
      </c>
      <c r="R18" s="303" t="s">
        <v>215</v>
      </c>
      <c r="S18" s="303" t="s">
        <v>215</v>
      </c>
      <c r="T18" s="303" t="s">
        <v>215</v>
      </c>
      <c r="U18" s="303" t="s">
        <v>215</v>
      </c>
      <c r="V18" s="303" t="s">
        <v>215</v>
      </c>
      <c r="W18" s="303" t="s">
        <v>215</v>
      </c>
      <c r="X18" s="303" t="s">
        <v>215</v>
      </c>
      <c r="Y18" s="304" t="s">
        <v>215</v>
      </c>
      <c r="Z18" s="305" t="s">
        <v>215</v>
      </c>
      <c r="AA18" s="303" t="s">
        <v>215</v>
      </c>
      <c r="AB18" s="303" t="s">
        <v>215</v>
      </c>
      <c r="AC18" s="303" t="s">
        <v>215</v>
      </c>
      <c r="AG18" s="571"/>
      <c r="AH18" s="571"/>
    </row>
    <row r="19" spans="1:34" ht="16" x14ac:dyDescent="0.35">
      <c r="A19" s="737"/>
      <c r="B19" s="738"/>
      <c r="C19" s="738"/>
      <c r="D19" s="738"/>
      <c r="E19" s="738"/>
      <c r="F19" s="738"/>
      <c r="G19" s="738"/>
      <c r="H19" s="738"/>
      <c r="I19" s="738"/>
      <c r="J19" s="738"/>
      <c r="K19" s="738"/>
      <c r="L19" s="738"/>
      <c r="M19" s="738"/>
      <c r="N19" s="738"/>
      <c r="O19" s="738"/>
      <c r="P19" s="738"/>
      <c r="Q19" s="738"/>
      <c r="R19" s="738"/>
      <c r="S19" s="738"/>
      <c r="T19" s="738"/>
      <c r="U19" s="738"/>
      <c r="V19" s="738"/>
      <c r="W19" s="738"/>
      <c r="X19" s="738"/>
      <c r="Y19" s="738"/>
      <c r="Z19" s="738"/>
      <c r="AA19" s="738"/>
      <c r="AB19" s="738"/>
      <c r="AC19" s="739"/>
      <c r="AG19" s="571"/>
      <c r="AH19" s="571"/>
    </row>
    <row r="20" spans="1:34" ht="8.25" customHeight="1" x14ac:dyDescent="0.35">
      <c r="A20" s="735" t="s">
        <v>215</v>
      </c>
      <c r="B20" s="736"/>
      <c r="C20" s="736"/>
      <c r="D20" s="736"/>
      <c r="E20" s="736"/>
      <c r="F20" s="736"/>
      <c r="G20" s="736"/>
      <c r="H20" s="736"/>
      <c r="I20" s="736"/>
      <c r="J20" s="736"/>
      <c r="K20" s="736"/>
      <c r="L20" s="736"/>
      <c r="M20" s="736"/>
      <c r="N20" s="736"/>
      <c r="O20" s="736"/>
      <c r="P20" s="736"/>
      <c r="Q20" s="736"/>
      <c r="R20" s="736"/>
      <c r="S20" s="736"/>
      <c r="T20" s="736"/>
      <c r="U20" s="736"/>
      <c r="V20" s="736"/>
      <c r="W20" s="736"/>
      <c r="X20" s="736"/>
      <c r="Y20" s="736"/>
      <c r="Z20" s="736"/>
      <c r="AA20" s="736"/>
      <c r="AB20" s="736"/>
      <c r="AC20" s="736"/>
      <c r="AG20" s="571"/>
      <c r="AH20" s="571"/>
    </row>
    <row r="21" spans="1:34" ht="32" x14ac:dyDescent="0.35">
      <c r="A21" s="289" t="s">
        <v>350</v>
      </c>
      <c r="B21" s="311" t="s">
        <v>91</v>
      </c>
      <c r="C21" s="291">
        <v>0</v>
      </c>
      <c r="D21" s="292" t="s">
        <v>454</v>
      </c>
      <c r="E21" s="293">
        <v>45170</v>
      </c>
      <c r="F21" s="294">
        <v>2173096</v>
      </c>
      <c r="G21" s="294">
        <v>0</v>
      </c>
      <c r="H21" s="295">
        <v>46722</v>
      </c>
      <c r="I21" s="295" t="s">
        <v>215</v>
      </c>
      <c r="J21" s="294">
        <v>0</v>
      </c>
      <c r="K21" s="294">
        <v>2173096</v>
      </c>
      <c r="L21" s="311" t="s">
        <v>91</v>
      </c>
      <c r="M21" s="291">
        <v>0</v>
      </c>
      <c r="N21" s="291" t="str">
        <f>D21</f>
        <v>SOC</v>
      </c>
      <c r="O21" s="297">
        <v>45188</v>
      </c>
      <c r="P21" s="294">
        <v>32152519</v>
      </c>
      <c r="Q21" s="294">
        <v>32004619.68</v>
      </c>
      <c r="R21" s="294">
        <v>-199709.76</v>
      </c>
      <c r="S21" s="295">
        <v>46744</v>
      </c>
      <c r="T21" s="295">
        <v>46744</v>
      </c>
      <c r="U21" s="298">
        <v>0</v>
      </c>
      <c r="V21" s="294">
        <v>2264228.04</v>
      </c>
      <c r="W21" s="294">
        <v>1573904.9395999999</v>
      </c>
      <c r="X21" s="294">
        <v>1463275.17</v>
      </c>
      <c r="Y21" s="300">
        <v>1.075604214346096</v>
      </c>
      <c r="Z21" s="299">
        <v>0.69511767887125009</v>
      </c>
      <c r="AA21" s="288">
        <f>IFERROR(V21/P21,"")</f>
        <v>7.0421482061794285E-2</v>
      </c>
      <c r="AB21" s="288">
        <f>IFERROR(W21/P21,"")</f>
        <v>4.895121715346782E-2</v>
      </c>
      <c r="AC21" s="311" t="s">
        <v>90</v>
      </c>
      <c r="AD21" s="553" t="str">
        <f>$D21&amp;CHAR(10)&amp;TEXT($E21,"(mmm-yy)")</f>
        <v>SOC
(Sep-23)</v>
      </c>
      <c r="AE21" s="553" t="str">
        <f>$N21&amp;CHAR(10)&amp;TEXT($O21,"(mmm-yy)")</f>
        <v>SOC
(Sep-23)</v>
      </c>
      <c r="AG21" s="571" t="s">
        <v>513</v>
      </c>
      <c r="AH21" s="571" t="s">
        <v>513</v>
      </c>
    </row>
    <row r="22" spans="1:34" ht="17.25" customHeight="1" outlineLevel="1" collapsed="1" x14ac:dyDescent="0.35">
      <c r="A22" s="289" t="s">
        <v>215</v>
      </c>
      <c r="B22" s="301" t="s">
        <v>215</v>
      </c>
      <c r="C22" s="302" t="str" cm="2">
        <f t="array" ref="C22">IFERROR(_xlfn.SWITCH(C21,-1,"i",0,"g",1,"h"),"")</f>
        <v>g</v>
      </c>
      <c r="D22" s="292" t="s">
        <v>215</v>
      </c>
      <c r="E22" s="292" t="s">
        <v>215</v>
      </c>
      <c r="F22" s="303" t="s">
        <v>215</v>
      </c>
      <c r="G22" s="303" t="s">
        <v>215</v>
      </c>
      <c r="H22" s="303" t="s">
        <v>215</v>
      </c>
      <c r="I22" s="303" t="s">
        <v>215</v>
      </c>
      <c r="J22" s="303" t="s">
        <v>215</v>
      </c>
      <c r="K22" s="303" t="s">
        <v>215</v>
      </c>
      <c r="L22" s="301" t="s">
        <v>215</v>
      </c>
      <c r="M22" s="302" t="str" cm="2">
        <f t="array" ref="M22">IFERROR(_xlfn.SWITCH(M21,-1,"i",0,"g",1,"h"),"")</f>
        <v>g</v>
      </c>
      <c r="N22" s="302"/>
      <c r="O22" s="303" t="s">
        <v>215</v>
      </c>
      <c r="P22" s="303" t="s">
        <v>215</v>
      </c>
      <c r="Q22" s="303" t="s">
        <v>215</v>
      </c>
      <c r="R22" s="303" t="s">
        <v>215</v>
      </c>
      <c r="S22" s="303" t="s">
        <v>215</v>
      </c>
      <c r="T22" s="303" t="s">
        <v>215</v>
      </c>
      <c r="U22" s="303" t="s">
        <v>215</v>
      </c>
      <c r="V22" s="303" t="s">
        <v>215</v>
      </c>
      <c r="W22" s="303" t="s">
        <v>215</v>
      </c>
      <c r="X22" s="303" t="s">
        <v>215</v>
      </c>
      <c r="Y22" s="305" t="s">
        <v>215</v>
      </c>
      <c r="Z22" s="304" t="s">
        <v>215</v>
      </c>
      <c r="AA22" s="303" t="s">
        <v>215</v>
      </c>
      <c r="AB22" s="303" t="s">
        <v>215</v>
      </c>
      <c r="AC22" s="308" t="s">
        <v>215</v>
      </c>
      <c r="AG22" s="571"/>
      <c r="AH22" s="571"/>
    </row>
    <row r="23" spans="1:34" ht="16" x14ac:dyDescent="0.35">
      <c r="A23" s="737"/>
      <c r="B23" s="738"/>
      <c r="C23" s="738"/>
      <c r="D23" s="738"/>
      <c r="E23" s="738"/>
      <c r="F23" s="738"/>
      <c r="G23" s="738"/>
      <c r="H23" s="738"/>
      <c r="I23" s="738"/>
      <c r="J23" s="738"/>
      <c r="K23" s="738"/>
      <c r="L23" s="738"/>
      <c r="M23" s="738"/>
      <c r="N23" s="738"/>
      <c r="O23" s="738"/>
      <c r="P23" s="738"/>
      <c r="Q23" s="738"/>
      <c r="R23" s="738"/>
      <c r="S23" s="738"/>
      <c r="T23" s="738"/>
      <c r="U23" s="738"/>
      <c r="V23" s="738"/>
      <c r="W23" s="738"/>
      <c r="X23" s="738"/>
      <c r="Y23" s="738"/>
      <c r="Z23" s="738"/>
      <c r="AA23" s="738"/>
      <c r="AB23" s="738"/>
      <c r="AC23" s="739"/>
      <c r="AG23" s="571"/>
      <c r="AH23" s="571"/>
    </row>
    <row r="24" spans="1:34" ht="8.25" customHeight="1" x14ac:dyDescent="0.35">
      <c r="A24" s="735" t="s">
        <v>215</v>
      </c>
      <c r="B24" s="736"/>
      <c r="C24" s="736"/>
      <c r="D24" s="736"/>
      <c r="E24" s="736"/>
      <c r="F24" s="736"/>
      <c r="G24" s="736"/>
      <c r="H24" s="736"/>
      <c r="I24" s="736"/>
      <c r="J24" s="736"/>
      <c r="K24" s="736"/>
      <c r="L24" s="736"/>
      <c r="M24" s="736"/>
      <c r="N24" s="736"/>
      <c r="O24" s="736"/>
      <c r="P24" s="736"/>
      <c r="Q24" s="736"/>
      <c r="R24" s="736"/>
      <c r="S24" s="736"/>
      <c r="T24" s="736"/>
      <c r="U24" s="736"/>
      <c r="V24" s="736"/>
      <c r="W24" s="736"/>
      <c r="X24" s="736"/>
      <c r="Y24" s="736"/>
      <c r="Z24" s="736"/>
      <c r="AA24" s="736"/>
      <c r="AB24" s="736"/>
      <c r="AC24" s="736"/>
      <c r="AG24" s="571"/>
      <c r="AH24" s="571"/>
    </row>
    <row r="25" spans="1:34" ht="29.25" customHeight="1" x14ac:dyDescent="0.35">
      <c r="A25" s="289" t="s">
        <v>332</v>
      </c>
      <c r="B25" s="311" t="s">
        <v>91</v>
      </c>
      <c r="C25" s="291">
        <v>0</v>
      </c>
      <c r="D25" s="292" t="s">
        <v>232</v>
      </c>
      <c r="E25" s="293">
        <v>45979</v>
      </c>
      <c r="F25" s="294">
        <v>67607000</v>
      </c>
      <c r="G25" s="294">
        <v>94587000</v>
      </c>
      <c r="H25" s="295" t="s">
        <v>215</v>
      </c>
      <c r="I25" s="295" t="s">
        <v>215</v>
      </c>
      <c r="J25" s="294">
        <v>0</v>
      </c>
      <c r="K25" s="294">
        <v>29109000</v>
      </c>
      <c r="L25" s="311" t="s">
        <v>91</v>
      </c>
      <c r="M25" s="291">
        <v>1</v>
      </c>
      <c r="N25" s="291" t="str">
        <f>D25</f>
        <v>OBC</v>
      </c>
      <c r="O25" s="297">
        <v>45748</v>
      </c>
      <c r="P25" s="294">
        <v>92707032</v>
      </c>
      <c r="Q25" s="294">
        <v>91739519.310000002</v>
      </c>
      <c r="R25" s="294">
        <v>7557778.7599999998</v>
      </c>
      <c r="S25" s="295">
        <v>48982</v>
      </c>
      <c r="T25" s="295">
        <v>48982</v>
      </c>
      <c r="U25" s="298">
        <v>-79</v>
      </c>
      <c r="V25" s="294">
        <v>22782393.530000001</v>
      </c>
      <c r="W25" s="294">
        <v>22135460.4813</v>
      </c>
      <c r="X25" s="294">
        <v>17098058.629999999</v>
      </c>
      <c r="Y25" s="309">
        <v>1.2946183517268708</v>
      </c>
      <c r="Z25" s="299">
        <v>0.97160381555835584</v>
      </c>
      <c r="AA25" s="288">
        <f>IFERROR(V25/P25,"")</f>
        <v>0.24574612128667866</v>
      </c>
      <c r="AB25" s="288">
        <f>IFERROR(W25/P25,"")</f>
        <v>0.2387678691008035</v>
      </c>
      <c r="AC25" s="311" t="s">
        <v>90</v>
      </c>
      <c r="AD25" s="553" t="str">
        <f>$D25&amp;CHAR(10)&amp;TEXT($E25,"(mmm-yy)")</f>
        <v>OBC
(Nov-25)</v>
      </c>
      <c r="AE25" s="553" t="str">
        <f>$N25&amp;CHAR(10)&amp;TEXT($O25,"(mmm-yy)")</f>
        <v>OBC
(Apr-25)</v>
      </c>
      <c r="AG25" s="571" t="s">
        <v>496</v>
      </c>
      <c r="AH25" s="571" t="s">
        <v>497</v>
      </c>
    </row>
    <row r="26" spans="1:34" ht="17.25" customHeight="1" outlineLevel="1" collapsed="1" x14ac:dyDescent="0.35">
      <c r="A26" s="289" t="s">
        <v>215</v>
      </c>
      <c r="B26" s="301" t="s">
        <v>215</v>
      </c>
      <c r="C26" s="302" t="str" cm="2">
        <f t="array" ref="C26">IFERROR(_xlfn.SWITCH(C25,-1,"i",0,"g",1,"h"),"")</f>
        <v>g</v>
      </c>
      <c r="D26" s="292" t="s">
        <v>215</v>
      </c>
      <c r="E26" s="292" t="s">
        <v>215</v>
      </c>
      <c r="F26" s="303" t="s">
        <v>215</v>
      </c>
      <c r="G26" s="303" t="s">
        <v>215</v>
      </c>
      <c r="H26" s="303" t="s">
        <v>215</v>
      </c>
      <c r="I26" s="303" t="s">
        <v>215</v>
      </c>
      <c r="J26" s="303" t="s">
        <v>215</v>
      </c>
      <c r="K26" s="303" t="s">
        <v>215</v>
      </c>
      <c r="L26" s="301" t="s">
        <v>215</v>
      </c>
      <c r="M26" s="302" t="str" cm="2">
        <f t="array" ref="M26">IFERROR(_xlfn.SWITCH(M25,-1,"i",0,"g",1,"h"),"")</f>
        <v>h</v>
      </c>
      <c r="N26" s="302"/>
      <c r="O26" s="303" t="s">
        <v>215</v>
      </c>
      <c r="P26" s="303" t="s">
        <v>215</v>
      </c>
      <c r="Q26" s="303" t="s">
        <v>215</v>
      </c>
      <c r="R26" s="303" t="s">
        <v>215</v>
      </c>
      <c r="S26" s="303" t="s">
        <v>215</v>
      </c>
      <c r="T26" s="303" t="s">
        <v>215</v>
      </c>
      <c r="U26" s="303" t="s">
        <v>215</v>
      </c>
      <c r="V26" s="303" t="s">
        <v>215</v>
      </c>
      <c r="W26" s="303" t="s">
        <v>215</v>
      </c>
      <c r="X26" s="303" t="s">
        <v>215</v>
      </c>
      <c r="Y26" s="310" t="s">
        <v>215</v>
      </c>
      <c r="Z26" s="304" t="s">
        <v>215</v>
      </c>
      <c r="AA26" s="303" t="s">
        <v>215</v>
      </c>
      <c r="AB26" s="303" t="s">
        <v>215</v>
      </c>
      <c r="AC26" s="308" t="s">
        <v>215</v>
      </c>
      <c r="AG26" s="571"/>
      <c r="AH26" s="571"/>
    </row>
    <row r="27" spans="1:34" ht="16" x14ac:dyDescent="0.35">
      <c r="A27" s="737"/>
      <c r="B27" s="738"/>
      <c r="C27" s="738"/>
      <c r="D27" s="738"/>
      <c r="E27" s="738"/>
      <c r="F27" s="738"/>
      <c r="G27" s="738"/>
      <c r="H27" s="738"/>
      <c r="I27" s="738"/>
      <c r="J27" s="738"/>
      <c r="K27" s="738"/>
      <c r="L27" s="738"/>
      <c r="M27" s="738"/>
      <c r="N27" s="738"/>
      <c r="O27" s="738"/>
      <c r="P27" s="738"/>
      <c r="Q27" s="738"/>
      <c r="R27" s="738"/>
      <c r="S27" s="738"/>
      <c r="T27" s="738"/>
      <c r="U27" s="738"/>
      <c r="V27" s="738"/>
      <c r="W27" s="738"/>
      <c r="X27" s="738"/>
      <c r="Y27" s="738"/>
      <c r="Z27" s="738"/>
      <c r="AA27" s="738"/>
      <c r="AB27" s="738"/>
      <c r="AC27" s="739"/>
      <c r="AG27" s="571"/>
      <c r="AH27" s="571"/>
    </row>
    <row r="28" spans="1:34" ht="8.25" customHeight="1" x14ac:dyDescent="0.35">
      <c r="A28" s="735" t="s">
        <v>215</v>
      </c>
      <c r="B28" s="736"/>
      <c r="C28" s="736"/>
      <c r="D28" s="736"/>
      <c r="E28" s="736"/>
      <c r="F28" s="736"/>
      <c r="G28" s="736"/>
      <c r="H28" s="736"/>
      <c r="I28" s="736"/>
      <c r="J28" s="736"/>
      <c r="K28" s="736"/>
      <c r="L28" s="736"/>
      <c r="M28" s="736"/>
      <c r="N28" s="736"/>
      <c r="O28" s="736"/>
      <c r="P28" s="736"/>
      <c r="Q28" s="736"/>
      <c r="R28" s="736"/>
      <c r="S28" s="736"/>
      <c r="T28" s="736"/>
      <c r="U28" s="736"/>
      <c r="V28" s="736"/>
      <c r="W28" s="736"/>
      <c r="X28" s="736"/>
      <c r="Y28" s="736"/>
      <c r="Z28" s="736"/>
      <c r="AA28" s="736"/>
      <c r="AB28" s="736"/>
      <c r="AC28" s="736"/>
      <c r="AG28" s="571"/>
      <c r="AH28" s="571"/>
    </row>
    <row r="29" spans="1:34" ht="29" x14ac:dyDescent="0.35">
      <c r="A29" s="289" t="s">
        <v>522</v>
      </c>
      <c r="B29" s="311" t="s">
        <v>91</v>
      </c>
      <c r="C29" s="291">
        <v>0</v>
      </c>
      <c r="D29" s="292" t="s">
        <v>454</v>
      </c>
      <c r="E29" s="293">
        <v>45874</v>
      </c>
      <c r="F29" s="294">
        <v>28293193</v>
      </c>
      <c r="G29" s="294">
        <v>0</v>
      </c>
      <c r="H29" s="295">
        <v>47756</v>
      </c>
      <c r="I29" s="295" t="s">
        <v>215</v>
      </c>
      <c r="J29" s="294">
        <v>0</v>
      </c>
      <c r="K29" s="294">
        <v>2704643</v>
      </c>
      <c r="L29" s="311" t="s">
        <v>91</v>
      </c>
      <c r="M29" s="291">
        <v>0</v>
      </c>
      <c r="N29" s="291" t="str">
        <f>D29</f>
        <v>SOC</v>
      </c>
      <c r="O29" s="297">
        <v>45748</v>
      </c>
      <c r="P29" s="294">
        <v>28293193</v>
      </c>
      <c r="Q29" s="294">
        <v>19217519.129999999</v>
      </c>
      <c r="R29" s="294">
        <v>53313.46</v>
      </c>
      <c r="S29" s="295">
        <v>48474</v>
      </c>
      <c r="T29" s="295">
        <v>48474</v>
      </c>
      <c r="U29" s="298">
        <v>0</v>
      </c>
      <c r="V29" s="294">
        <v>547411.54</v>
      </c>
      <c r="W29" s="294">
        <v>391049.0085</v>
      </c>
      <c r="X29" s="294">
        <v>733724.17</v>
      </c>
      <c r="Y29" s="299">
        <v>0.53296459962604203</v>
      </c>
      <c r="Z29" s="299">
        <v>0.71436018411303492</v>
      </c>
      <c r="AA29" s="288">
        <f>IFERROR(V29/P29,"")</f>
        <v>1.9347817688869548E-2</v>
      </c>
      <c r="AB29" s="288">
        <f>IFERROR(W29/P29,"")</f>
        <v>1.3821310606406283E-2</v>
      </c>
      <c r="AC29" s="311" t="s">
        <v>91</v>
      </c>
      <c r="AD29" s="553" t="str">
        <f>$D29&amp;CHAR(10)&amp;TEXT($E29,"(mmm-yy)")</f>
        <v>SOC
(Aug-25)</v>
      </c>
      <c r="AE29" s="553" t="str">
        <f>$N29&amp;CHAR(10)&amp;TEXT($O29,"(mmm-yy)")</f>
        <v>SOC
(Apr-25)</v>
      </c>
      <c r="AG29" s="571" t="s">
        <v>535</v>
      </c>
      <c r="AH29" s="571" t="s">
        <v>536</v>
      </c>
    </row>
    <row r="30" spans="1:34" ht="17.25" customHeight="1" outlineLevel="1" collapsed="1" x14ac:dyDescent="0.35">
      <c r="A30" s="289" t="s">
        <v>215</v>
      </c>
      <c r="B30" s="301" t="s">
        <v>215</v>
      </c>
      <c r="C30" s="302" t="str" cm="2">
        <f t="array" ref="C30">IFERROR(_xlfn.SWITCH(C29,-1,"i",0,"g",1,"h"),"")</f>
        <v>g</v>
      </c>
      <c r="D30" s="292" t="s">
        <v>215</v>
      </c>
      <c r="E30" s="292" t="s">
        <v>215</v>
      </c>
      <c r="F30" s="303" t="s">
        <v>215</v>
      </c>
      <c r="G30" s="303" t="s">
        <v>215</v>
      </c>
      <c r="H30" s="303" t="s">
        <v>215</v>
      </c>
      <c r="I30" s="303" t="s">
        <v>215</v>
      </c>
      <c r="J30" s="303" t="s">
        <v>215</v>
      </c>
      <c r="K30" s="303" t="s">
        <v>215</v>
      </c>
      <c r="L30" s="301" t="s">
        <v>215</v>
      </c>
      <c r="M30" s="302" t="str" cm="2">
        <f t="array" ref="M30">IFERROR(_xlfn.SWITCH(M29,-1,"i",0,"g",1,"h"),"")</f>
        <v>g</v>
      </c>
      <c r="N30" s="302"/>
      <c r="O30" s="303" t="s">
        <v>215</v>
      </c>
      <c r="P30" s="303" t="s">
        <v>215</v>
      </c>
      <c r="Q30" s="303" t="s">
        <v>215</v>
      </c>
      <c r="R30" s="303" t="s">
        <v>215</v>
      </c>
      <c r="S30" s="303" t="s">
        <v>215</v>
      </c>
      <c r="T30" s="303" t="s">
        <v>215</v>
      </c>
      <c r="U30" s="303" t="s">
        <v>215</v>
      </c>
      <c r="V30" s="303" t="s">
        <v>215</v>
      </c>
      <c r="W30" s="303" t="s">
        <v>215</v>
      </c>
      <c r="X30" s="303" t="s">
        <v>215</v>
      </c>
      <c r="Y30" s="304" t="s">
        <v>215</v>
      </c>
      <c r="Z30" s="304" t="s">
        <v>215</v>
      </c>
      <c r="AA30" s="303" t="s">
        <v>215</v>
      </c>
      <c r="AB30" s="303" t="s">
        <v>215</v>
      </c>
      <c r="AC30" s="308" t="s">
        <v>215</v>
      </c>
      <c r="AG30" s="571"/>
      <c r="AH30" s="571"/>
    </row>
    <row r="31" spans="1:34" ht="16" x14ac:dyDescent="0.35">
      <c r="A31" s="737"/>
      <c r="B31" s="738"/>
      <c r="C31" s="738"/>
      <c r="D31" s="738"/>
      <c r="E31" s="738"/>
      <c r="F31" s="738"/>
      <c r="G31" s="738"/>
      <c r="H31" s="738"/>
      <c r="I31" s="738"/>
      <c r="J31" s="738"/>
      <c r="K31" s="738"/>
      <c r="L31" s="738"/>
      <c r="M31" s="738"/>
      <c r="N31" s="738"/>
      <c r="O31" s="738"/>
      <c r="P31" s="738"/>
      <c r="Q31" s="738"/>
      <c r="R31" s="738"/>
      <c r="S31" s="738"/>
      <c r="T31" s="738"/>
      <c r="U31" s="738"/>
      <c r="V31" s="738"/>
      <c r="W31" s="738"/>
      <c r="X31" s="738"/>
      <c r="Y31" s="738"/>
      <c r="Z31" s="738"/>
      <c r="AA31" s="738"/>
      <c r="AB31" s="738"/>
      <c r="AC31" s="739"/>
      <c r="AG31" s="571"/>
      <c r="AH31" s="571"/>
    </row>
    <row r="32" spans="1:34" ht="8.25" customHeight="1" x14ac:dyDescent="0.35">
      <c r="A32" s="735" t="s">
        <v>215</v>
      </c>
      <c r="B32" s="736"/>
      <c r="C32" s="736"/>
      <c r="D32" s="736"/>
      <c r="E32" s="736"/>
      <c r="F32" s="736"/>
      <c r="G32" s="736"/>
      <c r="H32" s="736"/>
      <c r="I32" s="736"/>
      <c r="J32" s="736"/>
      <c r="K32" s="736"/>
      <c r="L32" s="736"/>
      <c r="M32" s="736"/>
      <c r="N32" s="736"/>
      <c r="O32" s="736"/>
      <c r="P32" s="736"/>
      <c r="Q32" s="736"/>
      <c r="R32" s="736"/>
      <c r="S32" s="736"/>
      <c r="T32" s="736"/>
      <c r="U32" s="736"/>
      <c r="V32" s="736"/>
      <c r="W32" s="736"/>
      <c r="X32" s="736"/>
      <c r="Y32" s="736"/>
      <c r="Z32" s="736"/>
      <c r="AA32" s="736"/>
      <c r="AB32" s="736"/>
      <c r="AC32" s="736"/>
      <c r="AG32" s="571"/>
      <c r="AH32" s="571"/>
    </row>
    <row r="33" spans="1:34" ht="29.25" customHeight="1" x14ac:dyDescent="0.35">
      <c r="A33" s="289" t="s">
        <v>336</v>
      </c>
      <c r="B33" s="311" t="s">
        <v>91</v>
      </c>
      <c r="C33" s="291">
        <v>0</v>
      </c>
      <c r="D33" s="292" t="s">
        <v>232</v>
      </c>
      <c r="E33" s="293">
        <v>45681</v>
      </c>
      <c r="F33" s="294">
        <v>28586000</v>
      </c>
      <c r="G33" s="294">
        <v>29889000</v>
      </c>
      <c r="H33" s="295">
        <v>48373</v>
      </c>
      <c r="I33" s="295">
        <v>48373</v>
      </c>
      <c r="J33" s="294">
        <v>0</v>
      </c>
      <c r="K33" s="294">
        <v>3309480</v>
      </c>
      <c r="L33" s="311" t="s">
        <v>91</v>
      </c>
      <c r="M33" s="291">
        <v>0</v>
      </c>
      <c r="N33" s="291" t="str">
        <f>D33</f>
        <v>OBC</v>
      </c>
      <c r="O33" s="297">
        <v>45720</v>
      </c>
      <c r="P33" s="294">
        <v>26545167</v>
      </c>
      <c r="Q33" s="294">
        <v>39733299.060000002</v>
      </c>
      <c r="R33" s="294">
        <v>-7624.39</v>
      </c>
      <c r="S33" s="295">
        <v>48374</v>
      </c>
      <c r="T33" s="295">
        <v>48410</v>
      </c>
      <c r="U33" s="298">
        <v>0</v>
      </c>
      <c r="V33" s="294">
        <v>3071119.31</v>
      </c>
      <c r="W33" s="294">
        <v>3046435.8766000001</v>
      </c>
      <c r="X33" s="294">
        <v>3038445.08</v>
      </c>
      <c r="Y33" s="299">
        <v>1.002629896670701</v>
      </c>
      <c r="Z33" s="299">
        <v>0.9919627240401806</v>
      </c>
      <c r="AA33" s="288">
        <f>IFERROR(V33/P33,"")</f>
        <v>0.11569410393989987</v>
      </c>
      <c r="AB33" s="288">
        <f>IFERROR(W33/P33,"")</f>
        <v>0.11476423849961087</v>
      </c>
      <c r="AC33" s="311" t="s">
        <v>90</v>
      </c>
      <c r="AD33" s="553" t="str">
        <f>$D33&amp;CHAR(10)&amp;TEXT($E33,"(mmm-yy)")</f>
        <v>OBC
(Jan-25)</v>
      </c>
      <c r="AE33" s="553" t="str">
        <f>$N33&amp;CHAR(10)&amp;TEXT($O33,"(mmm-yy)")</f>
        <v>OBC
(Mar-25)</v>
      </c>
      <c r="AG33" s="571" t="s">
        <v>514</v>
      </c>
      <c r="AH33" s="571" t="s">
        <v>498</v>
      </c>
    </row>
    <row r="34" spans="1:34" ht="17.25" customHeight="1" outlineLevel="1" collapsed="1" x14ac:dyDescent="0.35">
      <c r="A34" s="289" t="s">
        <v>215</v>
      </c>
      <c r="B34" s="301" t="s">
        <v>215</v>
      </c>
      <c r="C34" s="302" t="str" cm="2">
        <f t="array" ref="C34">IFERROR(_xlfn.SWITCH(C33,-1,"i",0,"g",1,"h"),"")</f>
        <v>g</v>
      </c>
      <c r="D34" s="292" t="s">
        <v>215</v>
      </c>
      <c r="E34" s="292" t="s">
        <v>215</v>
      </c>
      <c r="F34" s="303" t="s">
        <v>215</v>
      </c>
      <c r="G34" s="303" t="s">
        <v>215</v>
      </c>
      <c r="H34" s="303" t="s">
        <v>215</v>
      </c>
      <c r="I34" s="303" t="s">
        <v>215</v>
      </c>
      <c r="J34" s="303" t="s">
        <v>215</v>
      </c>
      <c r="K34" s="303" t="s">
        <v>215</v>
      </c>
      <c r="L34" s="301" t="s">
        <v>215</v>
      </c>
      <c r="M34" s="302" t="str" cm="2">
        <f t="array" ref="M34">IFERROR(_xlfn.SWITCH(M33,-1,"i",0,"g",1,"h"),"")</f>
        <v>g</v>
      </c>
      <c r="N34" s="302"/>
      <c r="O34" s="303" t="s">
        <v>215</v>
      </c>
      <c r="P34" s="303" t="s">
        <v>215</v>
      </c>
      <c r="Q34" s="303" t="s">
        <v>215</v>
      </c>
      <c r="R34" s="303" t="s">
        <v>215</v>
      </c>
      <c r="S34" s="303" t="s">
        <v>215</v>
      </c>
      <c r="T34" s="303" t="s">
        <v>215</v>
      </c>
      <c r="U34" s="303" t="s">
        <v>215</v>
      </c>
      <c r="V34" s="303" t="s">
        <v>215</v>
      </c>
      <c r="W34" s="303" t="s">
        <v>215</v>
      </c>
      <c r="X34" s="303" t="s">
        <v>215</v>
      </c>
      <c r="Y34" s="304" t="s">
        <v>215</v>
      </c>
      <c r="Z34" s="304" t="s">
        <v>215</v>
      </c>
      <c r="AA34" s="303" t="s">
        <v>215</v>
      </c>
      <c r="AB34" s="303" t="s">
        <v>215</v>
      </c>
      <c r="AC34" s="308" t="s">
        <v>215</v>
      </c>
      <c r="AG34" s="571"/>
      <c r="AH34" s="571"/>
    </row>
    <row r="35" spans="1:34" ht="16" x14ac:dyDescent="0.35">
      <c r="A35" s="737"/>
      <c r="B35" s="738"/>
      <c r="C35" s="738"/>
      <c r="D35" s="738"/>
      <c r="E35" s="738"/>
      <c r="F35" s="738"/>
      <c r="G35" s="738"/>
      <c r="H35" s="738"/>
      <c r="I35" s="738"/>
      <c r="J35" s="738"/>
      <c r="K35" s="738"/>
      <c r="L35" s="738"/>
      <c r="M35" s="738"/>
      <c r="N35" s="738"/>
      <c r="O35" s="738"/>
      <c r="P35" s="738"/>
      <c r="Q35" s="738"/>
      <c r="R35" s="738"/>
      <c r="S35" s="738"/>
      <c r="T35" s="738"/>
      <c r="U35" s="738"/>
      <c r="V35" s="738"/>
      <c r="W35" s="738"/>
      <c r="X35" s="738"/>
      <c r="Y35" s="738"/>
      <c r="Z35" s="738"/>
      <c r="AA35" s="738"/>
      <c r="AB35" s="738"/>
      <c r="AC35" s="739"/>
      <c r="AG35" s="571"/>
      <c r="AH35" s="571"/>
    </row>
    <row r="36" spans="1:34" ht="8.25" customHeight="1" x14ac:dyDescent="0.35">
      <c r="A36" s="735" t="s">
        <v>215</v>
      </c>
      <c r="B36" s="736"/>
      <c r="C36" s="736"/>
      <c r="D36" s="736"/>
      <c r="E36" s="736"/>
      <c r="F36" s="736"/>
      <c r="G36" s="736"/>
      <c r="H36" s="736"/>
      <c r="I36" s="736"/>
      <c r="J36" s="736"/>
      <c r="K36" s="736"/>
      <c r="L36" s="736"/>
      <c r="M36" s="736"/>
      <c r="N36" s="736"/>
      <c r="O36" s="736"/>
      <c r="P36" s="736"/>
      <c r="Q36" s="736"/>
      <c r="R36" s="736"/>
      <c r="S36" s="736"/>
      <c r="T36" s="736"/>
      <c r="U36" s="736"/>
      <c r="V36" s="736"/>
      <c r="W36" s="736"/>
      <c r="X36" s="736"/>
      <c r="Y36" s="736"/>
      <c r="Z36" s="736"/>
      <c r="AA36" s="736"/>
      <c r="AB36" s="736"/>
      <c r="AC36" s="736"/>
      <c r="AG36" s="571"/>
      <c r="AH36" s="571"/>
    </row>
    <row r="37" spans="1:34" ht="29" x14ac:dyDescent="0.35">
      <c r="A37" s="289" t="s">
        <v>109</v>
      </c>
      <c r="B37" s="311" t="s">
        <v>95</v>
      </c>
      <c r="C37" s="291">
        <v>0</v>
      </c>
      <c r="D37" s="292" t="s">
        <v>95</v>
      </c>
      <c r="E37" s="293" t="s">
        <v>215</v>
      </c>
      <c r="F37" s="294">
        <v>46400000</v>
      </c>
      <c r="G37" s="294">
        <v>0</v>
      </c>
      <c r="H37" s="295">
        <v>46812</v>
      </c>
      <c r="I37" s="295" t="s">
        <v>215</v>
      </c>
      <c r="J37" s="294">
        <v>0</v>
      </c>
      <c r="K37" s="294">
        <v>46400000</v>
      </c>
      <c r="L37" s="311" t="s">
        <v>95</v>
      </c>
      <c r="M37" s="291">
        <v>0</v>
      </c>
      <c r="N37" s="291" t="str">
        <f>D37</f>
        <v>N/A</v>
      </c>
      <c r="O37" s="297">
        <v>45163</v>
      </c>
      <c r="P37" s="294">
        <v>142429940</v>
      </c>
      <c r="Q37" s="294">
        <v>158107000.34</v>
      </c>
      <c r="R37" s="294">
        <v>-322.67</v>
      </c>
      <c r="S37" s="295">
        <v>46951</v>
      </c>
      <c r="T37" s="295">
        <v>46951</v>
      </c>
      <c r="U37" s="298">
        <v>0</v>
      </c>
      <c r="V37" s="294">
        <v>30885831.260000002</v>
      </c>
      <c r="W37" s="294">
        <v>18532730.934500001</v>
      </c>
      <c r="X37" s="294">
        <v>27223350.579999998</v>
      </c>
      <c r="Y37" s="299">
        <v>0.68076597992736865</v>
      </c>
      <c r="Z37" s="299">
        <v>0.60003989461995133</v>
      </c>
      <c r="AA37" s="288">
        <f>IFERROR(V37/P37,"")</f>
        <v>0.21684928927162367</v>
      </c>
      <c r="AB37" s="288">
        <f>IFERROR(W37/P37,"")</f>
        <v>0.13011822468295642</v>
      </c>
      <c r="AC37" s="311" t="s">
        <v>91</v>
      </c>
      <c r="AD37" s="553" t="str">
        <f>$D37&amp;CHAR(10)&amp;TEXT($E37,"(mmm-yy)")</f>
        <v xml:space="preserve">N/A
</v>
      </c>
      <c r="AE37" s="553" t="str">
        <f>$N37&amp;CHAR(10)&amp;TEXT($O37,"(mmm-yy)")</f>
        <v>N/A
(Aug-23)</v>
      </c>
      <c r="AG37" s="571" t="s">
        <v>515</v>
      </c>
      <c r="AH37" s="571" t="str">
        <f>$N37&amp;CHAR(10)&amp;TEXT($O37,"(mmm-yy)")</f>
        <v>N/A
(Aug-23)</v>
      </c>
    </row>
    <row r="38" spans="1:34" ht="17.25" customHeight="1" outlineLevel="1" collapsed="1" x14ac:dyDescent="0.35">
      <c r="A38" s="289" t="s">
        <v>215</v>
      </c>
      <c r="B38" s="301" t="s">
        <v>215</v>
      </c>
      <c r="C38" s="302" t="str" cm="2">
        <f t="array" ref="C38">IFERROR(_xlfn.SWITCH(C37,-1,"i",0,"g",1,"h"),"")</f>
        <v>g</v>
      </c>
      <c r="D38" s="292" t="s">
        <v>215</v>
      </c>
      <c r="E38" s="292" t="s">
        <v>215</v>
      </c>
      <c r="F38" s="303" t="s">
        <v>215</v>
      </c>
      <c r="G38" s="303" t="s">
        <v>215</v>
      </c>
      <c r="H38" s="303" t="s">
        <v>215</v>
      </c>
      <c r="I38" s="303" t="s">
        <v>215</v>
      </c>
      <c r="J38" s="303" t="s">
        <v>215</v>
      </c>
      <c r="K38" s="303" t="s">
        <v>215</v>
      </c>
      <c r="L38" s="301" t="s">
        <v>215</v>
      </c>
      <c r="M38" s="302" t="str" cm="2">
        <f t="array" ref="M38">IFERROR(_xlfn.SWITCH(M37,-1,"i",0,"g",1,"h"),"")</f>
        <v>g</v>
      </c>
      <c r="N38" s="302"/>
      <c r="O38" s="303" t="s">
        <v>215</v>
      </c>
      <c r="P38" s="303" t="s">
        <v>215</v>
      </c>
      <c r="Q38" s="303" t="s">
        <v>215</v>
      </c>
      <c r="R38" s="303" t="s">
        <v>215</v>
      </c>
      <c r="S38" s="303" t="s">
        <v>215</v>
      </c>
      <c r="T38" s="303" t="s">
        <v>215</v>
      </c>
      <c r="U38" s="303" t="s">
        <v>215</v>
      </c>
      <c r="V38" s="303" t="s">
        <v>215</v>
      </c>
      <c r="W38" s="303" t="s">
        <v>215</v>
      </c>
      <c r="X38" s="303" t="s">
        <v>215</v>
      </c>
      <c r="Y38" s="304" t="s">
        <v>215</v>
      </c>
      <c r="Z38" s="304" t="s">
        <v>215</v>
      </c>
      <c r="AA38" s="303" t="s">
        <v>215</v>
      </c>
      <c r="AB38" s="303" t="s">
        <v>215</v>
      </c>
      <c r="AC38" s="308" t="s">
        <v>215</v>
      </c>
      <c r="AG38" s="571"/>
      <c r="AH38" s="571"/>
    </row>
    <row r="39" spans="1:34" ht="16" x14ac:dyDescent="0.35">
      <c r="A39" s="737"/>
      <c r="B39" s="738"/>
      <c r="C39" s="738"/>
      <c r="D39" s="738"/>
      <c r="E39" s="738"/>
      <c r="F39" s="738"/>
      <c r="G39" s="738"/>
      <c r="H39" s="738"/>
      <c r="I39" s="738"/>
      <c r="J39" s="738"/>
      <c r="K39" s="738"/>
      <c r="L39" s="738"/>
      <c r="M39" s="738"/>
      <c r="N39" s="738"/>
      <c r="O39" s="738"/>
      <c r="P39" s="738"/>
      <c r="Q39" s="738"/>
      <c r="R39" s="738"/>
      <c r="S39" s="738"/>
      <c r="T39" s="738"/>
      <c r="U39" s="738"/>
      <c r="V39" s="738"/>
      <c r="W39" s="738"/>
      <c r="X39" s="738"/>
      <c r="Y39" s="738"/>
      <c r="Z39" s="738"/>
      <c r="AA39" s="738"/>
      <c r="AB39" s="738"/>
      <c r="AC39" s="739"/>
      <c r="AG39" s="571"/>
      <c r="AH39" s="571"/>
    </row>
    <row r="40" spans="1:34" ht="8.25" customHeight="1" x14ac:dyDescent="0.35">
      <c r="A40" s="735" t="s">
        <v>215</v>
      </c>
      <c r="B40" s="736"/>
      <c r="C40" s="736"/>
      <c r="D40" s="736"/>
      <c r="E40" s="736"/>
      <c r="F40" s="736"/>
      <c r="G40" s="736"/>
      <c r="H40" s="736"/>
      <c r="I40" s="736"/>
      <c r="J40" s="736"/>
      <c r="K40" s="736"/>
      <c r="L40" s="736"/>
      <c r="M40" s="736"/>
      <c r="N40" s="736"/>
      <c r="O40" s="736"/>
      <c r="P40" s="736"/>
      <c r="Q40" s="736"/>
      <c r="R40" s="736"/>
      <c r="S40" s="736"/>
      <c r="T40" s="736"/>
      <c r="U40" s="736"/>
      <c r="V40" s="736"/>
      <c r="W40" s="736"/>
      <c r="X40" s="736"/>
      <c r="Y40" s="736"/>
      <c r="Z40" s="736"/>
      <c r="AA40" s="736"/>
      <c r="AB40" s="736"/>
      <c r="AC40" s="736"/>
      <c r="AG40" s="571"/>
      <c r="AH40" s="571"/>
    </row>
    <row r="41" spans="1:34" ht="32" x14ac:dyDescent="0.35">
      <c r="A41" s="289" t="s">
        <v>360</v>
      </c>
      <c r="B41" s="311" t="s">
        <v>90</v>
      </c>
      <c r="C41" s="291">
        <v>0</v>
      </c>
      <c r="D41" s="292" t="s">
        <v>234</v>
      </c>
      <c r="E41" s="293">
        <v>44935</v>
      </c>
      <c r="F41" s="294">
        <v>27608000</v>
      </c>
      <c r="G41" s="294">
        <v>28241000</v>
      </c>
      <c r="H41" s="295">
        <v>46053</v>
      </c>
      <c r="I41" s="295">
        <v>46203</v>
      </c>
      <c r="J41" s="294">
        <v>0</v>
      </c>
      <c r="K41" s="294">
        <v>28241000</v>
      </c>
      <c r="L41" s="311" t="s">
        <v>88</v>
      </c>
      <c r="M41" s="291">
        <v>-1</v>
      </c>
      <c r="N41" s="291" t="str">
        <f>D41</f>
        <v>FBC</v>
      </c>
      <c r="O41" s="297">
        <v>45015</v>
      </c>
      <c r="P41" s="294">
        <v>18788383</v>
      </c>
      <c r="Q41" s="294">
        <v>28084728.149999999</v>
      </c>
      <c r="R41" s="294">
        <v>14715.61</v>
      </c>
      <c r="S41" s="295">
        <v>46043</v>
      </c>
      <c r="T41" s="295">
        <v>46463</v>
      </c>
      <c r="U41" s="298">
        <v>-5</v>
      </c>
      <c r="V41" s="294">
        <v>26873074.280000001</v>
      </c>
      <c r="W41" s="294">
        <v>26130577.862799998</v>
      </c>
      <c r="X41" s="294">
        <v>27732210.879999999</v>
      </c>
      <c r="Y41" s="299">
        <v>0.94224647201298073</v>
      </c>
      <c r="Z41" s="299">
        <v>0.97237024653511284</v>
      </c>
      <c r="AA41" s="288">
        <f>IFERROR(V41/P41,"")</f>
        <v>1.430302665216054</v>
      </c>
      <c r="AB41" s="288">
        <f>IFERROR(W41/P41,"")</f>
        <v>1.3907837551959632</v>
      </c>
      <c r="AC41" s="311" t="s">
        <v>91</v>
      </c>
      <c r="AD41" s="553" t="str">
        <f>$D41&amp;CHAR(10)&amp;TEXT($E41,"(mmm-yy)")</f>
        <v>FBC
(Jan-23)</v>
      </c>
      <c r="AE41" s="553" t="str">
        <f>$N41&amp;CHAR(10)&amp;TEXT($O41,"(mmm-yy)")</f>
        <v>FBC
(Mar-23)</v>
      </c>
      <c r="AG41" s="571" t="s">
        <v>208</v>
      </c>
      <c r="AH41" s="571" t="s">
        <v>499</v>
      </c>
    </row>
    <row r="42" spans="1:34" ht="17.25" customHeight="1" outlineLevel="1" collapsed="1" x14ac:dyDescent="0.35">
      <c r="A42" s="289" t="s">
        <v>215</v>
      </c>
      <c r="B42" s="301" t="s">
        <v>215</v>
      </c>
      <c r="C42" s="302" t="str" cm="2">
        <f t="array" ref="C42">IFERROR(_xlfn.SWITCH(C41,-1,"i",0,"g",1,"h"),"")</f>
        <v>g</v>
      </c>
      <c r="D42" s="292" t="s">
        <v>215</v>
      </c>
      <c r="E42" s="292" t="s">
        <v>215</v>
      </c>
      <c r="F42" s="303" t="s">
        <v>215</v>
      </c>
      <c r="G42" s="303" t="s">
        <v>215</v>
      </c>
      <c r="H42" s="303" t="s">
        <v>215</v>
      </c>
      <c r="I42" s="303" t="s">
        <v>215</v>
      </c>
      <c r="J42" s="303" t="s">
        <v>215</v>
      </c>
      <c r="K42" s="303" t="s">
        <v>215</v>
      </c>
      <c r="L42" s="301" t="s">
        <v>215</v>
      </c>
      <c r="M42" s="302" t="str" cm="2">
        <f t="array" ref="M42">IFERROR(_xlfn.SWITCH(M41,-1,"i",0,"g",1,"h"),"")</f>
        <v>i</v>
      </c>
      <c r="N42" s="302"/>
      <c r="O42" s="303" t="s">
        <v>215</v>
      </c>
      <c r="P42" s="303" t="s">
        <v>215</v>
      </c>
      <c r="Q42" s="303" t="s">
        <v>215</v>
      </c>
      <c r="R42" s="303" t="s">
        <v>215</v>
      </c>
      <c r="S42" s="303" t="s">
        <v>215</v>
      </c>
      <c r="T42" s="303" t="s">
        <v>215</v>
      </c>
      <c r="U42" s="303" t="s">
        <v>215</v>
      </c>
      <c r="V42" s="303" t="s">
        <v>215</v>
      </c>
      <c r="W42" s="303" t="s">
        <v>215</v>
      </c>
      <c r="X42" s="303" t="s">
        <v>215</v>
      </c>
      <c r="Y42" s="304" t="s">
        <v>215</v>
      </c>
      <c r="Z42" s="304" t="s">
        <v>215</v>
      </c>
      <c r="AA42" s="303" t="s">
        <v>215</v>
      </c>
      <c r="AB42" s="303" t="s">
        <v>215</v>
      </c>
      <c r="AC42" s="308" t="s">
        <v>215</v>
      </c>
      <c r="AG42" s="571"/>
      <c r="AH42" s="571"/>
    </row>
    <row r="43" spans="1:34" ht="16" x14ac:dyDescent="0.35">
      <c r="A43" s="737"/>
      <c r="B43" s="738"/>
      <c r="C43" s="738"/>
      <c r="D43" s="738"/>
      <c r="E43" s="738"/>
      <c r="F43" s="738"/>
      <c r="G43" s="738"/>
      <c r="H43" s="738"/>
      <c r="I43" s="738"/>
      <c r="J43" s="738"/>
      <c r="K43" s="738"/>
      <c r="L43" s="738"/>
      <c r="M43" s="738"/>
      <c r="N43" s="738"/>
      <c r="O43" s="738"/>
      <c r="P43" s="738"/>
      <c r="Q43" s="738"/>
      <c r="R43" s="738"/>
      <c r="S43" s="738"/>
      <c r="T43" s="738"/>
      <c r="U43" s="738"/>
      <c r="V43" s="738"/>
      <c r="W43" s="738"/>
      <c r="X43" s="738"/>
      <c r="Y43" s="738"/>
      <c r="Z43" s="738"/>
      <c r="AA43" s="738"/>
      <c r="AB43" s="738"/>
      <c r="AC43" s="739"/>
      <c r="AG43" s="571"/>
      <c r="AH43" s="571"/>
    </row>
    <row r="44" spans="1:34" ht="8.25" customHeight="1" x14ac:dyDescent="0.35">
      <c r="A44" s="735" t="s">
        <v>215</v>
      </c>
      <c r="B44" s="736"/>
      <c r="C44" s="736"/>
      <c r="D44" s="736"/>
      <c r="E44" s="736"/>
      <c r="F44" s="736"/>
      <c r="G44" s="736"/>
      <c r="H44" s="736"/>
      <c r="I44" s="736"/>
      <c r="J44" s="736"/>
      <c r="K44" s="736"/>
      <c r="L44" s="736"/>
      <c r="M44" s="736"/>
      <c r="N44" s="736"/>
      <c r="O44" s="736"/>
      <c r="P44" s="736"/>
      <c r="Q44" s="736"/>
      <c r="R44" s="736"/>
      <c r="S44" s="736"/>
      <c r="T44" s="736"/>
      <c r="U44" s="736"/>
      <c r="V44" s="736"/>
      <c r="W44" s="736"/>
      <c r="X44" s="736"/>
      <c r="Y44" s="736"/>
      <c r="Z44" s="736"/>
      <c r="AA44" s="736"/>
      <c r="AB44" s="736"/>
      <c r="AC44" s="736"/>
      <c r="AG44" s="571"/>
      <c r="AH44" s="571"/>
    </row>
    <row r="45" spans="1:34" ht="29" x14ac:dyDescent="0.35">
      <c r="A45" s="289" t="s">
        <v>305</v>
      </c>
      <c r="B45" s="311" t="s">
        <v>90</v>
      </c>
      <c r="C45" s="291">
        <v>0</v>
      </c>
      <c r="D45" s="292" t="s">
        <v>234</v>
      </c>
      <c r="E45" s="293">
        <v>44561</v>
      </c>
      <c r="F45" s="294">
        <v>20366653</v>
      </c>
      <c r="G45" s="294">
        <v>21841460</v>
      </c>
      <c r="H45" s="295">
        <v>46234</v>
      </c>
      <c r="I45" s="295">
        <v>46477</v>
      </c>
      <c r="J45" s="294">
        <v>0</v>
      </c>
      <c r="K45" s="294">
        <v>20366653</v>
      </c>
      <c r="L45" s="311" t="s">
        <v>88</v>
      </c>
      <c r="M45" s="291">
        <v>-1</v>
      </c>
      <c r="N45" s="291" t="str">
        <f>D45</f>
        <v>FBC</v>
      </c>
      <c r="O45" s="297">
        <v>44651</v>
      </c>
      <c r="P45" s="294">
        <v>19192466</v>
      </c>
      <c r="Q45" s="294">
        <v>20434619.399999999</v>
      </c>
      <c r="R45" s="294">
        <v>-55281.4</v>
      </c>
      <c r="S45" s="295">
        <v>46230</v>
      </c>
      <c r="T45" s="295">
        <v>47039</v>
      </c>
      <c r="U45" s="298">
        <v>0</v>
      </c>
      <c r="V45" s="294">
        <v>18974144.32</v>
      </c>
      <c r="W45" s="294">
        <v>14255621.577500001</v>
      </c>
      <c r="X45" s="294">
        <v>16626001.83</v>
      </c>
      <c r="Y45" s="299">
        <v>0.85742932806473771</v>
      </c>
      <c r="Z45" s="299">
        <v>0.75131828540344947</v>
      </c>
      <c r="AA45" s="288">
        <f>IFERROR(V45/P45,"")</f>
        <v>0.98862461551319147</v>
      </c>
      <c r="AB45" s="288">
        <f>IFERROR(W45/P45,"")</f>
        <v>0.74277175103501558</v>
      </c>
      <c r="AC45" s="311" t="s">
        <v>90</v>
      </c>
      <c r="AD45" s="553" t="str">
        <f>$D45&amp;CHAR(10)&amp;TEXT($E45,"(mmm-yy)")</f>
        <v>FBC
(Dec-21)</v>
      </c>
      <c r="AE45" s="553" t="str">
        <f>$N45&amp;CHAR(10)&amp;TEXT($O45,"(mmm-yy)")</f>
        <v>FBC
(Mar-22)</v>
      </c>
      <c r="AG45" s="571" t="s">
        <v>16</v>
      </c>
      <c r="AH45" s="571" t="s">
        <v>375</v>
      </c>
    </row>
    <row r="46" spans="1:34" ht="17.25" customHeight="1" outlineLevel="1" collapsed="1" x14ac:dyDescent="0.35">
      <c r="A46" s="289" t="s">
        <v>215</v>
      </c>
      <c r="B46" s="301" t="s">
        <v>215</v>
      </c>
      <c r="C46" s="302" t="str" cm="2">
        <f t="array" ref="C46">IFERROR(_xlfn.SWITCH(C45,-1,"i",0,"g",1,"h"),"")</f>
        <v>g</v>
      </c>
      <c r="D46" s="292" t="s">
        <v>215</v>
      </c>
      <c r="E46" s="292" t="s">
        <v>215</v>
      </c>
      <c r="F46" s="303" t="s">
        <v>215</v>
      </c>
      <c r="G46" s="303" t="s">
        <v>215</v>
      </c>
      <c r="H46" s="303" t="s">
        <v>215</v>
      </c>
      <c r="I46" s="303" t="s">
        <v>215</v>
      </c>
      <c r="J46" s="303" t="s">
        <v>215</v>
      </c>
      <c r="K46" s="303" t="s">
        <v>215</v>
      </c>
      <c r="L46" s="301" t="s">
        <v>215</v>
      </c>
      <c r="M46" s="302" t="str" cm="2">
        <f t="array" ref="M46">IFERROR(_xlfn.SWITCH(M45,-1,"i",0,"g",1,"h"),"")</f>
        <v>i</v>
      </c>
      <c r="N46" s="302"/>
      <c r="O46" s="303" t="s">
        <v>215</v>
      </c>
      <c r="P46" s="303" t="s">
        <v>215</v>
      </c>
      <c r="Q46" s="303" t="s">
        <v>215</v>
      </c>
      <c r="R46" s="303" t="s">
        <v>215</v>
      </c>
      <c r="S46" s="303" t="s">
        <v>215</v>
      </c>
      <c r="T46" s="303" t="s">
        <v>215</v>
      </c>
      <c r="U46" s="303" t="s">
        <v>215</v>
      </c>
      <c r="V46" s="303" t="s">
        <v>215</v>
      </c>
      <c r="W46" s="303" t="s">
        <v>215</v>
      </c>
      <c r="X46" s="303" t="s">
        <v>215</v>
      </c>
      <c r="Y46" s="304" t="s">
        <v>215</v>
      </c>
      <c r="Z46" s="304" t="s">
        <v>215</v>
      </c>
      <c r="AA46" s="303" t="s">
        <v>215</v>
      </c>
      <c r="AB46" s="303" t="s">
        <v>215</v>
      </c>
      <c r="AC46" s="308" t="s">
        <v>215</v>
      </c>
      <c r="AG46" s="571"/>
      <c r="AH46" s="571"/>
    </row>
    <row r="47" spans="1:34" ht="16" x14ac:dyDescent="0.35">
      <c r="A47" s="737"/>
      <c r="B47" s="738"/>
      <c r="C47" s="738"/>
      <c r="D47" s="738"/>
      <c r="E47" s="738"/>
      <c r="F47" s="738"/>
      <c r="G47" s="738"/>
      <c r="H47" s="738"/>
      <c r="I47" s="738"/>
      <c r="J47" s="738"/>
      <c r="K47" s="738"/>
      <c r="L47" s="738"/>
      <c r="M47" s="738"/>
      <c r="N47" s="738"/>
      <c r="O47" s="738"/>
      <c r="P47" s="738"/>
      <c r="Q47" s="738"/>
      <c r="R47" s="738"/>
      <c r="S47" s="738"/>
      <c r="T47" s="738"/>
      <c r="U47" s="738"/>
      <c r="V47" s="738"/>
      <c r="W47" s="738"/>
      <c r="X47" s="738"/>
      <c r="Y47" s="738"/>
      <c r="Z47" s="738"/>
      <c r="AA47" s="738"/>
      <c r="AB47" s="738"/>
      <c r="AC47" s="739"/>
      <c r="AG47" s="571"/>
      <c r="AH47" s="571"/>
    </row>
    <row r="48" spans="1:34" ht="8.25" customHeight="1" x14ac:dyDescent="0.35">
      <c r="A48" s="735" t="s">
        <v>215</v>
      </c>
      <c r="B48" s="736"/>
      <c r="C48" s="736"/>
      <c r="D48" s="736"/>
      <c r="E48" s="736"/>
      <c r="F48" s="736"/>
      <c r="G48" s="736"/>
      <c r="H48" s="736"/>
      <c r="I48" s="736"/>
      <c r="J48" s="736"/>
      <c r="K48" s="736"/>
      <c r="L48" s="736"/>
      <c r="M48" s="736"/>
      <c r="N48" s="736"/>
      <c r="O48" s="736"/>
      <c r="P48" s="736"/>
      <c r="Q48" s="736"/>
      <c r="R48" s="736"/>
      <c r="S48" s="736"/>
      <c r="T48" s="736"/>
      <c r="U48" s="736"/>
      <c r="V48" s="736"/>
      <c r="W48" s="736"/>
      <c r="X48" s="736"/>
      <c r="Y48" s="736"/>
      <c r="Z48" s="736"/>
      <c r="AA48" s="736"/>
      <c r="AB48" s="736"/>
      <c r="AC48" s="736"/>
      <c r="AG48" s="571"/>
      <c r="AH48" s="571"/>
    </row>
    <row r="49" spans="1:35" ht="29" x14ac:dyDescent="0.35">
      <c r="A49" s="289" t="s">
        <v>304</v>
      </c>
      <c r="B49" s="311" t="s">
        <v>91</v>
      </c>
      <c r="C49" s="291">
        <v>0</v>
      </c>
      <c r="D49" s="292" t="s">
        <v>234</v>
      </c>
      <c r="E49" s="293">
        <v>44958</v>
      </c>
      <c r="F49" s="294">
        <v>105000000</v>
      </c>
      <c r="G49" s="294">
        <v>105500000</v>
      </c>
      <c r="H49" s="295">
        <v>45747</v>
      </c>
      <c r="I49" s="295">
        <v>47361</v>
      </c>
      <c r="J49" s="294">
        <v>0</v>
      </c>
      <c r="K49" s="294">
        <v>105500000</v>
      </c>
      <c r="L49" s="311" t="s">
        <v>88</v>
      </c>
      <c r="M49" s="291">
        <v>-1</v>
      </c>
      <c r="N49" s="291" t="str">
        <f>D49</f>
        <v>FBC</v>
      </c>
      <c r="O49" s="297">
        <v>44865</v>
      </c>
      <c r="P49" s="294">
        <v>103818153</v>
      </c>
      <c r="Q49" s="294">
        <v>102047511.39</v>
      </c>
      <c r="R49" s="294">
        <v>65494.31</v>
      </c>
      <c r="S49" s="295">
        <v>45747</v>
      </c>
      <c r="T49" s="295">
        <v>46660</v>
      </c>
      <c r="U49" s="298">
        <v>0</v>
      </c>
      <c r="V49" s="294">
        <v>103818152.61</v>
      </c>
      <c r="W49" s="294">
        <v>92240615.312199995</v>
      </c>
      <c r="X49" s="294">
        <v>100666181.01000001</v>
      </c>
      <c r="Y49" s="299">
        <v>0.91630192371196617</v>
      </c>
      <c r="Z49" s="299">
        <v>0.88848253405845301</v>
      </c>
      <c r="AA49" s="288">
        <f>IFERROR(V49/P49,"")</f>
        <v>0.9999999962434315</v>
      </c>
      <c r="AB49" s="288">
        <f>IFERROR(W49/P49,"")</f>
        <v>0.88848253072080752</v>
      </c>
      <c r="AC49" s="311" t="s">
        <v>91</v>
      </c>
      <c r="AD49" s="553" t="str">
        <f>$D49&amp;CHAR(10)&amp;TEXT($E49,"(mmm-yy)")</f>
        <v>FBC
(Feb-23)</v>
      </c>
      <c r="AE49" s="553" t="str">
        <f>$N49&amp;CHAR(10)&amp;TEXT($O49,"(mmm-yy)")</f>
        <v>FBC
(Oct-22)</v>
      </c>
      <c r="AG49" s="571" t="s">
        <v>500</v>
      </c>
      <c r="AH49" s="571" t="s">
        <v>501</v>
      </c>
    </row>
    <row r="50" spans="1:35" ht="17.25" customHeight="1" outlineLevel="1" collapsed="1" x14ac:dyDescent="0.35">
      <c r="A50" s="289" t="s">
        <v>215</v>
      </c>
      <c r="B50" s="301" t="s">
        <v>215</v>
      </c>
      <c r="C50" s="302" t="str" cm="2">
        <f t="array" ref="C50">IFERROR(_xlfn.SWITCH(C49,-1,"i",0,"g",1,"h"),"")</f>
        <v>g</v>
      </c>
      <c r="D50" s="292" t="s">
        <v>215</v>
      </c>
      <c r="E50" s="292" t="s">
        <v>215</v>
      </c>
      <c r="F50" s="303" t="s">
        <v>215</v>
      </c>
      <c r="G50" s="303" t="s">
        <v>215</v>
      </c>
      <c r="H50" s="303" t="s">
        <v>215</v>
      </c>
      <c r="I50" s="303" t="s">
        <v>215</v>
      </c>
      <c r="J50" s="303" t="s">
        <v>215</v>
      </c>
      <c r="K50" s="303" t="s">
        <v>215</v>
      </c>
      <c r="L50" s="301" t="s">
        <v>215</v>
      </c>
      <c r="M50" s="302" t="str" cm="2">
        <f t="array" ref="M50">IFERROR(_xlfn.SWITCH(M49,-1,"i",0,"g",1,"h"),"")</f>
        <v>i</v>
      </c>
      <c r="N50" s="302"/>
      <c r="O50" s="303" t="s">
        <v>215</v>
      </c>
      <c r="P50" s="303" t="s">
        <v>215</v>
      </c>
      <c r="Q50" s="303" t="s">
        <v>215</v>
      </c>
      <c r="R50" s="303" t="s">
        <v>215</v>
      </c>
      <c r="S50" s="303" t="s">
        <v>215</v>
      </c>
      <c r="T50" s="303" t="s">
        <v>215</v>
      </c>
      <c r="U50" s="303" t="s">
        <v>215</v>
      </c>
      <c r="V50" s="303" t="s">
        <v>215</v>
      </c>
      <c r="W50" s="303" t="s">
        <v>215</v>
      </c>
      <c r="X50" s="303" t="s">
        <v>215</v>
      </c>
      <c r="Y50" s="304" t="s">
        <v>215</v>
      </c>
      <c r="Z50" s="304" t="s">
        <v>215</v>
      </c>
      <c r="AA50" s="303" t="s">
        <v>215</v>
      </c>
      <c r="AB50" s="303" t="s">
        <v>215</v>
      </c>
      <c r="AC50" s="308" t="s">
        <v>215</v>
      </c>
      <c r="AG50" s="571"/>
      <c r="AH50" s="571"/>
    </row>
    <row r="51" spans="1:35" ht="16" x14ac:dyDescent="0.35">
      <c r="A51" s="740"/>
      <c r="B51" s="741"/>
      <c r="C51" s="741"/>
      <c r="D51" s="741"/>
      <c r="E51" s="741"/>
      <c r="F51" s="741"/>
      <c r="G51" s="741"/>
      <c r="H51" s="741"/>
      <c r="I51" s="741"/>
      <c r="J51" s="741"/>
      <c r="K51" s="741"/>
      <c r="L51" s="741"/>
      <c r="M51" s="741"/>
      <c r="N51" s="741"/>
      <c r="O51" s="741"/>
      <c r="P51" s="741"/>
      <c r="Q51" s="741"/>
      <c r="R51" s="741"/>
      <c r="S51" s="741"/>
      <c r="T51" s="741"/>
      <c r="U51" s="741"/>
      <c r="V51" s="741"/>
      <c r="W51" s="741"/>
      <c r="X51" s="741"/>
      <c r="Y51" s="741"/>
      <c r="Z51" s="741"/>
      <c r="AA51" s="741"/>
      <c r="AB51" s="741"/>
      <c r="AC51" s="742"/>
      <c r="AG51" s="571"/>
      <c r="AH51" s="571"/>
    </row>
    <row r="52" spans="1:35" ht="8.25" customHeight="1" x14ac:dyDescent="0.35">
      <c r="A52" s="741" t="s">
        <v>215</v>
      </c>
      <c r="B52" s="741"/>
      <c r="C52" s="741"/>
      <c r="D52" s="741"/>
      <c r="E52" s="741"/>
      <c r="F52" s="741"/>
      <c r="G52" s="741"/>
      <c r="H52" s="741"/>
      <c r="I52" s="741"/>
      <c r="J52" s="741"/>
      <c r="K52" s="741"/>
      <c r="L52" s="741"/>
      <c r="M52" s="741"/>
      <c r="N52" s="741"/>
      <c r="O52" s="741"/>
      <c r="P52" s="741"/>
      <c r="Q52" s="741"/>
      <c r="R52" s="741"/>
      <c r="S52" s="741"/>
      <c r="T52" s="741"/>
      <c r="U52" s="741"/>
      <c r="V52" s="741"/>
      <c r="W52" s="741"/>
      <c r="X52" s="741"/>
      <c r="Y52" s="741"/>
      <c r="Z52" s="741"/>
      <c r="AA52" s="741"/>
      <c r="AB52" s="741"/>
      <c r="AC52" s="741"/>
      <c r="AG52" s="571"/>
      <c r="AH52" s="571"/>
    </row>
    <row r="53" spans="1:35" ht="29.25" customHeight="1" x14ac:dyDescent="0.35">
      <c r="A53" s="289" t="s">
        <v>334</v>
      </c>
      <c r="B53" s="311" t="s">
        <v>91</v>
      </c>
      <c r="C53" s="291">
        <v>0</v>
      </c>
      <c r="D53" s="292" t="s">
        <v>232</v>
      </c>
      <c r="E53" s="293">
        <v>44252</v>
      </c>
      <c r="F53" s="294">
        <v>30216000</v>
      </c>
      <c r="G53" s="294">
        <v>31312000</v>
      </c>
      <c r="H53" s="295">
        <v>46660</v>
      </c>
      <c r="I53" s="295">
        <v>46782</v>
      </c>
      <c r="J53" s="294">
        <v>0</v>
      </c>
      <c r="K53" s="294">
        <v>13911625</v>
      </c>
      <c r="L53" s="311" t="s">
        <v>91</v>
      </c>
      <c r="M53" s="291">
        <v>0</v>
      </c>
      <c r="N53" s="291" t="str">
        <f>D53</f>
        <v>OBC</v>
      </c>
      <c r="O53" s="297">
        <v>44439</v>
      </c>
      <c r="P53" s="294">
        <v>36101355</v>
      </c>
      <c r="Q53" s="294">
        <v>38276981.479999997</v>
      </c>
      <c r="R53" s="294">
        <v>0</v>
      </c>
      <c r="S53" s="295">
        <v>47367</v>
      </c>
      <c r="T53" s="295">
        <v>47367</v>
      </c>
      <c r="U53" s="298">
        <v>0</v>
      </c>
      <c r="V53" s="294">
        <v>15557303.43</v>
      </c>
      <c r="W53" s="294">
        <v>15531137.1997</v>
      </c>
      <c r="X53" s="294">
        <v>10956863.42</v>
      </c>
      <c r="Y53" s="299">
        <v>1.417480222611007</v>
      </c>
      <c r="Z53" s="299">
        <v>0.99831807418183138</v>
      </c>
      <c r="AA53" s="288">
        <f>IFERROR(V53/P53,"")</f>
        <v>0.43093405856926975</v>
      </c>
      <c r="AB53" s="288">
        <f>IFERROR(W53/P53,"")</f>
        <v>0.43020925945023392</v>
      </c>
      <c r="AC53" s="311" t="s">
        <v>91</v>
      </c>
      <c r="AD53" s="553" t="str">
        <f>$D53&amp;CHAR(10)&amp;TEXT($E53,"(mmm-yy)")</f>
        <v>OBC
(Feb-21)</v>
      </c>
      <c r="AE53" s="553" t="str">
        <f>$N53&amp;CHAR(10)&amp;TEXT($O53,"(mmm-yy)")</f>
        <v>OBC
(Aug-21)</v>
      </c>
      <c r="AG53" s="571" t="s">
        <v>502</v>
      </c>
      <c r="AH53" s="571" t="s">
        <v>503</v>
      </c>
    </row>
    <row r="54" spans="1:35" ht="17.25" customHeight="1" outlineLevel="1" collapsed="1" x14ac:dyDescent="0.35">
      <c r="A54" s="289" t="s">
        <v>215</v>
      </c>
      <c r="B54" s="301" t="s">
        <v>215</v>
      </c>
      <c r="C54" s="302" t="str" cm="2">
        <f t="array" ref="C54">IFERROR(_xlfn.SWITCH(C53,-1,"i",0,"g",1,"h"),"")</f>
        <v>g</v>
      </c>
      <c r="D54" s="292" t="s">
        <v>215</v>
      </c>
      <c r="E54" s="292" t="s">
        <v>215</v>
      </c>
      <c r="F54" s="303" t="s">
        <v>215</v>
      </c>
      <c r="G54" s="303" t="s">
        <v>215</v>
      </c>
      <c r="H54" s="303" t="s">
        <v>215</v>
      </c>
      <c r="I54" s="303" t="s">
        <v>215</v>
      </c>
      <c r="J54" s="303" t="s">
        <v>215</v>
      </c>
      <c r="K54" s="303" t="s">
        <v>215</v>
      </c>
      <c r="L54" s="301" t="s">
        <v>215</v>
      </c>
      <c r="M54" s="302" t="str" cm="2">
        <f t="array" ref="M54">IFERROR(_xlfn.SWITCH(M53,-1,"i",0,"g",1,"h"),"")</f>
        <v>g</v>
      </c>
      <c r="N54" s="302"/>
      <c r="O54" s="303" t="s">
        <v>215</v>
      </c>
      <c r="P54" s="303" t="s">
        <v>215</v>
      </c>
      <c r="Q54" s="303" t="s">
        <v>215</v>
      </c>
      <c r="R54" s="303" t="s">
        <v>215</v>
      </c>
      <c r="S54" s="303" t="s">
        <v>215</v>
      </c>
      <c r="T54" s="303" t="s">
        <v>215</v>
      </c>
      <c r="U54" s="303" t="s">
        <v>215</v>
      </c>
      <c r="V54" s="303" t="s">
        <v>215</v>
      </c>
      <c r="W54" s="303" t="s">
        <v>215</v>
      </c>
      <c r="X54" s="303" t="s">
        <v>215</v>
      </c>
      <c r="Y54" s="304" t="s">
        <v>215</v>
      </c>
      <c r="Z54" s="304" t="s">
        <v>215</v>
      </c>
      <c r="AA54" s="303" t="s">
        <v>215</v>
      </c>
      <c r="AB54" s="303" t="s">
        <v>215</v>
      </c>
      <c r="AC54" s="308" t="s">
        <v>215</v>
      </c>
      <c r="AG54" s="571"/>
      <c r="AH54" s="571"/>
    </row>
    <row r="55" spans="1:35" ht="16" x14ac:dyDescent="0.35">
      <c r="A55" s="737"/>
      <c r="B55" s="738"/>
      <c r="C55" s="738"/>
      <c r="D55" s="738"/>
      <c r="E55" s="738"/>
      <c r="F55" s="738"/>
      <c r="G55" s="738"/>
      <c r="H55" s="738"/>
      <c r="I55" s="738"/>
      <c r="J55" s="738"/>
      <c r="K55" s="738"/>
      <c r="L55" s="738"/>
      <c r="M55" s="738"/>
      <c r="N55" s="738"/>
      <c r="O55" s="738"/>
      <c r="P55" s="738"/>
      <c r="Q55" s="738"/>
      <c r="R55" s="738"/>
      <c r="S55" s="738"/>
      <c r="T55" s="738"/>
      <c r="U55" s="738"/>
      <c r="V55" s="738"/>
      <c r="W55" s="738"/>
      <c r="X55" s="738"/>
      <c r="Y55" s="738"/>
      <c r="Z55" s="738"/>
      <c r="AA55" s="738"/>
      <c r="AB55" s="738"/>
      <c r="AC55" s="739"/>
      <c r="AG55" s="571"/>
      <c r="AH55" s="571"/>
    </row>
    <row r="56" spans="1:35" ht="8.25" customHeight="1" x14ac:dyDescent="0.35">
      <c r="A56" s="735" t="s">
        <v>215</v>
      </c>
      <c r="B56" s="736"/>
      <c r="C56" s="736"/>
      <c r="D56" s="736"/>
      <c r="E56" s="736"/>
      <c r="F56" s="736"/>
      <c r="G56" s="736"/>
      <c r="H56" s="736"/>
      <c r="I56" s="736"/>
      <c r="J56" s="736"/>
      <c r="K56" s="736"/>
      <c r="L56" s="736"/>
      <c r="M56" s="736"/>
      <c r="N56" s="736"/>
      <c r="O56" s="736"/>
      <c r="P56" s="736"/>
      <c r="Q56" s="736"/>
      <c r="R56" s="736"/>
      <c r="S56" s="736"/>
      <c r="T56" s="736"/>
      <c r="U56" s="736"/>
      <c r="V56" s="736"/>
      <c r="W56" s="736"/>
      <c r="X56" s="736"/>
      <c r="Y56" s="736"/>
      <c r="Z56" s="736"/>
      <c r="AA56" s="736"/>
      <c r="AB56" s="736"/>
      <c r="AC56" s="736"/>
      <c r="AG56" s="571"/>
      <c r="AH56" s="571"/>
    </row>
    <row r="57" spans="1:35" s="639" customFormat="1" ht="29.25" customHeight="1" x14ac:dyDescent="0.35">
      <c r="A57" s="640" t="s">
        <v>330</v>
      </c>
      <c r="B57" s="311" t="s">
        <v>91</v>
      </c>
      <c r="C57" s="291">
        <v>0</v>
      </c>
      <c r="D57" s="292" t="s">
        <v>454</v>
      </c>
      <c r="E57" s="293">
        <v>45352</v>
      </c>
      <c r="F57" s="294">
        <v>81716690</v>
      </c>
      <c r="G57" s="294">
        <v>164379642</v>
      </c>
      <c r="H57" s="295">
        <v>48549</v>
      </c>
      <c r="I57" s="295">
        <v>49310</v>
      </c>
      <c r="J57" s="294">
        <v>0</v>
      </c>
      <c r="K57" s="294">
        <v>11961000</v>
      </c>
      <c r="L57" s="311" t="s">
        <v>91</v>
      </c>
      <c r="M57" s="291">
        <v>0</v>
      </c>
      <c r="N57" s="291" t="str">
        <f>D57</f>
        <v>SOC</v>
      </c>
      <c r="O57" s="297">
        <v>45999</v>
      </c>
      <c r="P57" s="294">
        <v>69236481</v>
      </c>
      <c r="Q57" s="294">
        <v>68884648.959999993</v>
      </c>
      <c r="R57" s="294">
        <v>-14033692.060000001</v>
      </c>
      <c r="S57" s="295">
        <v>48235</v>
      </c>
      <c r="T57" s="295">
        <v>48235</v>
      </c>
      <c r="U57" s="298">
        <v>125</v>
      </c>
      <c r="V57" s="294">
        <v>9564937.3200000003</v>
      </c>
      <c r="W57" s="294">
        <v>8050008.5970000001</v>
      </c>
      <c r="X57" s="294">
        <v>6215979.4000000004</v>
      </c>
      <c r="Y57" s="299">
        <v>1.295050719923557</v>
      </c>
      <c r="Z57" s="299">
        <v>0.84161645055087508</v>
      </c>
      <c r="AA57" s="288">
        <f>IFERROR(V57/P57,"")</f>
        <v>0.13814880799617762</v>
      </c>
      <c r="AB57" s="288">
        <f>IFERROR(W57/P57,"")</f>
        <v>0.11626830943357737</v>
      </c>
      <c r="AC57" s="311" t="s">
        <v>91</v>
      </c>
      <c r="AD57" s="553" t="str">
        <f>$D57&amp;CHAR(10)&amp;TEXT($E57,"(mmm-yy)")</f>
        <v>SOC
(Mar-24)</v>
      </c>
      <c r="AE57" s="553" t="str">
        <f>$N57&amp;CHAR(10)&amp;TEXT($O57,"(mmm-yy)")</f>
        <v>SOC
(Dec-25)</v>
      </c>
      <c r="AG57" s="571" t="s">
        <v>516</v>
      </c>
      <c r="AH57" s="571" t="s">
        <v>508</v>
      </c>
    </row>
    <row r="58" spans="1:35" s="639" customFormat="1" ht="17.25" customHeight="1" outlineLevel="1" collapsed="1" x14ac:dyDescent="0.35">
      <c r="A58" s="289" t="s">
        <v>215</v>
      </c>
      <c r="B58" s="301" t="s">
        <v>215</v>
      </c>
      <c r="C58" s="302" t="str" cm="2">
        <f t="array" ref="C58">IFERROR(_xlfn.SWITCH(C57,-1,"i",0,"g",1,"h"),"")</f>
        <v>g</v>
      </c>
      <c r="D58" s="292" t="s">
        <v>215</v>
      </c>
      <c r="E58" s="292" t="s">
        <v>215</v>
      </c>
      <c r="F58" s="303" t="s">
        <v>215</v>
      </c>
      <c r="G58" s="303" t="s">
        <v>215</v>
      </c>
      <c r="H58" s="303" t="s">
        <v>215</v>
      </c>
      <c r="I58" s="303" t="s">
        <v>215</v>
      </c>
      <c r="J58" s="303" t="s">
        <v>215</v>
      </c>
      <c r="K58" s="303" t="s">
        <v>215</v>
      </c>
      <c r="L58" s="301" t="s">
        <v>215</v>
      </c>
      <c r="M58" s="302" t="str" cm="2">
        <f t="array" ref="M58">IFERROR(_xlfn.SWITCH(M57,-1,"i",0,"g",1,"h"),"")</f>
        <v>g</v>
      </c>
      <c r="N58" s="302"/>
      <c r="O58" s="303" t="s">
        <v>215</v>
      </c>
      <c r="P58" s="303" t="s">
        <v>215</v>
      </c>
      <c r="Q58" s="303" t="s">
        <v>215</v>
      </c>
      <c r="R58" s="303" t="s">
        <v>215</v>
      </c>
      <c r="S58" s="303" t="s">
        <v>215</v>
      </c>
      <c r="T58" s="303" t="s">
        <v>215</v>
      </c>
      <c r="U58" s="303" t="s">
        <v>215</v>
      </c>
      <c r="V58" s="303" t="s">
        <v>215</v>
      </c>
      <c r="W58" s="303" t="s">
        <v>215</v>
      </c>
      <c r="X58" s="303" t="s">
        <v>215</v>
      </c>
      <c r="Y58" s="304" t="s">
        <v>215</v>
      </c>
      <c r="Z58" s="304" t="s">
        <v>215</v>
      </c>
      <c r="AA58" s="303" t="s">
        <v>215</v>
      </c>
      <c r="AB58" s="303" t="s">
        <v>215</v>
      </c>
      <c r="AC58" s="308" t="s">
        <v>215</v>
      </c>
      <c r="AD58" s="468"/>
      <c r="AG58" s="571"/>
      <c r="AH58" s="571"/>
    </row>
    <row r="59" spans="1:35" s="639" customFormat="1" ht="16" x14ac:dyDescent="0.35">
      <c r="A59" s="737"/>
      <c r="B59" s="738"/>
      <c r="C59" s="738"/>
      <c r="D59" s="738"/>
      <c r="E59" s="738"/>
      <c r="F59" s="738"/>
      <c r="G59" s="738"/>
      <c r="H59" s="738"/>
      <c r="I59" s="738"/>
      <c r="J59" s="738"/>
      <c r="K59" s="738"/>
      <c r="L59" s="738"/>
      <c r="M59" s="738"/>
      <c r="N59" s="738"/>
      <c r="O59" s="738"/>
      <c r="P59" s="738"/>
      <c r="Q59" s="738"/>
      <c r="R59" s="738"/>
      <c r="S59" s="738"/>
      <c r="T59" s="738"/>
      <c r="U59" s="738"/>
      <c r="V59" s="738"/>
      <c r="W59" s="738"/>
      <c r="X59" s="738"/>
      <c r="Y59" s="738"/>
      <c r="Z59" s="738"/>
      <c r="AA59" s="738"/>
      <c r="AB59" s="738"/>
      <c r="AC59" s="739"/>
      <c r="AD59" s="468"/>
      <c r="AG59" s="571"/>
      <c r="AH59" s="571"/>
    </row>
    <row r="60" spans="1:35" s="639" customFormat="1" ht="8.25" customHeight="1" x14ac:dyDescent="0.35">
      <c r="A60" s="735" t="s">
        <v>215</v>
      </c>
      <c r="B60" s="736"/>
      <c r="C60" s="736"/>
      <c r="D60" s="736"/>
      <c r="E60" s="736"/>
      <c r="F60" s="736"/>
      <c r="G60" s="736"/>
      <c r="H60" s="736"/>
      <c r="I60" s="736"/>
      <c r="J60" s="736"/>
      <c r="K60" s="736"/>
      <c r="L60" s="736"/>
      <c r="M60" s="736"/>
      <c r="N60" s="736"/>
      <c r="O60" s="736"/>
      <c r="P60" s="736"/>
      <c r="Q60" s="736"/>
      <c r="R60" s="736"/>
      <c r="S60" s="736"/>
      <c r="T60" s="736"/>
      <c r="U60" s="736"/>
      <c r="V60" s="736"/>
      <c r="W60" s="736"/>
      <c r="X60" s="736"/>
      <c r="Y60" s="736"/>
      <c r="Z60" s="736"/>
      <c r="AA60" s="736"/>
      <c r="AB60" s="736"/>
      <c r="AC60" s="736"/>
      <c r="AD60" s="468"/>
      <c r="AG60" s="571"/>
      <c r="AH60" s="571"/>
    </row>
    <row r="61" spans="1:35" ht="29" x14ac:dyDescent="0.55000000000000004">
      <c r="A61" s="289" t="s">
        <v>279</v>
      </c>
      <c r="B61" s="311" t="s">
        <v>95</v>
      </c>
      <c r="C61" s="291" t="s">
        <v>215</v>
      </c>
      <c r="D61" s="292" t="s">
        <v>454</v>
      </c>
      <c r="E61" s="293">
        <v>45371</v>
      </c>
      <c r="F61" s="294">
        <v>87000000</v>
      </c>
      <c r="G61" s="294">
        <v>91000000</v>
      </c>
      <c r="H61" s="295" t="s">
        <v>215</v>
      </c>
      <c r="I61" s="295">
        <v>47361</v>
      </c>
      <c r="J61" s="294">
        <v>0</v>
      </c>
      <c r="K61" s="294">
        <v>53000000</v>
      </c>
      <c r="L61" s="311" t="s">
        <v>95</v>
      </c>
      <c r="M61" s="291" t="s">
        <v>215</v>
      </c>
      <c r="N61" s="291" t="str">
        <f>D61</f>
        <v>SOC</v>
      </c>
      <c r="O61" s="297">
        <v>45730</v>
      </c>
      <c r="P61" s="294">
        <v>919618256</v>
      </c>
      <c r="Q61" s="294">
        <v>20678211.440000001</v>
      </c>
      <c r="R61" s="294">
        <v>308.39999999999998</v>
      </c>
      <c r="S61" s="295">
        <v>50724</v>
      </c>
      <c r="T61" s="295">
        <v>50724</v>
      </c>
      <c r="U61" s="298">
        <v>0</v>
      </c>
      <c r="V61" s="294">
        <v>38933642.289999999</v>
      </c>
      <c r="W61" s="294">
        <v>40103855.446000002</v>
      </c>
      <c r="X61" s="294">
        <v>19204409.289999999</v>
      </c>
      <c r="Y61" s="299">
        <v>2.0882629004831004</v>
      </c>
      <c r="Z61" s="299">
        <v>1.0300566062451486</v>
      </c>
      <c r="AA61" s="288">
        <f>IFERROR(V61/P61,"")</f>
        <v>4.2336743573737838E-2</v>
      </c>
      <c r="AB61" s="288">
        <f>IFERROR(W61/P61,"")</f>
        <v>4.3609242405035512E-2</v>
      </c>
      <c r="AC61" s="311" t="s">
        <v>91</v>
      </c>
      <c r="AD61" s="553" t="str">
        <f>$D61&amp;CHAR(10)&amp;TEXT($E61,"(mmm-yy)")</f>
        <v>SOC
(Mar-24)</v>
      </c>
      <c r="AE61" s="553" t="str">
        <f>$N61&amp;CHAR(10)&amp;TEXT($O61,"(mmm-yy)")</f>
        <v>SOC
(Mar-25)</v>
      </c>
      <c r="AG61" s="571" t="s">
        <v>504</v>
      </c>
      <c r="AH61" s="571" t="s">
        <v>505</v>
      </c>
      <c r="AI61" s="597"/>
    </row>
    <row r="62" spans="1:35" ht="17.25" customHeight="1" outlineLevel="1" collapsed="1" x14ac:dyDescent="0.35">
      <c r="A62" s="289" t="s">
        <v>215</v>
      </c>
      <c r="B62" s="301" t="s">
        <v>215</v>
      </c>
      <c r="C62" s="302" t="str" cm="2">
        <f t="array" ref="C62">IFERROR(_xlfn.SWITCH(C61,-1,"i",0,"g",1,"h"),"")</f>
        <v/>
      </c>
      <c r="D62" s="292" t="s">
        <v>215</v>
      </c>
      <c r="E62" s="292" t="s">
        <v>215</v>
      </c>
      <c r="F62" s="303" t="s">
        <v>215</v>
      </c>
      <c r="G62" s="303" t="s">
        <v>215</v>
      </c>
      <c r="H62" s="303" t="s">
        <v>215</v>
      </c>
      <c r="I62" s="303" t="s">
        <v>215</v>
      </c>
      <c r="J62" s="303" t="s">
        <v>215</v>
      </c>
      <c r="K62" s="303" t="s">
        <v>215</v>
      </c>
      <c r="L62" s="301" t="s">
        <v>215</v>
      </c>
      <c r="M62" s="302" t="str" cm="2">
        <f t="array" ref="M62">IFERROR(_xlfn.SWITCH(M61,-1,"i",0,"g",1,"h"),"")</f>
        <v/>
      </c>
      <c r="N62" s="302"/>
      <c r="O62" s="303" t="s">
        <v>215</v>
      </c>
      <c r="P62" s="303" t="s">
        <v>215</v>
      </c>
      <c r="Q62" s="303" t="s">
        <v>215</v>
      </c>
      <c r="R62" s="303" t="s">
        <v>215</v>
      </c>
      <c r="S62" s="303" t="s">
        <v>215</v>
      </c>
      <c r="T62" s="303" t="s">
        <v>215</v>
      </c>
      <c r="U62" s="303" t="s">
        <v>215</v>
      </c>
      <c r="V62" s="303" t="s">
        <v>215</v>
      </c>
      <c r="W62" s="303" t="s">
        <v>215</v>
      </c>
      <c r="X62" s="303" t="s">
        <v>215</v>
      </c>
      <c r="Y62" s="304" t="s">
        <v>215</v>
      </c>
      <c r="Z62" s="304" t="s">
        <v>215</v>
      </c>
      <c r="AA62" s="303" t="s">
        <v>215</v>
      </c>
      <c r="AB62" s="303" t="s">
        <v>215</v>
      </c>
      <c r="AC62" s="308" t="s">
        <v>215</v>
      </c>
      <c r="AG62" s="571"/>
      <c r="AH62" s="571"/>
    </row>
    <row r="63" spans="1:35" ht="16" x14ac:dyDescent="0.35">
      <c r="A63" s="737"/>
      <c r="B63" s="738"/>
      <c r="C63" s="738"/>
      <c r="D63" s="738"/>
      <c r="E63" s="738"/>
      <c r="F63" s="738"/>
      <c r="G63" s="738"/>
      <c r="H63" s="738"/>
      <c r="I63" s="738"/>
      <c r="J63" s="738"/>
      <c r="K63" s="738"/>
      <c r="L63" s="738"/>
      <c r="M63" s="738"/>
      <c r="N63" s="738"/>
      <c r="O63" s="738"/>
      <c r="P63" s="738"/>
      <c r="Q63" s="738"/>
      <c r="R63" s="738"/>
      <c r="S63" s="738"/>
      <c r="T63" s="738"/>
      <c r="U63" s="738"/>
      <c r="V63" s="738"/>
      <c r="W63" s="738"/>
      <c r="X63" s="738"/>
      <c r="Y63" s="738"/>
      <c r="Z63" s="738"/>
      <c r="AA63" s="738"/>
      <c r="AB63" s="738"/>
      <c r="AC63" s="739"/>
      <c r="AG63" s="571"/>
      <c r="AH63" s="571"/>
    </row>
    <row r="64" spans="1:35" ht="8.25" customHeight="1" x14ac:dyDescent="0.35">
      <c r="A64" s="735" t="s">
        <v>215</v>
      </c>
      <c r="B64" s="736"/>
      <c r="C64" s="736"/>
      <c r="D64" s="736"/>
      <c r="E64" s="736"/>
      <c r="F64" s="736"/>
      <c r="G64" s="736"/>
      <c r="H64" s="736"/>
      <c r="I64" s="736"/>
      <c r="J64" s="736"/>
      <c r="K64" s="736"/>
      <c r="L64" s="736"/>
      <c r="M64" s="736"/>
      <c r="N64" s="736"/>
      <c r="O64" s="736"/>
      <c r="P64" s="736"/>
      <c r="Q64" s="736"/>
      <c r="R64" s="736"/>
      <c r="S64" s="736"/>
      <c r="T64" s="736"/>
      <c r="U64" s="736"/>
      <c r="V64" s="736"/>
      <c r="W64" s="736"/>
      <c r="X64" s="736"/>
      <c r="Y64" s="736"/>
      <c r="Z64" s="736"/>
      <c r="AA64" s="736"/>
      <c r="AB64" s="736"/>
      <c r="AC64" s="736"/>
      <c r="AG64" s="571"/>
      <c r="AH64" s="571"/>
    </row>
    <row r="65" spans="1:34" ht="29" x14ac:dyDescent="0.35">
      <c r="A65" s="289" t="s">
        <v>328</v>
      </c>
      <c r="B65" s="311" t="s">
        <v>90</v>
      </c>
      <c r="C65" s="291">
        <v>0</v>
      </c>
      <c r="D65" s="292" t="s">
        <v>454</v>
      </c>
      <c r="E65" s="293">
        <v>44440</v>
      </c>
      <c r="F65" s="294">
        <v>38100000</v>
      </c>
      <c r="G65" s="294">
        <v>0</v>
      </c>
      <c r="H65" s="295" t="s">
        <v>215</v>
      </c>
      <c r="I65" s="295" t="s">
        <v>215</v>
      </c>
      <c r="J65" s="294">
        <v>0</v>
      </c>
      <c r="K65" s="294">
        <v>38100000</v>
      </c>
      <c r="L65" s="311" t="s">
        <v>90</v>
      </c>
      <c r="M65" s="291">
        <v>0</v>
      </c>
      <c r="N65" s="291" t="str">
        <f>D65</f>
        <v>SOC</v>
      </c>
      <c r="O65" s="297">
        <v>44985</v>
      </c>
      <c r="P65" s="294">
        <v>340000000</v>
      </c>
      <c r="Q65" s="294">
        <v>341066606.75999999</v>
      </c>
      <c r="R65" s="294">
        <v>-28696.46</v>
      </c>
      <c r="S65" s="295">
        <v>48746</v>
      </c>
      <c r="T65" s="295">
        <v>48850</v>
      </c>
      <c r="U65" s="298">
        <v>0</v>
      </c>
      <c r="V65" s="294">
        <v>31302792.710000001</v>
      </c>
      <c r="W65" s="294">
        <v>27190404.887400001</v>
      </c>
      <c r="X65" s="294">
        <v>27460886.25</v>
      </c>
      <c r="Y65" s="299">
        <v>0.99015030468654308</v>
      </c>
      <c r="Z65" s="299">
        <v>0.86862552933539838</v>
      </c>
      <c r="AA65" s="288">
        <f>IFERROR(V65/P65,"")</f>
        <v>9.2067037382352945E-2</v>
      </c>
      <c r="AB65" s="288">
        <f>IFERROR(W65/P65,"")</f>
        <v>7.9971779080588237E-2</v>
      </c>
      <c r="AC65" s="311" t="s">
        <v>90</v>
      </c>
      <c r="AD65" s="553" t="str">
        <f>$D65&amp;CHAR(10)&amp;TEXT($E65,"(mmm-yy)")</f>
        <v>SOC
(Sep-21)</v>
      </c>
      <c r="AE65" s="553" t="str">
        <f>$N65&amp;CHAR(10)&amp;TEXT($O65,"(mmm-yy)")</f>
        <v>SOC
(Feb-23)</v>
      </c>
      <c r="AG65" s="571" t="s">
        <v>506</v>
      </c>
      <c r="AH65" s="571" t="s">
        <v>497</v>
      </c>
    </row>
    <row r="66" spans="1:34" ht="17.25" customHeight="1" outlineLevel="1" collapsed="1" x14ac:dyDescent="0.35">
      <c r="A66" s="289" t="s">
        <v>215</v>
      </c>
      <c r="B66" s="301" t="s">
        <v>215</v>
      </c>
      <c r="C66" s="302" t="str" cm="2">
        <f t="array" ref="C66">IFERROR(_xlfn.SWITCH(C65,-1,"i",0,"g",1,"h"),"")</f>
        <v>g</v>
      </c>
      <c r="D66" s="292" t="s">
        <v>215</v>
      </c>
      <c r="E66" s="292" t="s">
        <v>215</v>
      </c>
      <c r="F66" s="303" t="s">
        <v>215</v>
      </c>
      <c r="G66" s="303" t="s">
        <v>215</v>
      </c>
      <c r="H66" s="303" t="s">
        <v>215</v>
      </c>
      <c r="I66" s="303" t="s">
        <v>215</v>
      </c>
      <c r="J66" s="303" t="s">
        <v>215</v>
      </c>
      <c r="K66" s="303" t="s">
        <v>215</v>
      </c>
      <c r="L66" s="301" t="s">
        <v>215</v>
      </c>
      <c r="M66" s="302" t="str" cm="2">
        <f t="array" ref="M66">IFERROR(_xlfn.SWITCH(M65,-1,"i",0,"g",1,"h"),"")</f>
        <v>g</v>
      </c>
      <c r="N66" s="302"/>
      <c r="O66" s="303" t="s">
        <v>215</v>
      </c>
      <c r="P66" s="303" t="s">
        <v>215</v>
      </c>
      <c r="Q66" s="303" t="s">
        <v>215</v>
      </c>
      <c r="R66" s="303" t="s">
        <v>215</v>
      </c>
      <c r="S66" s="303" t="s">
        <v>215</v>
      </c>
      <c r="T66" s="303" t="s">
        <v>215</v>
      </c>
      <c r="U66" s="303" t="s">
        <v>215</v>
      </c>
      <c r="V66" s="303" t="s">
        <v>215</v>
      </c>
      <c r="W66" s="303" t="s">
        <v>215</v>
      </c>
      <c r="X66" s="303" t="s">
        <v>215</v>
      </c>
      <c r="Y66" s="304" t="s">
        <v>215</v>
      </c>
      <c r="Z66" s="304" t="s">
        <v>215</v>
      </c>
      <c r="AA66" s="303" t="s">
        <v>215</v>
      </c>
      <c r="AB66" s="303" t="s">
        <v>215</v>
      </c>
      <c r="AC66" s="308" t="s">
        <v>215</v>
      </c>
      <c r="AG66" s="571"/>
      <c r="AH66" s="571"/>
    </row>
    <row r="67" spans="1:34" ht="16" x14ac:dyDescent="0.35">
      <c r="A67" s="737"/>
      <c r="B67" s="738"/>
      <c r="C67" s="738"/>
      <c r="D67" s="738"/>
      <c r="E67" s="738"/>
      <c r="F67" s="738"/>
      <c r="G67" s="738"/>
      <c r="H67" s="738"/>
      <c r="I67" s="738"/>
      <c r="J67" s="738"/>
      <c r="K67" s="738"/>
      <c r="L67" s="738"/>
      <c r="M67" s="738"/>
      <c r="N67" s="738"/>
      <c r="O67" s="738"/>
      <c r="P67" s="738"/>
      <c r="Q67" s="738"/>
      <c r="R67" s="738"/>
      <c r="S67" s="738"/>
      <c r="T67" s="738"/>
      <c r="U67" s="738"/>
      <c r="V67" s="738"/>
      <c r="W67" s="738"/>
      <c r="X67" s="738"/>
      <c r="Y67" s="738"/>
      <c r="Z67" s="738"/>
      <c r="AA67" s="738"/>
      <c r="AB67" s="738"/>
      <c r="AC67" s="739"/>
      <c r="AG67" s="571"/>
      <c r="AH67" s="571"/>
    </row>
    <row r="68" spans="1:34" ht="8.15" customHeight="1" x14ac:dyDescent="0.35">
      <c r="A68" s="735" t="s">
        <v>215</v>
      </c>
      <c r="B68" s="736"/>
      <c r="C68" s="736"/>
      <c r="D68" s="736"/>
      <c r="E68" s="736"/>
      <c r="F68" s="736"/>
      <c r="G68" s="736"/>
      <c r="H68" s="736"/>
      <c r="I68" s="736"/>
      <c r="J68" s="736"/>
      <c r="K68" s="736"/>
      <c r="L68" s="736"/>
      <c r="M68" s="736"/>
      <c r="N68" s="736"/>
      <c r="O68" s="736"/>
      <c r="P68" s="736"/>
      <c r="Q68" s="736"/>
      <c r="R68" s="736"/>
      <c r="S68" s="736"/>
      <c r="T68" s="736"/>
      <c r="U68" s="736"/>
      <c r="V68" s="736"/>
      <c r="W68" s="736"/>
      <c r="X68" s="736"/>
      <c r="Y68" s="736"/>
      <c r="Z68" s="736"/>
      <c r="AA68" s="736"/>
      <c r="AB68" s="736"/>
      <c r="AC68" s="736"/>
      <c r="AG68" s="571"/>
      <c r="AH68" s="571"/>
    </row>
    <row r="69" spans="1:34" ht="29.25" customHeight="1" x14ac:dyDescent="0.35">
      <c r="A69" s="289" t="s">
        <v>346</v>
      </c>
      <c r="B69" s="311" t="s">
        <v>91</v>
      </c>
      <c r="C69" s="291">
        <v>0</v>
      </c>
      <c r="D69" s="292" t="s">
        <v>454</v>
      </c>
      <c r="E69" s="293">
        <v>45239</v>
      </c>
      <c r="F69" s="294">
        <v>44848309</v>
      </c>
      <c r="G69" s="294">
        <v>45887309</v>
      </c>
      <c r="H69" s="295">
        <v>47543</v>
      </c>
      <c r="I69" s="295" t="s">
        <v>215</v>
      </c>
      <c r="J69" s="294">
        <v>0</v>
      </c>
      <c r="K69" s="294">
        <v>3087102</v>
      </c>
      <c r="L69" s="311" t="s">
        <v>91</v>
      </c>
      <c r="M69" s="291">
        <v>0</v>
      </c>
      <c r="N69" s="291" t="str">
        <f>D69</f>
        <v>SOC</v>
      </c>
      <c r="O69" s="297">
        <v>45306</v>
      </c>
      <c r="P69" s="294">
        <v>42841254</v>
      </c>
      <c r="Q69" s="294">
        <v>42426553.950000003</v>
      </c>
      <c r="R69" s="294">
        <v>1250.57</v>
      </c>
      <c r="S69" s="295">
        <v>47416</v>
      </c>
      <c r="T69" s="295">
        <v>47416</v>
      </c>
      <c r="U69" s="298">
        <v>0</v>
      </c>
      <c r="V69" s="294">
        <v>3631890.21</v>
      </c>
      <c r="W69" s="294">
        <v>2891106.1271000002</v>
      </c>
      <c r="X69" s="294">
        <v>2357582.75</v>
      </c>
      <c r="Y69" s="299">
        <v>1.2263010183205658</v>
      </c>
      <c r="Z69" s="299">
        <v>0.79603345914468049</v>
      </c>
      <c r="AA69" s="288">
        <f>IFERROR(V69/P69,"")</f>
        <v>8.477553458169082E-2</v>
      </c>
      <c r="AB69" s="288">
        <f>IFERROR(W69/P69,"")</f>
        <v>6.7484162043902826E-2</v>
      </c>
      <c r="AC69" s="311" t="s">
        <v>91</v>
      </c>
      <c r="AD69" s="553" t="str">
        <f>$D69&amp;CHAR(10)&amp;TEXT($E69,"(mmm-yy)")</f>
        <v>SOC
(Nov-23)</v>
      </c>
      <c r="AE69" s="553" t="str">
        <f>$N69&amp;CHAR(10)&amp;TEXT($O69,"(mmm-yy)")</f>
        <v>SOC
(Jan-24)</v>
      </c>
      <c r="AG69" s="571" t="s">
        <v>517</v>
      </c>
      <c r="AH69" s="571" t="s">
        <v>518</v>
      </c>
    </row>
    <row r="70" spans="1:34" ht="17.25" customHeight="1" outlineLevel="1" collapsed="1" x14ac:dyDescent="0.35">
      <c r="A70" s="289" t="s">
        <v>215</v>
      </c>
      <c r="B70" s="301" t="s">
        <v>215</v>
      </c>
      <c r="C70" s="302" t="str" cm="2">
        <f t="array" ref="C70">IFERROR(_xlfn.SWITCH(C69,-1,"i",0,"g",1,"h"),"")</f>
        <v>g</v>
      </c>
      <c r="D70" s="292" t="s">
        <v>215</v>
      </c>
      <c r="E70" s="292" t="s">
        <v>215</v>
      </c>
      <c r="F70" s="303" t="s">
        <v>215</v>
      </c>
      <c r="G70" s="303" t="s">
        <v>215</v>
      </c>
      <c r="H70" s="303" t="s">
        <v>215</v>
      </c>
      <c r="I70" s="303" t="s">
        <v>215</v>
      </c>
      <c r="J70" s="303" t="s">
        <v>215</v>
      </c>
      <c r="K70" s="303" t="s">
        <v>215</v>
      </c>
      <c r="L70" s="301" t="s">
        <v>215</v>
      </c>
      <c r="M70" s="302" t="str" cm="2">
        <f t="array" ref="M70">IFERROR(_xlfn.SWITCH(M69,-1,"i",0,"g",1,"h"),"")</f>
        <v>g</v>
      </c>
      <c r="N70" s="302"/>
      <c r="O70" s="303" t="s">
        <v>215</v>
      </c>
      <c r="P70" s="303" t="s">
        <v>215</v>
      </c>
      <c r="Q70" s="303" t="s">
        <v>215</v>
      </c>
      <c r="R70" s="303" t="s">
        <v>215</v>
      </c>
      <c r="S70" s="303" t="s">
        <v>215</v>
      </c>
      <c r="T70" s="303" t="s">
        <v>215</v>
      </c>
      <c r="U70" s="303" t="s">
        <v>215</v>
      </c>
      <c r="V70" s="303" t="s">
        <v>215</v>
      </c>
      <c r="W70" s="303" t="s">
        <v>215</v>
      </c>
      <c r="X70" s="303" t="s">
        <v>215</v>
      </c>
      <c r="Y70" s="304" t="s">
        <v>215</v>
      </c>
      <c r="Z70" s="304" t="s">
        <v>215</v>
      </c>
      <c r="AA70" s="303" t="s">
        <v>215</v>
      </c>
      <c r="AB70" s="303" t="s">
        <v>215</v>
      </c>
      <c r="AC70" s="308" t="s">
        <v>215</v>
      </c>
      <c r="AG70" s="571"/>
      <c r="AH70" s="571"/>
    </row>
    <row r="71" spans="1:34" ht="17.25" customHeight="1" x14ac:dyDescent="0.35">
      <c r="A71" s="737"/>
      <c r="B71" s="738"/>
      <c r="C71" s="738"/>
      <c r="D71" s="738"/>
      <c r="E71" s="738"/>
      <c r="F71" s="738"/>
      <c r="G71" s="738"/>
      <c r="H71" s="738"/>
      <c r="I71" s="738"/>
      <c r="J71" s="738"/>
      <c r="K71" s="738"/>
      <c r="L71" s="738"/>
      <c r="M71" s="738"/>
      <c r="N71" s="738"/>
      <c r="O71" s="738"/>
      <c r="P71" s="738"/>
      <c r="Q71" s="738"/>
      <c r="R71" s="738"/>
      <c r="S71" s="738"/>
      <c r="T71" s="738"/>
      <c r="U71" s="738"/>
      <c r="V71" s="738"/>
      <c r="W71" s="738"/>
      <c r="X71" s="738"/>
      <c r="Y71" s="738"/>
      <c r="Z71" s="738"/>
      <c r="AA71" s="738"/>
      <c r="AB71" s="738"/>
      <c r="AC71" s="739"/>
      <c r="AG71" s="571"/>
      <c r="AH71" s="571"/>
    </row>
    <row r="72" spans="1:34" ht="8.25" customHeight="1" x14ac:dyDescent="0.35">
      <c r="A72" s="735" t="s">
        <v>215</v>
      </c>
      <c r="B72" s="736"/>
      <c r="C72" s="736"/>
      <c r="D72" s="736"/>
      <c r="E72" s="736"/>
      <c r="F72" s="736"/>
      <c r="G72" s="736"/>
      <c r="H72" s="736"/>
      <c r="I72" s="736"/>
      <c r="J72" s="736"/>
      <c r="K72" s="736"/>
      <c r="L72" s="736"/>
      <c r="M72" s="736"/>
      <c r="N72" s="736"/>
      <c r="O72" s="736"/>
      <c r="P72" s="736"/>
      <c r="Q72" s="736"/>
      <c r="R72" s="736"/>
      <c r="S72" s="736"/>
      <c r="T72" s="736"/>
      <c r="U72" s="736"/>
      <c r="V72" s="736"/>
      <c r="W72" s="736"/>
      <c r="X72" s="736"/>
      <c r="Y72" s="736"/>
      <c r="Z72" s="736"/>
      <c r="AA72" s="736"/>
      <c r="AB72" s="736"/>
      <c r="AC72" s="736"/>
      <c r="AG72" s="571"/>
      <c r="AH72" s="571"/>
    </row>
    <row r="73" spans="1:34" s="572" customFormat="1" ht="29.25" customHeight="1" x14ac:dyDescent="0.35">
      <c r="A73" s="289" t="s">
        <v>348</v>
      </c>
      <c r="B73" s="311" t="s">
        <v>91</v>
      </c>
      <c r="C73" s="291">
        <v>0</v>
      </c>
      <c r="D73" s="292" t="s">
        <v>454</v>
      </c>
      <c r="E73" s="293">
        <v>45170</v>
      </c>
      <c r="F73" s="294">
        <v>44000000</v>
      </c>
      <c r="G73" s="294">
        <v>45039000</v>
      </c>
      <c r="H73" s="295">
        <v>47119</v>
      </c>
      <c r="I73" s="295" t="s">
        <v>215</v>
      </c>
      <c r="J73" s="294">
        <v>0</v>
      </c>
      <c r="K73" s="294">
        <v>2601000</v>
      </c>
      <c r="L73" s="311" t="s">
        <v>91</v>
      </c>
      <c r="M73" s="291">
        <v>0</v>
      </c>
      <c r="N73" s="291" t="str">
        <f>D73</f>
        <v>SOC</v>
      </c>
      <c r="O73" s="297">
        <v>45306</v>
      </c>
      <c r="P73" s="294">
        <v>42754873</v>
      </c>
      <c r="Q73" s="294">
        <v>42266114.729999997</v>
      </c>
      <c r="R73" s="294">
        <v>2462.6799999999998</v>
      </c>
      <c r="S73" s="295">
        <v>47129</v>
      </c>
      <c r="T73" s="295">
        <v>47129</v>
      </c>
      <c r="U73" s="298">
        <v>0</v>
      </c>
      <c r="V73" s="294">
        <v>4254163.03</v>
      </c>
      <c r="W73" s="294">
        <v>2495007.4673000001</v>
      </c>
      <c r="X73" s="294">
        <v>2467551.96</v>
      </c>
      <c r="Y73" s="299">
        <v>1.0111266176944051</v>
      </c>
      <c r="Z73" s="299">
        <v>0.5864860960206314</v>
      </c>
      <c r="AA73" s="288">
        <f>IFERROR(V73/P73,"")</f>
        <v>9.9501243519072094E-2</v>
      </c>
      <c r="AB73" s="288">
        <f>IFERROR(W73/P73,"")</f>
        <v>5.8356095860698738E-2</v>
      </c>
      <c r="AC73" s="311" t="s">
        <v>91</v>
      </c>
      <c r="AD73" s="595" t="str">
        <f>$D73&amp;CHAR(10)&amp;TEXT($E73,"(mmm-yy)")</f>
        <v>SOC
(Sep-23)</v>
      </c>
      <c r="AE73" s="595" t="str">
        <f>$N73&amp;CHAR(10)&amp;TEXT($O73,"(mmm-yy)")</f>
        <v>SOC
(Jan-24)</v>
      </c>
      <c r="AG73" s="571" t="s">
        <v>513</v>
      </c>
      <c r="AH73" s="571" t="s">
        <v>518</v>
      </c>
    </row>
    <row r="74" spans="1:34" ht="17.25" customHeight="1" outlineLevel="1" collapsed="1" x14ac:dyDescent="0.35">
      <c r="A74" s="289" t="s">
        <v>215</v>
      </c>
      <c r="B74" s="301" t="s">
        <v>215</v>
      </c>
      <c r="C74" s="302" t="str" cm="2">
        <f t="array" ref="C74">IFERROR(_xlfn.SWITCH(C73,-1,"i",0,"g",1,"h"),"")</f>
        <v>g</v>
      </c>
      <c r="D74" s="292" t="s">
        <v>215</v>
      </c>
      <c r="E74" s="292" t="s">
        <v>215</v>
      </c>
      <c r="F74" s="303" t="s">
        <v>215</v>
      </c>
      <c r="G74" s="303" t="s">
        <v>215</v>
      </c>
      <c r="H74" s="303" t="s">
        <v>215</v>
      </c>
      <c r="I74" s="303" t="s">
        <v>215</v>
      </c>
      <c r="J74" s="303" t="s">
        <v>215</v>
      </c>
      <c r="K74" s="303" t="s">
        <v>215</v>
      </c>
      <c r="L74" s="301" t="s">
        <v>215</v>
      </c>
      <c r="M74" s="302" t="str" cm="2">
        <f t="array" ref="M74">IFERROR(_xlfn.SWITCH(M73,-1,"i",0,"g",1,"h"),"")</f>
        <v>g</v>
      </c>
      <c r="N74" s="302"/>
      <c r="O74" s="303" t="s">
        <v>215</v>
      </c>
      <c r="P74" s="303" t="s">
        <v>215</v>
      </c>
      <c r="Q74" s="303" t="s">
        <v>215</v>
      </c>
      <c r="R74" s="303" t="s">
        <v>215</v>
      </c>
      <c r="S74" s="303" t="s">
        <v>215</v>
      </c>
      <c r="T74" s="303" t="s">
        <v>215</v>
      </c>
      <c r="U74" s="303" t="s">
        <v>215</v>
      </c>
      <c r="V74" s="303" t="s">
        <v>215</v>
      </c>
      <c r="W74" s="303" t="s">
        <v>215</v>
      </c>
      <c r="X74" s="303" t="s">
        <v>215</v>
      </c>
      <c r="Y74" s="304" t="s">
        <v>215</v>
      </c>
      <c r="Z74" s="304" t="s">
        <v>215</v>
      </c>
      <c r="AA74" s="303" t="s">
        <v>215</v>
      </c>
      <c r="AB74" s="303" t="s">
        <v>215</v>
      </c>
      <c r="AC74" s="308" t="s">
        <v>215</v>
      </c>
      <c r="AG74" s="571"/>
      <c r="AH74" s="571"/>
    </row>
    <row r="75" spans="1:34" ht="16" x14ac:dyDescent="0.35">
      <c r="A75" s="737"/>
      <c r="B75" s="738"/>
      <c r="C75" s="738"/>
      <c r="D75" s="738"/>
      <c r="E75" s="738"/>
      <c r="F75" s="738"/>
      <c r="G75" s="738"/>
      <c r="H75" s="738"/>
      <c r="I75" s="738"/>
      <c r="J75" s="738"/>
      <c r="K75" s="738"/>
      <c r="L75" s="738"/>
      <c r="M75" s="738"/>
      <c r="N75" s="738"/>
      <c r="O75" s="738"/>
      <c r="P75" s="738"/>
      <c r="Q75" s="738"/>
      <c r="R75" s="738"/>
      <c r="S75" s="738"/>
      <c r="T75" s="738"/>
      <c r="U75" s="738"/>
      <c r="V75" s="738"/>
      <c r="W75" s="738"/>
      <c r="X75" s="738"/>
      <c r="Y75" s="738"/>
      <c r="Z75" s="738"/>
      <c r="AA75" s="738"/>
      <c r="AB75" s="738"/>
      <c r="AC75" s="739"/>
      <c r="AG75" s="571"/>
      <c r="AH75" s="571"/>
    </row>
    <row r="76" spans="1:34" ht="8.25" customHeight="1" x14ac:dyDescent="0.35">
      <c r="A76" s="735" t="s">
        <v>215</v>
      </c>
      <c r="B76" s="736"/>
      <c r="C76" s="736"/>
      <c r="D76" s="736"/>
      <c r="E76" s="736"/>
      <c r="F76" s="736"/>
      <c r="G76" s="736"/>
      <c r="H76" s="736"/>
      <c r="I76" s="736"/>
      <c r="J76" s="736"/>
      <c r="K76" s="736"/>
      <c r="L76" s="736"/>
      <c r="M76" s="736"/>
      <c r="N76" s="736"/>
      <c r="O76" s="736"/>
      <c r="P76" s="736"/>
      <c r="Q76" s="736"/>
      <c r="R76" s="736"/>
      <c r="S76" s="736"/>
      <c r="T76" s="736"/>
      <c r="U76" s="736"/>
      <c r="V76" s="736"/>
      <c r="W76" s="736"/>
      <c r="X76" s="736"/>
      <c r="Y76" s="736"/>
      <c r="Z76" s="736"/>
      <c r="AA76" s="736"/>
      <c r="AB76" s="736"/>
      <c r="AC76" s="736"/>
      <c r="AG76" s="571"/>
      <c r="AH76" s="571"/>
    </row>
    <row r="77" spans="1:34" ht="32" x14ac:dyDescent="0.35">
      <c r="A77" s="289" t="s">
        <v>317</v>
      </c>
      <c r="B77" s="311" t="s">
        <v>88</v>
      </c>
      <c r="C77" s="291">
        <v>0</v>
      </c>
      <c r="D77" s="292" t="s">
        <v>95</v>
      </c>
      <c r="E77" s="293">
        <v>42125</v>
      </c>
      <c r="F77" s="294">
        <v>0</v>
      </c>
      <c r="G77" s="294">
        <v>0</v>
      </c>
      <c r="H77" s="295" t="s">
        <v>215</v>
      </c>
      <c r="I77" s="295" t="s">
        <v>215</v>
      </c>
      <c r="J77" s="294">
        <v>0</v>
      </c>
      <c r="K77" s="294">
        <v>11867767</v>
      </c>
      <c r="L77" s="311" t="s">
        <v>90</v>
      </c>
      <c r="M77" s="291">
        <v>0</v>
      </c>
      <c r="N77" s="291" t="str">
        <f>D77</f>
        <v>N/A</v>
      </c>
      <c r="O77" s="297">
        <v>45968</v>
      </c>
      <c r="P77" s="294">
        <v>20914989</v>
      </c>
      <c r="Q77" s="294">
        <v>13123351.75</v>
      </c>
      <c r="R77" s="294">
        <v>-10253977</v>
      </c>
      <c r="S77" s="295">
        <v>48183</v>
      </c>
      <c r="T77" s="295">
        <v>48934</v>
      </c>
      <c r="U77" s="298">
        <v>751</v>
      </c>
      <c r="V77" s="294">
        <v>9035695.1799999997</v>
      </c>
      <c r="W77" s="294">
        <v>7744588.5169000002</v>
      </c>
      <c r="X77" s="294">
        <v>9147451.4399999995</v>
      </c>
      <c r="Y77" s="299">
        <v>0.84663893191435191</v>
      </c>
      <c r="Z77" s="299">
        <v>0.85711042289720096</v>
      </c>
      <c r="AA77" s="288">
        <f>IFERROR(V77/P77,"")</f>
        <v>0.43202007804068171</v>
      </c>
      <c r="AB77" s="288">
        <f>IFERROR(W77/P77,"")</f>
        <v>0.37028891178953049</v>
      </c>
      <c r="AC77" s="311" t="s">
        <v>91</v>
      </c>
      <c r="AD77" s="553" t="str">
        <f>$D77&amp;CHAR(10)&amp;TEXT($E77,"(mmm-yy)")</f>
        <v>N/A
(May-15)</v>
      </c>
      <c r="AE77" s="553" t="str">
        <f>$N77&amp;CHAR(10)&amp;TEXT($O77,"(mmm-yy)")</f>
        <v>N/A
(Nov-25)</v>
      </c>
      <c r="AG77" s="571" t="s">
        <v>519</v>
      </c>
      <c r="AH77" s="571" t="s">
        <v>520</v>
      </c>
    </row>
    <row r="78" spans="1:34" ht="24.5" x14ac:dyDescent="0.35">
      <c r="A78" s="289" t="s">
        <v>215</v>
      </c>
      <c r="B78" s="301" t="s">
        <v>215</v>
      </c>
      <c r="C78" s="302" t="str" cm="2">
        <f t="array" ref="C78">IFERROR(_xlfn.SWITCH(C77,-1,"i",0,"g",1,"h"),"")</f>
        <v>g</v>
      </c>
      <c r="D78" s="292" t="s">
        <v>215</v>
      </c>
      <c r="E78" s="292" t="s">
        <v>215</v>
      </c>
      <c r="F78" s="303" t="s">
        <v>215</v>
      </c>
      <c r="G78" s="303" t="s">
        <v>215</v>
      </c>
      <c r="H78" s="303" t="s">
        <v>215</v>
      </c>
      <c r="I78" s="303" t="s">
        <v>215</v>
      </c>
      <c r="J78" s="303" t="s">
        <v>215</v>
      </c>
      <c r="K78" s="303" t="s">
        <v>215</v>
      </c>
      <c r="L78" s="301" t="s">
        <v>215</v>
      </c>
      <c r="M78" s="302" t="str" cm="2">
        <f t="array" ref="M78">IFERROR(_xlfn.SWITCH(M77,-1,"i",0,"g",1,"h"),"")</f>
        <v>g</v>
      </c>
      <c r="N78" s="302"/>
      <c r="O78" s="303" t="s">
        <v>215</v>
      </c>
      <c r="P78" s="303" t="s">
        <v>215</v>
      </c>
      <c r="Q78" s="303" t="s">
        <v>215</v>
      </c>
      <c r="R78" s="303" t="s">
        <v>215</v>
      </c>
      <c r="S78" s="303" t="s">
        <v>215</v>
      </c>
      <c r="T78" s="303" t="s">
        <v>215</v>
      </c>
      <c r="U78" s="303" t="s">
        <v>215</v>
      </c>
      <c r="V78" s="303" t="s">
        <v>215</v>
      </c>
      <c r="W78" s="303" t="s">
        <v>215</v>
      </c>
      <c r="X78" s="303" t="s">
        <v>215</v>
      </c>
      <c r="Y78" s="304" t="s">
        <v>215</v>
      </c>
      <c r="Z78" s="304" t="s">
        <v>215</v>
      </c>
      <c r="AA78" s="303" t="s">
        <v>215</v>
      </c>
      <c r="AB78" s="303" t="s">
        <v>215</v>
      </c>
      <c r="AC78" s="308" t="s">
        <v>215</v>
      </c>
      <c r="AG78" s="571"/>
      <c r="AH78" s="571"/>
    </row>
    <row r="79" spans="1:34" ht="16" x14ac:dyDescent="0.35">
      <c r="A79" s="737"/>
      <c r="B79" s="738"/>
      <c r="C79" s="738"/>
      <c r="D79" s="738"/>
      <c r="E79" s="738"/>
      <c r="F79" s="738"/>
      <c r="G79" s="738"/>
      <c r="H79" s="738"/>
      <c r="I79" s="738"/>
      <c r="J79" s="738"/>
      <c r="K79" s="738"/>
      <c r="L79" s="738"/>
      <c r="M79" s="738"/>
      <c r="N79" s="738"/>
      <c r="O79" s="738"/>
      <c r="P79" s="738"/>
      <c r="Q79" s="738"/>
      <c r="R79" s="738"/>
      <c r="S79" s="738"/>
      <c r="T79" s="738"/>
      <c r="U79" s="738"/>
      <c r="V79" s="738"/>
      <c r="W79" s="738"/>
      <c r="X79" s="738"/>
      <c r="Y79" s="738"/>
      <c r="Z79" s="738"/>
      <c r="AA79" s="738"/>
      <c r="AB79" s="738"/>
      <c r="AC79" s="739"/>
      <c r="AG79" s="571"/>
      <c r="AH79" s="571"/>
    </row>
    <row r="80" spans="1:34" ht="14.5" customHeight="1" x14ac:dyDescent="0.35">
      <c r="A80" s="735" t="s">
        <v>215</v>
      </c>
      <c r="B80" s="736"/>
      <c r="C80" s="736"/>
      <c r="D80" s="736"/>
      <c r="E80" s="736"/>
      <c r="F80" s="736"/>
      <c r="G80" s="736"/>
      <c r="H80" s="736"/>
      <c r="I80" s="736"/>
      <c r="J80" s="736"/>
      <c r="K80" s="736"/>
      <c r="L80" s="736"/>
      <c r="M80" s="736"/>
      <c r="N80" s="736"/>
      <c r="O80" s="736"/>
      <c r="P80" s="736"/>
      <c r="Q80" s="736"/>
      <c r="R80" s="736"/>
      <c r="S80" s="736"/>
      <c r="T80" s="736"/>
      <c r="U80" s="736"/>
      <c r="V80" s="736"/>
      <c r="W80" s="736"/>
      <c r="X80" s="736"/>
      <c r="Y80" s="736"/>
      <c r="Z80" s="736"/>
      <c r="AA80" s="736"/>
      <c r="AB80" s="736"/>
      <c r="AC80" s="736"/>
      <c r="AG80" s="571"/>
      <c r="AH80" s="571"/>
    </row>
    <row r="81" spans="1:34" ht="29" x14ac:dyDescent="0.35">
      <c r="A81" s="289" t="s">
        <v>342</v>
      </c>
      <c r="B81" s="311" t="s">
        <v>90</v>
      </c>
      <c r="C81" s="291">
        <v>0</v>
      </c>
      <c r="D81" s="292" t="s">
        <v>454</v>
      </c>
      <c r="E81" s="293">
        <v>45394</v>
      </c>
      <c r="F81" s="294">
        <v>16000000</v>
      </c>
      <c r="G81" s="294">
        <v>17000000</v>
      </c>
      <c r="H81" s="295">
        <v>48519</v>
      </c>
      <c r="I81" s="295" t="s">
        <v>215</v>
      </c>
      <c r="J81" s="294">
        <v>0</v>
      </c>
      <c r="K81" s="294">
        <v>16000000</v>
      </c>
      <c r="L81" s="311" t="s">
        <v>90</v>
      </c>
      <c r="M81" s="291">
        <v>0</v>
      </c>
      <c r="N81" s="291" t="str">
        <f>D81</f>
        <v>SOC</v>
      </c>
      <c r="O81" s="297">
        <v>45330</v>
      </c>
      <c r="P81" s="294">
        <v>155655666</v>
      </c>
      <c r="Q81" s="294">
        <v>159012141.02000001</v>
      </c>
      <c r="R81" s="294">
        <v>-23</v>
      </c>
      <c r="S81" s="295">
        <v>48530</v>
      </c>
      <c r="T81" s="295">
        <v>48530</v>
      </c>
      <c r="U81" s="298">
        <v>0</v>
      </c>
      <c r="V81" s="294">
        <v>10733226.99</v>
      </c>
      <c r="W81" s="294">
        <v>7060881.1769000003</v>
      </c>
      <c r="X81" s="294">
        <v>11017340.98</v>
      </c>
      <c r="Y81" s="299">
        <v>0.64088795923787412</v>
      </c>
      <c r="Z81" s="299">
        <v>0.65785259023018205</v>
      </c>
      <c r="AA81" s="288">
        <f>IFERROR(V81/P81,"")</f>
        <v>6.8954939231058901E-2</v>
      </c>
      <c r="AB81" s="288">
        <f>IFERROR(W81/P81,"")</f>
        <v>4.5362185382316893E-2</v>
      </c>
      <c r="AC81" s="311" t="s">
        <v>90</v>
      </c>
      <c r="AD81" s="553" t="str">
        <f>$D81&amp;CHAR(10)&amp;TEXT($E81,"(mmm-yy)")</f>
        <v>SOC
(Apr-24)</v>
      </c>
      <c r="AE81" s="553" t="str">
        <f>$N81&amp;CHAR(10)&amp;TEXT($O81,"(mmm-yy)")</f>
        <v>SOC
(Feb-24)</v>
      </c>
      <c r="AG81" s="571" t="s">
        <v>507</v>
      </c>
      <c r="AH81" s="571" t="s">
        <v>508</v>
      </c>
    </row>
    <row r="82" spans="1:34" ht="15" customHeight="1" x14ac:dyDescent="0.35">
      <c r="A82" s="289" t="s">
        <v>215</v>
      </c>
      <c r="B82" s="301" t="s">
        <v>215</v>
      </c>
      <c r="C82" s="302" t="str" cm="2">
        <f t="array" ref="C82">IFERROR(_xlfn.SWITCH(C81,-1,"i",0,"g",1,"h"),"")</f>
        <v>g</v>
      </c>
      <c r="D82" s="292" t="s">
        <v>215</v>
      </c>
      <c r="E82" s="292" t="s">
        <v>215</v>
      </c>
      <c r="F82" s="303" t="s">
        <v>215</v>
      </c>
      <c r="G82" s="303" t="s">
        <v>215</v>
      </c>
      <c r="H82" s="303" t="s">
        <v>215</v>
      </c>
      <c r="I82" s="303" t="s">
        <v>215</v>
      </c>
      <c r="J82" s="303" t="s">
        <v>215</v>
      </c>
      <c r="K82" s="303" t="s">
        <v>215</v>
      </c>
      <c r="L82" s="301" t="s">
        <v>215</v>
      </c>
      <c r="M82" s="302" t="str" cm="2">
        <f t="array" ref="M82">IFERROR(_xlfn.SWITCH(M81,-1,"i",0,"g",1,"h"),"")</f>
        <v>g</v>
      </c>
      <c r="N82" s="302"/>
      <c r="O82" s="303" t="s">
        <v>215</v>
      </c>
      <c r="P82" s="303" t="s">
        <v>215</v>
      </c>
      <c r="Q82" s="303" t="s">
        <v>215</v>
      </c>
      <c r="R82" s="303" t="s">
        <v>215</v>
      </c>
      <c r="S82" s="303" t="s">
        <v>215</v>
      </c>
      <c r="T82" s="303" t="s">
        <v>215</v>
      </c>
      <c r="U82" s="303" t="s">
        <v>215</v>
      </c>
      <c r="V82" s="303" t="s">
        <v>215</v>
      </c>
      <c r="W82" s="303" t="s">
        <v>215</v>
      </c>
      <c r="X82" s="303" t="s">
        <v>215</v>
      </c>
      <c r="Y82" s="304" t="s">
        <v>215</v>
      </c>
      <c r="Z82" s="304" t="s">
        <v>215</v>
      </c>
      <c r="AA82" s="303" t="s">
        <v>215</v>
      </c>
      <c r="AB82" s="303" t="s">
        <v>215</v>
      </c>
      <c r="AC82" s="308" t="s">
        <v>215</v>
      </c>
    </row>
    <row r="83" spans="1:34" ht="24.5" x14ac:dyDescent="0.35">
      <c r="A83" s="289"/>
      <c r="B83" s="626"/>
      <c r="C83" s="627"/>
      <c r="D83" s="628"/>
      <c r="E83" s="628"/>
      <c r="F83" s="629"/>
      <c r="G83" s="629"/>
      <c r="H83" s="629"/>
      <c r="I83" s="629"/>
      <c r="J83" s="629"/>
      <c r="K83" s="629"/>
      <c r="L83" s="626"/>
      <c r="M83" s="627"/>
      <c r="N83" s="627"/>
      <c r="O83" s="629"/>
      <c r="P83" s="629"/>
      <c r="Q83" s="629"/>
      <c r="R83" s="629"/>
      <c r="S83" s="629"/>
      <c r="T83" s="629"/>
      <c r="U83" s="629"/>
      <c r="V83" s="629"/>
      <c r="W83" s="629"/>
      <c r="X83" s="629"/>
      <c r="Y83" s="630"/>
      <c r="Z83" s="630"/>
      <c r="AA83" s="629"/>
      <c r="AB83" s="629"/>
      <c r="AC83" s="631"/>
    </row>
  </sheetData>
  <sheetProtection algorithmName="SHA-512" hashValue="nFjUnlQ1bwsrpfW+BFrpxlGzUOEjDx8RrFlv9BrbDIog1XR45vhxllLtJHEwM5LQJ1N1r+Bv0QpnEqy1GTOOcg==" saltValue="23Yb283U5yMQwbJ+1/ebIQ==" spinCount="100000" sheet="1" objects="1" scenarios="1"/>
  <customSheetViews>
    <customSheetView guid="{7E571F1D-D438-4605-90D6-3F831F76D652}" scale="70" fitToPage="1">
      <pane xSplit="1" ySplit="4" topLeftCell="K22" activePane="bottomRight" state="frozen"/>
      <selection pane="bottomRight" activeCell="R29" sqref="R29"/>
      <pageMargins left="0.7" right="0.7" top="0.75" bottom="0.75" header="0.3" footer="0.3"/>
      <pageSetup paperSize="8" scale="30" fitToHeight="0" orientation="landscape" horizontalDpi="1200" verticalDpi="1200" r:id="rId1"/>
    </customSheetView>
    <customSheetView guid="{466708C2-41CE-4656-AB81-E1E49DF5945D}" scale="70" fitToPage="1">
      <pane xSplit="1.4953271028037383" ySplit="4.9361702127659575" topLeftCell="K22" activePane="bottomRight" state="frozen"/>
      <selection pane="bottomRight" activeCell="R29" sqref="R29"/>
      <pageMargins left="0.7" right="0.7" top="0.75" bottom="0.75" header="0.3" footer="0.3"/>
      <pageSetup paperSize="8" scale="30" fitToHeight="0" orientation="landscape" horizontalDpi="1200" verticalDpi="1200" r:id="rId2"/>
    </customSheetView>
    <customSheetView guid="{B84DA703-8C5B-4100-91A4-8807E303D379}" scale="70" fitToPage="1">
      <pane xSplit="1" ySplit="4" topLeftCell="B6" activePane="bottomRight" state="frozen"/>
      <selection pane="bottomRight" activeCell="A43" sqref="A43:AC43"/>
      <pageMargins left="0.7" right="0.7" top="0.75" bottom="0.75" header="0.3" footer="0.3"/>
      <pageSetup paperSize="8" scale="30" fitToHeight="0" orientation="landscape" horizontalDpi="1200" verticalDpi="1200" r:id="rId3"/>
    </customSheetView>
    <customSheetView guid="{527A2BDE-37CE-4B02-9F2C-CD7E7AC81C63}" scale="70" fitToPage="1">
      <pane xSplit="1" ySplit="4" topLeftCell="B51" activePane="bottomRight" state="frozen"/>
      <selection pane="bottomRight" activeCell="A57" sqref="A57"/>
      <pageMargins left="0.7" right="0.7" top="0.75" bottom="0.75" header="0.3" footer="0.3"/>
      <pageSetup paperSize="8" scale="30" fitToHeight="0" orientation="landscape" horizontalDpi="1200" verticalDpi="1200" r:id="rId4"/>
    </customSheetView>
    <customSheetView guid="{BDCD1595-C0B8-4F6C-B01C-3472C895B827}" scale="70" fitToPage="1">
      <pane xSplit="1" ySplit="4" topLeftCell="B51" activePane="bottomRight" state="frozen"/>
      <selection pane="bottomRight" activeCell="A57" sqref="A57"/>
      <pageMargins left="0.7" right="0.7" top="0.75" bottom="0.75" header="0.3" footer="0.3"/>
      <pageSetup paperSize="8" scale="30" fitToHeight="0" orientation="landscape" horizontalDpi="1200" verticalDpi="1200" r:id="rId5"/>
    </customSheetView>
    <customSheetView guid="{C57A83F1-F5A3-470B-9579-6A222C54F4E8}" scale="70" fitToPage="1">
      <pane xSplit="1" ySplit="4" topLeftCell="B47" activePane="bottomRight" state="frozen"/>
      <selection pane="bottomRight" activeCell="A70" sqref="A70"/>
      <pageMargins left="0.7" right="0.7" top="0.75" bottom="0.75" header="0.3" footer="0.3"/>
      <pageSetup paperSize="8" scale="30" fitToHeight="0" orientation="landscape" horizontalDpi="1200" verticalDpi="1200" r:id="rId6"/>
    </customSheetView>
    <customSheetView guid="{3827E543-57D2-48C8-B786-7077EA079DD2}" scale="70" fitToPage="1">
      <pane xSplit="1.4953271028037383" ySplit="4.9361702127659575" topLeftCell="B47" activePane="bottomRight" state="frozen"/>
      <selection pane="bottomRight" activeCell="A70" sqref="A70"/>
      <pageMargins left="0.7" right="0.7" top="0.75" bottom="0.75" header="0.3" footer="0.3"/>
      <pageSetup paperSize="8" scale="30" fitToHeight="0" orientation="landscape" horizontalDpi="1200" verticalDpi="1200" r:id="rId7"/>
    </customSheetView>
    <customSheetView guid="{F5FA2A23-9E46-4C2F-B1EE-B71787F95C57}" scale="70" fitToPage="1">
      <pane xSplit="1" ySplit="4" topLeftCell="B47" activePane="bottomRight" state="frozen"/>
      <selection pane="bottomRight" activeCell="A70" sqref="A70"/>
      <pageMargins left="0.7" right="0.7" top="0.75" bottom="0.75" header="0.3" footer="0.3"/>
      <pageSetup paperSize="8" scale="30" fitToHeight="0" orientation="landscape" horizontalDpi="1200" verticalDpi="1200" r:id="rId8"/>
    </customSheetView>
    <customSheetView guid="{42B0E8B1-ADFA-49AE-A83B-82D384737703}" scale="70" fitToPage="1">
      <pane xSplit="1" ySplit="4" topLeftCell="B47" activePane="bottomRight" state="frozen"/>
      <selection pane="bottomRight" activeCell="A70" sqref="A70"/>
      <pageMargins left="0.7" right="0.7" top="0.75" bottom="0.75" header="0.3" footer="0.3"/>
      <pageSetup paperSize="8" scale="30" fitToHeight="0" orientation="landscape" horizontalDpi="1200" verticalDpi="1200" r:id="rId9"/>
    </customSheetView>
    <customSheetView guid="{602520CD-F98C-43A6-AA0D-88893E9CB6E8}" scale="106" fitToPage="1">
      <pane xSplit="1.249211356466877" ySplit="4.5142857142857142" topLeftCell="W5" activePane="bottomRight" state="frozen"/>
      <selection pane="bottomRight" activeCell="AG81" sqref="AG81"/>
      <pageMargins left="0.7" right="0.7" top="0.75" bottom="0.75" header="0.3" footer="0.3"/>
      <pageSetup paperSize="8" scale="30" fitToHeight="0" orientation="landscape" horizontalDpi="1200" verticalDpi="1200" r:id="rId10"/>
    </customSheetView>
    <customSheetView guid="{B8317A9A-0FFD-4A18-80F7-203DB2FC8CA5}" scale="40" fitToPage="1">
      <pane xSplit="1.5" ySplit="4.9259259259259256" topLeftCell="O5" activePane="bottomRight" state="frozen"/>
      <selection pane="bottomRight" activeCell="AG5" sqref="AG5"/>
      <pageMargins left="0.7" right="0.7" top="0.75" bottom="0.75" header="0.3" footer="0.3"/>
      <pageSetup paperSize="8" scale="30" fitToHeight="0" orientation="landscape" horizontalDpi="1200" verticalDpi="1200" r:id="rId11"/>
    </customSheetView>
    <customSheetView guid="{2608BE9B-66AC-4D4C-8EE0-E88C94E88140}" scale="40" fitToPage="1">
      <pane xSplit="1.25" ySplit="4.5" topLeftCell="M18" activePane="bottomRight" state="frozen"/>
      <selection pane="bottomRight" activeCell="AI11" sqref="AI11"/>
      <pageMargins left="0.7" right="0.7" top="0.75" bottom="0.75" header="0.3" footer="0.3"/>
      <pageSetup paperSize="8" scale="30" fitToHeight="0" orientation="landscape" horizontalDpi="1200" verticalDpi="1200" r:id="rId12"/>
    </customSheetView>
    <customSheetView guid="{D850720D-4A1C-48F2-8E1D-8E09B7414A1A}" scale="70" fitToPage="1">
      <pane xSplit="1" ySplit="4" topLeftCell="K5" activePane="bottomRight" state="frozen"/>
      <selection pane="bottomRight" activeCell="O9" sqref="O9"/>
      <pageMargins left="0.7" right="0.7" top="0.75" bottom="0.75" header="0.3" footer="0.3"/>
      <pageSetup paperSize="8" scale="30" fitToHeight="0" orientation="landscape" horizontalDpi="1200" verticalDpi="1200" r:id="rId13"/>
    </customSheetView>
    <customSheetView guid="{A8E976B8-D767-4DB4-82BD-ABE90880F33F}" scale="70" fitToPage="1">
      <pane xSplit="1" ySplit="4" topLeftCell="K5" activePane="bottomRight" state="frozen"/>
      <selection pane="bottomRight" activeCell="O9" sqref="O9"/>
      <pageMargins left="0.7" right="0.7" top="0.75" bottom="0.75" header="0.3" footer="0.3"/>
      <pageSetup paperSize="8" scale="30" fitToHeight="0" orientation="landscape" horizontalDpi="1200" verticalDpi="1200" r:id="rId14"/>
    </customSheetView>
    <customSheetView guid="{B95D32C7-1418-4EF6-8936-849885C54A4A}" scale="70" fitToPage="1">
      <pane xSplit="1" ySplit="4" topLeftCell="B5" activePane="bottomRight" state="frozen"/>
      <selection pane="bottomRight" activeCell="A5" sqref="A5:AC84"/>
      <pageMargins left="0.7" right="0.7" top="0.75" bottom="0.75" header="0.3" footer="0.3"/>
      <pageSetup paperSize="8" scale="30" fitToHeight="0" orientation="landscape" horizontalDpi="1200" verticalDpi="1200" r:id="rId15"/>
    </customSheetView>
    <customSheetView guid="{9355C9F4-9C07-4A93-B7F2-69F1D1526716}" scale="70" fitToPage="1">
      <pane xSplit="1" ySplit="4" topLeftCell="B5" activePane="bottomRight" state="frozen"/>
      <selection pane="bottomRight" activeCell="I25" sqref="I25"/>
      <pageMargins left="0.7" right="0.7" top="0.75" bottom="0.75" header="0.3" footer="0.3"/>
      <pageSetup paperSize="8" scale="30" fitToHeight="0" orientation="landscape" horizontalDpi="1200" verticalDpi="1200" r:id="rId16"/>
    </customSheetView>
    <customSheetView guid="{1ECD6E30-299B-4354-A416-2DAFF33C7022}" scale="85" fitToPage="1">
      <pane xSplit="1" ySplit="4" topLeftCell="I49" activePane="bottomRight" state="frozen"/>
      <selection pane="bottomRight" activeCell="R73" sqref="R73"/>
      <pageMargins left="0.7" right="0.7" top="0.75" bottom="0.75" header="0.3" footer="0.3"/>
      <pageSetup paperSize="8" scale="30" fitToHeight="0" orientation="landscape" horizontalDpi="1200" verticalDpi="1200" r:id="rId17"/>
    </customSheetView>
    <customSheetView guid="{9AF6E233-883D-48B4-95AB-42B37199AB9E}" scale="90" fitToPage="1">
      <pane xSplit="1" ySplit="4" topLeftCell="B59" activePane="bottomRight" state="frozen"/>
      <selection pane="bottomRight" activeCell="U89" sqref="U89"/>
      <pageMargins left="0.7" right="0.7" top="0.75" bottom="0.75" header="0.3" footer="0.3"/>
      <pageSetup paperSize="8" scale="30" fitToHeight="0" orientation="landscape" horizontalDpi="1200" verticalDpi="1200" r:id="rId18"/>
    </customSheetView>
    <customSheetView guid="{451730E2-FFE9-4FCE-B8B5-64952C26C672}" scale="90" fitToPage="1" topLeftCell="A3">
      <pane ySplit="2" topLeftCell="A83" activePane="bottomLeft" state="frozen"/>
      <selection pane="bottomLeft" activeCell="A103" sqref="A103:AC103"/>
      <pageMargins left="0.7" right="0.7" top="0.75" bottom="0.75" header="0.3" footer="0.3"/>
      <pageSetup paperSize="8" scale="49" fitToHeight="0" orientation="landscape" horizontalDpi="1200" verticalDpi="1200" r:id="rId19"/>
    </customSheetView>
    <customSheetView guid="{4EBEE699-7DEF-4A50-9CB7-490835CF0B98}" scale="90" fitToPage="1" topLeftCell="A3">
      <pane ySplit="2" topLeftCell="A5" activePane="bottomLeft" state="frozen"/>
      <selection pane="bottomLeft" activeCell="A3" sqref="A1:AC1048576"/>
      <pageMargins left="0.7" right="0.7" top="0.75" bottom="0.75" header="0.3" footer="0.3"/>
      <pageSetup paperSize="8" scale="49" fitToHeight="0" orientation="landscape" horizontalDpi="1200" verticalDpi="1200" r:id="rId20"/>
    </customSheetView>
    <customSheetView guid="{A03C6B09-6B58-4DDE-A3B2-41A27A7049D9}" scale="90" fitToPage="1" topLeftCell="A3">
      <pane ySplit="2" topLeftCell="A69" activePane="bottomLeft" state="frozen"/>
      <selection pane="bottomLeft" activeCell="F102" sqref="F102"/>
      <pageMargins left="0.7" right="0.7" top="0.75" bottom="0.75" header="0.3" footer="0.3"/>
      <pageSetup paperSize="8" scale="49" fitToHeight="0" orientation="landscape" horizontalDpi="1200" verticalDpi="1200" r:id="rId21"/>
    </customSheetView>
    <customSheetView guid="{3C97F0B0-2F3C-4E03-96E0-0C4FEC2F24AC}" scale="80" fitToPage="1" topLeftCell="A3">
      <pane ySplit="2" topLeftCell="A30" activePane="bottomLeft" state="frozen"/>
      <selection pane="bottomLeft" activeCell="A63" sqref="A63:AC63"/>
      <pageMargins left="0.7" right="0.7" top="0.75" bottom="0.75" header="0.3" footer="0.3"/>
      <pageSetup paperSize="8" scale="49" fitToHeight="0" orientation="landscape" horizontalDpi="1200" verticalDpi="1200" r:id="rId22"/>
    </customSheetView>
    <customSheetView guid="{B0A28FD4-D7F6-428C-A7F7-92132DCD74BB}" scale="80" fitToPage="1" topLeftCell="A3">
      <pane ySplit="2" topLeftCell="A30" activePane="bottomLeft" state="frozen"/>
      <selection pane="bottomLeft" activeCell="A63" sqref="A63:AC63"/>
      <pageMargins left="0.7" right="0.7" top="0.75" bottom="0.75" header="0.3" footer="0.3"/>
      <pageSetup paperSize="8" scale="49" fitToHeight="0" orientation="landscape" horizontalDpi="1200" verticalDpi="1200" r:id="rId23"/>
    </customSheetView>
    <customSheetView guid="{3BB18945-69B5-4B22-8D55-989F8F233459}" scale="115" fitToPage="1" topLeftCell="H3">
      <pane ySplit="2" topLeftCell="A15" activePane="bottomLeft" state="frozen"/>
      <selection pane="bottomLeft" activeCell="S21" sqref="S21"/>
      <pageMargins left="0.7" right="0.7" top="0.75" bottom="0.75" header="0.3" footer="0.3"/>
      <pageSetup paperSize="8" scale="49" fitToHeight="0" orientation="landscape" horizontalDpi="1200" verticalDpi="1200" r:id="rId24"/>
    </customSheetView>
    <customSheetView guid="{D16D941B-FC89-4FEC-A49B-5FA2532584DE}" scale="70" fitToPage="1" topLeftCell="A3">
      <pane ySplit="2" topLeftCell="A67" activePane="bottomLeft" state="frozen"/>
      <selection pane="bottomLeft" activeCell="C97" sqref="C97"/>
      <pageMargins left="0.7" right="0.7" top="0.75" bottom="0.75" header="0.3" footer="0.3"/>
      <pageSetup paperSize="8" scale="49" fitToHeight="0" orientation="landscape" horizontalDpi="1200" verticalDpi="1200" r:id="rId25"/>
    </customSheetView>
    <customSheetView guid="{C39AE06A-FC0A-4D7D-B287-2FA9CA174191}" scale="90" fitToPage="1" topLeftCell="A3">
      <pane ySplit="2" topLeftCell="A9" activePane="bottomLeft" state="frozen"/>
      <selection pane="bottomLeft" activeCell="R11" sqref="R11"/>
      <pageMargins left="0.7" right="0.7" top="0.75" bottom="0.75" header="0.3" footer="0.3"/>
      <pageSetup paperSize="8" scale="49" fitToHeight="0" orientation="landscape" horizontalDpi="1200" verticalDpi="1200" r:id="rId26"/>
    </customSheetView>
    <customSheetView guid="{4E6F9C2D-76F2-4884-BBF6-E02A7BAE11EF}" scale="70" fitToPage="1" topLeftCell="A3">
      <pane ySplit="2" topLeftCell="A5" activePane="bottomLeft" state="frozen"/>
      <selection pane="bottomLeft" activeCell="A76" sqref="A76:AB76"/>
      <pageMargins left="0.7" right="0.7" top="0.75" bottom="0.75" header="0.3" footer="0.3"/>
      <pageSetup paperSize="8" scale="49" fitToHeight="0" orientation="landscape" horizontalDpi="1200" verticalDpi="1200" r:id="rId27"/>
    </customSheetView>
    <customSheetView guid="{008CCD98-7480-4C51-806A-4B55C801DDC2}" scale="70" fitToPage="1" topLeftCell="A3">
      <pane ySplit="2.6521739130434785" topLeftCell="A41" activePane="bottomLeft" state="frozen"/>
      <selection pane="bottomLeft" activeCell="A96" sqref="A96:AB96"/>
      <pageMargins left="0.7" right="0.7" top="0.75" bottom="0.75" header="0.3" footer="0.3"/>
      <pageSetup paperSize="8" scale="32" fitToHeight="0" orientation="landscape" horizontalDpi="1200" verticalDpi="1200" r:id="rId28"/>
    </customSheetView>
    <customSheetView guid="{D27C51BB-BB54-4F37-8171-98067C39697C}" scale="55" fitToPage="1" topLeftCell="A3">
      <pane ySplit="2" topLeftCell="A51" activePane="bottomLeft" state="frozen"/>
      <selection pane="bottomLeft" activeCell="K77" sqref="K77"/>
      <pageMargins left="0.7" right="0.7" top="0.75" bottom="0.75" header="0.3" footer="0.3"/>
      <pageSetup paperSize="8" scale="52" fitToHeight="0" orientation="landscape" horizontalDpi="1200" verticalDpi="1200" r:id="rId29"/>
    </customSheetView>
    <customSheetView guid="{6702457D-A9A8-4F46-8E1C-BC7255F4BA77}" scale="85" topLeftCell="A3">
      <pane ySplit="2" topLeftCell="A55" activePane="bottomLeft" state="frozen"/>
      <selection pane="bottomLeft" activeCell="A3" sqref="A1:XFD1048576"/>
      <pageMargins left="0.7" right="0.7" top="0.75" bottom="0.75" header="0.3" footer="0.3"/>
    </customSheetView>
    <customSheetView guid="{016CEBB2-C827-48F4-95E1-85D8C5129F41}" scale="70" fitToPage="1" topLeftCell="N3">
      <pane ySplit="2" topLeftCell="A74" activePane="bottomLeft" state="frozen"/>
      <selection pane="bottomLeft" activeCell="H9" sqref="H9"/>
      <pageMargins left="0.7" right="0.7" top="0.75" bottom="0.75" header="0.3" footer="0.3"/>
      <pageSetup paperSize="8" scale="49" fitToHeight="0" orientation="landscape" horizontalDpi="1200" verticalDpi="1200" r:id="rId30"/>
    </customSheetView>
    <customSheetView guid="{EB96DBE4-2D64-4388-853C-CB52A0CB79BA}" scale="77" fitToPage="1" topLeftCell="A3">
      <pane ySplit="2" topLeftCell="A67" activePane="bottomLeft" state="frozen"/>
      <selection pane="bottomLeft" activeCell="Q95" sqref="Q95"/>
      <pageMargins left="0.7" right="0.7" top="0.75" bottom="0.75" header="0.3" footer="0.3"/>
      <pageSetup paperSize="8" scale="49" fitToHeight="0" orientation="landscape" horizontalDpi="1200" verticalDpi="1200" r:id="rId31"/>
    </customSheetView>
    <customSheetView guid="{351EFD38-BF62-4E34-A37F-0EEB3E165043}" scale="70" fitToPage="1" topLeftCell="A3">
      <pane ySplit="2" topLeftCell="A95" activePane="bottomLeft" state="frozen"/>
      <selection pane="bottomLeft" activeCell="R101" sqref="R101"/>
      <pageMargins left="0.7" right="0.7" top="0.75" bottom="0.75" header="0.3" footer="0.3"/>
      <pageSetup paperSize="8" scale="49" fitToHeight="0" orientation="landscape" horizontalDpi="1200" verticalDpi="1200" r:id="rId32"/>
    </customSheetView>
    <customSheetView guid="{593284E7-E32C-4D6C-8C2F-3DEEF9DEE1DF}" scale="115" fitToPage="1" topLeftCell="H3">
      <pane ySplit="2" topLeftCell="A15" activePane="bottomLeft" state="frozen"/>
      <selection pane="bottomLeft" activeCell="S21" sqref="S21"/>
      <pageMargins left="0.7" right="0.7" top="0.75" bottom="0.75" header="0.3" footer="0.3"/>
      <pageSetup paperSize="8" scale="49" fitToHeight="0" orientation="landscape" horizontalDpi="1200" verticalDpi="1200" r:id="rId33"/>
    </customSheetView>
    <customSheetView guid="{E06B4FE8-6127-47B2-A6A5-4FAC9EEB4538}" scale="115" fitToPage="1" topLeftCell="H3">
      <pane ySplit="2.3289473684210527" topLeftCell="A15" activePane="bottomLeft" state="frozen"/>
      <selection pane="bottomLeft" activeCell="S21" sqref="S21"/>
      <pageMargins left="0.7" right="0.7" top="0.75" bottom="0.75" header="0.3" footer="0.3"/>
      <pageSetup paperSize="8" scale="49" fitToHeight="0" orientation="landscape" horizontalDpi="1200" verticalDpi="1200" r:id="rId34"/>
    </customSheetView>
    <customSheetView guid="{51B3083F-A103-41AB-A137-63549C54B838}" scale="80" fitToPage="1" topLeftCell="Q3">
      <pane ySplit="2" topLeftCell="A27" activePane="bottomLeft" state="frozen"/>
      <selection pane="bottomLeft" activeCell="E5" sqref="E5"/>
      <pageMargins left="0.7" right="0.7" top="0.75" bottom="0.75" header="0.3" footer="0.3"/>
      <pageSetup paperSize="8" scale="49" fitToHeight="0" orientation="landscape" horizontalDpi="1200" verticalDpi="1200" r:id="rId35"/>
    </customSheetView>
    <customSheetView guid="{8CB67476-3FD4-42E0-ACD6-62ACA9412843}" scale="90" fitToPage="1" topLeftCell="A3">
      <pane ySplit="2" topLeftCell="A69" activePane="bottomLeft" state="frozen"/>
      <selection pane="bottomLeft" activeCell="F102" sqref="F102"/>
      <pageMargins left="0.7" right="0.7" top="0.75" bottom="0.75" header="0.3" footer="0.3"/>
      <pageSetup paperSize="8" scale="49" fitToHeight="0" orientation="landscape" horizontalDpi="1200" verticalDpi="1200" r:id="rId36"/>
    </customSheetView>
    <customSheetView guid="{151EB58C-4EFD-4330-8D1A-8AACF5F7C679}" scale="70" fitToPage="1">
      <pane xSplit="1" ySplit="4" topLeftCell="B5" activePane="bottomRight" state="frozen"/>
      <selection pane="bottomRight" activeCell="C13" sqref="C13"/>
      <pageMargins left="0.7" right="0.7" top="0.75" bottom="0.75" header="0.3" footer="0.3"/>
      <pageSetup paperSize="8" scale="30" fitToHeight="0" orientation="landscape" horizontalDpi="1200" verticalDpi="1200" r:id="rId37"/>
    </customSheetView>
    <customSheetView guid="{8263C9D2-452D-46FA-AFA0-452B42DC0298}" scale="70" fitToPage="1">
      <pane xSplit="1" ySplit="4" topLeftCell="B5" activePane="bottomRight" state="frozen"/>
      <selection pane="bottomRight" activeCell="C13" sqref="C13"/>
      <pageMargins left="0.7" right="0.7" top="0.75" bottom="0.75" header="0.3" footer="0.3"/>
      <pageSetup paperSize="8" scale="30" fitToHeight="0" orientation="landscape" horizontalDpi="1200" verticalDpi="1200" r:id="rId38"/>
    </customSheetView>
    <customSheetView guid="{DF265C7B-1EEB-47EB-982A-6938E81F7AC2}" scale="55" fitToPage="1">
      <pane xSplit="1" ySplit="4" topLeftCell="F87" activePane="bottomRight" state="frozen"/>
      <selection pane="bottomRight" activeCell="A99" sqref="A99:AC99"/>
      <pageMargins left="0.7" right="0.7" top="0.75" bottom="0.75" header="0.3" footer="0.3"/>
      <pageSetup paperSize="8" scale="30" fitToHeight="0" orientation="landscape" horizontalDpi="1200" verticalDpi="1200" r:id="rId39"/>
    </customSheetView>
    <customSheetView guid="{9F91FBC4-6A13-42C2-A2D9-42A2AC814E28}" scale="74" fitToPage="1">
      <pane xSplit="1" ySplit="4" topLeftCell="M59" activePane="bottomRight" state="frozen"/>
      <selection pane="bottomRight" activeCell="U85" sqref="U85"/>
      <pageMargins left="0.7" right="0.7" top="0.75" bottom="0.75" header="0.3" footer="0.3"/>
      <pageSetup paperSize="8" scale="30" fitToHeight="0" orientation="landscape" horizontalDpi="1200" verticalDpi="1200" r:id="rId40"/>
    </customSheetView>
    <customSheetView guid="{F4A6298C-1A75-4FA9-A6A4-2BE13CCFE545}" scale="85" fitToPage="1">
      <pane xSplit="1" ySplit="4" topLeftCell="I49" activePane="bottomRight" state="frozen"/>
      <selection pane="bottomRight" activeCell="R73" sqref="R73"/>
      <pageMargins left="0.7" right="0.7" top="0.75" bottom="0.75" header="0.3" footer="0.3"/>
      <pageSetup paperSize="8" scale="30" fitToHeight="0" orientation="landscape" horizontalDpi="1200" verticalDpi="1200" r:id="rId41"/>
    </customSheetView>
    <customSheetView guid="{29AC9BE3-332A-4738-949C-1F8C0D32BAEE}" scale="70" fitToPage="1">
      <pane xSplit="1" ySplit="4" topLeftCell="B5" activePane="bottomRight" state="frozen"/>
      <selection pane="bottomRight" activeCell="I25" sqref="I25"/>
      <pageMargins left="0.7" right="0.7" top="0.75" bottom="0.75" header="0.3" footer="0.3"/>
      <pageSetup paperSize="8" scale="30" fitToHeight="0" orientation="landscape" horizontalDpi="1200" verticalDpi="1200" r:id="rId42"/>
    </customSheetView>
    <customSheetView guid="{75EE3B92-AF4D-4E93-A70E-6ADE60CC674F}" scale="70" fitToPage="1">
      <pane xSplit="0.66770186335403725" ySplit="3.3714285714285714" topLeftCell="B5" activePane="bottomRight" state="frozen"/>
      <selection pane="bottomRight" activeCell="W17" sqref="W17"/>
      <pageMargins left="0.7" right="0.7" top="0.75" bottom="0.75" header="0.3" footer="0.3"/>
      <pageSetup paperSize="8" scale="30" fitToHeight="0" orientation="landscape" horizontalDpi="1200" verticalDpi="1200" r:id="rId43"/>
    </customSheetView>
    <customSheetView guid="{CA7E8063-5145-49E1-8E00-2E1025705A81}" scale="70" fitToPage="1">
      <pane xSplit="1" ySplit="4" topLeftCell="B5" activePane="bottomRight" state="frozen"/>
      <selection pane="bottomRight" activeCell="W17" sqref="W17"/>
      <pageMargins left="0.7" right="0.7" top="0.75" bottom="0.75" header="0.3" footer="0.3"/>
      <pageSetup paperSize="8" scale="30" fitToHeight="0" orientation="landscape" horizontalDpi="1200" verticalDpi="1200" r:id="rId44"/>
    </customSheetView>
    <customSheetView guid="{51DFD3D6-BC25-47B4-B28F-D640534DB3A9}" scale="70" fitToPage="1">
      <pane xSplit="1" ySplit="4" topLeftCell="K37" activePane="bottomRight" state="frozen"/>
      <selection pane="bottomRight" activeCell="A55" sqref="A55:AC55"/>
      <pageMargins left="0.7" right="0.7" top="0.75" bottom="0.75" header="0.3" footer="0.3"/>
      <pageSetup paperSize="8" scale="30" fitToHeight="0" orientation="landscape" horizontalDpi="1200" verticalDpi="1200" r:id="rId45"/>
    </customSheetView>
    <customSheetView guid="{37F5A0AB-EB39-4832-9D67-F67D908BF486}" scale="70" fitToPage="1">
      <pane xSplit="1" ySplit="4" topLeftCell="B53" activePane="bottomRight" state="frozen"/>
      <selection pane="bottomRight" activeCell="H87" sqref="H87"/>
      <pageMargins left="0.7" right="0.7" top="0.75" bottom="0.75" header="0.3" footer="0.3"/>
      <pageSetup paperSize="8" scale="30" fitToHeight="0" orientation="landscape" horizontalDpi="1200" verticalDpi="1200" r:id="rId46"/>
    </customSheetView>
    <customSheetView guid="{70582C04-BB53-4A99-A3C1-673011D9AE1C}" scale="70" fitToPage="1">
      <pane xSplit="1" ySplit="4" topLeftCell="B33" activePane="bottomRight" state="frozen"/>
      <selection pane="bottomRight" activeCell="M50" sqref="M50"/>
      <pageMargins left="0.7" right="0.7" top="0.75" bottom="0.75" header="0.3" footer="0.3"/>
      <pageSetup paperSize="8" scale="30" fitToHeight="0" orientation="landscape" horizontalDpi="1200" verticalDpi="1200" r:id="rId47"/>
    </customSheetView>
    <customSheetView guid="{442F9A23-CA6E-4109-B10C-ACF5FD36B859}" scale="40" fitToPage="1">
      <pane xSplit="1" ySplit="4" topLeftCell="M18" activePane="bottomRight" state="frozen"/>
      <selection pane="bottomRight" activeCell="AI11" sqref="AI11"/>
      <pageMargins left="0.7" right="0.7" top="0.75" bottom="0.75" header="0.3" footer="0.3"/>
      <pageSetup paperSize="8" scale="30" fitToHeight="0" orientation="landscape" horizontalDpi="1200" verticalDpi="1200" r:id="rId48"/>
    </customSheetView>
    <customSheetView guid="{E4713981-DD11-40CE-BE52-873D93BDDE05}" scale="40" fitToPage="1">
      <pane xSplit="1" ySplit="4" topLeftCell="M18" activePane="bottomRight" state="frozen"/>
      <selection pane="bottomRight" activeCell="AI11" sqref="AI11"/>
      <pageMargins left="0.7" right="0.7" top="0.75" bottom="0.75" header="0.3" footer="0.3"/>
      <pageSetup paperSize="8" scale="30" fitToHeight="0" orientation="landscape" horizontalDpi="1200" verticalDpi="1200" r:id="rId49"/>
    </customSheetView>
    <customSheetView guid="{83044EFE-7F92-4F81-B034-85D9567158C2}" scale="40" fitToPage="1">
      <pane xSplit="1" ySplit="4" topLeftCell="M18" activePane="bottomRight" state="frozen"/>
      <selection pane="bottomRight" activeCell="AI11" sqref="AI11"/>
      <pageMargins left="0.7" right="0.7" top="0.75" bottom="0.75" header="0.3" footer="0.3"/>
      <pageSetup paperSize="8" scale="30" fitToHeight="0" orientation="landscape" horizontalDpi="1200" verticalDpi="1200" r:id="rId50"/>
    </customSheetView>
    <customSheetView guid="{E3A3AE56-8881-4A6F-9299-803C489AD1B4}" scale="40" fitToPage="1">
      <pane xSplit="1" ySplit="4" topLeftCell="M18" activePane="bottomRight" state="frozen"/>
      <selection pane="bottomRight" activeCell="AI11" sqref="AI11"/>
      <pageMargins left="0.7" right="0.7" top="0.75" bottom="0.75" header="0.3" footer="0.3"/>
      <pageSetup paperSize="8" scale="30" fitToHeight="0" orientation="landscape" horizontalDpi="1200" verticalDpi="1200" r:id="rId51"/>
    </customSheetView>
    <customSheetView guid="{FBC63E8F-69FE-4648-B709-FA1212EFFB29}" scale="40" fitToPage="1">
      <pane xSplit="1" ySplit="4" topLeftCell="J5" activePane="bottomRight" state="frozen"/>
      <selection pane="bottomRight" activeCell="U73" sqref="U73"/>
      <pageMargins left="0.7" right="0.7" top="0.75" bottom="0.75" header="0.3" footer="0.3"/>
      <pageSetup paperSize="8" scale="30" fitToHeight="0" orientation="landscape" horizontalDpi="1200" verticalDpi="1200" r:id="rId52"/>
    </customSheetView>
    <customSheetView guid="{0EDA65D2-43FB-421C-9D8C-D8082C64B09A}" scale="85" fitToPage="1">
      <pane xSplit="1" ySplit="4" topLeftCell="B8" activePane="bottomRight" state="frozen"/>
      <selection pane="bottomRight" activeCell="D29" sqref="D29"/>
      <pageMargins left="0.7" right="0.7" top="0.75" bottom="0.75" header="0.3" footer="0.3"/>
      <pageSetup paperSize="8" scale="30" fitToHeight="0" orientation="landscape" horizontalDpi="1200" verticalDpi="1200" r:id="rId53"/>
    </customSheetView>
    <customSheetView guid="{B434A8A8-5A4C-48C0-82E7-2458B9D2EEEF}" scale="40" fitToPage="1">
      <pane xSplit="1" ySplit="4" topLeftCell="B5" activePane="bottomRight" state="frozen"/>
      <selection pane="bottomRight" activeCell="A19" sqref="A19:AC19"/>
      <pageMargins left="0.7" right="0.7" top="0.75" bottom="0.75" header="0.3" footer="0.3"/>
      <pageSetup paperSize="8" scale="30" fitToHeight="0" orientation="landscape" horizontalDpi="1200" verticalDpi="1200" r:id="rId54"/>
    </customSheetView>
    <customSheetView guid="{EDD5A64E-02C0-4DD6-80BA-449123FCDAA2}" scale="85" fitToPage="1">
      <pane xSplit="1" ySplit="4" topLeftCell="B29" activePane="bottomRight" state="frozen"/>
      <selection pane="bottomRight" activeCell="A19" sqref="A19:AC19"/>
      <pageMargins left="0.7" right="0.7" top="0.75" bottom="0.75" header="0.3" footer="0.3"/>
      <pageSetup paperSize="8" scale="30" fitToHeight="0" orientation="landscape" horizontalDpi="1200" verticalDpi="1200" r:id="rId55"/>
    </customSheetView>
    <customSheetView guid="{97D58294-343B-4B62-A826-0DDDE29B5F0D}" scale="55" fitToPage="1">
      <pane xSplit="1" ySplit="4" topLeftCell="B31" activePane="bottomRight" state="frozen"/>
      <selection pane="bottomRight" activeCell="B37" sqref="B37"/>
      <pageMargins left="0.7" right="0.7" top="0.75" bottom="0.75" header="0.3" footer="0.3"/>
      <pageSetup paperSize="8" scale="30" fitToHeight="0" orientation="landscape" horizontalDpi="1200" verticalDpi="1200" r:id="rId56"/>
    </customSheetView>
    <customSheetView guid="{800416AC-1374-44AC-811C-612C85EF24E6}" scale="70" fitToPage="1">
      <pane xSplit="1" ySplit="4" topLeftCell="B47" activePane="bottomRight" state="frozen"/>
      <selection pane="bottomRight" activeCell="A70" sqref="A70"/>
      <pageMargins left="0.7" right="0.7" top="0.75" bottom="0.75" header="0.3" footer="0.3"/>
      <pageSetup paperSize="8" scale="30" fitToHeight="0" orientation="landscape" horizontalDpi="1200" verticalDpi="1200" r:id="rId57"/>
    </customSheetView>
    <customSheetView guid="{2EA8DBF7-9763-457C-AA9F-1EEB2F136D1F}" scale="70" fitToPage="1">
      <pane xSplit="1" ySplit="4" topLeftCell="B47" activePane="bottomRight" state="frozen"/>
      <selection pane="bottomRight" activeCell="A70" sqref="A70"/>
      <pageMargins left="0.7" right="0.7" top="0.75" bottom="0.75" header="0.3" footer="0.3"/>
      <pageSetup paperSize="8" scale="30" fitToHeight="0" orientation="landscape" horizontalDpi="1200" verticalDpi="1200" r:id="rId58"/>
    </customSheetView>
    <customSheetView guid="{78AA4A71-CE17-4C4D-849E-E3E1A44EA907}" scale="70" fitToPage="1">
      <pane xSplit="1" ySplit="4" topLeftCell="B47" activePane="bottomRight" state="frozen"/>
      <selection pane="bottomRight" activeCell="A70" sqref="A70"/>
      <pageMargins left="0.7" right="0.7" top="0.75" bottom="0.75" header="0.3" footer="0.3"/>
      <pageSetup paperSize="8" scale="30" fitToHeight="0" orientation="landscape" horizontalDpi="1200" verticalDpi="1200" r:id="rId59"/>
    </customSheetView>
    <customSheetView guid="{C7C13768-4A8D-4CBA-978C-F4A7B5550C00}" scale="70" fitToPage="1">
      <pane xSplit="1" ySplit="4" topLeftCell="B57" activePane="bottomRight" state="frozen"/>
      <selection pane="bottomRight" activeCell="N73" sqref="N73"/>
      <pageMargins left="0.7" right="0.7" top="0.75" bottom="0.75" header="0.3" footer="0.3"/>
      <pageSetup paperSize="8" scale="30" fitToHeight="0" orientation="landscape" horizontalDpi="1200" verticalDpi="1200" r:id="rId60"/>
    </customSheetView>
    <customSheetView guid="{D59DDBAA-620D-43B7-A6D9-759808D3397A}" scale="70" fitToPage="1">
      <pane xSplit="1" ySplit="4" topLeftCell="K22" activePane="bottomRight" state="frozen"/>
      <selection pane="bottomRight" activeCell="R29" sqref="R29"/>
      <pageMargins left="0.7" right="0.7" top="0.75" bottom="0.75" header="0.3" footer="0.3"/>
      <pageSetup paperSize="8" scale="30" fitToHeight="0" orientation="landscape" horizontalDpi="1200" verticalDpi="1200" r:id="rId61"/>
    </customSheetView>
  </customSheetViews>
  <mergeCells count="63">
    <mergeCell ref="A79:AC79"/>
    <mergeCell ref="A80:AC80"/>
    <mergeCell ref="AD1:AH2"/>
    <mergeCell ref="AD3:AE3"/>
    <mergeCell ref="P3:R3"/>
    <mergeCell ref="S3:U3"/>
    <mergeCell ref="AA3:AB3"/>
    <mergeCell ref="F3:G3"/>
    <mergeCell ref="H3:I3"/>
    <mergeCell ref="L3:M3"/>
    <mergeCell ref="N3:O3"/>
    <mergeCell ref="AG3:AH3"/>
    <mergeCell ref="A7:AC7"/>
    <mergeCell ref="B1:K1"/>
    <mergeCell ref="B2:C2"/>
    <mergeCell ref="D2:I2"/>
    <mergeCell ref="J2:K2"/>
    <mergeCell ref="L2:M2"/>
    <mergeCell ref="L1:AB1"/>
    <mergeCell ref="N2:O2"/>
    <mergeCell ref="P2:U2"/>
    <mergeCell ref="V2:AB2"/>
    <mergeCell ref="D4:E4"/>
    <mergeCell ref="B4:C4"/>
    <mergeCell ref="L4:M4"/>
    <mergeCell ref="N4:O4"/>
    <mergeCell ref="B3:C3"/>
    <mergeCell ref="D3:E3"/>
    <mergeCell ref="A8:AC8"/>
    <mergeCell ref="A11:AC11"/>
    <mergeCell ref="A12:AC12"/>
    <mergeCell ref="A15:AC15"/>
    <mergeCell ref="A16:AC16"/>
    <mergeCell ref="A19:AC19"/>
    <mergeCell ref="A20:AC20"/>
    <mergeCell ref="A23:AC23"/>
    <mergeCell ref="A24:AC24"/>
    <mergeCell ref="A27:AC27"/>
    <mergeCell ref="A28:AC28"/>
    <mergeCell ref="A31:AC31"/>
    <mergeCell ref="A32:AC32"/>
    <mergeCell ref="A35:AC35"/>
    <mergeCell ref="A36:AC36"/>
    <mergeCell ref="A39:AC39"/>
    <mergeCell ref="A40:AC40"/>
    <mergeCell ref="A43:AC43"/>
    <mergeCell ref="A44:AC44"/>
    <mergeCell ref="A47:AC47"/>
    <mergeCell ref="A63:AC63"/>
    <mergeCell ref="A48:AC48"/>
    <mergeCell ref="A51:AC51"/>
    <mergeCell ref="A52:AC52"/>
    <mergeCell ref="A55:AC55"/>
    <mergeCell ref="A56:AC56"/>
    <mergeCell ref="A59:AC59"/>
    <mergeCell ref="A60:AC60"/>
    <mergeCell ref="A76:AC76"/>
    <mergeCell ref="A64:AC64"/>
    <mergeCell ref="A67:AC67"/>
    <mergeCell ref="A68:AC68"/>
    <mergeCell ref="A72:AC72"/>
    <mergeCell ref="A71:AC71"/>
    <mergeCell ref="A75:AC75"/>
  </mergeCells>
  <conditionalFormatting sqref="B5">
    <cfRule type="cellIs" dxfId="791" priority="158" operator="equal">
      <formula>"R"</formula>
    </cfRule>
    <cfRule type="cellIs" dxfId="790" priority="159" operator="equal">
      <formula>"A"</formula>
    </cfRule>
    <cfRule type="cellIs" dxfId="789" priority="157" operator="equal">
      <formula>"G"</formula>
    </cfRule>
  </conditionalFormatting>
  <conditionalFormatting sqref="B9">
    <cfRule type="cellIs" dxfId="788" priority="156" operator="equal">
      <formula>"A"</formula>
    </cfRule>
    <cfRule type="cellIs" dxfId="787" priority="155" operator="equal">
      <formula>"R"</formula>
    </cfRule>
    <cfRule type="cellIs" dxfId="786" priority="154" operator="equal">
      <formula>"G"</formula>
    </cfRule>
  </conditionalFormatting>
  <conditionalFormatting sqref="B13 B17 B29 L29">
    <cfRule type="cellIs" dxfId="785" priority="209" operator="equal">
      <formula>"A"</formula>
    </cfRule>
    <cfRule type="cellIs" dxfId="784" priority="207" operator="equal">
      <formula>"G"</formula>
    </cfRule>
    <cfRule type="cellIs" dxfId="783" priority="208" operator="equal">
      <formula>"R"</formula>
    </cfRule>
  </conditionalFormatting>
  <conditionalFormatting sqref="B21">
    <cfRule type="cellIs" dxfId="782" priority="151" operator="equal">
      <formula>"G"</formula>
    </cfRule>
    <cfRule type="cellIs" dxfId="781" priority="153" operator="equal">
      <formula>"A"</formula>
    </cfRule>
    <cfRule type="cellIs" dxfId="780" priority="152" operator="equal">
      <formula>"R"</formula>
    </cfRule>
  </conditionalFormatting>
  <conditionalFormatting sqref="B25">
    <cfRule type="cellIs" dxfId="779" priority="150" operator="equal">
      <formula>"A"</formula>
    </cfRule>
    <cfRule type="cellIs" dxfId="778" priority="149" operator="equal">
      <formula>"R"</formula>
    </cfRule>
    <cfRule type="cellIs" dxfId="777" priority="148" operator="equal">
      <formula>"G"</formula>
    </cfRule>
  </conditionalFormatting>
  <conditionalFormatting sqref="B33">
    <cfRule type="cellIs" dxfId="776" priority="147" operator="equal">
      <formula>"A"</formula>
    </cfRule>
    <cfRule type="cellIs" dxfId="775" priority="146" operator="equal">
      <formula>"R"</formula>
    </cfRule>
    <cfRule type="cellIs" dxfId="774" priority="145" operator="equal">
      <formula>"G"</formula>
    </cfRule>
  </conditionalFormatting>
  <conditionalFormatting sqref="B37">
    <cfRule type="cellIs" dxfId="773" priority="164" operator="equal">
      <formula>"R"</formula>
    </cfRule>
    <cfRule type="cellIs" dxfId="772" priority="163" operator="equal">
      <formula>"G"</formula>
    </cfRule>
    <cfRule type="cellIs" dxfId="771" priority="165" operator="equal">
      <formula>"A"</formula>
    </cfRule>
  </conditionalFormatting>
  <conditionalFormatting sqref="B41">
    <cfRule type="cellIs" dxfId="770" priority="144" operator="equal">
      <formula>"A"</formula>
    </cfRule>
    <cfRule type="cellIs" dxfId="769" priority="143" operator="equal">
      <formula>"R"</formula>
    </cfRule>
    <cfRule type="cellIs" dxfId="768" priority="142" operator="equal">
      <formula>"G"</formula>
    </cfRule>
  </conditionalFormatting>
  <conditionalFormatting sqref="B45">
    <cfRule type="cellIs" dxfId="767" priority="139" operator="equal">
      <formula>"G"</formula>
    </cfRule>
    <cfRule type="cellIs" dxfId="766" priority="141" operator="equal">
      <formula>"A"</formula>
    </cfRule>
    <cfRule type="cellIs" dxfId="765" priority="140" operator="equal">
      <formula>"R"</formula>
    </cfRule>
  </conditionalFormatting>
  <conditionalFormatting sqref="B49">
    <cfRule type="cellIs" dxfId="764" priority="136" operator="equal">
      <formula>"G"</formula>
    </cfRule>
    <cfRule type="cellIs" dxfId="763" priority="138" operator="equal">
      <formula>"A"</formula>
    </cfRule>
    <cfRule type="cellIs" dxfId="762" priority="137" operator="equal">
      <formula>"R"</formula>
    </cfRule>
  </conditionalFormatting>
  <conditionalFormatting sqref="B53">
    <cfRule type="cellIs" dxfId="761" priority="135" operator="equal">
      <formula>"A"</formula>
    </cfRule>
    <cfRule type="cellIs" dxfId="760" priority="134" operator="equal">
      <formula>"R"</formula>
    </cfRule>
    <cfRule type="cellIs" dxfId="759" priority="133" operator="equal">
      <formula>"G"</formula>
    </cfRule>
  </conditionalFormatting>
  <conditionalFormatting sqref="B57">
    <cfRule type="cellIs" dxfId="758" priority="131" operator="equal">
      <formula>"R"</formula>
    </cfRule>
    <cfRule type="cellIs" dxfId="757" priority="130" operator="equal">
      <formula>"G"</formula>
    </cfRule>
    <cfRule type="cellIs" dxfId="756" priority="132" operator="equal">
      <formula>"A"</formula>
    </cfRule>
  </conditionalFormatting>
  <conditionalFormatting sqref="B61">
    <cfRule type="cellIs" dxfId="755" priority="129" operator="equal">
      <formula>"A"</formula>
    </cfRule>
    <cfRule type="cellIs" dxfId="754" priority="128" operator="equal">
      <formula>"R"</formula>
    </cfRule>
    <cfRule type="cellIs" dxfId="753" priority="127" operator="equal">
      <formula>"G"</formula>
    </cfRule>
  </conditionalFormatting>
  <conditionalFormatting sqref="B65">
    <cfRule type="cellIs" dxfId="752" priority="162" operator="equal">
      <formula>"A"</formula>
    </cfRule>
    <cfRule type="cellIs" dxfId="751" priority="160" operator="equal">
      <formula>"G"</formula>
    </cfRule>
    <cfRule type="cellIs" dxfId="750" priority="161" operator="equal">
      <formula>"R"</formula>
    </cfRule>
  </conditionalFormatting>
  <conditionalFormatting sqref="B69">
    <cfRule type="cellIs" dxfId="749" priority="126" operator="equal">
      <formula>"A"</formula>
    </cfRule>
    <cfRule type="cellIs" dxfId="748" priority="125" operator="equal">
      <formula>"R"</formula>
    </cfRule>
    <cfRule type="cellIs" dxfId="747" priority="124" operator="equal">
      <formula>"G"</formula>
    </cfRule>
  </conditionalFormatting>
  <conditionalFormatting sqref="B73">
    <cfRule type="cellIs" dxfId="746" priority="123" operator="equal">
      <formula>"A"</formula>
    </cfRule>
    <cfRule type="cellIs" dxfId="745" priority="122" operator="equal">
      <formula>"R"</formula>
    </cfRule>
    <cfRule type="cellIs" dxfId="744" priority="121" operator="equal">
      <formula>"G"</formula>
    </cfRule>
  </conditionalFormatting>
  <conditionalFormatting sqref="B77">
    <cfRule type="cellIs" dxfId="743" priority="120" operator="equal">
      <formula>"A"</formula>
    </cfRule>
    <cfRule type="cellIs" dxfId="742" priority="119" operator="equal">
      <formula>"R"</formula>
    </cfRule>
    <cfRule type="cellIs" dxfId="741" priority="118" operator="equal">
      <formula>"G"</formula>
    </cfRule>
  </conditionalFormatting>
  <conditionalFormatting sqref="B81">
    <cfRule type="cellIs" dxfId="740" priority="117" operator="equal">
      <formula>"A"</formula>
    </cfRule>
    <cfRule type="cellIs" dxfId="739" priority="116" operator="equal">
      <formula>"R"</formula>
    </cfRule>
    <cfRule type="cellIs" dxfId="738" priority="115" operator="equal">
      <formula>"G"</formula>
    </cfRule>
  </conditionalFormatting>
  <conditionalFormatting sqref="L5">
    <cfRule type="cellIs" dxfId="737" priority="111" operator="equal">
      <formula>"A"</formula>
    </cfRule>
    <cfRule type="cellIs" dxfId="736" priority="110" operator="equal">
      <formula>"R"</formula>
    </cfRule>
    <cfRule type="cellIs" dxfId="735" priority="109" operator="equal">
      <formula>"G"</formula>
    </cfRule>
  </conditionalFormatting>
  <conditionalFormatting sqref="L9">
    <cfRule type="cellIs" dxfId="734" priority="106" operator="equal">
      <formula>"G"</formula>
    </cfRule>
    <cfRule type="cellIs" dxfId="733" priority="108" operator="equal">
      <formula>"A"</formula>
    </cfRule>
    <cfRule type="cellIs" dxfId="732" priority="107" operator="equal">
      <formula>"R"</formula>
    </cfRule>
  </conditionalFormatting>
  <conditionalFormatting sqref="L13">
    <cfRule type="cellIs" dxfId="731" priority="105" operator="equal">
      <formula>"A"</formula>
    </cfRule>
    <cfRule type="cellIs" dxfId="730" priority="103" operator="equal">
      <formula>"G"</formula>
    </cfRule>
    <cfRule type="cellIs" dxfId="729" priority="104" operator="equal">
      <formula>"R"</formula>
    </cfRule>
  </conditionalFormatting>
  <conditionalFormatting sqref="L17">
    <cfRule type="cellIs" dxfId="728" priority="113" operator="equal">
      <formula>"R"</formula>
    </cfRule>
    <cfRule type="cellIs" dxfId="727" priority="114" operator="equal">
      <formula>"A"</formula>
    </cfRule>
    <cfRule type="cellIs" dxfId="726" priority="112" operator="equal">
      <formula>"G"</formula>
    </cfRule>
  </conditionalFormatting>
  <conditionalFormatting sqref="L21">
    <cfRule type="cellIs" dxfId="725" priority="102" operator="equal">
      <formula>"A"</formula>
    </cfRule>
    <cfRule type="cellIs" dxfId="724" priority="101" operator="equal">
      <formula>"R"</formula>
    </cfRule>
    <cfRule type="cellIs" dxfId="723" priority="100" operator="equal">
      <formula>"G"</formula>
    </cfRule>
  </conditionalFormatting>
  <conditionalFormatting sqref="L25">
    <cfRule type="cellIs" dxfId="722" priority="97" operator="equal">
      <formula>"G"</formula>
    </cfRule>
    <cfRule type="cellIs" dxfId="721" priority="99" operator="equal">
      <formula>"A"</formula>
    </cfRule>
    <cfRule type="cellIs" dxfId="720" priority="98" operator="equal">
      <formula>"R"</formula>
    </cfRule>
  </conditionalFormatting>
  <conditionalFormatting sqref="L33">
    <cfRule type="cellIs" dxfId="719" priority="96" operator="equal">
      <formula>"A"</formula>
    </cfRule>
    <cfRule type="cellIs" dxfId="718" priority="95" operator="equal">
      <formula>"R"</formula>
    </cfRule>
    <cfRule type="cellIs" dxfId="717" priority="94" operator="equal">
      <formula>"G"</formula>
    </cfRule>
  </conditionalFormatting>
  <conditionalFormatting sqref="L37">
    <cfRule type="cellIs" dxfId="716" priority="168" operator="equal">
      <formula>"A"</formula>
    </cfRule>
    <cfRule type="cellIs" dxfId="715" priority="167" operator="equal">
      <formula>"R"</formula>
    </cfRule>
    <cfRule type="cellIs" dxfId="714" priority="166" operator="equal">
      <formula>"G"</formula>
    </cfRule>
  </conditionalFormatting>
  <conditionalFormatting sqref="L41">
    <cfRule type="cellIs" dxfId="713" priority="93" operator="equal">
      <formula>"A"</formula>
    </cfRule>
    <cfRule type="cellIs" dxfId="712" priority="92" operator="equal">
      <formula>"R"</formula>
    </cfRule>
    <cfRule type="cellIs" dxfId="711" priority="91" operator="equal">
      <formula>"G"</formula>
    </cfRule>
  </conditionalFormatting>
  <conditionalFormatting sqref="L45">
    <cfRule type="cellIs" dxfId="710" priority="89" operator="equal">
      <formula>"R"</formula>
    </cfRule>
    <cfRule type="cellIs" dxfId="709" priority="90" operator="equal">
      <formula>"A"</formula>
    </cfRule>
    <cfRule type="cellIs" dxfId="708" priority="88" operator="equal">
      <formula>"G"</formula>
    </cfRule>
  </conditionalFormatting>
  <conditionalFormatting sqref="L49">
    <cfRule type="cellIs" dxfId="707" priority="87" operator="equal">
      <formula>"A"</formula>
    </cfRule>
    <cfRule type="cellIs" dxfId="706" priority="86" operator="equal">
      <formula>"R"</formula>
    </cfRule>
    <cfRule type="cellIs" dxfId="705" priority="85" operator="equal">
      <formula>"G"</formula>
    </cfRule>
  </conditionalFormatting>
  <conditionalFormatting sqref="L53">
    <cfRule type="cellIs" dxfId="704" priority="84" operator="equal">
      <formula>"A"</formula>
    </cfRule>
    <cfRule type="cellIs" dxfId="703" priority="83" operator="equal">
      <formula>"R"</formula>
    </cfRule>
    <cfRule type="cellIs" dxfId="702" priority="82" operator="equal">
      <formula>"G"</formula>
    </cfRule>
  </conditionalFormatting>
  <conditionalFormatting sqref="L57">
    <cfRule type="cellIs" dxfId="701" priority="81" operator="equal">
      <formula>"A"</formula>
    </cfRule>
    <cfRule type="cellIs" dxfId="700" priority="79" operator="equal">
      <formula>"G"</formula>
    </cfRule>
    <cfRule type="cellIs" dxfId="699" priority="80" operator="equal">
      <formula>"R"</formula>
    </cfRule>
  </conditionalFormatting>
  <conditionalFormatting sqref="L61">
    <cfRule type="cellIs" dxfId="698" priority="78" operator="equal">
      <formula>"A"</formula>
    </cfRule>
    <cfRule type="cellIs" dxfId="697" priority="77" operator="equal">
      <formula>"R"</formula>
    </cfRule>
    <cfRule type="cellIs" dxfId="696" priority="76" operator="equal">
      <formula>"G"</formula>
    </cfRule>
  </conditionalFormatting>
  <conditionalFormatting sqref="L65">
    <cfRule type="cellIs" dxfId="695" priority="75" operator="equal">
      <formula>"A"</formula>
    </cfRule>
    <cfRule type="cellIs" dxfId="694" priority="74" operator="equal">
      <formula>"R"</formula>
    </cfRule>
    <cfRule type="cellIs" dxfId="693" priority="73" operator="equal">
      <formula>"G"</formula>
    </cfRule>
  </conditionalFormatting>
  <conditionalFormatting sqref="L69">
    <cfRule type="cellIs" dxfId="692" priority="70" operator="equal">
      <formula>"G"</formula>
    </cfRule>
    <cfRule type="cellIs" dxfId="691" priority="72" operator="equal">
      <formula>"A"</formula>
    </cfRule>
    <cfRule type="cellIs" dxfId="690" priority="71" operator="equal">
      <formula>"R"</formula>
    </cfRule>
  </conditionalFormatting>
  <conditionalFormatting sqref="L73">
    <cfRule type="cellIs" dxfId="689" priority="67" operator="equal">
      <formula>"G"</formula>
    </cfRule>
    <cfRule type="cellIs" dxfId="688" priority="68" operator="equal">
      <formula>"R"</formula>
    </cfRule>
    <cfRule type="cellIs" dxfId="687" priority="69" operator="equal">
      <formula>"A"</formula>
    </cfRule>
  </conditionalFormatting>
  <conditionalFormatting sqref="L77">
    <cfRule type="cellIs" dxfId="686" priority="65" operator="equal">
      <formula>"R"</formula>
    </cfRule>
    <cfRule type="cellIs" dxfId="685" priority="66" operator="equal">
      <formula>"A"</formula>
    </cfRule>
    <cfRule type="cellIs" dxfId="684" priority="64" operator="equal">
      <formula>"G"</formula>
    </cfRule>
  </conditionalFormatting>
  <conditionalFormatting sqref="L81">
    <cfRule type="cellIs" dxfId="683" priority="61" operator="equal">
      <formula>"G"</formula>
    </cfRule>
    <cfRule type="cellIs" dxfId="682" priority="63" operator="equal">
      <formula>"A"</formula>
    </cfRule>
    <cfRule type="cellIs" dxfId="681" priority="62" operator="equal">
      <formula>"R"</formula>
    </cfRule>
  </conditionalFormatting>
  <conditionalFormatting sqref="Y5:Z5 Y9:Z9 Y13:Z13 Y17:Z17 Y21:Z21 Y25:Z25 Y29:Z29 Y33:Z33">
    <cfRule type="cellIs" dxfId="680" priority="204" operator="between">
      <formula>0</formula>
      <formula>0.95</formula>
    </cfRule>
    <cfRule type="cellIs" dxfId="679" priority="205" operator="between">
      <formula>1</formula>
      <formula>0.95</formula>
    </cfRule>
    <cfRule type="cellIs" dxfId="678" priority="206" operator="greaterThanOrEqual">
      <formula>1</formula>
    </cfRule>
  </conditionalFormatting>
  <conditionalFormatting sqref="Y37:Z37">
    <cfRule type="cellIs" dxfId="677" priority="189" operator="between">
      <formula>0</formula>
      <formula>0.95</formula>
    </cfRule>
    <cfRule type="cellIs" dxfId="676" priority="191" operator="greaterThanOrEqual">
      <formula>1</formula>
    </cfRule>
    <cfRule type="cellIs" dxfId="675" priority="190" operator="between">
      <formula>1</formula>
      <formula>0.95</formula>
    </cfRule>
  </conditionalFormatting>
  <conditionalFormatting sqref="Y41:Z41">
    <cfRule type="cellIs" dxfId="674" priority="186" operator="between">
      <formula>0</formula>
      <formula>0.95</formula>
    </cfRule>
    <cfRule type="cellIs" dxfId="673" priority="187" operator="between">
      <formula>1</formula>
      <formula>0.95</formula>
    </cfRule>
    <cfRule type="cellIs" dxfId="672" priority="188" operator="greaterThanOrEqual">
      <formula>1</formula>
    </cfRule>
  </conditionalFormatting>
  <conditionalFormatting sqref="Y45:Z45">
    <cfRule type="cellIs" dxfId="671" priority="184" operator="between">
      <formula>1</formula>
      <formula>0.95</formula>
    </cfRule>
    <cfRule type="cellIs" dxfId="670" priority="183" operator="between">
      <formula>0</formula>
      <formula>0.95</formula>
    </cfRule>
    <cfRule type="cellIs" dxfId="669" priority="185" operator="greaterThanOrEqual">
      <formula>1</formula>
    </cfRule>
  </conditionalFormatting>
  <conditionalFormatting sqref="Y49:Z49">
    <cfRule type="cellIs" dxfId="668" priority="170" operator="greaterThanOrEqual">
      <formula>1</formula>
    </cfRule>
    <cfRule type="cellIs" dxfId="667" priority="169" operator="between">
      <formula>0</formula>
      <formula>0.95</formula>
    </cfRule>
    <cfRule type="cellIs" dxfId="666" priority="210" operator="between">
      <formula>1</formula>
      <formula>0.95</formula>
    </cfRule>
  </conditionalFormatting>
  <conditionalFormatting sqref="Y53:Z53">
    <cfRule type="cellIs" dxfId="665" priority="182" operator="greaterThanOrEqual">
      <formula>1</formula>
    </cfRule>
    <cfRule type="cellIs" dxfId="664" priority="180" operator="between">
      <formula>0</formula>
      <formula>0.95</formula>
    </cfRule>
    <cfRule type="cellIs" dxfId="663" priority="181" operator="between">
      <formula>1</formula>
      <formula>0.95</formula>
    </cfRule>
  </conditionalFormatting>
  <conditionalFormatting sqref="Y57:Z57">
    <cfRule type="cellIs" dxfId="662" priority="178" operator="between">
      <formula>1</formula>
      <formula>0.95</formula>
    </cfRule>
    <cfRule type="cellIs" dxfId="661" priority="177" operator="between">
      <formula>0</formula>
      <formula>0.95</formula>
    </cfRule>
    <cfRule type="cellIs" dxfId="660" priority="179" operator="greaterThanOrEqual">
      <formula>1</formula>
    </cfRule>
  </conditionalFormatting>
  <conditionalFormatting sqref="Y61:Z61">
    <cfRule type="cellIs" dxfId="659" priority="176" operator="greaterThanOrEqual">
      <formula>1</formula>
    </cfRule>
    <cfRule type="cellIs" dxfId="658" priority="175" operator="between">
      <formula>1</formula>
      <formula>0.95</formula>
    </cfRule>
    <cfRule type="cellIs" dxfId="657" priority="174" operator="between">
      <formula>0</formula>
      <formula>0.95</formula>
    </cfRule>
  </conditionalFormatting>
  <conditionalFormatting sqref="Y65:Z65">
    <cfRule type="cellIs" dxfId="656" priority="203" operator="greaterThanOrEqual">
      <formula>1</formula>
    </cfRule>
    <cfRule type="cellIs" dxfId="655" priority="202" operator="between">
      <formula>1</formula>
      <formula>0.95</formula>
    </cfRule>
    <cfRule type="cellIs" dxfId="654" priority="201" operator="between">
      <formula>0</formula>
      <formula>0.95</formula>
    </cfRule>
  </conditionalFormatting>
  <conditionalFormatting sqref="Y69:Z69">
    <cfRule type="cellIs" dxfId="653" priority="200" operator="greaterThanOrEqual">
      <formula>1</formula>
    </cfRule>
    <cfRule type="cellIs" dxfId="652" priority="198" operator="between">
      <formula>0</formula>
      <formula>0.95</formula>
    </cfRule>
    <cfRule type="cellIs" dxfId="651" priority="199" operator="between">
      <formula>1</formula>
      <formula>0.95</formula>
    </cfRule>
  </conditionalFormatting>
  <conditionalFormatting sqref="Y73:Z73">
    <cfRule type="cellIs" dxfId="650" priority="196" operator="between">
      <formula>1</formula>
      <formula>0.95</formula>
    </cfRule>
    <cfRule type="cellIs" dxfId="649" priority="197" operator="greaterThanOrEqual">
      <formula>1</formula>
    </cfRule>
    <cfRule type="cellIs" dxfId="648" priority="195" operator="between">
      <formula>0</formula>
      <formula>0.95</formula>
    </cfRule>
  </conditionalFormatting>
  <conditionalFormatting sqref="Y77:Z77">
    <cfRule type="cellIs" dxfId="647" priority="192" operator="between">
      <formula>0</formula>
      <formula>0.95</formula>
    </cfRule>
    <cfRule type="cellIs" dxfId="646" priority="194" operator="greaterThanOrEqual">
      <formula>1</formula>
    </cfRule>
    <cfRule type="cellIs" dxfId="645" priority="193" operator="between">
      <formula>1</formula>
      <formula>0.95</formula>
    </cfRule>
  </conditionalFormatting>
  <conditionalFormatting sqref="Y81:Z81">
    <cfRule type="cellIs" dxfId="644" priority="173" operator="greaterThanOrEqual">
      <formula>1</formula>
    </cfRule>
    <cfRule type="cellIs" dxfId="643" priority="172" operator="between">
      <formula>1</formula>
      <formula>0.95</formula>
    </cfRule>
    <cfRule type="cellIs" dxfId="642" priority="171" operator="between">
      <formula>0</formula>
      <formula>0.95</formula>
    </cfRule>
  </conditionalFormatting>
  <conditionalFormatting sqref="AC5">
    <cfRule type="cellIs" dxfId="641" priority="1" operator="equal">
      <formula>"G"</formula>
    </cfRule>
    <cfRule type="cellIs" dxfId="640" priority="3" operator="equal">
      <formula>"A"</formula>
    </cfRule>
    <cfRule type="cellIs" dxfId="639" priority="2" operator="equal">
      <formula>"R"</formula>
    </cfRule>
  </conditionalFormatting>
  <conditionalFormatting sqref="AC9">
    <cfRule type="cellIs" dxfId="638" priority="6" operator="equal">
      <formula>"A"</formula>
    </cfRule>
    <cfRule type="cellIs" dxfId="637" priority="5" operator="equal">
      <formula>"R"</formula>
    </cfRule>
    <cfRule type="cellIs" dxfId="636" priority="4" operator="equal">
      <formula>"G"</formula>
    </cfRule>
  </conditionalFormatting>
  <conditionalFormatting sqref="AC13">
    <cfRule type="cellIs" dxfId="635" priority="7" operator="equal">
      <formula>"G"</formula>
    </cfRule>
    <cfRule type="cellIs" dxfId="634" priority="9" operator="equal">
      <formula>"A"</formula>
    </cfRule>
    <cfRule type="cellIs" dxfId="633" priority="8" operator="equal">
      <formula>"R"</formula>
    </cfRule>
  </conditionalFormatting>
  <conditionalFormatting sqref="AC17">
    <cfRule type="cellIs" dxfId="632" priority="12" operator="equal">
      <formula>"A"</formula>
    </cfRule>
    <cfRule type="cellIs" dxfId="631" priority="11" operator="equal">
      <formula>"R"</formula>
    </cfRule>
    <cfRule type="cellIs" dxfId="630" priority="10" operator="equal">
      <formula>"G"</formula>
    </cfRule>
  </conditionalFormatting>
  <conditionalFormatting sqref="AC21">
    <cfRule type="cellIs" dxfId="629" priority="15" operator="equal">
      <formula>"A"</formula>
    </cfRule>
    <cfRule type="cellIs" dxfId="628" priority="13" operator="equal">
      <formula>"G"</formula>
    </cfRule>
    <cfRule type="cellIs" dxfId="627" priority="14" operator="equal">
      <formula>"R"</formula>
    </cfRule>
  </conditionalFormatting>
  <conditionalFormatting sqref="AC25">
    <cfRule type="cellIs" dxfId="626" priority="17" operator="equal">
      <formula>"R"</formula>
    </cfRule>
    <cfRule type="cellIs" dxfId="625" priority="16" operator="equal">
      <formula>"G"</formula>
    </cfRule>
    <cfRule type="cellIs" dxfId="624" priority="18" operator="equal">
      <formula>"A"</formula>
    </cfRule>
  </conditionalFormatting>
  <conditionalFormatting sqref="AC29">
    <cfRule type="cellIs" dxfId="623" priority="19" operator="equal">
      <formula>"G"</formula>
    </cfRule>
    <cfRule type="cellIs" dxfId="622" priority="20" operator="equal">
      <formula>"R"</formula>
    </cfRule>
    <cfRule type="cellIs" dxfId="621" priority="21" operator="equal">
      <formula>"A"</formula>
    </cfRule>
  </conditionalFormatting>
  <conditionalFormatting sqref="AC33">
    <cfRule type="cellIs" dxfId="620" priority="22" operator="equal">
      <formula>"G"</formula>
    </cfRule>
    <cfRule type="cellIs" dxfId="619" priority="24" operator="equal">
      <formula>"A"</formula>
    </cfRule>
    <cfRule type="cellIs" dxfId="618" priority="23" operator="equal">
      <formula>"R"</formula>
    </cfRule>
  </conditionalFormatting>
  <conditionalFormatting sqref="AC37">
    <cfRule type="cellIs" dxfId="617" priority="25" operator="equal">
      <formula>"G"</formula>
    </cfRule>
    <cfRule type="cellIs" dxfId="616" priority="27" operator="equal">
      <formula>"A"</formula>
    </cfRule>
    <cfRule type="cellIs" dxfId="615" priority="26" operator="equal">
      <formula>"R"</formula>
    </cfRule>
  </conditionalFormatting>
  <conditionalFormatting sqref="AC41">
    <cfRule type="cellIs" dxfId="614" priority="28" operator="equal">
      <formula>"G"</formula>
    </cfRule>
    <cfRule type="cellIs" dxfId="613" priority="29" operator="equal">
      <formula>"R"</formula>
    </cfRule>
    <cfRule type="cellIs" dxfId="612" priority="30" operator="equal">
      <formula>"A"</formula>
    </cfRule>
  </conditionalFormatting>
  <conditionalFormatting sqref="AC45">
    <cfRule type="cellIs" dxfId="611" priority="31" operator="equal">
      <formula>"G"</formula>
    </cfRule>
    <cfRule type="cellIs" dxfId="610" priority="33" operator="equal">
      <formula>"A"</formula>
    </cfRule>
    <cfRule type="cellIs" dxfId="609" priority="32" operator="equal">
      <formula>"R"</formula>
    </cfRule>
  </conditionalFormatting>
  <conditionalFormatting sqref="AC49">
    <cfRule type="cellIs" dxfId="608" priority="36" operator="equal">
      <formula>"A"</formula>
    </cfRule>
    <cfRule type="cellIs" dxfId="607" priority="34" operator="equal">
      <formula>"G"</formula>
    </cfRule>
    <cfRule type="cellIs" dxfId="606" priority="35" operator="equal">
      <formula>"R"</formula>
    </cfRule>
  </conditionalFormatting>
  <conditionalFormatting sqref="AC53">
    <cfRule type="cellIs" dxfId="605" priority="39" operator="equal">
      <formula>"A"</formula>
    </cfRule>
    <cfRule type="cellIs" dxfId="604" priority="38" operator="equal">
      <formula>"R"</formula>
    </cfRule>
    <cfRule type="cellIs" dxfId="603" priority="37" operator="equal">
      <formula>"G"</formula>
    </cfRule>
  </conditionalFormatting>
  <conditionalFormatting sqref="AC57">
    <cfRule type="cellIs" dxfId="602" priority="42" operator="equal">
      <formula>"A"</formula>
    </cfRule>
    <cfRule type="cellIs" dxfId="601" priority="41" operator="equal">
      <formula>"R"</formula>
    </cfRule>
    <cfRule type="cellIs" dxfId="600" priority="40" operator="equal">
      <formula>"G"</formula>
    </cfRule>
  </conditionalFormatting>
  <conditionalFormatting sqref="AC61">
    <cfRule type="cellIs" dxfId="599" priority="43" operator="equal">
      <formula>"G"</formula>
    </cfRule>
    <cfRule type="cellIs" dxfId="598" priority="45" operator="equal">
      <formula>"A"</formula>
    </cfRule>
    <cfRule type="cellIs" dxfId="597" priority="44" operator="equal">
      <formula>"R"</formula>
    </cfRule>
  </conditionalFormatting>
  <conditionalFormatting sqref="AC65">
    <cfRule type="cellIs" dxfId="596" priority="48" operator="equal">
      <formula>"A"</formula>
    </cfRule>
    <cfRule type="cellIs" dxfId="595" priority="47" operator="equal">
      <formula>"R"</formula>
    </cfRule>
    <cfRule type="cellIs" dxfId="594" priority="46" operator="equal">
      <formula>"G"</formula>
    </cfRule>
  </conditionalFormatting>
  <conditionalFormatting sqref="AC69">
    <cfRule type="cellIs" dxfId="593" priority="49" operator="equal">
      <formula>"G"</formula>
    </cfRule>
    <cfRule type="cellIs" dxfId="592" priority="50" operator="equal">
      <formula>"R"</formula>
    </cfRule>
    <cfRule type="cellIs" dxfId="591" priority="51" operator="equal">
      <formula>"A"</formula>
    </cfRule>
  </conditionalFormatting>
  <conditionalFormatting sqref="AC73">
    <cfRule type="cellIs" dxfId="590" priority="54" operator="equal">
      <formula>"A"</formula>
    </cfRule>
    <cfRule type="cellIs" dxfId="589" priority="53" operator="equal">
      <formula>"R"</formula>
    </cfRule>
    <cfRule type="cellIs" dxfId="588" priority="52" operator="equal">
      <formula>"G"</formula>
    </cfRule>
  </conditionalFormatting>
  <conditionalFormatting sqref="AC77">
    <cfRule type="cellIs" dxfId="587" priority="55" operator="equal">
      <formula>"G"</formula>
    </cfRule>
    <cfRule type="cellIs" dxfId="586" priority="57" operator="equal">
      <formula>"A"</formula>
    </cfRule>
    <cfRule type="cellIs" dxfId="585" priority="56" operator="equal">
      <formula>"R"</formula>
    </cfRule>
  </conditionalFormatting>
  <conditionalFormatting sqref="AC81">
    <cfRule type="cellIs" dxfId="584" priority="60" operator="equal">
      <formula>"A"</formula>
    </cfRule>
    <cfRule type="cellIs" dxfId="583" priority="58" operator="equal">
      <formula>"G"</formula>
    </cfRule>
    <cfRule type="cellIs" dxfId="582" priority="59" operator="equal">
      <formula>"R"</formula>
    </cfRule>
  </conditionalFormatting>
  <pageMargins left="0.7" right="0.7" top="0.75" bottom="0.75" header="0.3" footer="0.3"/>
  <pageSetup paperSize="8" scale="30" fitToHeight="0" orientation="landscape" horizontalDpi="1200" verticalDpi="1200" r:id="rId6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3ABEDE-150D-4B46-A619-F992DEB121F6}">
  <sheetPr codeName="Sheet7"/>
  <dimension ref="A1:AB54"/>
  <sheetViews>
    <sheetView zoomScale="57" zoomScaleNormal="57" workbookViewId="0">
      <pane xSplit="1" ySplit="5" topLeftCell="B6" activePane="bottomRight" state="frozen"/>
      <selection pane="topRight" activeCell="B1" sqref="B1"/>
      <selection pane="bottomLeft" activeCell="A6" sqref="A6"/>
      <selection pane="bottomRight" activeCell="B6" sqref="B6"/>
    </sheetView>
  </sheetViews>
  <sheetFormatPr defaultColWidth="9.453125" defaultRowHeight="14.5" outlineLevelRow="1" x14ac:dyDescent="0.35"/>
  <cols>
    <col min="1" max="1" width="41.54296875" style="200" customWidth="1"/>
    <col min="2" max="2" width="10.453125" style="200" customWidth="1"/>
    <col min="3" max="3" width="9.453125" style="200" customWidth="1"/>
    <col min="4" max="4" width="13.54296875" style="200" customWidth="1"/>
    <col min="5" max="5" width="12.54296875" style="200" customWidth="1"/>
    <col min="6" max="6" width="13.453125" style="200" customWidth="1"/>
    <col min="7" max="7" width="13" style="200" customWidth="1"/>
    <col min="8" max="8" width="12.54296875" style="200" customWidth="1"/>
    <col min="9" max="9" width="12.453125" style="200" customWidth="1"/>
    <col min="10" max="10" width="13.54296875" style="200" customWidth="1"/>
    <col min="11" max="11" width="13.453125" style="200" customWidth="1"/>
    <col min="12" max="13" width="9.453125" style="200"/>
    <col min="14" max="14" width="13.453125" style="200" customWidth="1"/>
    <col min="15" max="16" width="12.453125" style="200" customWidth="1"/>
    <col min="17" max="17" width="12.54296875" style="200" customWidth="1"/>
    <col min="18" max="18" width="12.453125" style="200" customWidth="1"/>
    <col min="19" max="19" width="12" style="200" customWidth="1"/>
    <col min="20" max="20" width="13.453125" style="200" customWidth="1"/>
    <col min="21" max="22" width="13.54296875" style="200" customWidth="1"/>
    <col min="23" max="23" width="13.453125" style="200" customWidth="1"/>
    <col min="24" max="24" width="8.54296875" style="200" customWidth="1"/>
    <col min="25" max="25" width="9" style="200" customWidth="1"/>
    <col min="26" max="26" width="13.54296875" style="200" customWidth="1"/>
    <col min="27" max="27" width="13.453125" style="200" customWidth="1"/>
    <col min="28" max="28" width="11.453125" style="200" customWidth="1"/>
    <col min="29" max="16384" width="9.453125" style="200"/>
  </cols>
  <sheetData>
    <row r="1" spans="1:28" ht="1.5" customHeight="1" x14ac:dyDescent="0.35"/>
    <row r="2" spans="1:28" x14ac:dyDescent="0.35">
      <c r="A2" s="99" t="s">
        <v>215</v>
      </c>
      <c r="B2" s="762" t="s">
        <v>216</v>
      </c>
      <c r="C2" s="738"/>
      <c r="D2" s="738"/>
      <c r="E2" s="738"/>
      <c r="F2" s="738"/>
      <c r="G2" s="738"/>
      <c r="H2" s="738"/>
      <c r="I2" s="738"/>
      <c r="J2" s="738"/>
      <c r="K2" s="739"/>
      <c r="L2" s="756" t="s">
        <v>69</v>
      </c>
      <c r="M2" s="738"/>
      <c r="N2" s="738"/>
      <c r="O2" s="738"/>
      <c r="P2" s="738"/>
      <c r="Q2" s="738"/>
      <c r="R2" s="738"/>
      <c r="S2" s="738"/>
      <c r="T2" s="738"/>
      <c r="U2" s="738"/>
      <c r="V2" s="738"/>
      <c r="W2" s="738"/>
      <c r="X2" s="738"/>
      <c r="Y2" s="738"/>
      <c r="Z2" s="738"/>
      <c r="AA2" s="739"/>
      <c r="AB2" s="100" t="s">
        <v>215</v>
      </c>
    </row>
    <row r="3" spans="1:28" x14ac:dyDescent="0.35">
      <c r="A3" s="101" t="s">
        <v>215</v>
      </c>
      <c r="B3" s="755" t="s">
        <v>215</v>
      </c>
      <c r="C3" s="753"/>
      <c r="D3" s="754" t="s">
        <v>48</v>
      </c>
      <c r="E3" s="738"/>
      <c r="F3" s="738"/>
      <c r="G3" s="738"/>
      <c r="H3" s="738"/>
      <c r="I3" s="739"/>
      <c r="J3" s="754" t="s">
        <v>30</v>
      </c>
      <c r="K3" s="739"/>
      <c r="L3" s="755" t="s">
        <v>215</v>
      </c>
      <c r="M3" s="753"/>
      <c r="N3" s="204" t="s">
        <v>215</v>
      </c>
      <c r="O3" s="754" t="s">
        <v>33</v>
      </c>
      <c r="P3" s="738"/>
      <c r="Q3" s="738"/>
      <c r="R3" s="738"/>
      <c r="S3" s="738"/>
      <c r="T3" s="739"/>
      <c r="U3" s="754" t="s">
        <v>296</v>
      </c>
      <c r="V3" s="738"/>
      <c r="W3" s="738"/>
      <c r="X3" s="738"/>
      <c r="Y3" s="738"/>
      <c r="Z3" s="738"/>
      <c r="AA3" s="739"/>
      <c r="AB3" s="102" t="s">
        <v>215</v>
      </c>
    </row>
    <row r="4" spans="1:28" ht="15.5" x14ac:dyDescent="0.35">
      <c r="A4" s="103" t="s">
        <v>215</v>
      </c>
      <c r="B4" s="751" t="s">
        <v>215</v>
      </c>
      <c r="C4" s="746"/>
      <c r="D4" s="752" t="s">
        <v>215</v>
      </c>
      <c r="E4" s="753"/>
      <c r="F4" s="756" t="s">
        <v>73</v>
      </c>
      <c r="G4" s="739"/>
      <c r="H4" s="756" t="s">
        <v>74</v>
      </c>
      <c r="I4" s="739"/>
      <c r="J4" s="104" t="s">
        <v>215</v>
      </c>
      <c r="K4" s="104" t="s">
        <v>215</v>
      </c>
      <c r="L4" s="760" t="s">
        <v>215</v>
      </c>
      <c r="M4" s="748"/>
      <c r="N4" s="203" t="s">
        <v>215</v>
      </c>
      <c r="O4" s="759" t="s">
        <v>73</v>
      </c>
      <c r="P4" s="738"/>
      <c r="Q4" s="739"/>
      <c r="R4" s="759" t="s">
        <v>74</v>
      </c>
      <c r="S4" s="738"/>
      <c r="T4" s="739"/>
      <c r="U4" s="201" t="s">
        <v>215</v>
      </c>
      <c r="V4" s="201" t="s">
        <v>215</v>
      </c>
      <c r="W4" s="201" t="s">
        <v>215</v>
      </c>
      <c r="X4" s="201" t="s">
        <v>215</v>
      </c>
      <c r="Y4" s="201" t="s">
        <v>215</v>
      </c>
      <c r="Z4" s="759" t="s">
        <v>80</v>
      </c>
      <c r="AA4" s="739"/>
      <c r="AB4" s="203" t="s">
        <v>215</v>
      </c>
    </row>
    <row r="5" spans="1:28" ht="50" x14ac:dyDescent="0.35">
      <c r="A5" s="105" t="s">
        <v>218</v>
      </c>
      <c r="B5" s="745" t="s">
        <v>219</v>
      </c>
      <c r="C5" s="746"/>
      <c r="D5" s="743" t="s">
        <v>220</v>
      </c>
      <c r="E5" s="744"/>
      <c r="F5" s="202" t="s">
        <v>221</v>
      </c>
      <c r="G5" s="202" t="s">
        <v>222</v>
      </c>
      <c r="H5" s="106" t="s">
        <v>221</v>
      </c>
      <c r="I5" s="107" t="s">
        <v>222</v>
      </c>
      <c r="J5" s="108" t="s">
        <v>223</v>
      </c>
      <c r="K5" s="108" t="s">
        <v>2</v>
      </c>
      <c r="L5" s="747" t="s">
        <v>68</v>
      </c>
      <c r="M5" s="748"/>
      <c r="N5" s="108" t="s">
        <v>224</v>
      </c>
      <c r="O5" s="202" t="s">
        <v>81</v>
      </c>
      <c r="P5" s="202" t="s">
        <v>225</v>
      </c>
      <c r="Q5" s="202" t="s">
        <v>92</v>
      </c>
      <c r="R5" s="202" t="s">
        <v>81</v>
      </c>
      <c r="S5" s="202" t="s">
        <v>84</v>
      </c>
      <c r="T5" s="202" t="s">
        <v>226</v>
      </c>
      <c r="U5" s="109" t="s">
        <v>297</v>
      </c>
      <c r="V5" s="109" t="s">
        <v>228</v>
      </c>
      <c r="W5" s="109" t="s">
        <v>229</v>
      </c>
      <c r="X5" s="109" t="s">
        <v>230</v>
      </c>
      <c r="Y5" s="109" t="s">
        <v>231</v>
      </c>
      <c r="Z5" s="202" t="s">
        <v>214</v>
      </c>
      <c r="AA5" s="202" t="s">
        <v>86</v>
      </c>
      <c r="AB5" s="105" t="s">
        <v>70</v>
      </c>
    </row>
    <row r="6" spans="1:28" ht="16" collapsed="1" x14ac:dyDescent="0.35">
      <c r="A6" s="110" t="s">
        <v>96</v>
      </c>
      <c r="B6" s="111" t="s">
        <v>91</v>
      </c>
      <c r="C6" s="165">
        <v>0</v>
      </c>
      <c r="D6" s="112" t="s">
        <v>232</v>
      </c>
      <c r="E6" s="113">
        <v>45190</v>
      </c>
      <c r="F6" s="166">
        <v>775876000</v>
      </c>
      <c r="G6" s="166">
        <v>837100000</v>
      </c>
      <c r="H6" s="114">
        <v>49490</v>
      </c>
      <c r="I6" s="114">
        <v>49795</v>
      </c>
      <c r="J6" s="166">
        <v>382000000</v>
      </c>
      <c r="K6" s="166">
        <v>186000000</v>
      </c>
      <c r="L6" s="167" t="s">
        <v>91</v>
      </c>
      <c r="M6" s="165">
        <v>0</v>
      </c>
      <c r="N6" s="116">
        <v>44986</v>
      </c>
      <c r="O6" s="166">
        <v>726536178</v>
      </c>
      <c r="P6" s="166">
        <v>724537371.42999995</v>
      </c>
      <c r="Q6" s="166">
        <v>18881.09</v>
      </c>
      <c r="R6" s="114">
        <v>49490</v>
      </c>
      <c r="S6" s="114">
        <v>49490</v>
      </c>
      <c r="T6" s="117">
        <v>0</v>
      </c>
      <c r="U6" s="166">
        <v>38721429.810000002</v>
      </c>
      <c r="V6" s="166">
        <v>29346741.592500001</v>
      </c>
      <c r="W6" s="166">
        <v>26775957.27</v>
      </c>
      <c r="X6" s="118">
        <v>1.0960109211624836</v>
      </c>
      <c r="Y6" s="119">
        <v>0.75789405857427972</v>
      </c>
      <c r="Z6" s="120">
        <f>U6/O6</f>
        <v>5.3295941733544343E-2</v>
      </c>
      <c r="AA6" s="120">
        <f>V6/O6</f>
        <v>4.0392677585974257E-2</v>
      </c>
      <c r="AB6" s="111" t="s">
        <v>90</v>
      </c>
    </row>
    <row r="7" spans="1:28" ht="17.25" hidden="1" customHeight="1" outlineLevel="1" collapsed="1" x14ac:dyDescent="0.35">
      <c r="A7" s="110" t="s">
        <v>215</v>
      </c>
      <c r="B7" s="168" t="s">
        <v>215</v>
      </c>
      <c r="C7" s="169" t="str" cm="1">
        <f t="array" ref="C7">_xlfn.SWITCH(C6,-1,"i",0,"g",1,"h")</f>
        <v>g</v>
      </c>
      <c r="D7" s="112" t="s">
        <v>215</v>
      </c>
      <c r="E7" s="112" t="s">
        <v>215</v>
      </c>
      <c r="F7" s="115" t="s">
        <v>215</v>
      </c>
      <c r="G7" s="115" t="s">
        <v>215</v>
      </c>
      <c r="H7" s="115" t="s">
        <v>215</v>
      </c>
      <c r="I7" s="115" t="s">
        <v>215</v>
      </c>
      <c r="J7" s="115" t="s">
        <v>215</v>
      </c>
      <c r="K7" s="115" t="s">
        <v>215</v>
      </c>
      <c r="L7" s="168" t="s">
        <v>215</v>
      </c>
      <c r="M7" s="169" t="str" cm="1">
        <f t="array" ref="M7">_xlfn.SWITCH(M6,-1,"i",0,"g",1,"h")</f>
        <v>g</v>
      </c>
      <c r="N7" s="115" t="s">
        <v>215</v>
      </c>
      <c r="O7" s="115" t="s">
        <v>215</v>
      </c>
      <c r="P7" s="115" t="s">
        <v>215</v>
      </c>
      <c r="Q7" s="115" t="s">
        <v>215</v>
      </c>
      <c r="R7" s="115" t="s">
        <v>215</v>
      </c>
      <c r="S7" s="115" t="s">
        <v>215</v>
      </c>
      <c r="T7" s="115" t="s">
        <v>215</v>
      </c>
      <c r="U7" s="115" t="s">
        <v>215</v>
      </c>
      <c r="V7" s="115" t="s">
        <v>215</v>
      </c>
      <c r="W7" s="115" t="s">
        <v>215</v>
      </c>
      <c r="X7" s="170" t="s">
        <v>215</v>
      </c>
      <c r="Y7" s="171" t="s">
        <v>215</v>
      </c>
      <c r="Z7" s="115" t="s">
        <v>215</v>
      </c>
      <c r="AA7" s="115" t="s">
        <v>215</v>
      </c>
      <c r="AB7" s="115" t="s">
        <v>215</v>
      </c>
    </row>
    <row r="8" spans="1:28" ht="17.25" customHeight="1" collapsed="1" x14ac:dyDescent="0.35">
      <c r="A8" s="737"/>
      <c r="B8" s="738"/>
      <c r="C8" s="738"/>
      <c r="D8" s="738"/>
      <c r="E8" s="738"/>
      <c r="F8" s="738"/>
      <c r="G8" s="738"/>
      <c r="H8" s="738"/>
      <c r="I8" s="738"/>
      <c r="J8" s="738"/>
      <c r="K8" s="738"/>
      <c r="L8" s="738"/>
      <c r="M8" s="738"/>
      <c r="N8" s="738"/>
      <c r="O8" s="738"/>
      <c r="P8" s="738"/>
      <c r="Q8" s="738"/>
      <c r="R8" s="738"/>
      <c r="S8" s="738"/>
      <c r="T8" s="738"/>
      <c r="U8" s="738"/>
      <c r="V8" s="738"/>
      <c r="W8" s="738"/>
      <c r="X8" s="738"/>
      <c r="Y8" s="738"/>
      <c r="Z8" s="738"/>
      <c r="AA8" s="738"/>
      <c r="AB8" s="739"/>
    </row>
    <row r="9" spans="1:28" ht="8.25" customHeight="1" x14ac:dyDescent="0.35">
      <c r="A9" s="735" t="s">
        <v>215</v>
      </c>
      <c r="B9" s="736"/>
      <c r="C9" s="736"/>
      <c r="D9" s="736"/>
      <c r="E9" s="736"/>
      <c r="F9" s="736"/>
      <c r="G9" s="736"/>
      <c r="H9" s="736"/>
      <c r="I9" s="736"/>
      <c r="J9" s="736"/>
      <c r="K9" s="736"/>
      <c r="L9" s="736"/>
      <c r="M9" s="736"/>
      <c r="N9" s="736"/>
      <c r="O9" s="736"/>
      <c r="P9" s="736"/>
      <c r="Q9" s="736"/>
      <c r="R9" s="736"/>
      <c r="S9" s="736"/>
      <c r="T9" s="736"/>
      <c r="U9" s="736"/>
      <c r="V9" s="736"/>
      <c r="W9" s="736"/>
      <c r="X9" s="736"/>
      <c r="Y9" s="736"/>
      <c r="Z9" s="736"/>
      <c r="AA9" s="736"/>
      <c r="AB9" s="736"/>
    </row>
    <row r="10" spans="1:28" ht="16" collapsed="1" x14ac:dyDescent="0.35">
      <c r="A10" s="110" t="s">
        <v>98</v>
      </c>
      <c r="B10" s="111" t="s">
        <v>91</v>
      </c>
      <c r="C10" s="165">
        <v>0</v>
      </c>
      <c r="D10" s="112" t="s">
        <v>234</v>
      </c>
      <c r="E10" s="113">
        <v>44743</v>
      </c>
      <c r="F10" s="166">
        <v>1316000000</v>
      </c>
      <c r="G10" s="166">
        <v>1512000000</v>
      </c>
      <c r="H10" s="114">
        <v>46332</v>
      </c>
      <c r="I10" s="114">
        <v>46847</v>
      </c>
      <c r="J10" s="166">
        <v>1512000000</v>
      </c>
      <c r="K10" s="166">
        <v>1333000000</v>
      </c>
      <c r="L10" s="175" t="s">
        <v>90</v>
      </c>
      <c r="M10" s="165">
        <v>0</v>
      </c>
      <c r="N10" s="116">
        <v>45212</v>
      </c>
      <c r="O10" s="166">
        <v>1311587599</v>
      </c>
      <c r="P10" s="166">
        <v>1378499000.9100001</v>
      </c>
      <c r="Q10" s="166">
        <v>0.08</v>
      </c>
      <c r="R10" s="114">
        <v>46332</v>
      </c>
      <c r="S10" s="114">
        <v>46427</v>
      </c>
      <c r="T10" s="117">
        <v>0</v>
      </c>
      <c r="U10" s="166">
        <v>1024950261.27</v>
      </c>
      <c r="V10" s="166">
        <v>994859091.33449996</v>
      </c>
      <c r="W10" s="166">
        <v>1065805919.98</v>
      </c>
      <c r="X10" s="119">
        <v>0.93343363241327149</v>
      </c>
      <c r="Y10" s="118">
        <v>0.97064133639205619</v>
      </c>
      <c r="Z10" s="120">
        <f>U10/O10</f>
        <v>0.78145772501315025</v>
      </c>
      <c r="AA10" s="120">
        <f>V10/O10</f>
        <v>0.75851517054066009</v>
      </c>
      <c r="AB10" s="172" t="s">
        <v>90</v>
      </c>
    </row>
    <row r="11" spans="1:28" ht="24.5" hidden="1" outlineLevel="1" collapsed="1" x14ac:dyDescent="0.35">
      <c r="A11" s="110" t="s">
        <v>215</v>
      </c>
      <c r="B11" s="168" t="s">
        <v>215</v>
      </c>
      <c r="C11" s="169" t="str" cm="1">
        <f t="array" ref="C11">_xlfn.SWITCH(C10,-1,"i",0,"g",1,"h")</f>
        <v>g</v>
      </c>
      <c r="D11" s="112" t="s">
        <v>215</v>
      </c>
      <c r="E11" s="112" t="s">
        <v>215</v>
      </c>
      <c r="F11" s="115" t="s">
        <v>215</v>
      </c>
      <c r="G11" s="115" t="s">
        <v>215</v>
      </c>
      <c r="H11" s="115" t="s">
        <v>215</v>
      </c>
      <c r="I11" s="115" t="s">
        <v>215</v>
      </c>
      <c r="J11" s="115" t="s">
        <v>215</v>
      </c>
      <c r="K11" s="115" t="s">
        <v>215</v>
      </c>
      <c r="L11" s="168" t="s">
        <v>215</v>
      </c>
      <c r="M11" s="169" t="str" cm="1">
        <f t="array" ref="M11">_xlfn.SWITCH(M10,-1,"i",0,"g",1,"h")</f>
        <v>g</v>
      </c>
      <c r="N11" s="115" t="s">
        <v>215</v>
      </c>
      <c r="O11" s="115" t="s">
        <v>215</v>
      </c>
      <c r="P11" s="115" t="s">
        <v>215</v>
      </c>
      <c r="Q11" s="115" t="s">
        <v>215</v>
      </c>
      <c r="R11" s="115" t="s">
        <v>215</v>
      </c>
      <c r="S11" s="115" t="s">
        <v>215</v>
      </c>
      <c r="T11" s="115" t="s">
        <v>215</v>
      </c>
      <c r="U11" s="115" t="s">
        <v>215</v>
      </c>
      <c r="V11" s="115" t="s">
        <v>215</v>
      </c>
      <c r="W11" s="115" t="s">
        <v>215</v>
      </c>
      <c r="X11" s="171" t="s">
        <v>215</v>
      </c>
      <c r="Y11" s="170" t="s">
        <v>215</v>
      </c>
      <c r="Z11" s="115" t="s">
        <v>215</v>
      </c>
      <c r="AA11" s="115" t="s">
        <v>215</v>
      </c>
      <c r="AB11" s="173" t="s">
        <v>215</v>
      </c>
    </row>
    <row r="12" spans="1:28" ht="17.25" customHeight="1" collapsed="1" x14ac:dyDescent="0.35">
      <c r="A12" s="737"/>
      <c r="B12" s="738"/>
      <c r="C12" s="738"/>
      <c r="D12" s="738"/>
      <c r="E12" s="738"/>
      <c r="F12" s="738"/>
      <c r="G12" s="738"/>
      <c r="H12" s="738"/>
      <c r="I12" s="738"/>
      <c r="J12" s="738"/>
      <c r="K12" s="738"/>
      <c r="L12" s="738"/>
      <c r="M12" s="738"/>
      <c r="N12" s="738"/>
      <c r="O12" s="738"/>
      <c r="P12" s="738"/>
      <c r="Q12" s="738"/>
      <c r="R12" s="738"/>
      <c r="S12" s="738"/>
      <c r="T12" s="738"/>
      <c r="U12" s="738"/>
      <c r="V12" s="738"/>
      <c r="W12" s="738"/>
      <c r="X12" s="738"/>
      <c r="Y12" s="738"/>
      <c r="Z12" s="738"/>
      <c r="AA12" s="738"/>
      <c r="AB12" s="739"/>
    </row>
    <row r="13" spans="1:28" ht="8.25" customHeight="1" x14ac:dyDescent="0.35">
      <c r="A13" s="735" t="s">
        <v>215</v>
      </c>
      <c r="B13" s="736"/>
      <c r="C13" s="736"/>
      <c r="D13" s="736"/>
      <c r="E13" s="736"/>
      <c r="F13" s="736"/>
      <c r="G13" s="736"/>
      <c r="H13" s="736"/>
      <c r="I13" s="736"/>
      <c r="J13" s="736"/>
      <c r="K13" s="736"/>
      <c r="L13" s="736"/>
      <c r="M13" s="736"/>
      <c r="N13" s="736"/>
      <c r="O13" s="736"/>
      <c r="P13" s="736"/>
      <c r="Q13" s="736"/>
      <c r="R13" s="736"/>
      <c r="S13" s="736"/>
      <c r="T13" s="736"/>
      <c r="U13" s="736"/>
      <c r="V13" s="736"/>
      <c r="W13" s="736"/>
      <c r="X13" s="736"/>
      <c r="Y13" s="736"/>
      <c r="Z13" s="736"/>
      <c r="AA13" s="736"/>
      <c r="AB13" s="736"/>
    </row>
    <row r="14" spans="1:28" ht="32" collapsed="1" x14ac:dyDescent="0.35">
      <c r="A14" s="110" t="s">
        <v>101</v>
      </c>
      <c r="B14" s="167" t="s">
        <v>90</v>
      </c>
      <c r="C14" s="165">
        <v>0</v>
      </c>
      <c r="D14" s="112" t="s">
        <v>234</v>
      </c>
      <c r="E14" s="113">
        <v>44075</v>
      </c>
      <c r="F14" s="166">
        <v>458900000</v>
      </c>
      <c r="G14" s="166">
        <v>466400000</v>
      </c>
      <c r="H14" s="114">
        <v>45244</v>
      </c>
      <c r="I14" s="114">
        <v>45361</v>
      </c>
      <c r="J14" s="166">
        <v>466400000</v>
      </c>
      <c r="K14" s="166">
        <v>458900000</v>
      </c>
      <c r="L14" s="167" t="s">
        <v>90</v>
      </c>
      <c r="M14" s="165">
        <v>0</v>
      </c>
      <c r="N14" s="116">
        <v>44286</v>
      </c>
      <c r="O14" s="166">
        <v>419953637</v>
      </c>
      <c r="P14" s="166">
        <v>458886277.74000001</v>
      </c>
      <c r="Q14" s="166">
        <v>57548.78</v>
      </c>
      <c r="R14" s="114">
        <v>45050</v>
      </c>
      <c r="S14" s="114">
        <v>45463</v>
      </c>
      <c r="T14" s="117">
        <v>-6</v>
      </c>
      <c r="U14" s="166">
        <v>419953637.50999999</v>
      </c>
      <c r="V14" s="166">
        <v>417747869.70289999</v>
      </c>
      <c r="W14" s="166">
        <v>457544456.99000001</v>
      </c>
      <c r="X14" s="118">
        <v>0.91302137600156785</v>
      </c>
      <c r="Y14" s="119">
        <v>0.99474759209093055</v>
      </c>
      <c r="Z14" s="120">
        <f>U14/O14</f>
        <v>1.0000000012144197</v>
      </c>
      <c r="AA14" s="120">
        <f>V14/O14</f>
        <v>0.99474759329897167</v>
      </c>
      <c r="AB14" s="167" t="s">
        <v>90</v>
      </c>
    </row>
    <row r="15" spans="1:28" ht="17.25" hidden="1" customHeight="1" outlineLevel="1" collapsed="1" x14ac:dyDescent="0.35">
      <c r="A15" s="110" t="s">
        <v>215</v>
      </c>
      <c r="B15" s="168" t="s">
        <v>215</v>
      </c>
      <c r="C15" s="169" t="str" cm="1">
        <f t="array" ref="C15">_xlfn.SWITCH(C14,-1,"i",0,"g",1,"h")</f>
        <v>g</v>
      </c>
      <c r="D15" s="112" t="s">
        <v>215</v>
      </c>
      <c r="E15" s="112" t="s">
        <v>215</v>
      </c>
      <c r="F15" s="115" t="s">
        <v>215</v>
      </c>
      <c r="G15" s="115" t="s">
        <v>215</v>
      </c>
      <c r="H15" s="115" t="s">
        <v>215</v>
      </c>
      <c r="I15" s="115" t="s">
        <v>215</v>
      </c>
      <c r="J15" s="115" t="s">
        <v>215</v>
      </c>
      <c r="K15" s="115" t="s">
        <v>215</v>
      </c>
      <c r="L15" s="168" t="s">
        <v>215</v>
      </c>
      <c r="M15" s="169" t="str" cm="1">
        <f t="array" ref="M15">_xlfn.SWITCH(M14,-1,"i",0,"g",1,"h")</f>
        <v>g</v>
      </c>
      <c r="N15" s="115" t="s">
        <v>215</v>
      </c>
      <c r="O15" s="115" t="s">
        <v>215</v>
      </c>
      <c r="P15" s="115" t="s">
        <v>215</v>
      </c>
      <c r="Q15" s="115" t="s">
        <v>215</v>
      </c>
      <c r="R15" s="115" t="s">
        <v>215</v>
      </c>
      <c r="S15" s="115" t="s">
        <v>215</v>
      </c>
      <c r="T15" s="115" t="s">
        <v>215</v>
      </c>
      <c r="U15" s="115" t="s">
        <v>215</v>
      </c>
      <c r="V15" s="115" t="s">
        <v>215</v>
      </c>
      <c r="W15" s="115" t="s">
        <v>215</v>
      </c>
      <c r="X15" s="170" t="s">
        <v>215</v>
      </c>
      <c r="Y15" s="171" t="s">
        <v>215</v>
      </c>
      <c r="Z15" s="115" t="s">
        <v>215</v>
      </c>
      <c r="AA15" s="115" t="s">
        <v>215</v>
      </c>
      <c r="AB15" s="173" t="s">
        <v>215</v>
      </c>
    </row>
    <row r="16" spans="1:28" ht="17.25" customHeight="1" collapsed="1" x14ac:dyDescent="0.35">
      <c r="A16" s="737"/>
      <c r="B16" s="738"/>
      <c r="C16" s="738"/>
      <c r="D16" s="738"/>
      <c r="E16" s="738"/>
      <c r="F16" s="738"/>
      <c r="G16" s="738"/>
      <c r="H16" s="738"/>
      <c r="I16" s="738"/>
      <c r="J16" s="738"/>
      <c r="K16" s="738"/>
      <c r="L16" s="738"/>
      <c r="M16" s="738"/>
      <c r="N16" s="738"/>
      <c r="O16" s="738"/>
      <c r="P16" s="738"/>
      <c r="Q16" s="738"/>
      <c r="R16" s="738"/>
      <c r="S16" s="738"/>
      <c r="T16" s="738"/>
      <c r="U16" s="738"/>
      <c r="V16" s="738"/>
      <c r="W16" s="738"/>
      <c r="X16" s="738"/>
      <c r="Y16" s="738"/>
      <c r="Z16" s="738"/>
      <c r="AA16" s="738"/>
      <c r="AB16" s="739"/>
    </row>
    <row r="17" spans="1:28" ht="8.25" customHeight="1" x14ac:dyDescent="0.35">
      <c r="A17" s="735" t="s">
        <v>215</v>
      </c>
      <c r="B17" s="736"/>
      <c r="C17" s="736"/>
      <c r="D17" s="736"/>
      <c r="E17" s="736"/>
      <c r="F17" s="736"/>
      <c r="G17" s="736"/>
      <c r="H17" s="736"/>
      <c r="I17" s="736"/>
      <c r="J17" s="736"/>
      <c r="K17" s="736"/>
      <c r="L17" s="736"/>
      <c r="M17" s="736"/>
      <c r="N17" s="736"/>
      <c r="O17" s="736"/>
      <c r="P17" s="736"/>
      <c r="Q17" s="736"/>
      <c r="R17" s="736"/>
      <c r="S17" s="736"/>
      <c r="T17" s="736"/>
      <c r="U17" s="736"/>
      <c r="V17" s="736"/>
      <c r="W17" s="736"/>
      <c r="X17" s="736"/>
      <c r="Y17" s="736"/>
      <c r="Z17" s="736"/>
      <c r="AA17" s="736"/>
      <c r="AB17" s="736"/>
    </row>
    <row r="18" spans="1:28" ht="16" collapsed="1" x14ac:dyDescent="0.35">
      <c r="A18" s="110" t="s">
        <v>13</v>
      </c>
      <c r="B18" s="172" t="s">
        <v>90</v>
      </c>
      <c r="C18" s="165">
        <v>0</v>
      </c>
      <c r="D18" s="112" t="s">
        <v>234</v>
      </c>
      <c r="E18" s="113">
        <v>44287</v>
      </c>
      <c r="F18" s="166">
        <v>116570000</v>
      </c>
      <c r="G18" s="166">
        <v>122604000</v>
      </c>
      <c r="H18" s="114">
        <v>46874</v>
      </c>
      <c r="I18" s="114">
        <v>47239</v>
      </c>
      <c r="J18" s="166">
        <v>139600000</v>
      </c>
      <c r="K18" s="166">
        <v>116569000</v>
      </c>
      <c r="L18" s="175" t="s">
        <v>88</v>
      </c>
      <c r="M18" s="165">
        <v>0</v>
      </c>
      <c r="N18" s="116">
        <v>44634</v>
      </c>
      <c r="O18" s="166">
        <v>120280352</v>
      </c>
      <c r="P18" s="166">
        <v>131430791.23999999</v>
      </c>
      <c r="Q18" s="166">
        <v>-146.81</v>
      </c>
      <c r="R18" s="114">
        <v>46892</v>
      </c>
      <c r="S18" s="114">
        <v>47907</v>
      </c>
      <c r="T18" s="117">
        <v>0</v>
      </c>
      <c r="U18" s="166">
        <v>89109551.069999993</v>
      </c>
      <c r="V18" s="166">
        <v>82546439.180899993</v>
      </c>
      <c r="W18" s="166">
        <v>85806101.599999994</v>
      </c>
      <c r="X18" s="118">
        <v>0.96201129805086028</v>
      </c>
      <c r="Y18" s="119">
        <v>0.92634782904534729</v>
      </c>
      <c r="Z18" s="120">
        <f>U18/O18</f>
        <v>0.74084877195903109</v>
      </c>
      <c r="AA18" s="120">
        <f>V18/O18</f>
        <v>0.68628365155516002</v>
      </c>
      <c r="AB18" s="175" t="s">
        <v>91</v>
      </c>
    </row>
    <row r="19" spans="1:28" ht="17.25" hidden="1" customHeight="1" outlineLevel="1" collapsed="1" x14ac:dyDescent="0.35">
      <c r="A19" s="110" t="s">
        <v>215</v>
      </c>
      <c r="B19" s="168" t="s">
        <v>215</v>
      </c>
      <c r="C19" s="169" t="str" cm="1">
        <f t="array" ref="C19">_xlfn.SWITCH(C18,-1,"i",0,"g",1,"h")</f>
        <v>g</v>
      </c>
      <c r="D19" s="112"/>
      <c r="E19" s="112" t="s">
        <v>215</v>
      </c>
      <c r="F19" s="115" t="s">
        <v>215</v>
      </c>
      <c r="G19" s="115" t="s">
        <v>215</v>
      </c>
      <c r="H19" s="115" t="s">
        <v>215</v>
      </c>
      <c r="I19" s="115" t="s">
        <v>215</v>
      </c>
      <c r="J19" s="115" t="s">
        <v>215</v>
      </c>
      <c r="K19" s="115" t="s">
        <v>215</v>
      </c>
      <c r="L19" s="168" t="s">
        <v>215</v>
      </c>
      <c r="M19" s="169" t="str" cm="1">
        <f t="array" ref="M19">_xlfn.SWITCH(M18,-1,"i",0,"g",1,"h")</f>
        <v>g</v>
      </c>
      <c r="N19" s="115" t="s">
        <v>215</v>
      </c>
      <c r="O19" s="115" t="s">
        <v>215</v>
      </c>
      <c r="P19" s="115" t="s">
        <v>215</v>
      </c>
      <c r="Q19" s="115" t="s">
        <v>215</v>
      </c>
      <c r="R19" s="115" t="s">
        <v>215</v>
      </c>
      <c r="S19" s="115" t="s">
        <v>215</v>
      </c>
      <c r="T19" s="115" t="s">
        <v>215</v>
      </c>
      <c r="U19" s="115" t="s">
        <v>215</v>
      </c>
      <c r="V19" s="115" t="s">
        <v>215</v>
      </c>
      <c r="W19" s="115" t="s">
        <v>215</v>
      </c>
      <c r="X19" s="170" t="s">
        <v>215</v>
      </c>
      <c r="Y19" s="171" t="s">
        <v>215</v>
      </c>
      <c r="Z19" s="115" t="s">
        <v>215</v>
      </c>
      <c r="AA19" s="115" t="s">
        <v>215</v>
      </c>
      <c r="AB19" s="115" t="s">
        <v>215</v>
      </c>
    </row>
    <row r="20" spans="1:28" ht="17.25" customHeight="1" collapsed="1" x14ac:dyDescent="0.35">
      <c r="A20" s="737"/>
      <c r="B20" s="738"/>
      <c r="C20" s="738"/>
      <c r="D20" s="738"/>
      <c r="E20" s="738"/>
      <c r="F20" s="738"/>
      <c r="G20" s="738"/>
      <c r="H20" s="738"/>
      <c r="I20" s="738"/>
      <c r="J20" s="738"/>
      <c r="K20" s="738"/>
      <c r="L20" s="738"/>
      <c r="M20" s="738"/>
      <c r="N20" s="738"/>
      <c r="O20" s="738"/>
      <c r="P20" s="738"/>
      <c r="Q20" s="738"/>
      <c r="R20" s="738"/>
      <c r="S20" s="738"/>
      <c r="T20" s="738"/>
      <c r="U20" s="738"/>
      <c r="V20" s="738"/>
      <c r="W20" s="738"/>
      <c r="X20" s="738"/>
      <c r="Y20" s="738"/>
      <c r="Z20" s="738"/>
      <c r="AA20" s="738"/>
      <c r="AB20" s="739"/>
    </row>
    <row r="21" spans="1:28" ht="8.25" customHeight="1" x14ac:dyDescent="0.35">
      <c r="A21" s="735" t="s">
        <v>215</v>
      </c>
      <c r="B21" s="736"/>
      <c r="C21" s="736"/>
      <c r="D21" s="736"/>
      <c r="E21" s="736"/>
      <c r="F21" s="736"/>
      <c r="G21" s="736"/>
      <c r="H21" s="736"/>
      <c r="I21" s="736"/>
      <c r="J21" s="736"/>
      <c r="K21" s="736"/>
      <c r="L21" s="736"/>
      <c r="M21" s="736"/>
      <c r="N21" s="736"/>
      <c r="O21" s="736"/>
      <c r="P21" s="736"/>
      <c r="Q21" s="736"/>
      <c r="R21" s="736"/>
      <c r="S21" s="736"/>
      <c r="T21" s="736"/>
      <c r="U21" s="736"/>
      <c r="V21" s="736"/>
      <c r="W21" s="736"/>
      <c r="X21" s="736"/>
      <c r="Y21" s="736"/>
      <c r="Z21" s="736"/>
      <c r="AA21" s="736"/>
      <c r="AB21" s="736"/>
    </row>
    <row r="22" spans="1:28" ht="16" collapsed="1" x14ac:dyDescent="0.35">
      <c r="A22" s="110" t="s">
        <v>115</v>
      </c>
      <c r="B22" s="111" t="s">
        <v>91</v>
      </c>
      <c r="C22" s="165">
        <v>0</v>
      </c>
      <c r="D22" s="112" t="s">
        <v>234</v>
      </c>
      <c r="E22" s="113">
        <v>45057</v>
      </c>
      <c r="F22" s="166">
        <v>379164000</v>
      </c>
      <c r="G22" s="166">
        <v>403001000</v>
      </c>
      <c r="H22" s="114">
        <v>47364</v>
      </c>
      <c r="I22" s="114">
        <v>47690</v>
      </c>
      <c r="J22" s="166">
        <v>403001000</v>
      </c>
      <c r="K22" s="166">
        <v>379164000</v>
      </c>
      <c r="L22" s="167" t="s">
        <v>91</v>
      </c>
      <c r="M22" s="165">
        <v>0</v>
      </c>
      <c r="N22" s="116">
        <v>44936</v>
      </c>
      <c r="O22" s="166">
        <v>425343022</v>
      </c>
      <c r="P22" s="166">
        <v>371717419.10000002</v>
      </c>
      <c r="Q22" s="166">
        <v>1914.86</v>
      </c>
      <c r="R22" s="114">
        <v>47364</v>
      </c>
      <c r="S22" s="114">
        <v>47364</v>
      </c>
      <c r="T22" s="117">
        <v>0</v>
      </c>
      <c r="U22" s="166">
        <v>241998932.63</v>
      </c>
      <c r="V22" s="166">
        <v>203822323.5456</v>
      </c>
      <c r="W22" s="166">
        <v>191013993.41999999</v>
      </c>
      <c r="X22" s="119">
        <v>1.067054407356623</v>
      </c>
      <c r="Y22" s="118">
        <v>0.84224472120804994</v>
      </c>
      <c r="Z22" s="120">
        <f>U22/O22</f>
        <v>0.56895004763943202</v>
      </c>
      <c r="AA22" s="120">
        <f>V22/O22</f>
        <v>0.47919517425538016</v>
      </c>
      <c r="AB22" s="172" t="s">
        <v>90</v>
      </c>
    </row>
    <row r="23" spans="1:28" ht="17.25" hidden="1" customHeight="1" outlineLevel="1" collapsed="1" x14ac:dyDescent="0.35">
      <c r="A23" s="110" t="s">
        <v>215</v>
      </c>
      <c r="B23" s="168" t="s">
        <v>215</v>
      </c>
      <c r="C23" s="169" t="str" cm="1">
        <f t="array" ref="C23">_xlfn.SWITCH(C22,-1,"i",0,"g",1,"h")</f>
        <v>g</v>
      </c>
      <c r="D23" s="112" t="s">
        <v>215</v>
      </c>
      <c r="E23" s="112" t="s">
        <v>215</v>
      </c>
      <c r="F23" s="115" t="s">
        <v>215</v>
      </c>
      <c r="G23" s="115" t="s">
        <v>215</v>
      </c>
      <c r="H23" s="115" t="s">
        <v>215</v>
      </c>
      <c r="I23" s="115" t="s">
        <v>215</v>
      </c>
      <c r="J23" s="115" t="s">
        <v>215</v>
      </c>
      <c r="K23" s="115" t="s">
        <v>215</v>
      </c>
      <c r="L23" s="168" t="s">
        <v>215</v>
      </c>
      <c r="M23" s="169" t="str" cm="1">
        <f t="array" ref="M23">_xlfn.SWITCH(M22,-1,"i",0,"g",1,"h")</f>
        <v>g</v>
      </c>
      <c r="N23" s="115" t="s">
        <v>215</v>
      </c>
      <c r="O23" s="115" t="s">
        <v>215</v>
      </c>
      <c r="P23" s="115" t="s">
        <v>215</v>
      </c>
      <c r="Q23" s="115" t="s">
        <v>215</v>
      </c>
      <c r="R23" s="115" t="s">
        <v>215</v>
      </c>
      <c r="S23" s="115" t="s">
        <v>215</v>
      </c>
      <c r="T23" s="115" t="s">
        <v>215</v>
      </c>
      <c r="U23" s="115" t="s">
        <v>215</v>
      </c>
      <c r="V23" s="115" t="s">
        <v>215</v>
      </c>
      <c r="W23" s="115" t="s">
        <v>215</v>
      </c>
      <c r="X23" s="171" t="s">
        <v>215</v>
      </c>
      <c r="Y23" s="170" t="s">
        <v>215</v>
      </c>
      <c r="Z23" s="115" t="s">
        <v>215</v>
      </c>
      <c r="AA23" s="115" t="s">
        <v>215</v>
      </c>
      <c r="AB23" s="173" t="s">
        <v>215</v>
      </c>
    </row>
    <row r="24" spans="1:28" ht="17.25" customHeight="1" collapsed="1" x14ac:dyDescent="0.35">
      <c r="A24" s="737"/>
      <c r="B24" s="738"/>
      <c r="C24" s="738"/>
      <c r="D24" s="738"/>
      <c r="E24" s="738"/>
      <c r="F24" s="738"/>
      <c r="G24" s="738"/>
      <c r="H24" s="738"/>
      <c r="I24" s="738"/>
      <c r="J24" s="738"/>
      <c r="K24" s="738"/>
      <c r="L24" s="738"/>
      <c r="M24" s="738"/>
      <c r="N24" s="738"/>
      <c r="O24" s="738"/>
      <c r="P24" s="738"/>
      <c r="Q24" s="738"/>
      <c r="R24" s="738"/>
      <c r="S24" s="738"/>
      <c r="T24" s="738"/>
      <c r="U24" s="738"/>
      <c r="V24" s="738"/>
      <c r="W24" s="738"/>
      <c r="X24" s="738"/>
      <c r="Y24" s="738"/>
      <c r="Z24" s="738"/>
      <c r="AA24" s="738"/>
      <c r="AB24" s="739"/>
    </row>
    <row r="25" spans="1:28" ht="8.25" customHeight="1" x14ac:dyDescent="0.35">
      <c r="A25" s="735" t="s">
        <v>215</v>
      </c>
      <c r="B25" s="736"/>
      <c r="C25" s="736"/>
      <c r="D25" s="736"/>
      <c r="E25" s="736"/>
      <c r="F25" s="736"/>
      <c r="G25" s="736"/>
      <c r="H25" s="736"/>
      <c r="I25" s="736"/>
      <c r="J25" s="736"/>
      <c r="K25" s="736"/>
      <c r="L25" s="736"/>
      <c r="M25" s="736"/>
      <c r="N25" s="736"/>
      <c r="O25" s="736"/>
      <c r="P25" s="736"/>
      <c r="Q25" s="736"/>
      <c r="R25" s="736"/>
      <c r="S25" s="736"/>
      <c r="T25" s="736"/>
      <c r="U25" s="736"/>
      <c r="V25" s="736"/>
      <c r="W25" s="736"/>
      <c r="X25" s="736"/>
      <c r="Y25" s="736"/>
      <c r="Z25" s="736"/>
      <c r="AA25" s="736"/>
      <c r="AB25" s="736"/>
    </row>
    <row r="26" spans="1:28" ht="16" collapsed="1" x14ac:dyDescent="0.35">
      <c r="A26" s="110" t="s">
        <v>235</v>
      </c>
      <c r="B26" s="172" t="s">
        <v>91</v>
      </c>
      <c r="C26" s="165">
        <v>0</v>
      </c>
      <c r="D26" s="112" t="s">
        <v>234</v>
      </c>
      <c r="E26" s="113">
        <v>44951</v>
      </c>
      <c r="F26" s="166">
        <v>68177000</v>
      </c>
      <c r="G26" s="166">
        <v>74653000</v>
      </c>
      <c r="H26" s="114">
        <v>46295</v>
      </c>
      <c r="I26" s="114">
        <v>46446</v>
      </c>
      <c r="J26" s="166">
        <v>74653000</v>
      </c>
      <c r="K26" s="166">
        <v>68177000</v>
      </c>
      <c r="L26" s="172" t="s">
        <v>91</v>
      </c>
      <c r="M26" s="165">
        <v>0</v>
      </c>
      <c r="N26" s="116">
        <v>45016</v>
      </c>
      <c r="O26" s="166">
        <v>65296265</v>
      </c>
      <c r="P26" s="166">
        <v>63231341.469999999</v>
      </c>
      <c r="Q26" s="166">
        <v>3502615.05</v>
      </c>
      <c r="R26" s="114">
        <v>46277</v>
      </c>
      <c r="S26" s="114">
        <v>46277</v>
      </c>
      <c r="T26" s="117">
        <v>0</v>
      </c>
      <c r="U26" s="166">
        <v>13034453.289999999</v>
      </c>
      <c r="V26" s="166">
        <v>6400337.5988999996</v>
      </c>
      <c r="W26" s="166">
        <v>7503939.4100000001</v>
      </c>
      <c r="X26" s="121">
        <v>0.85293034087811215</v>
      </c>
      <c r="Y26" s="118">
        <v>0.49103230158570005</v>
      </c>
      <c r="Z26" s="120">
        <f>U26/O26</f>
        <v>0.1996201971123463</v>
      </c>
      <c r="AA26" s="120">
        <f>V26/O26</f>
        <v>9.8019964831066522E-2</v>
      </c>
      <c r="AB26" s="172" t="s">
        <v>91</v>
      </c>
    </row>
    <row r="27" spans="1:28" ht="17.25" hidden="1" customHeight="1" outlineLevel="1" collapsed="1" x14ac:dyDescent="0.35">
      <c r="A27" s="110" t="s">
        <v>215</v>
      </c>
      <c r="B27" s="168" t="s">
        <v>215</v>
      </c>
      <c r="C27" s="169" t="str" cm="1">
        <f t="array" ref="C27">_xlfn.SWITCH(C26,-1,"i",0,"g",1,"h")</f>
        <v>g</v>
      </c>
      <c r="D27" s="112" t="s">
        <v>215</v>
      </c>
      <c r="E27" s="112" t="s">
        <v>215</v>
      </c>
      <c r="F27" s="115" t="s">
        <v>215</v>
      </c>
      <c r="G27" s="115" t="s">
        <v>215</v>
      </c>
      <c r="H27" s="115" t="s">
        <v>215</v>
      </c>
      <c r="I27" s="115" t="s">
        <v>215</v>
      </c>
      <c r="J27" s="115" t="s">
        <v>215</v>
      </c>
      <c r="K27" s="115" t="s">
        <v>215</v>
      </c>
      <c r="L27" s="168" t="s">
        <v>215</v>
      </c>
      <c r="M27" s="169" t="str" cm="1">
        <f t="array" ref="M27">_xlfn.SWITCH(M26,-1,"i",0,"g",1,"h")</f>
        <v>g</v>
      </c>
      <c r="N27" s="115" t="s">
        <v>215</v>
      </c>
      <c r="O27" s="115" t="s">
        <v>215</v>
      </c>
      <c r="P27" s="115" t="s">
        <v>215</v>
      </c>
      <c r="Q27" s="115" t="s">
        <v>215</v>
      </c>
      <c r="R27" s="115" t="s">
        <v>215</v>
      </c>
      <c r="S27" s="115" t="s">
        <v>215</v>
      </c>
      <c r="T27" s="115" t="s">
        <v>215</v>
      </c>
      <c r="U27" s="115" t="s">
        <v>215</v>
      </c>
      <c r="V27" s="115" t="s">
        <v>215</v>
      </c>
      <c r="W27" s="115" t="s">
        <v>215</v>
      </c>
      <c r="X27" s="176" t="s">
        <v>215</v>
      </c>
      <c r="Y27" s="170" t="s">
        <v>215</v>
      </c>
      <c r="Z27" s="115" t="s">
        <v>215</v>
      </c>
      <c r="AA27" s="115" t="s">
        <v>215</v>
      </c>
      <c r="AB27" s="173" t="s">
        <v>215</v>
      </c>
    </row>
    <row r="28" spans="1:28" ht="17.25" customHeight="1" collapsed="1" x14ac:dyDescent="0.35">
      <c r="A28" s="737"/>
      <c r="B28" s="738"/>
      <c r="C28" s="738"/>
      <c r="D28" s="738"/>
      <c r="E28" s="738"/>
      <c r="F28" s="738"/>
      <c r="G28" s="738"/>
      <c r="H28" s="738"/>
      <c r="I28" s="738"/>
      <c r="J28" s="738"/>
      <c r="K28" s="738"/>
      <c r="L28" s="738"/>
      <c r="M28" s="738"/>
      <c r="N28" s="738"/>
      <c r="O28" s="738"/>
      <c r="P28" s="738"/>
      <c r="Q28" s="738"/>
      <c r="R28" s="738"/>
      <c r="S28" s="738"/>
      <c r="T28" s="738"/>
      <c r="U28" s="738"/>
      <c r="V28" s="738"/>
      <c r="W28" s="738"/>
      <c r="X28" s="738"/>
      <c r="Y28" s="738"/>
      <c r="Z28" s="738"/>
      <c r="AA28" s="738"/>
      <c r="AB28" s="739"/>
    </row>
    <row r="29" spans="1:28" ht="8.25" customHeight="1" x14ac:dyDescent="0.35">
      <c r="A29" s="735" t="s">
        <v>215</v>
      </c>
      <c r="B29" s="736"/>
      <c r="C29" s="736"/>
      <c r="D29" s="736"/>
      <c r="E29" s="736"/>
      <c r="F29" s="736"/>
      <c r="G29" s="736"/>
      <c r="H29" s="736"/>
      <c r="I29" s="736"/>
      <c r="J29" s="736"/>
      <c r="K29" s="736"/>
      <c r="L29" s="736"/>
      <c r="M29" s="736"/>
      <c r="N29" s="736"/>
      <c r="O29" s="736"/>
      <c r="P29" s="736"/>
      <c r="Q29" s="736"/>
      <c r="R29" s="736"/>
      <c r="S29" s="736"/>
      <c r="T29" s="736"/>
      <c r="U29" s="736"/>
      <c r="V29" s="736"/>
      <c r="W29" s="736"/>
      <c r="X29" s="736"/>
      <c r="Y29" s="736"/>
      <c r="Z29" s="736"/>
      <c r="AA29" s="736"/>
      <c r="AB29" s="736"/>
    </row>
    <row r="30" spans="1:28" ht="16" collapsed="1" x14ac:dyDescent="0.35">
      <c r="A30" s="110" t="s">
        <v>233</v>
      </c>
      <c r="B30" s="172" t="s">
        <v>90</v>
      </c>
      <c r="C30" s="165">
        <v>-1</v>
      </c>
      <c r="D30" s="112" t="s">
        <v>234</v>
      </c>
      <c r="E30" s="113">
        <v>45042</v>
      </c>
      <c r="F30" s="166">
        <v>74574097</v>
      </c>
      <c r="G30" s="166">
        <v>79109866</v>
      </c>
      <c r="H30" s="114">
        <v>46524</v>
      </c>
      <c r="I30" s="114">
        <v>46692</v>
      </c>
      <c r="J30" s="166">
        <v>89548993</v>
      </c>
      <c r="K30" s="166">
        <v>74574097</v>
      </c>
      <c r="L30" s="167" t="s">
        <v>90</v>
      </c>
      <c r="M30" s="165">
        <v>0</v>
      </c>
      <c r="N30" s="116">
        <v>45201</v>
      </c>
      <c r="O30" s="166">
        <v>52783908</v>
      </c>
      <c r="P30" s="166">
        <v>71742163.310000002</v>
      </c>
      <c r="Q30" s="166">
        <v>1803149.68</v>
      </c>
      <c r="R30" s="114">
        <v>46524</v>
      </c>
      <c r="S30" s="114">
        <v>46708</v>
      </c>
      <c r="T30" s="117">
        <v>-100</v>
      </c>
      <c r="U30" s="166">
        <v>36518053.649999999</v>
      </c>
      <c r="V30" s="166">
        <v>33652411.304499999</v>
      </c>
      <c r="W30" s="166">
        <v>50699360.490000002</v>
      </c>
      <c r="X30" s="118">
        <v>0.66376401949167863</v>
      </c>
      <c r="Y30" s="118">
        <v>0.92152806463988535</v>
      </c>
      <c r="Z30" s="120">
        <f>U30/O30</f>
        <v>0.69184065814149265</v>
      </c>
      <c r="AA30" s="120">
        <f>V30/O30</f>
        <v>0.63755058273631426</v>
      </c>
      <c r="AB30" s="172" t="s">
        <v>90</v>
      </c>
    </row>
    <row r="31" spans="1:28" ht="17.25" hidden="1" customHeight="1" outlineLevel="1" collapsed="1" x14ac:dyDescent="0.35">
      <c r="A31" s="110" t="s">
        <v>215</v>
      </c>
      <c r="B31" s="168" t="s">
        <v>215</v>
      </c>
      <c r="C31" s="169" t="str" cm="1">
        <f t="array" ref="C31">_xlfn.SWITCH(C30,-1,"i",0,"g",1,"h")</f>
        <v>i</v>
      </c>
      <c r="D31" s="112" t="s">
        <v>215</v>
      </c>
      <c r="E31" s="112" t="s">
        <v>215</v>
      </c>
      <c r="F31" s="115" t="s">
        <v>215</v>
      </c>
      <c r="G31" s="115" t="s">
        <v>215</v>
      </c>
      <c r="H31" s="115" t="s">
        <v>215</v>
      </c>
      <c r="I31" s="115" t="s">
        <v>215</v>
      </c>
      <c r="J31" s="115" t="s">
        <v>215</v>
      </c>
      <c r="K31" s="115" t="s">
        <v>215</v>
      </c>
      <c r="L31" s="168" t="s">
        <v>215</v>
      </c>
      <c r="M31" s="169" t="str" cm="1">
        <f t="array" ref="M31">_xlfn.SWITCH(M30,-1,"i",0,"g",1,"h")</f>
        <v>g</v>
      </c>
      <c r="N31" s="115" t="s">
        <v>215</v>
      </c>
      <c r="O31" s="115" t="s">
        <v>215</v>
      </c>
      <c r="P31" s="115" t="s">
        <v>215</v>
      </c>
      <c r="Q31" s="115" t="s">
        <v>215</v>
      </c>
      <c r="R31" s="115" t="s">
        <v>215</v>
      </c>
      <c r="S31" s="115" t="s">
        <v>215</v>
      </c>
      <c r="T31" s="115" t="s">
        <v>215</v>
      </c>
      <c r="U31" s="115" t="s">
        <v>215</v>
      </c>
      <c r="V31" s="115" t="s">
        <v>215</v>
      </c>
      <c r="W31" s="115" t="s">
        <v>215</v>
      </c>
      <c r="X31" s="170" t="s">
        <v>215</v>
      </c>
      <c r="Y31" s="170" t="s">
        <v>215</v>
      </c>
      <c r="Z31" s="115" t="s">
        <v>215</v>
      </c>
      <c r="AA31" s="115" t="s">
        <v>215</v>
      </c>
      <c r="AB31" s="173" t="s">
        <v>215</v>
      </c>
    </row>
    <row r="32" spans="1:28" ht="17.25" customHeight="1" collapsed="1" x14ac:dyDescent="0.35">
      <c r="A32" s="737"/>
      <c r="B32" s="738"/>
      <c r="C32" s="738"/>
      <c r="D32" s="738"/>
      <c r="E32" s="738"/>
      <c r="F32" s="738"/>
      <c r="G32" s="738"/>
      <c r="H32" s="738"/>
      <c r="I32" s="738"/>
      <c r="J32" s="738"/>
      <c r="K32" s="738"/>
      <c r="L32" s="738"/>
      <c r="M32" s="738"/>
      <c r="N32" s="738"/>
      <c r="O32" s="738"/>
      <c r="P32" s="738"/>
      <c r="Q32" s="738"/>
      <c r="R32" s="738"/>
      <c r="S32" s="738"/>
      <c r="T32" s="738"/>
      <c r="U32" s="738"/>
      <c r="V32" s="738"/>
      <c r="W32" s="738"/>
      <c r="X32" s="738"/>
      <c r="Y32" s="738"/>
      <c r="Z32" s="738"/>
      <c r="AA32" s="738"/>
      <c r="AB32" s="739"/>
    </row>
    <row r="33" spans="1:28" ht="8.25" customHeight="1" x14ac:dyDescent="0.35">
      <c r="A33" s="735" t="s">
        <v>215</v>
      </c>
      <c r="B33" s="736"/>
      <c r="C33" s="736"/>
      <c r="D33" s="736"/>
      <c r="E33" s="736"/>
      <c r="F33" s="736"/>
      <c r="G33" s="736"/>
      <c r="H33" s="736"/>
      <c r="I33" s="736"/>
      <c r="J33" s="736"/>
      <c r="K33" s="736"/>
      <c r="L33" s="736"/>
      <c r="M33" s="736"/>
      <c r="N33" s="736"/>
      <c r="O33" s="736"/>
      <c r="P33" s="736"/>
      <c r="Q33" s="736"/>
      <c r="R33" s="736"/>
      <c r="S33" s="736"/>
      <c r="T33" s="736"/>
      <c r="U33" s="736"/>
      <c r="V33" s="736"/>
      <c r="W33" s="736"/>
      <c r="X33" s="736"/>
      <c r="Y33" s="736"/>
      <c r="Z33" s="736"/>
      <c r="AA33" s="736"/>
      <c r="AB33" s="736"/>
    </row>
    <row r="34" spans="1:28" ht="16" collapsed="1" x14ac:dyDescent="0.35">
      <c r="A34" s="110" t="s">
        <v>103</v>
      </c>
      <c r="B34" s="111" t="s">
        <v>90</v>
      </c>
      <c r="C34" s="165">
        <v>0</v>
      </c>
      <c r="D34" s="112" t="s">
        <v>234</v>
      </c>
      <c r="E34" s="113">
        <v>44256</v>
      </c>
      <c r="F34" s="166">
        <v>70654000</v>
      </c>
      <c r="G34" s="166">
        <v>76710000</v>
      </c>
      <c r="H34" s="114">
        <v>45292</v>
      </c>
      <c r="I34" s="114">
        <v>45444</v>
      </c>
      <c r="J34" s="166">
        <v>0</v>
      </c>
      <c r="K34" s="166">
        <v>70654000</v>
      </c>
      <c r="L34" s="175" t="s">
        <v>90</v>
      </c>
      <c r="M34" s="165">
        <v>0</v>
      </c>
      <c r="N34" s="116">
        <v>44286</v>
      </c>
      <c r="O34" s="166">
        <v>69363865</v>
      </c>
      <c r="P34" s="166">
        <v>68461797.420000002</v>
      </c>
      <c r="Q34" s="166">
        <v>162026.09</v>
      </c>
      <c r="R34" s="114">
        <v>45295</v>
      </c>
      <c r="S34" s="114">
        <v>45602</v>
      </c>
      <c r="T34" s="117">
        <v>0</v>
      </c>
      <c r="U34" s="166">
        <v>69282150.989999995</v>
      </c>
      <c r="V34" s="166">
        <v>65070405.020300001</v>
      </c>
      <c r="W34" s="166">
        <v>66340742.310000002</v>
      </c>
      <c r="X34" s="118">
        <v>0.98085132536256658</v>
      </c>
      <c r="Y34" s="119">
        <v>0.93920878740748226</v>
      </c>
      <c r="Z34" s="120">
        <f>U34/O34</f>
        <v>0.99882195131427576</v>
      </c>
      <c r="AA34" s="120">
        <f>V34/O34</f>
        <v>0.93810235372985629</v>
      </c>
      <c r="AB34" s="175" t="s">
        <v>91</v>
      </c>
    </row>
    <row r="35" spans="1:28" ht="17.25" hidden="1" customHeight="1" outlineLevel="1" collapsed="1" x14ac:dyDescent="0.35">
      <c r="A35" s="110" t="s">
        <v>215</v>
      </c>
      <c r="B35" s="168" t="s">
        <v>215</v>
      </c>
      <c r="C35" s="169" t="str" cm="1">
        <f t="array" ref="C35">_xlfn.SWITCH(C34,-1,"i",0,"g",1,"h")</f>
        <v>g</v>
      </c>
      <c r="D35" s="112" t="s">
        <v>215</v>
      </c>
      <c r="E35" s="112" t="s">
        <v>215</v>
      </c>
      <c r="F35" s="115" t="s">
        <v>215</v>
      </c>
      <c r="G35" s="115" t="s">
        <v>215</v>
      </c>
      <c r="H35" s="115" t="s">
        <v>215</v>
      </c>
      <c r="I35" s="115" t="s">
        <v>215</v>
      </c>
      <c r="J35" s="115" t="s">
        <v>215</v>
      </c>
      <c r="K35" s="115" t="s">
        <v>215</v>
      </c>
      <c r="L35" s="168" t="s">
        <v>215</v>
      </c>
      <c r="M35" s="169" t="str" cm="1">
        <f t="array" ref="M35">_xlfn.SWITCH(M34,-1,"i",0,"g",1,"h")</f>
        <v>g</v>
      </c>
      <c r="N35" s="115" t="s">
        <v>215</v>
      </c>
      <c r="O35" s="115" t="s">
        <v>215</v>
      </c>
      <c r="P35" s="115" t="s">
        <v>215</v>
      </c>
      <c r="Q35" s="115" t="s">
        <v>215</v>
      </c>
      <c r="R35" s="115" t="s">
        <v>215</v>
      </c>
      <c r="S35" s="115" t="s">
        <v>215</v>
      </c>
      <c r="T35" s="115" t="s">
        <v>215</v>
      </c>
      <c r="U35" s="115" t="s">
        <v>215</v>
      </c>
      <c r="V35" s="115" t="s">
        <v>215</v>
      </c>
      <c r="W35" s="115" t="s">
        <v>215</v>
      </c>
      <c r="X35" s="170" t="s">
        <v>215</v>
      </c>
      <c r="Y35" s="171" t="s">
        <v>215</v>
      </c>
      <c r="Z35" s="115" t="s">
        <v>215</v>
      </c>
      <c r="AA35" s="115" t="s">
        <v>215</v>
      </c>
      <c r="AB35" s="115" t="s">
        <v>215</v>
      </c>
    </row>
    <row r="36" spans="1:28" ht="17.25" customHeight="1" collapsed="1" x14ac:dyDescent="0.35">
      <c r="A36" s="737"/>
      <c r="B36" s="738"/>
      <c r="C36" s="738"/>
      <c r="D36" s="738"/>
      <c r="E36" s="738"/>
      <c r="F36" s="738"/>
      <c r="G36" s="738"/>
      <c r="H36" s="738"/>
      <c r="I36" s="738"/>
      <c r="J36" s="738"/>
      <c r="K36" s="738"/>
      <c r="L36" s="738"/>
      <c r="M36" s="738"/>
      <c r="N36" s="738"/>
      <c r="O36" s="738"/>
      <c r="P36" s="738"/>
      <c r="Q36" s="738"/>
      <c r="R36" s="738"/>
      <c r="S36" s="738"/>
      <c r="T36" s="738"/>
      <c r="U36" s="738"/>
      <c r="V36" s="738"/>
      <c r="W36" s="738"/>
      <c r="X36" s="738"/>
      <c r="Y36" s="738"/>
      <c r="Z36" s="738"/>
      <c r="AA36" s="738"/>
      <c r="AB36" s="739"/>
    </row>
    <row r="37" spans="1:28" ht="8.25" customHeight="1" x14ac:dyDescent="0.35">
      <c r="A37" s="735" t="s">
        <v>215</v>
      </c>
      <c r="B37" s="736"/>
      <c r="C37" s="736"/>
      <c r="D37" s="736"/>
      <c r="E37" s="736"/>
      <c r="F37" s="736"/>
      <c r="G37" s="736"/>
      <c r="H37" s="736"/>
      <c r="I37" s="736"/>
      <c r="J37" s="736"/>
      <c r="K37" s="736"/>
      <c r="L37" s="736"/>
      <c r="M37" s="736"/>
      <c r="N37" s="736"/>
      <c r="O37" s="736"/>
      <c r="P37" s="736"/>
      <c r="Q37" s="736"/>
      <c r="R37" s="736"/>
      <c r="S37" s="736"/>
      <c r="T37" s="736"/>
      <c r="U37" s="736"/>
      <c r="V37" s="736"/>
      <c r="W37" s="736"/>
      <c r="X37" s="736"/>
      <c r="Y37" s="736"/>
      <c r="Z37" s="736"/>
      <c r="AA37" s="736"/>
      <c r="AB37" s="736"/>
    </row>
    <row r="38" spans="1:28" ht="16" collapsed="1" x14ac:dyDescent="0.35">
      <c r="A38" s="110" t="s">
        <v>117</v>
      </c>
      <c r="B38" s="167" t="s">
        <v>88</v>
      </c>
      <c r="C38" s="165">
        <v>0</v>
      </c>
      <c r="D38" s="112" t="s">
        <v>232</v>
      </c>
      <c r="E38" s="113">
        <v>43833</v>
      </c>
      <c r="F38" s="166">
        <v>704620000</v>
      </c>
      <c r="G38" s="166">
        <v>902620000</v>
      </c>
      <c r="H38" s="114">
        <v>47209</v>
      </c>
      <c r="I38" s="114">
        <v>47423</v>
      </c>
      <c r="J38" s="166">
        <v>384623000</v>
      </c>
      <c r="K38" s="166">
        <v>351623000</v>
      </c>
      <c r="L38" s="167" t="s">
        <v>88</v>
      </c>
      <c r="M38" s="165">
        <v>0</v>
      </c>
      <c r="N38" s="116">
        <v>43617</v>
      </c>
      <c r="O38" s="166">
        <v>735280132</v>
      </c>
      <c r="P38" s="166">
        <v>1299999335.6500001</v>
      </c>
      <c r="Q38" s="166">
        <v>112412.52</v>
      </c>
      <c r="R38" s="114">
        <v>46944</v>
      </c>
      <c r="S38" s="114">
        <v>48516</v>
      </c>
      <c r="T38" s="117">
        <v>0</v>
      </c>
      <c r="U38" s="166">
        <v>335680537.64999998</v>
      </c>
      <c r="V38" s="166">
        <v>154511326.05930001</v>
      </c>
      <c r="W38" s="166">
        <v>230162084.38</v>
      </c>
      <c r="X38" s="118">
        <v>0.67131528842170285</v>
      </c>
      <c r="Y38" s="118">
        <v>0.46029277461537693</v>
      </c>
      <c r="Z38" s="120">
        <f>U38/O38</f>
        <v>0.45653421470390004</v>
      </c>
      <c r="AA38" s="120">
        <f>V38/O38</f>
        <v>0.2101394003929104</v>
      </c>
      <c r="AB38" s="167" t="s">
        <v>90</v>
      </c>
    </row>
    <row r="39" spans="1:28" ht="17.25" hidden="1" customHeight="1" outlineLevel="1" collapsed="1" x14ac:dyDescent="0.35">
      <c r="A39" s="110" t="s">
        <v>215</v>
      </c>
      <c r="B39" s="168" t="s">
        <v>215</v>
      </c>
      <c r="C39" s="169" t="str" cm="1">
        <f t="array" ref="C39">_xlfn.SWITCH(C38,-1,"i",0,"g",1,"h")</f>
        <v>g</v>
      </c>
      <c r="D39" s="112" t="s">
        <v>215</v>
      </c>
      <c r="E39" s="112" t="s">
        <v>215</v>
      </c>
      <c r="F39" s="115" t="s">
        <v>215</v>
      </c>
      <c r="G39" s="115" t="s">
        <v>215</v>
      </c>
      <c r="H39" s="115" t="s">
        <v>215</v>
      </c>
      <c r="I39" s="115" t="s">
        <v>215</v>
      </c>
      <c r="J39" s="115" t="s">
        <v>215</v>
      </c>
      <c r="K39" s="115" t="s">
        <v>215</v>
      </c>
      <c r="L39" s="168" t="s">
        <v>215</v>
      </c>
      <c r="M39" s="169" t="str" cm="1">
        <f t="array" ref="M39">_xlfn.SWITCH(M38,-1,"i",0,"g",1,"h")</f>
        <v>g</v>
      </c>
      <c r="N39" s="115" t="s">
        <v>215</v>
      </c>
      <c r="O39" s="115" t="s">
        <v>215</v>
      </c>
      <c r="P39" s="115" t="s">
        <v>215</v>
      </c>
      <c r="Q39" s="115" t="s">
        <v>215</v>
      </c>
      <c r="R39" s="115" t="s">
        <v>215</v>
      </c>
      <c r="S39" s="115" t="s">
        <v>215</v>
      </c>
      <c r="T39" s="115" t="s">
        <v>215</v>
      </c>
      <c r="U39" s="115" t="s">
        <v>215</v>
      </c>
      <c r="V39" s="115" t="s">
        <v>215</v>
      </c>
      <c r="W39" s="115" t="s">
        <v>215</v>
      </c>
      <c r="X39" s="170" t="s">
        <v>215</v>
      </c>
      <c r="Y39" s="170" t="s">
        <v>215</v>
      </c>
      <c r="Z39" s="115" t="s">
        <v>215</v>
      </c>
      <c r="AA39" s="115" t="s">
        <v>215</v>
      </c>
      <c r="AB39" s="173" t="s">
        <v>215</v>
      </c>
    </row>
    <row r="40" spans="1:28" ht="17.25" customHeight="1" collapsed="1" x14ac:dyDescent="0.35">
      <c r="A40" s="737"/>
      <c r="B40" s="738"/>
      <c r="C40" s="738"/>
      <c r="D40" s="738"/>
      <c r="E40" s="738"/>
      <c r="F40" s="738"/>
      <c r="G40" s="738"/>
      <c r="H40" s="738"/>
      <c r="I40" s="738"/>
      <c r="J40" s="738"/>
      <c r="K40" s="738"/>
      <c r="L40" s="738"/>
      <c r="M40" s="738"/>
      <c r="N40" s="738"/>
      <c r="O40" s="738"/>
      <c r="P40" s="738"/>
      <c r="Q40" s="738"/>
      <c r="R40" s="738"/>
      <c r="S40" s="738"/>
      <c r="T40" s="738"/>
      <c r="U40" s="738"/>
      <c r="V40" s="738"/>
      <c r="W40" s="738"/>
      <c r="X40" s="738"/>
      <c r="Y40" s="738"/>
      <c r="Z40" s="738"/>
      <c r="AA40" s="738"/>
      <c r="AB40" s="739"/>
    </row>
    <row r="41" spans="1:28" ht="8.25" customHeight="1" x14ac:dyDescent="0.35">
      <c r="A41" s="735" t="s">
        <v>215</v>
      </c>
      <c r="B41" s="736"/>
      <c r="C41" s="736"/>
      <c r="D41" s="736"/>
      <c r="E41" s="736"/>
      <c r="F41" s="736"/>
      <c r="G41" s="736"/>
      <c r="H41" s="736"/>
      <c r="I41" s="736"/>
      <c r="J41" s="736"/>
      <c r="K41" s="736"/>
      <c r="L41" s="736"/>
      <c r="M41" s="736"/>
      <c r="N41" s="736"/>
      <c r="O41" s="736"/>
      <c r="P41" s="736"/>
      <c r="Q41" s="736"/>
      <c r="R41" s="736"/>
      <c r="S41" s="736"/>
      <c r="T41" s="736"/>
      <c r="U41" s="736"/>
      <c r="V41" s="736"/>
      <c r="W41" s="736"/>
      <c r="X41" s="736"/>
      <c r="Y41" s="736"/>
      <c r="Z41" s="736"/>
      <c r="AA41" s="736"/>
      <c r="AB41" s="736"/>
    </row>
    <row r="42" spans="1:28" ht="32" collapsed="1" x14ac:dyDescent="0.35">
      <c r="A42" s="110" t="s">
        <v>5</v>
      </c>
      <c r="B42" s="172" t="s">
        <v>90</v>
      </c>
      <c r="C42" s="165">
        <v>0</v>
      </c>
      <c r="D42" s="112" t="s">
        <v>234</v>
      </c>
      <c r="E42" s="113">
        <v>43892</v>
      </c>
      <c r="F42" s="166">
        <v>305915000</v>
      </c>
      <c r="G42" s="166">
        <v>315347000</v>
      </c>
      <c r="H42" s="114">
        <v>45392</v>
      </c>
      <c r="I42" s="114">
        <v>45627</v>
      </c>
      <c r="J42" s="166">
        <v>315347000</v>
      </c>
      <c r="K42" s="166">
        <v>305931037</v>
      </c>
      <c r="L42" s="172" t="s">
        <v>88</v>
      </c>
      <c r="M42" s="165">
        <v>0</v>
      </c>
      <c r="N42" s="116">
        <v>43891</v>
      </c>
      <c r="O42" s="166">
        <v>289576955</v>
      </c>
      <c r="P42" s="166">
        <v>307306372.06999999</v>
      </c>
      <c r="Q42" s="166">
        <v>81639.05</v>
      </c>
      <c r="R42" s="114">
        <v>45392</v>
      </c>
      <c r="S42" s="114">
        <v>45698</v>
      </c>
      <c r="T42" s="117">
        <v>0</v>
      </c>
      <c r="U42" s="166">
        <v>284284157.37</v>
      </c>
      <c r="V42" s="166">
        <v>279870880.13200003</v>
      </c>
      <c r="W42" s="166">
        <v>297522080.26999998</v>
      </c>
      <c r="X42" s="121">
        <v>0.94067263807115886</v>
      </c>
      <c r="Y42" s="118">
        <v>0.98447582419355129</v>
      </c>
      <c r="Z42" s="120">
        <f>U42/O42</f>
        <v>0.98172231063759896</v>
      </c>
      <c r="AA42" s="120">
        <f>V42/O42</f>
        <v>0.96648188089414788</v>
      </c>
      <c r="AB42" s="175" t="s">
        <v>90</v>
      </c>
    </row>
    <row r="43" spans="1:28" ht="17.25" hidden="1" customHeight="1" outlineLevel="1" collapsed="1" x14ac:dyDescent="0.35">
      <c r="A43" s="110" t="s">
        <v>215</v>
      </c>
      <c r="B43" s="168" t="s">
        <v>215</v>
      </c>
      <c r="C43" s="169" t="str" cm="1">
        <f t="array" ref="C43">_xlfn.SWITCH(C42,-1,"i",0,"g",1,"h")</f>
        <v>g</v>
      </c>
      <c r="D43" s="112" t="s">
        <v>215</v>
      </c>
      <c r="E43" s="112" t="s">
        <v>215</v>
      </c>
      <c r="F43" s="115" t="s">
        <v>215</v>
      </c>
      <c r="G43" s="115" t="s">
        <v>215</v>
      </c>
      <c r="H43" s="115" t="s">
        <v>215</v>
      </c>
      <c r="I43" s="115" t="s">
        <v>215</v>
      </c>
      <c r="J43" s="115" t="s">
        <v>215</v>
      </c>
      <c r="K43" s="115" t="s">
        <v>215</v>
      </c>
      <c r="L43" s="168" t="s">
        <v>215</v>
      </c>
      <c r="M43" s="169" t="str" cm="1">
        <f t="array" ref="M43">_xlfn.SWITCH(M42,-1,"i",0,"g",1,"h")</f>
        <v>g</v>
      </c>
      <c r="N43" s="115" t="s">
        <v>215</v>
      </c>
      <c r="O43" s="115" t="s">
        <v>215</v>
      </c>
      <c r="P43" s="115" t="s">
        <v>215</v>
      </c>
      <c r="Q43" s="115" t="s">
        <v>215</v>
      </c>
      <c r="R43" s="115" t="s">
        <v>215</v>
      </c>
      <c r="S43" s="115" t="s">
        <v>215</v>
      </c>
      <c r="T43" s="115" t="s">
        <v>215</v>
      </c>
      <c r="U43" s="115" t="s">
        <v>215</v>
      </c>
      <c r="V43" s="115" t="s">
        <v>215</v>
      </c>
      <c r="W43" s="115" t="s">
        <v>215</v>
      </c>
      <c r="X43" s="176" t="s">
        <v>215</v>
      </c>
      <c r="Y43" s="170" t="s">
        <v>215</v>
      </c>
      <c r="Z43" s="115" t="s">
        <v>215</v>
      </c>
      <c r="AA43" s="115" t="s">
        <v>215</v>
      </c>
      <c r="AB43" s="115" t="s">
        <v>215</v>
      </c>
    </row>
    <row r="44" spans="1:28" ht="17.25" customHeight="1" collapsed="1" x14ac:dyDescent="0.35">
      <c r="A44" s="737"/>
      <c r="B44" s="738"/>
      <c r="C44" s="738"/>
      <c r="D44" s="738"/>
      <c r="E44" s="738"/>
      <c r="F44" s="738"/>
      <c r="G44" s="738"/>
      <c r="H44" s="738"/>
      <c r="I44" s="738"/>
      <c r="J44" s="738"/>
      <c r="K44" s="738"/>
      <c r="L44" s="738"/>
      <c r="M44" s="738"/>
      <c r="N44" s="738"/>
      <c r="O44" s="738"/>
      <c r="P44" s="738"/>
      <c r="Q44" s="738"/>
      <c r="R44" s="738"/>
      <c r="S44" s="738"/>
      <c r="T44" s="738"/>
      <c r="U44" s="738"/>
      <c r="V44" s="738"/>
      <c r="W44" s="738"/>
      <c r="X44" s="738"/>
      <c r="Y44" s="738"/>
      <c r="Z44" s="738"/>
      <c r="AA44" s="738"/>
      <c r="AB44" s="739"/>
    </row>
    <row r="45" spans="1:28" ht="8.25" customHeight="1" x14ac:dyDescent="0.35">
      <c r="A45" s="735" t="s">
        <v>215</v>
      </c>
      <c r="B45" s="736"/>
      <c r="C45" s="736"/>
      <c r="D45" s="736"/>
      <c r="E45" s="736"/>
      <c r="F45" s="736"/>
      <c r="G45" s="736"/>
      <c r="H45" s="736"/>
      <c r="I45" s="736"/>
      <c r="J45" s="736"/>
      <c r="K45" s="736"/>
      <c r="L45" s="736"/>
      <c r="M45" s="736"/>
      <c r="N45" s="736"/>
      <c r="O45" s="736"/>
      <c r="P45" s="736"/>
      <c r="Q45" s="736"/>
      <c r="R45" s="736"/>
      <c r="S45" s="736"/>
      <c r="T45" s="736"/>
      <c r="U45" s="736"/>
      <c r="V45" s="736"/>
      <c r="W45" s="736"/>
      <c r="X45" s="736"/>
      <c r="Y45" s="736"/>
      <c r="Z45" s="736"/>
      <c r="AA45" s="736"/>
      <c r="AB45" s="736"/>
    </row>
    <row r="46" spans="1:28" ht="32" collapsed="1" x14ac:dyDescent="0.35">
      <c r="A46" s="110" t="s">
        <v>111</v>
      </c>
      <c r="B46" s="172" t="s">
        <v>91</v>
      </c>
      <c r="C46" s="165">
        <v>0</v>
      </c>
      <c r="D46" s="112" t="s">
        <v>234</v>
      </c>
      <c r="E46" s="113">
        <v>44378</v>
      </c>
      <c r="F46" s="166">
        <v>1335430000</v>
      </c>
      <c r="G46" s="166">
        <v>1672870000</v>
      </c>
      <c r="H46" s="114">
        <v>47400</v>
      </c>
      <c r="I46" s="114">
        <v>48274</v>
      </c>
      <c r="J46" s="166">
        <v>1672870000</v>
      </c>
      <c r="K46" s="166">
        <v>1335430000</v>
      </c>
      <c r="L46" s="172" t="s">
        <v>91</v>
      </c>
      <c r="M46" s="165">
        <v>0</v>
      </c>
      <c r="N46" s="116">
        <v>44256</v>
      </c>
      <c r="O46" s="166">
        <v>1432740435</v>
      </c>
      <c r="P46" s="166">
        <v>1432428688.02</v>
      </c>
      <c r="Q46" s="166">
        <v>-9.75</v>
      </c>
      <c r="R46" s="114">
        <v>47400</v>
      </c>
      <c r="S46" s="114">
        <v>47400</v>
      </c>
      <c r="T46" s="117">
        <v>0</v>
      </c>
      <c r="U46" s="166">
        <v>701740458.03999996</v>
      </c>
      <c r="V46" s="166">
        <v>641432875.63030005</v>
      </c>
      <c r="W46" s="166">
        <v>607236629.83000004</v>
      </c>
      <c r="X46" s="121">
        <v>1.0563145306466006</v>
      </c>
      <c r="Y46" s="118">
        <v>0.91405998938960653</v>
      </c>
      <c r="Z46" s="120">
        <f>U46/O46</f>
        <v>0.48978896728073423</v>
      </c>
      <c r="AA46" s="120">
        <f>V46/O46</f>
        <v>0.44769649823577434</v>
      </c>
      <c r="AB46" s="172" t="s">
        <v>90</v>
      </c>
    </row>
    <row r="47" spans="1:28" ht="17.25" hidden="1" customHeight="1" outlineLevel="1" collapsed="1" x14ac:dyDescent="0.35">
      <c r="A47" s="110" t="s">
        <v>215</v>
      </c>
      <c r="B47" s="168" t="s">
        <v>215</v>
      </c>
      <c r="C47" s="169" t="str" cm="1">
        <f t="array" ref="C47">_xlfn.SWITCH(C46,-1,"i",0,"g",1,"h")</f>
        <v>g</v>
      </c>
      <c r="D47" s="112" t="s">
        <v>215</v>
      </c>
      <c r="E47" s="112" t="s">
        <v>215</v>
      </c>
      <c r="F47" s="115" t="s">
        <v>215</v>
      </c>
      <c r="G47" s="115" t="s">
        <v>215</v>
      </c>
      <c r="H47" s="115" t="s">
        <v>215</v>
      </c>
      <c r="I47" s="115" t="s">
        <v>215</v>
      </c>
      <c r="J47" s="115" t="s">
        <v>215</v>
      </c>
      <c r="K47" s="115" t="s">
        <v>215</v>
      </c>
      <c r="L47" s="168" t="s">
        <v>215</v>
      </c>
      <c r="M47" s="169" t="str" cm="1">
        <f t="array" ref="M47">_xlfn.SWITCH(M46,-1,"i",0,"g",1,"h")</f>
        <v>g</v>
      </c>
      <c r="N47" s="115" t="s">
        <v>215</v>
      </c>
      <c r="O47" s="115" t="s">
        <v>215</v>
      </c>
      <c r="P47" s="115" t="s">
        <v>215</v>
      </c>
      <c r="Q47" s="115" t="s">
        <v>215</v>
      </c>
      <c r="R47" s="115" t="s">
        <v>215</v>
      </c>
      <c r="S47" s="115" t="s">
        <v>215</v>
      </c>
      <c r="T47" s="115" t="s">
        <v>215</v>
      </c>
      <c r="U47" s="115" t="s">
        <v>215</v>
      </c>
      <c r="V47" s="115" t="s">
        <v>215</v>
      </c>
      <c r="W47" s="115" t="s">
        <v>215</v>
      </c>
      <c r="X47" s="176" t="s">
        <v>215</v>
      </c>
      <c r="Y47" s="170" t="s">
        <v>215</v>
      </c>
      <c r="Z47" s="115" t="s">
        <v>215</v>
      </c>
      <c r="AA47" s="115" t="s">
        <v>215</v>
      </c>
      <c r="AB47" s="173" t="s">
        <v>215</v>
      </c>
    </row>
    <row r="48" spans="1:28" ht="17.25" customHeight="1" collapsed="1" x14ac:dyDescent="0.35">
      <c r="A48" s="737"/>
      <c r="B48" s="738"/>
      <c r="C48" s="738"/>
      <c r="D48" s="738"/>
      <c r="E48" s="738"/>
      <c r="F48" s="738"/>
      <c r="G48" s="738"/>
      <c r="H48" s="738"/>
      <c r="I48" s="738"/>
      <c r="J48" s="738"/>
      <c r="K48" s="738"/>
      <c r="L48" s="738"/>
      <c r="M48" s="738"/>
      <c r="N48" s="738"/>
      <c r="O48" s="738"/>
      <c r="P48" s="738"/>
      <c r="Q48" s="738"/>
      <c r="R48" s="738"/>
      <c r="S48" s="738"/>
      <c r="T48" s="738"/>
      <c r="U48" s="738"/>
      <c r="V48" s="738"/>
      <c r="W48" s="738"/>
      <c r="X48" s="738"/>
      <c r="Y48" s="738"/>
      <c r="Z48" s="738"/>
      <c r="AA48" s="738"/>
      <c r="AB48" s="739"/>
    </row>
    <row r="49" spans="1:28" ht="16" collapsed="1" x14ac:dyDescent="0.35">
      <c r="A49" s="110" t="s">
        <v>7</v>
      </c>
      <c r="B49" s="172" t="s">
        <v>91</v>
      </c>
      <c r="C49" s="165">
        <v>1</v>
      </c>
      <c r="D49" s="112" t="s">
        <v>234</v>
      </c>
      <c r="E49" s="113">
        <v>42372</v>
      </c>
      <c r="F49" s="166">
        <v>866700000</v>
      </c>
      <c r="G49" s="166">
        <v>897900000</v>
      </c>
      <c r="H49" s="114">
        <v>46478</v>
      </c>
      <c r="I49" s="114">
        <v>47027</v>
      </c>
      <c r="J49" s="166">
        <v>871000000</v>
      </c>
      <c r="K49" s="166">
        <v>871000000</v>
      </c>
      <c r="L49" s="172" t="s">
        <v>90</v>
      </c>
      <c r="M49" s="165">
        <v>1</v>
      </c>
      <c r="N49" s="116">
        <v>44652</v>
      </c>
      <c r="O49" s="166">
        <v>801359587</v>
      </c>
      <c r="P49" s="166">
        <v>867027275.72000003</v>
      </c>
      <c r="Q49" s="166">
        <v>1722451.26</v>
      </c>
      <c r="R49" s="114">
        <v>46505</v>
      </c>
      <c r="S49" s="114">
        <v>46505</v>
      </c>
      <c r="T49" s="117">
        <v>0</v>
      </c>
      <c r="U49" s="166">
        <v>761324734.82000005</v>
      </c>
      <c r="V49" s="166">
        <v>759160490.02579999</v>
      </c>
      <c r="W49" s="166">
        <v>828902005.64999998</v>
      </c>
      <c r="X49" s="121">
        <v>0.91586277370687408</v>
      </c>
      <c r="Y49" s="118">
        <v>0.99715726457421394</v>
      </c>
      <c r="Z49" s="120">
        <f>U49/O49</f>
        <v>0.95004133870803753</v>
      </c>
      <c r="AA49" s="120">
        <f>V49/O49</f>
        <v>0.94734062253853091</v>
      </c>
      <c r="AB49" s="172" t="s">
        <v>91</v>
      </c>
    </row>
    <row r="50" spans="1:28" ht="17.25" hidden="1" customHeight="1" outlineLevel="1" collapsed="1" x14ac:dyDescent="0.35">
      <c r="A50" s="110"/>
      <c r="B50" s="168"/>
      <c r="C50" s="169" t="str" cm="1">
        <f t="array" ref="C50">_xlfn.SWITCH(C49,-1,"i",0,"g",1,"h")</f>
        <v>h</v>
      </c>
      <c r="D50" s="112"/>
      <c r="E50" s="112"/>
      <c r="F50" s="115"/>
      <c r="G50" s="115"/>
      <c r="H50" s="115"/>
      <c r="I50" s="115"/>
      <c r="J50" s="115"/>
      <c r="K50" s="115"/>
      <c r="L50" s="168"/>
      <c r="M50" s="169" t="str" cm="1">
        <f t="array" ref="M50">_xlfn.SWITCH(M49,-1,"i",0,"g",1,"h")</f>
        <v>h</v>
      </c>
      <c r="N50" s="115"/>
      <c r="O50" s="115"/>
      <c r="P50" s="115"/>
      <c r="Q50" s="115"/>
      <c r="R50" s="115"/>
      <c r="S50" s="115"/>
      <c r="T50" s="115"/>
      <c r="U50" s="115"/>
      <c r="V50" s="115"/>
      <c r="W50" s="115"/>
      <c r="X50" s="176"/>
      <c r="Y50" s="170"/>
      <c r="Z50" s="115"/>
      <c r="AA50" s="115"/>
      <c r="AB50" s="173"/>
    </row>
    <row r="51" spans="1:28" collapsed="1" x14ac:dyDescent="0.35"/>
    <row r="52" spans="1:28" ht="16" collapsed="1" x14ac:dyDescent="0.35">
      <c r="A52" s="110" t="s">
        <v>113</v>
      </c>
      <c r="B52" s="172" t="s">
        <v>91</v>
      </c>
      <c r="C52" s="165">
        <v>0</v>
      </c>
      <c r="D52" s="112" t="s">
        <v>234</v>
      </c>
      <c r="E52" s="113">
        <v>44531</v>
      </c>
      <c r="F52" s="166">
        <v>1007000000</v>
      </c>
      <c r="G52" s="166">
        <v>1181564753</v>
      </c>
      <c r="H52" s="114">
        <v>47849</v>
      </c>
      <c r="I52" s="114">
        <v>48611</v>
      </c>
      <c r="J52" s="166">
        <v>1182000000</v>
      </c>
      <c r="K52" s="166">
        <v>1007000000</v>
      </c>
      <c r="L52" s="172" t="s">
        <v>91</v>
      </c>
      <c r="M52" s="165">
        <v>0</v>
      </c>
      <c r="N52" s="116">
        <v>44651</v>
      </c>
      <c r="O52" s="166">
        <v>1075830324</v>
      </c>
      <c r="P52" s="166">
        <v>1039047057.09</v>
      </c>
      <c r="Q52" s="166">
        <v>3339197.36</v>
      </c>
      <c r="R52" s="114">
        <v>47871</v>
      </c>
      <c r="S52" s="114">
        <v>47871</v>
      </c>
      <c r="T52" s="117">
        <v>0</v>
      </c>
      <c r="U52" s="166">
        <v>525194582.25</v>
      </c>
      <c r="V52" s="166">
        <v>459583412.00889999</v>
      </c>
      <c r="W52" s="166">
        <v>425468471.05000001</v>
      </c>
      <c r="X52" s="121">
        <v>1.0801820658407633</v>
      </c>
      <c r="Y52" s="118">
        <v>0.87507264458057921</v>
      </c>
      <c r="Z52" s="120">
        <f>U52/O52</f>
        <v>0.48817603532246223</v>
      </c>
      <c r="AA52" s="120">
        <f>V52/O52</f>
        <v>0.42718949425048924</v>
      </c>
      <c r="AB52" s="172" t="s">
        <v>91</v>
      </c>
    </row>
    <row r="53" spans="1:28" ht="17.25" hidden="1" customHeight="1" outlineLevel="1" collapsed="1" x14ac:dyDescent="0.35">
      <c r="A53" s="110"/>
      <c r="B53" s="168"/>
      <c r="C53" s="169" t="str" cm="1">
        <f t="array" ref="C53">_xlfn.SWITCH(C52,-1,"i",0,"g",1,"h")</f>
        <v>g</v>
      </c>
      <c r="D53" s="112"/>
      <c r="E53" s="112"/>
      <c r="F53" s="115"/>
      <c r="G53" s="115"/>
      <c r="H53" s="115"/>
      <c r="I53" s="115"/>
      <c r="J53" s="115"/>
      <c r="K53" s="115"/>
      <c r="L53" s="168"/>
      <c r="M53" s="169" t="str" cm="1">
        <f t="array" ref="M53">_xlfn.SWITCH(M52,-1,"i",0,"g",1,"h")</f>
        <v>g</v>
      </c>
      <c r="N53" s="115"/>
      <c r="O53" s="115"/>
      <c r="P53" s="115"/>
      <c r="Q53" s="115"/>
      <c r="R53" s="115"/>
      <c r="S53" s="115"/>
      <c r="T53" s="115"/>
      <c r="U53" s="115"/>
      <c r="V53" s="115"/>
      <c r="W53" s="115"/>
      <c r="X53" s="176"/>
      <c r="Y53" s="170"/>
      <c r="Z53" s="115"/>
      <c r="AA53" s="115"/>
      <c r="AB53" s="173"/>
    </row>
    <row r="54" spans="1:28" collapsed="1" x14ac:dyDescent="0.35"/>
  </sheetData>
  <customSheetViews>
    <customSheetView guid="{7E571F1D-D438-4605-90D6-3F831F76D652}" scale="57" hiddenRows="1" state="hidden">
      <pane xSplit="1" ySplit="5" topLeftCell="B6" activePane="bottomRight" state="frozen"/>
      <selection pane="bottomRight" activeCell="B6" sqref="B6"/>
      <pageMargins left="0.7" right="0.7" top="0.75" bottom="0.75" header="0.3" footer="0.3"/>
    </customSheetView>
    <customSheetView guid="{466708C2-41CE-4656-AB81-E1E49DF5945D}" scale="57" hiddenRows="1" state="hidden">
      <pane xSplit="1.4942528735632183" ySplit="5" topLeftCell="B6" activePane="bottomRight" state="frozen"/>
      <selection pane="bottomRight" activeCell="B6" sqref="B6"/>
      <pageMargins left="0.7" right="0.7" top="0.75" bottom="0.75" header="0.3" footer="0.3"/>
    </customSheetView>
    <customSheetView guid="{B84DA703-8C5B-4100-91A4-8807E303D379}" scale="57" hiddenRows="1" state="hidden">
      <pane xSplit="1" ySplit="5" topLeftCell="B6" activePane="bottomRight" state="frozen"/>
      <selection pane="bottomRight" activeCell="B6" sqref="B6"/>
      <pageMargins left="0.7" right="0.7" top="0.75" bottom="0.75" header="0.3" footer="0.3"/>
    </customSheetView>
    <customSheetView guid="{527A2BDE-37CE-4B02-9F2C-CD7E7AC81C63}" scale="57" hiddenRows="1" state="hidden">
      <pane xSplit="1" ySplit="5" topLeftCell="B6" activePane="bottomRight" state="frozen"/>
      <selection pane="bottomRight" activeCell="B6" sqref="B6"/>
      <pageMargins left="0.7" right="0.7" top="0.75" bottom="0.75" header="0.3" footer="0.3"/>
    </customSheetView>
    <customSheetView guid="{BDCD1595-C0B8-4F6C-B01C-3472C895B827}" scale="57" hiddenRows="1" state="hidden">
      <pane xSplit="1" ySplit="5" topLeftCell="B6" activePane="bottomRight" state="frozen"/>
      <selection pane="bottomRight" activeCell="B6" sqref="B6"/>
      <pageMargins left="0.7" right="0.7" top="0.75" bottom="0.75" header="0.3" footer="0.3"/>
    </customSheetView>
    <customSheetView guid="{C57A83F1-F5A3-470B-9579-6A222C54F4E8}" scale="57" hiddenRows="1" state="hidden">
      <pane xSplit="1" ySplit="5" topLeftCell="B6" activePane="bottomRight" state="frozen"/>
      <selection pane="bottomRight" activeCell="B6" sqref="B6"/>
      <pageMargins left="0.7" right="0.7" top="0.75" bottom="0.75" header="0.3" footer="0.3"/>
    </customSheetView>
    <customSheetView guid="{3827E543-57D2-48C8-B786-7077EA079DD2}" scale="57" hiddenRows="1" state="hidden">
      <pane xSplit="1.4942528735632183" ySplit="5" topLeftCell="B6" activePane="bottomRight" state="frozen"/>
      <selection pane="bottomRight" activeCell="B6" sqref="B6"/>
      <pageMargins left="0.7" right="0.7" top="0.75" bottom="0.75" header="0.3" footer="0.3"/>
    </customSheetView>
    <customSheetView guid="{F5FA2A23-9E46-4C2F-B1EE-B71787F95C57}" scale="57" hiddenRows="1" state="hidden">
      <pane xSplit="1" ySplit="5" topLeftCell="B6" activePane="bottomRight" state="frozen"/>
      <selection pane="bottomRight" activeCell="B6" sqref="B6"/>
      <pageMargins left="0.7" right="0.7" top="0.75" bottom="0.75" header="0.3" footer="0.3"/>
    </customSheetView>
    <customSheetView guid="{42B0E8B1-ADFA-49AE-A83B-82D384737703}" scale="57" hiddenRows="1" state="hidden">
      <pane xSplit="1" ySplit="5" topLeftCell="B6" activePane="bottomRight" state="frozen"/>
      <selection pane="bottomRight" activeCell="B6" sqref="B6"/>
      <pageMargins left="0.7" right="0.7" top="0.75" bottom="0.75" header="0.3" footer="0.3"/>
    </customSheetView>
    <customSheetView guid="{602520CD-F98C-43A6-AA0D-88893E9CB6E8}" scale="57" hiddenRows="1" state="hidden">
      <pane xSplit="1.2529411764705882" ySplit="5.4749999999999996" topLeftCell="B6" activePane="bottomRight" state="frozen"/>
      <selection pane="bottomRight" activeCell="B6" sqref="B6"/>
      <pageMargins left="0.7" right="0.7" top="0.75" bottom="0.75" header="0.3" footer="0.3"/>
    </customSheetView>
    <customSheetView guid="{B8317A9A-0FFD-4A18-80F7-203DB2FC8CA5}" scale="57" hiddenRows="1" state="hidden">
      <pane xSplit="1.4942528735632183" ySplit="5" topLeftCell="B6" activePane="bottomRight" state="frozen"/>
      <selection pane="bottomRight" activeCell="B6" sqref="B6"/>
      <pageMargins left="0.7" right="0.7" top="0.75" bottom="0.75" header="0.3" footer="0.3"/>
    </customSheetView>
    <customSheetView guid="{2608BE9B-66AC-4D4C-8EE0-E88C94E88140}" scale="57" hiddenRows="1" state="hidden">
      <pane xSplit="1.2529411764705882" ySplit="5.4749999999999996" topLeftCell="B6" activePane="bottomRight" state="frozen"/>
      <selection pane="bottomRight" activeCell="B6" sqref="B6"/>
      <pageMargins left="0.7" right="0.7" top="0.75" bottom="0.75" header="0.3" footer="0.3"/>
    </customSheetView>
    <customSheetView guid="{D850720D-4A1C-48F2-8E1D-8E09B7414A1A}" scale="57" hiddenRows="1" state="hidden">
      <pane xSplit="1" ySplit="5" topLeftCell="B6" activePane="bottomRight" state="frozen"/>
      <selection pane="bottomRight" activeCell="B6" sqref="B6"/>
      <pageMargins left="0.7" right="0.7" top="0.75" bottom="0.75" header="0.3" footer="0.3"/>
    </customSheetView>
    <customSheetView guid="{A8E976B8-D767-4DB4-82BD-ABE90880F33F}" scale="57" hiddenRows="1" state="hidden">
      <pane xSplit="1" ySplit="5" topLeftCell="B6" activePane="bottomRight" state="frozen"/>
      <selection pane="bottomRight" activeCell="B6" sqref="B6"/>
      <pageMargins left="0.7" right="0.7" top="0.75" bottom="0.75" header="0.3" footer="0.3"/>
    </customSheetView>
    <customSheetView guid="{B95D32C7-1418-4EF6-8936-849885C54A4A}" scale="57" hiddenRows="1" state="hidden">
      <pane xSplit="1" ySplit="5" topLeftCell="B6" activePane="bottomRight" state="frozen"/>
      <selection pane="bottomRight" activeCell="B6" sqref="B6"/>
      <pageMargins left="0.7" right="0.7" top="0.75" bottom="0.75" header="0.3" footer="0.3"/>
    </customSheetView>
    <customSheetView guid="{9355C9F4-9C07-4A93-B7F2-69F1D1526716}" scale="57" hiddenRows="1" state="hidden">
      <pane xSplit="1" ySplit="5" topLeftCell="B6" activePane="bottomRight" state="frozen"/>
      <selection pane="bottomRight" activeCell="B6" sqref="B6"/>
      <pageMargins left="0.7" right="0.7" top="0.75" bottom="0.75" header="0.3" footer="0.3"/>
    </customSheetView>
    <customSheetView guid="{1ECD6E30-299B-4354-A416-2DAFF33C7022}" scale="57" hiddenRows="1" state="hidden">
      <pane xSplit="1" ySplit="5" topLeftCell="B6" activePane="bottomRight" state="frozen"/>
      <selection pane="bottomRight" activeCell="B6" sqref="B6"/>
      <pageMargins left="0.7" right="0.7" top="0.75" bottom="0.75" header="0.3" footer="0.3"/>
    </customSheetView>
    <customSheetView guid="{9AF6E233-883D-48B4-95AB-42B37199AB9E}" scale="57" hiddenRows="1" state="hidden">
      <pane xSplit="1" ySplit="5" topLeftCell="B6" activePane="bottomRight" state="frozen"/>
      <selection pane="bottomRight" activeCell="B6" sqref="B6"/>
      <pageMargins left="0.7" right="0.7" top="0.75" bottom="0.75" header="0.3" footer="0.3"/>
    </customSheetView>
    <customSheetView guid="{451730E2-FFE9-4FCE-B8B5-64952C26C672}" scale="57" hiddenRows="1" state="hidden">
      <pane xSplit="1" ySplit="5" topLeftCell="B6" activePane="bottomRight" state="frozen"/>
      <selection pane="bottomRight" activeCell="B6" sqref="B6"/>
      <pageMargins left="0.7" right="0.7" top="0.75" bottom="0.75" header="0.3" footer="0.3"/>
    </customSheetView>
    <customSheetView guid="{4EBEE699-7DEF-4A50-9CB7-490835CF0B98}" scale="57" hiddenRows="1" state="hidden">
      <pane xSplit="1" ySplit="5" topLeftCell="B6" activePane="bottomRight" state="frozen"/>
      <selection pane="bottomRight" activeCell="B6" sqref="B6"/>
      <pageMargins left="0.7" right="0.7" top="0.75" bottom="0.75" header="0.3" footer="0.3"/>
    </customSheetView>
    <customSheetView guid="{A03C6B09-6B58-4DDE-A3B2-41A27A7049D9}" scale="57" hiddenRows="1" state="hidden">
      <pane xSplit="1" ySplit="5" topLeftCell="B6" activePane="bottomRight" state="frozen"/>
      <selection pane="bottomRight" activeCell="B6" sqref="B6"/>
      <pageMargins left="0.7" right="0.7" top="0.75" bottom="0.75" header="0.3" footer="0.3"/>
    </customSheetView>
    <customSheetView guid="{3C97F0B0-2F3C-4E03-96E0-0C4FEC2F24AC}" scale="57" hiddenRows="1" state="hidden">
      <pane xSplit="1" ySplit="5" topLeftCell="B6" activePane="bottomRight" state="frozen"/>
      <selection pane="bottomRight" activeCell="B6" sqref="B6"/>
      <pageMargins left="0.7" right="0.7" top="0.75" bottom="0.75" header="0.3" footer="0.3"/>
    </customSheetView>
    <customSheetView guid="{B0A28FD4-D7F6-428C-A7F7-92132DCD74BB}" scale="57" hiddenRows="1" state="hidden">
      <pane xSplit="1" ySplit="5" topLeftCell="B6" activePane="bottomRight" state="frozen"/>
      <selection pane="bottomRight" activeCell="B6" sqref="B6"/>
      <pageMargins left="0.7" right="0.7" top="0.75" bottom="0.75" header="0.3" footer="0.3"/>
    </customSheetView>
    <customSheetView guid="{3BB18945-69B5-4B22-8D55-989F8F233459}" scale="57" hiddenRows="1" state="hidden">
      <pane xSplit="1" ySplit="5" topLeftCell="B6" activePane="bottomRight" state="frozen"/>
      <selection pane="bottomRight" activeCell="B6" sqref="B6"/>
      <pageMargins left="0.7" right="0.7" top="0.75" bottom="0.75" header="0.3" footer="0.3"/>
    </customSheetView>
    <customSheetView guid="{D16D941B-FC89-4FEC-A49B-5FA2532584DE}" scale="57" hiddenRows="1" state="hidden">
      <pane xSplit="1" ySplit="5" topLeftCell="B6" activePane="bottomRight" state="frozen"/>
      <selection pane="bottomRight" activeCell="B6" sqref="B6"/>
      <pageMargins left="0.7" right="0.7" top="0.75" bottom="0.75" header="0.3" footer="0.3"/>
    </customSheetView>
    <customSheetView guid="{C39AE06A-FC0A-4D7D-B287-2FA9CA174191}" scale="57" hiddenRows="1" state="hidden">
      <pane xSplit="1" ySplit="5" topLeftCell="B6" activePane="bottomRight" state="frozen"/>
      <selection pane="bottomRight" activeCell="B6" sqref="B6"/>
      <pageMargins left="0.7" right="0.7" top="0.75" bottom="0.75" header="0.3" footer="0.3"/>
    </customSheetView>
    <customSheetView guid="{4E6F9C2D-76F2-4884-BBF6-E02A7BAE11EF}" scale="57" hiddenRows="1" state="hidden">
      <pane xSplit="1" ySplit="5" topLeftCell="B6" activePane="bottomRight" state="frozen"/>
      <selection pane="bottomRight" activeCell="B6" sqref="B6"/>
      <pageMargins left="0.7" right="0.7" top="0.75" bottom="0.75" header="0.3" footer="0.3"/>
    </customSheetView>
    <customSheetView guid="{008CCD98-7480-4C51-806A-4B55C801DDC2}" scale="57" hiddenRows="1" state="hidden">
      <pane xSplit="1.5" ySplit="5.9743589743589745" topLeftCell="B6" activePane="bottomRight" state="frozen"/>
      <selection pane="bottomRight" activeCell="B6" sqref="B6"/>
      <pageMargins left="0.7" right="0.7" top="0.75" bottom="0.75" header="0.3" footer="0.3"/>
    </customSheetView>
    <customSheetView guid="{D27C51BB-BB54-4F37-8171-98067C39697C}" scale="57" hiddenRows="1" state="hidden">
      <pane xSplit="1" ySplit="5" topLeftCell="B6" activePane="bottomRight" state="frozen"/>
      <selection pane="bottomRight" activeCell="B6" sqref="B6"/>
      <pageMargins left="0.7" right="0.7" top="0.75" bottom="0.75" header="0.3" footer="0.3"/>
    </customSheetView>
    <customSheetView guid="{6702457D-A9A8-4F46-8E1C-BC7255F4BA77}" scale="57" hiddenRows="1" state="hidden">
      <pane xSplit="1" ySplit="5" topLeftCell="B6" activePane="bottomRight" state="frozen"/>
      <selection pane="bottomRight" activeCell="B6" sqref="B6"/>
      <pageMargins left="0.7" right="0.7" top="0.75" bottom="0.75" header="0.3" footer="0.3"/>
    </customSheetView>
    <customSheetView guid="{016CEBB2-C827-48F4-95E1-85D8C5129F41}" scale="57" hiddenRows="1" state="hidden">
      <pane xSplit="1" ySplit="5" topLeftCell="B6" activePane="bottomRight" state="frozen"/>
      <selection pane="bottomRight" activeCell="B6" sqref="B6"/>
      <pageMargins left="0.7" right="0.7" top="0.75" bottom="0.75" header="0.3" footer="0.3"/>
    </customSheetView>
    <customSheetView guid="{EB96DBE4-2D64-4388-853C-CB52A0CB79BA}" scale="57" hiddenRows="1" state="hidden">
      <pane xSplit="1" ySplit="5" topLeftCell="B6" activePane="bottomRight" state="frozen"/>
      <selection pane="bottomRight" activeCell="B6" sqref="B6"/>
      <pageMargins left="0.7" right="0.7" top="0.75" bottom="0.75" header="0.3" footer="0.3"/>
    </customSheetView>
    <customSheetView guid="{351EFD38-BF62-4E34-A37F-0EEB3E165043}" scale="57" hiddenRows="1" state="hidden">
      <pane xSplit="1" ySplit="5" topLeftCell="B6" activePane="bottomRight" state="frozen"/>
      <selection pane="bottomRight" activeCell="B6" sqref="B6"/>
      <pageMargins left="0.7" right="0.7" top="0.75" bottom="0.75" header="0.3" footer="0.3"/>
    </customSheetView>
    <customSheetView guid="{593284E7-E32C-4D6C-8C2F-3DEEF9DEE1DF}" scale="57" hiddenRows="1" state="hidden">
      <pane xSplit="1" ySplit="5" topLeftCell="B6" activePane="bottomRight" state="frozen"/>
      <selection pane="bottomRight" activeCell="B6" sqref="B6"/>
      <pageMargins left="0.7" right="0.7" top="0.75" bottom="0.75" header="0.3" footer="0.3"/>
    </customSheetView>
    <customSheetView guid="{E06B4FE8-6127-47B2-A6A5-4FAC9EEB4538}" scale="57" hiddenRows="1" state="hidden">
      <pane xSplit="1.2529411764705882" ySplit="5.4749999999999996" topLeftCell="B6" activePane="bottomRight" state="frozen"/>
      <selection pane="bottomRight" activeCell="B6" sqref="B6"/>
      <pageMargins left="0.7" right="0.7" top="0.75" bottom="0.75" header="0.3" footer="0.3"/>
    </customSheetView>
    <customSheetView guid="{51B3083F-A103-41AB-A137-63549C54B838}" scale="57" hiddenRows="1" state="hidden">
      <pane xSplit="1" ySplit="5" topLeftCell="B6" activePane="bottomRight" state="frozen"/>
      <selection pane="bottomRight" activeCell="B6" sqref="B6"/>
      <pageMargins left="0.7" right="0.7" top="0.75" bottom="0.75" header="0.3" footer="0.3"/>
    </customSheetView>
    <customSheetView guid="{8CB67476-3FD4-42E0-ACD6-62ACA9412843}" scale="57" hiddenRows="1" state="hidden">
      <pane xSplit="1" ySplit="5" topLeftCell="B6" activePane="bottomRight" state="frozen"/>
      <selection pane="bottomRight" activeCell="B6" sqref="B6"/>
      <pageMargins left="0.7" right="0.7" top="0.75" bottom="0.75" header="0.3" footer="0.3"/>
    </customSheetView>
    <customSheetView guid="{151EB58C-4EFD-4330-8D1A-8AACF5F7C679}" scale="57" hiddenRows="1" state="hidden">
      <pane xSplit="1" ySplit="5" topLeftCell="B6" activePane="bottomRight" state="frozen"/>
      <selection pane="bottomRight" activeCell="B6" sqref="B6"/>
      <pageMargins left="0.7" right="0.7" top="0.75" bottom="0.75" header="0.3" footer="0.3"/>
    </customSheetView>
    <customSheetView guid="{8263C9D2-452D-46FA-AFA0-452B42DC0298}" scale="57" hiddenRows="1" state="hidden">
      <pane xSplit="1" ySplit="5" topLeftCell="B6" activePane="bottomRight" state="frozen"/>
      <selection pane="bottomRight" activeCell="B6" sqref="B6"/>
      <pageMargins left="0.7" right="0.7" top="0.75" bottom="0.75" header="0.3" footer="0.3"/>
    </customSheetView>
    <customSheetView guid="{DF265C7B-1EEB-47EB-982A-6938E81F7AC2}" scale="57" hiddenRows="1" state="hidden">
      <pane xSplit="1" ySplit="5" topLeftCell="B6" activePane="bottomRight" state="frozen"/>
      <selection pane="bottomRight" activeCell="B6" sqref="B6"/>
      <pageMargins left="0.7" right="0.7" top="0.75" bottom="0.75" header="0.3" footer="0.3"/>
    </customSheetView>
    <customSheetView guid="{9F91FBC4-6A13-42C2-A2D9-42A2AC814E28}" scale="57" hiddenRows="1" state="hidden">
      <pane xSplit="1" ySplit="5" topLeftCell="B6" activePane="bottomRight" state="frozen"/>
      <selection pane="bottomRight" activeCell="B6" sqref="B6"/>
      <pageMargins left="0.7" right="0.7" top="0.75" bottom="0.75" header="0.3" footer="0.3"/>
    </customSheetView>
    <customSheetView guid="{F4A6298C-1A75-4FA9-A6A4-2BE13CCFE545}" scale="57" hiddenRows="1" state="hidden">
      <pane xSplit="1" ySplit="5" topLeftCell="B6" activePane="bottomRight" state="frozen"/>
      <selection pane="bottomRight" activeCell="B6" sqref="B6"/>
      <pageMargins left="0.7" right="0.7" top="0.75" bottom="0.75" header="0.3" footer="0.3"/>
    </customSheetView>
    <customSheetView guid="{29AC9BE3-332A-4738-949C-1F8C0D32BAEE}" scale="57" hiddenRows="1" state="hidden">
      <pane xSplit="1" ySplit="5" topLeftCell="B6" activePane="bottomRight" state="frozen"/>
      <selection pane="bottomRight" activeCell="B6" sqref="B6"/>
      <pageMargins left="0.7" right="0.7" top="0.75" bottom="0.75" header="0.3" footer="0.3"/>
    </customSheetView>
    <customSheetView guid="{75EE3B92-AF4D-4E93-A70E-6ADE60CC674F}" scale="57" hiddenRows="1" state="hidden">
      <pane xSplit="0.66923076923076918" ySplit="4.333333333333333" topLeftCell="B6" activePane="bottomRight" state="frozen"/>
      <selection pane="bottomRight" activeCell="B6" sqref="B6"/>
      <pageMargins left="0.7" right="0.7" top="0.75" bottom="0.75" header="0.3" footer="0.3"/>
    </customSheetView>
    <customSheetView guid="{CA7E8063-5145-49E1-8E00-2E1025705A81}" scale="57" hiddenRows="1" state="hidden">
      <pane xSplit="1" ySplit="5" topLeftCell="B6" activePane="bottomRight" state="frozen"/>
      <selection pane="bottomRight" activeCell="B6" sqref="B6"/>
      <pageMargins left="0.7" right="0.7" top="0.75" bottom="0.75" header="0.3" footer="0.3"/>
    </customSheetView>
    <customSheetView guid="{51DFD3D6-BC25-47B4-B28F-D640534DB3A9}" scale="57" hiddenRows="1" state="hidden">
      <pane xSplit="1" ySplit="5" topLeftCell="B6" activePane="bottomRight" state="frozen"/>
      <selection pane="bottomRight" activeCell="B6" sqref="B6"/>
      <pageMargins left="0.7" right="0.7" top="0.75" bottom="0.75" header="0.3" footer="0.3"/>
    </customSheetView>
    <customSheetView guid="{37F5A0AB-EB39-4832-9D67-F67D908BF486}" scale="57" hiddenRows="1" state="hidden">
      <pane xSplit="1" ySplit="5" topLeftCell="B6" activePane="bottomRight" state="frozen"/>
      <selection pane="bottomRight" activeCell="B6" sqref="B6"/>
      <pageMargins left="0.7" right="0.7" top="0.75" bottom="0.75" header="0.3" footer="0.3"/>
    </customSheetView>
    <customSheetView guid="{70582C04-BB53-4A99-A3C1-673011D9AE1C}" scale="57" hiddenRows="1" state="hidden">
      <pane xSplit="1" ySplit="5" topLeftCell="B6" activePane="bottomRight" state="frozen"/>
      <selection pane="bottomRight" activeCell="B6" sqref="B6"/>
      <pageMargins left="0.7" right="0.7" top="0.75" bottom="0.75" header="0.3" footer="0.3"/>
    </customSheetView>
    <customSheetView guid="{442F9A23-CA6E-4109-B10C-ACF5FD36B859}" scale="57" hiddenRows="1" state="hidden">
      <pane xSplit="1" ySplit="5" topLeftCell="B6" activePane="bottomRight" state="frozen"/>
      <selection pane="bottomRight" activeCell="B6" sqref="B6"/>
      <pageMargins left="0.7" right="0.7" top="0.75" bottom="0.75" header="0.3" footer="0.3"/>
    </customSheetView>
    <customSheetView guid="{E4713981-DD11-40CE-BE52-873D93BDDE05}" scale="57" hiddenRows="1" state="hidden">
      <pane xSplit="1" ySplit="5" topLeftCell="B6" activePane="bottomRight" state="frozen"/>
      <selection pane="bottomRight" activeCell="B6" sqref="B6"/>
      <pageMargins left="0.7" right="0.7" top="0.75" bottom="0.75" header="0.3" footer="0.3"/>
    </customSheetView>
    <customSheetView guid="{83044EFE-7F92-4F81-B034-85D9567158C2}" scale="57" hiddenRows="1" state="hidden">
      <pane xSplit="1" ySplit="5" topLeftCell="B6" activePane="bottomRight" state="frozen"/>
      <selection pane="bottomRight" activeCell="B6" sqref="B6"/>
      <pageMargins left="0.7" right="0.7" top="0.75" bottom="0.75" header="0.3" footer="0.3"/>
    </customSheetView>
    <customSheetView guid="{E3A3AE56-8881-4A6F-9299-803C489AD1B4}" scale="57" hiddenRows="1" state="hidden">
      <pane xSplit="1" ySplit="5" topLeftCell="B6" activePane="bottomRight" state="frozen"/>
      <selection pane="bottomRight" activeCell="B6" sqref="B6"/>
      <pageMargins left="0.7" right="0.7" top="0.75" bottom="0.75" header="0.3" footer="0.3"/>
    </customSheetView>
    <customSheetView guid="{FBC63E8F-69FE-4648-B709-FA1212EFFB29}" scale="57" hiddenRows="1" state="hidden">
      <pane xSplit="1" ySplit="5" topLeftCell="B6" activePane="bottomRight" state="frozen"/>
      <selection pane="bottomRight" activeCell="B6" sqref="B6"/>
      <pageMargins left="0.7" right="0.7" top="0.75" bottom="0.75" header="0.3" footer="0.3"/>
    </customSheetView>
    <customSheetView guid="{0EDA65D2-43FB-421C-9D8C-D8082C64B09A}" scale="57" hiddenRows="1" state="hidden">
      <pane xSplit="1" ySplit="5" topLeftCell="B6" activePane="bottomRight" state="frozen"/>
      <selection pane="bottomRight" activeCell="B6" sqref="B6"/>
      <pageMargins left="0.7" right="0.7" top="0.75" bottom="0.75" header="0.3" footer="0.3"/>
    </customSheetView>
    <customSheetView guid="{B434A8A8-5A4C-48C0-82E7-2458B9D2EEEF}" scale="57" hiddenRows="1" state="hidden">
      <pane xSplit="1" ySplit="5" topLeftCell="B6" activePane="bottomRight" state="frozen"/>
      <selection pane="bottomRight" activeCell="B6" sqref="B6"/>
      <pageMargins left="0.7" right="0.7" top="0.75" bottom="0.75" header="0.3" footer="0.3"/>
    </customSheetView>
    <customSheetView guid="{EDD5A64E-02C0-4DD6-80BA-449123FCDAA2}" scale="57" hiddenRows="1" state="hidden">
      <pane xSplit="1" ySplit="5" topLeftCell="B6" activePane="bottomRight" state="frozen"/>
      <selection pane="bottomRight" activeCell="B6" sqref="B6"/>
      <pageMargins left="0.7" right="0.7" top="0.75" bottom="0.75" header="0.3" footer="0.3"/>
    </customSheetView>
    <customSheetView guid="{97D58294-343B-4B62-A826-0DDDE29B5F0D}" scale="57" hiddenRows="1" state="hidden">
      <pane xSplit="1" ySplit="5" topLeftCell="B6" activePane="bottomRight" state="frozen"/>
      <selection pane="bottomRight" activeCell="B6" sqref="B6"/>
      <pageMargins left="0.7" right="0.7" top="0.75" bottom="0.75" header="0.3" footer="0.3"/>
    </customSheetView>
    <customSheetView guid="{800416AC-1374-44AC-811C-612C85EF24E6}" scale="57" hiddenRows="1" state="hidden">
      <pane xSplit="1" ySplit="5" topLeftCell="B6" activePane="bottomRight" state="frozen"/>
      <selection pane="bottomRight" activeCell="B6" sqref="B6"/>
      <pageMargins left="0.7" right="0.7" top="0.75" bottom="0.75" header="0.3" footer="0.3"/>
    </customSheetView>
    <customSheetView guid="{2EA8DBF7-9763-457C-AA9F-1EEB2F136D1F}" scale="57" hiddenRows="1" state="hidden">
      <pane xSplit="1" ySplit="5" topLeftCell="B6" activePane="bottomRight" state="frozen"/>
      <selection pane="bottomRight" activeCell="B6" sqref="B6"/>
      <pageMargins left="0.7" right="0.7" top="0.75" bottom="0.75" header="0.3" footer="0.3"/>
    </customSheetView>
    <customSheetView guid="{78AA4A71-CE17-4C4D-849E-E3E1A44EA907}" scale="57" hiddenRows="1" state="hidden">
      <pane xSplit="1" ySplit="5" topLeftCell="B6" activePane="bottomRight" state="frozen"/>
      <selection pane="bottomRight" activeCell="B6" sqref="B6"/>
      <pageMargins left="0.7" right="0.7" top="0.75" bottom="0.75" header="0.3" footer="0.3"/>
    </customSheetView>
    <customSheetView guid="{C7C13768-4A8D-4CBA-978C-F4A7B5550C00}" scale="57" hiddenRows="1" state="hidden">
      <pane xSplit="1" ySplit="5" topLeftCell="B6" activePane="bottomRight" state="frozen"/>
      <selection pane="bottomRight" activeCell="B6" sqref="B6"/>
      <pageMargins left="0.7" right="0.7" top="0.75" bottom="0.75" header="0.3" footer="0.3"/>
    </customSheetView>
    <customSheetView guid="{D59DDBAA-620D-43B7-A6D9-759808D3397A}" scale="57" hiddenRows="1" state="hidden">
      <pane xSplit="1" ySplit="5" topLeftCell="B6" activePane="bottomRight" state="frozen"/>
      <selection pane="bottomRight" activeCell="B6" sqref="B6"/>
      <pageMargins left="0.7" right="0.7" top="0.75" bottom="0.75" header="0.3" footer="0.3"/>
    </customSheetView>
  </customSheetViews>
  <mergeCells count="40">
    <mergeCell ref="A45:AB45"/>
    <mergeCell ref="A48:AB48"/>
    <mergeCell ref="A33:AB33"/>
    <mergeCell ref="A36:AB36"/>
    <mergeCell ref="A37:AB37"/>
    <mergeCell ref="A40:AB40"/>
    <mergeCell ref="A41:AB41"/>
    <mergeCell ref="A44:AB44"/>
    <mergeCell ref="A32:AB32"/>
    <mergeCell ref="A9:AB9"/>
    <mergeCell ref="A12:AB12"/>
    <mergeCell ref="A13:AB13"/>
    <mergeCell ref="A16:AB16"/>
    <mergeCell ref="A17:AB17"/>
    <mergeCell ref="A20:AB20"/>
    <mergeCell ref="A21:AB21"/>
    <mergeCell ref="A24:AB24"/>
    <mergeCell ref="A25:AB25"/>
    <mergeCell ref="A28:AB28"/>
    <mergeCell ref="A29:AB29"/>
    <mergeCell ref="A8:AB8"/>
    <mergeCell ref="B4:C4"/>
    <mergeCell ref="D4:E4"/>
    <mergeCell ref="F4:G4"/>
    <mergeCell ref="H4:I4"/>
    <mergeCell ref="L4:M4"/>
    <mergeCell ref="O4:Q4"/>
    <mergeCell ref="R4:T4"/>
    <mergeCell ref="Z4:AA4"/>
    <mergeCell ref="B5:C5"/>
    <mergeCell ref="D5:E5"/>
    <mergeCell ref="L5:M5"/>
    <mergeCell ref="B2:K2"/>
    <mergeCell ref="L2:AA2"/>
    <mergeCell ref="B3:C3"/>
    <mergeCell ref="D3:I3"/>
    <mergeCell ref="J3:K3"/>
    <mergeCell ref="L3:M3"/>
    <mergeCell ref="O3:T3"/>
    <mergeCell ref="U3:AA3"/>
  </mergeCells>
  <conditionalFormatting sqref="A2:AB50">
    <cfRule type="cellIs" dxfId="581" priority="14" operator="equal">
      <formula>"A"</formula>
    </cfRule>
  </conditionalFormatting>
  <conditionalFormatting sqref="A52:AB53">
    <cfRule type="cellIs" dxfId="580" priority="1" operator="equal">
      <formula>"A"</formula>
    </cfRule>
  </conditionalFormatting>
  <conditionalFormatting sqref="B6 L6 AB6 B10 L10 AB10 B14 L14 AB14 B18 L18 AB18 B22 L22 AB22 B26 L26 AB26 B30 L30 AB30 B34 L34 AB34 B38 L38 AB38 B42 L42 AB42 B46 L46">
    <cfRule type="cellIs" dxfId="579" priority="32" operator="equal">
      <formula>"G"</formula>
    </cfRule>
    <cfRule type="cellIs" dxfId="578" priority="33" operator="equal">
      <formula>"R"</formula>
    </cfRule>
  </conditionalFormatting>
  <conditionalFormatting sqref="B49">
    <cfRule type="cellIs" dxfId="577" priority="24" operator="equal">
      <formula>"G"</formula>
    </cfRule>
    <cfRule type="cellIs" dxfId="576" priority="25" operator="equal">
      <formula>"R"</formula>
    </cfRule>
  </conditionalFormatting>
  <conditionalFormatting sqref="B52">
    <cfRule type="cellIs" dxfId="575" priority="11" operator="equal">
      <formula>"G"</formula>
    </cfRule>
    <cfRule type="cellIs" dxfId="574" priority="12" operator="equal">
      <formula>"R"</formula>
    </cfRule>
  </conditionalFormatting>
  <conditionalFormatting sqref="C47">
    <cfRule type="cellIs" dxfId="573" priority="28" operator="equal">
      <formula>"A"</formula>
    </cfRule>
  </conditionalFormatting>
  <conditionalFormatting sqref="L49">
    <cfRule type="cellIs" dxfId="572" priority="19" operator="equal">
      <formula>"G"</formula>
    </cfRule>
    <cfRule type="cellIs" dxfId="571" priority="20" operator="equal">
      <formula>"R"</formula>
    </cfRule>
  </conditionalFormatting>
  <conditionalFormatting sqref="L52">
    <cfRule type="cellIs" dxfId="570" priority="6" operator="equal">
      <formula>"G"</formula>
    </cfRule>
    <cfRule type="cellIs" dxfId="569" priority="7" operator="equal">
      <formula>"R"</formula>
    </cfRule>
  </conditionalFormatting>
  <conditionalFormatting sqref="M47">
    <cfRule type="cellIs" dxfId="568" priority="27" operator="equal">
      <formula>"A"</formula>
    </cfRule>
  </conditionalFormatting>
  <conditionalFormatting sqref="X6:Y6 X10:Y10 X14:Y14 X18:Y18 X22:Y22 X26:Y26 X30:Y30 X34:Y34 X38:Y38 X42:Y42 X46:Y46">
    <cfRule type="cellIs" dxfId="567" priority="29" operator="between">
      <formula>0</formula>
      <formula>0.95</formula>
    </cfRule>
    <cfRule type="cellIs" dxfId="566" priority="30" operator="between">
      <formula>1</formula>
      <formula>0.95</formula>
    </cfRule>
    <cfRule type="cellIs" dxfId="565" priority="31" operator="greaterThanOrEqual">
      <formula>1</formula>
    </cfRule>
  </conditionalFormatting>
  <conditionalFormatting sqref="X49:Y49">
    <cfRule type="cellIs" dxfId="564" priority="16" operator="between">
      <formula>0</formula>
      <formula>0.95</formula>
    </cfRule>
    <cfRule type="cellIs" dxfId="563" priority="17" operator="between">
      <formula>1</formula>
      <formula>0.95</formula>
    </cfRule>
    <cfRule type="cellIs" dxfId="562" priority="18" operator="greaterThanOrEqual">
      <formula>1</formula>
    </cfRule>
  </conditionalFormatting>
  <conditionalFormatting sqref="X52:Y52">
    <cfRule type="cellIs" dxfId="561" priority="3" operator="between">
      <formula>0</formula>
      <formula>0.95</formula>
    </cfRule>
    <cfRule type="cellIs" dxfId="560" priority="4" operator="between">
      <formula>1</formula>
      <formula>0.95</formula>
    </cfRule>
    <cfRule type="cellIs" dxfId="559" priority="5" operator="greaterThanOrEqual">
      <formula>1</formula>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4788BF-7204-405E-8387-C4FBB68CC07F}">
  <sheetPr codeName="Sheet8"/>
  <dimension ref="A1:AB38"/>
  <sheetViews>
    <sheetView zoomScale="57" zoomScaleNormal="57" workbookViewId="0">
      <pane xSplit="1" ySplit="5" topLeftCell="B6" activePane="bottomRight" state="frozen"/>
      <selection pane="topRight" activeCell="B1" sqref="B1"/>
      <selection pane="bottomLeft" activeCell="A6" sqref="A6"/>
      <selection pane="bottomRight" activeCell="B6" sqref="B6"/>
    </sheetView>
  </sheetViews>
  <sheetFormatPr defaultColWidth="9.453125" defaultRowHeight="14.5" outlineLevelRow="1" x14ac:dyDescent="0.35"/>
  <cols>
    <col min="1" max="1" width="41.54296875" style="200" customWidth="1"/>
    <col min="2" max="2" width="10.453125" style="200" customWidth="1"/>
    <col min="3" max="3" width="9.453125" style="200" customWidth="1"/>
    <col min="4" max="4" width="13.54296875" style="200" customWidth="1"/>
    <col min="5" max="5" width="12.54296875" style="200" customWidth="1"/>
    <col min="6" max="6" width="13.453125" style="200" customWidth="1"/>
    <col min="7" max="7" width="13" style="200" customWidth="1"/>
    <col min="8" max="8" width="12.54296875" style="200" customWidth="1"/>
    <col min="9" max="9" width="12.453125" style="200" customWidth="1"/>
    <col min="10" max="10" width="13.54296875" style="200" customWidth="1"/>
    <col min="11" max="11" width="13.453125" style="200" customWidth="1"/>
    <col min="12" max="13" width="9.453125" style="200"/>
    <col min="14" max="14" width="13.453125" style="200" customWidth="1"/>
    <col min="15" max="16" width="12.453125" style="200" customWidth="1"/>
    <col min="17" max="17" width="12.54296875" style="200" customWidth="1"/>
    <col min="18" max="18" width="12.453125" style="200" customWidth="1"/>
    <col min="19" max="19" width="12" style="200" customWidth="1"/>
    <col min="20" max="20" width="13.453125" style="200" customWidth="1"/>
    <col min="21" max="22" width="13.54296875" style="200" customWidth="1"/>
    <col min="23" max="23" width="13.453125" style="200" customWidth="1"/>
    <col min="24" max="24" width="8.54296875" style="200" customWidth="1"/>
    <col min="25" max="25" width="9" style="200" customWidth="1"/>
    <col min="26" max="26" width="13.54296875" style="200" customWidth="1"/>
    <col min="27" max="27" width="13.453125" style="200" customWidth="1"/>
    <col min="28" max="28" width="11.453125" style="200" customWidth="1"/>
    <col min="29" max="16384" width="9.453125" style="200"/>
  </cols>
  <sheetData>
    <row r="1" spans="1:28" ht="1.5" customHeight="1" x14ac:dyDescent="0.35"/>
    <row r="2" spans="1:28" x14ac:dyDescent="0.35">
      <c r="A2" s="99" t="s">
        <v>215</v>
      </c>
      <c r="B2" s="762" t="s">
        <v>216</v>
      </c>
      <c r="C2" s="738"/>
      <c r="D2" s="738"/>
      <c r="E2" s="738"/>
      <c r="F2" s="738"/>
      <c r="G2" s="738"/>
      <c r="H2" s="738"/>
      <c r="I2" s="738"/>
      <c r="J2" s="738"/>
      <c r="K2" s="739"/>
      <c r="L2" s="756" t="s">
        <v>69</v>
      </c>
      <c r="M2" s="738"/>
      <c r="N2" s="738"/>
      <c r="O2" s="738"/>
      <c r="P2" s="738"/>
      <c r="Q2" s="738"/>
      <c r="R2" s="738"/>
      <c r="S2" s="738"/>
      <c r="T2" s="738"/>
      <c r="U2" s="738"/>
      <c r="V2" s="738"/>
      <c r="W2" s="738"/>
      <c r="X2" s="738"/>
      <c r="Y2" s="738"/>
      <c r="Z2" s="738"/>
      <c r="AA2" s="739"/>
      <c r="AB2" s="100" t="s">
        <v>215</v>
      </c>
    </row>
    <row r="3" spans="1:28" x14ac:dyDescent="0.35">
      <c r="A3" s="101" t="s">
        <v>215</v>
      </c>
      <c r="B3" s="755" t="s">
        <v>215</v>
      </c>
      <c r="C3" s="753"/>
      <c r="D3" s="754" t="s">
        <v>48</v>
      </c>
      <c r="E3" s="738"/>
      <c r="F3" s="738"/>
      <c r="G3" s="738"/>
      <c r="H3" s="738"/>
      <c r="I3" s="739"/>
      <c r="J3" s="754" t="s">
        <v>30</v>
      </c>
      <c r="K3" s="739"/>
      <c r="L3" s="755" t="s">
        <v>215</v>
      </c>
      <c r="M3" s="753"/>
      <c r="N3" s="204" t="s">
        <v>215</v>
      </c>
      <c r="O3" s="754" t="s">
        <v>33</v>
      </c>
      <c r="P3" s="738"/>
      <c r="Q3" s="738"/>
      <c r="R3" s="738"/>
      <c r="S3" s="738"/>
      <c r="T3" s="739"/>
      <c r="U3" s="754" t="s">
        <v>217</v>
      </c>
      <c r="V3" s="738"/>
      <c r="W3" s="738"/>
      <c r="X3" s="738"/>
      <c r="Y3" s="738"/>
      <c r="Z3" s="738"/>
      <c r="AA3" s="739"/>
      <c r="AB3" s="102" t="s">
        <v>215</v>
      </c>
    </row>
    <row r="4" spans="1:28" ht="15.5" x14ac:dyDescent="0.35">
      <c r="A4" s="103" t="s">
        <v>215</v>
      </c>
      <c r="B4" s="751" t="s">
        <v>215</v>
      </c>
      <c r="C4" s="746"/>
      <c r="D4" s="752" t="s">
        <v>215</v>
      </c>
      <c r="E4" s="753"/>
      <c r="F4" s="756" t="s">
        <v>73</v>
      </c>
      <c r="G4" s="739"/>
      <c r="H4" s="756" t="s">
        <v>74</v>
      </c>
      <c r="I4" s="739"/>
      <c r="J4" s="104" t="s">
        <v>215</v>
      </c>
      <c r="K4" s="104" t="s">
        <v>215</v>
      </c>
      <c r="L4" s="760" t="s">
        <v>215</v>
      </c>
      <c r="M4" s="748"/>
      <c r="N4" s="203" t="s">
        <v>215</v>
      </c>
      <c r="O4" s="759" t="s">
        <v>73</v>
      </c>
      <c r="P4" s="738"/>
      <c r="Q4" s="739"/>
      <c r="R4" s="759" t="s">
        <v>74</v>
      </c>
      <c r="S4" s="738"/>
      <c r="T4" s="739"/>
      <c r="U4" s="201" t="s">
        <v>215</v>
      </c>
      <c r="V4" s="201" t="s">
        <v>215</v>
      </c>
      <c r="W4" s="201" t="s">
        <v>215</v>
      </c>
      <c r="X4" s="201" t="s">
        <v>215</v>
      </c>
      <c r="Y4" s="201" t="s">
        <v>215</v>
      </c>
      <c r="Z4" s="759" t="s">
        <v>80</v>
      </c>
      <c r="AA4" s="739"/>
      <c r="AB4" s="203" t="s">
        <v>215</v>
      </c>
    </row>
    <row r="5" spans="1:28" ht="50" x14ac:dyDescent="0.35">
      <c r="A5" s="105" t="s">
        <v>218</v>
      </c>
      <c r="B5" s="745" t="s">
        <v>219</v>
      </c>
      <c r="C5" s="746"/>
      <c r="D5" s="743" t="s">
        <v>220</v>
      </c>
      <c r="E5" s="744"/>
      <c r="F5" s="202" t="s">
        <v>221</v>
      </c>
      <c r="G5" s="202" t="s">
        <v>222</v>
      </c>
      <c r="H5" s="106" t="s">
        <v>221</v>
      </c>
      <c r="I5" s="107" t="s">
        <v>222</v>
      </c>
      <c r="J5" s="108" t="s">
        <v>223</v>
      </c>
      <c r="K5" s="108" t="s">
        <v>2</v>
      </c>
      <c r="L5" s="747" t="s">
        <v>68</v>
      </c>
      <c r="M5" s="748"/>
      <c r="N5" s="108" t="s">
        <v>224</v>
      </c>
      <c r="O5" s="202" t="s">
        <v>81</v>
      </c>
      <c r="P5" s="202" t="s">
        <v>225</v>
      </c>
      <c r="Q5" s="202" t="s">
        <v>92</v>
      </c>
      <c r="R5" s="202" t="s">
        <v>81</v>
      </c>
      <c r="S5" s="202" t="s">
        <v>84</v>
      </c>
      <c r="T5" s="202" t="s">
        <v>226</v>
      </c>
      <c r="U5" s="109" t="s">
        <v>227</v>
      </c>
      <c r="V5" s="109" t="s">
        <v>228</v>
      </c>
      <c r="W5" s="109" t="s">
        <v>229</v>
      </c>
      <c r="X5" s="109" t="s">
        <v>230</v>
      </c>
      <c r="Y5" s="109" t="s">
        <v>231</v>
      </c>
      <c r="Z5" s="202" t="s">
        <v>214</v>
      </c>
      <c r="AA5" s="202" t="s">
        <v>86</v>
      </c>
      <c r="AB5" s="105" t="s">
        <v>70</v>
      </c>
    </row>
    <row r="6" spans="1:28" ht="16" collapsed="1" x14ac:dyDescent="0.35">
      <c r="A6" s="110" t="s">
        <v>294</v>
      </c>
      <c r="B6" s="111" t="s">
        <v>88</v>
      </c>
      <c r="C6" s="165">
        <v>0</v>
      </c>
      <c r="D6" s="112" t="s">
        <v>234</v>
      </c>
      <c r="E6" s="113">
        <v>43670</v>
      </c>
      <c r="F6" s="166">
        <v>34095000</v>
      </c>
      <c r="G6" s="166">
        <v>40694000</v>
      </c>
      <c r="H6" s="114">
        <v>46058</v>
      </c>
      <c r="I6" s="114">
        <v>46321</v>
      </c>
      <c r="J6" s="166">
        <v>51060000</v>
      </c>
      <c r="K6" s="166">
        <v>47815000</v>
      </c>
      <c r="L6" s="167" t="s">
        <v>88</v>
      </c>
      <c r="M6" s="165">
        <v>0</v>
      </c>
      <c r="N6" s="116">
        <v>44634</v>
      </c>
      <c r="O6" s="166">
        <v>34100000</v>
      </c>
      <c r="P6" s="166">
        <v>34949145.57</v>
      </c>
      <c r="Q6" s="166">
        <v>6702943.0899999999</v>
      </c>
      <c r="R6" s="114">
        <v>46058</v>
      </c>
      <c r="S6" s="114">
        <v>46632</v>
      </c>
      <c r="T6" s="117">
        <v>0</v>
      </c>
      <c r="U6" s="166">
        <v>24115070.039999999</v>
      </c>
      <c r="V6" s="166">
        <v>20440826.699000001</v>
      </c>
      <c r="W6" s="166">
        <v>12714061.300000001</v>
      </c>
      <c r="X6" s="118">
        <v>1.6077338481135057</v>
      </c>
      <c r="Y6" s="119">
        <v>0.84763704459885536</v>
      </c>
      <c r="Z6" s="120">
        <f>IFERROR(U6/O6,"")</f>
        <v>0.70718680469208206</v>
      </c>
      <c r="AA6" s="120">
        <f>IFERROR(V6/O6,"")</f>
        <v>0.59943773310850446</v>
      </c>
      <c r="AB6" s="111" t="s">
        <v>91</v>
      </c>
    </row>
    <row r="7" spans="1:28" ht="24.5" hidden="1" outlineLevel="1" collapsed="1" x14ac:dyDescent="0.35">
      <c r="A7" s="110" t="s">
        <v>215</v>
      </c>
      <c r="B7" s="168" t="s">
        <v>215</v>
      </c>
      <c r="C7" s="169" t="str" cm="1">
        <f t="array" ref="C7">IFERROR(_xlfn.SWITCH(C6,-1,"i",0,"g",1,"h"),"")</f>
        <v>g</v>
      </c>
      <c r="D7" s="112" t="s">
        <v>215</v>
      </c>
      <c r="E7" s="112" t="s">
        <v>215</v>
      </c>
      <c r="F7" s="115" t="s">
        <v>215</v>
      </c>
      <c r="G7" s="115" t="s">
        <v>215</v>
      </c>
      <c r="H7" s="115" t="s">
        <v>215</v>
      </c>
      <c r="I7" s="115" t="s">
        <v>215</v>
      </c>
      <c r="J7" s="115" t="s">
        <v>215</v>
      </c>
      <c r="K7" s="115" t="s">
        <v>215</v>
      </c>
      <c r="L7" s="168" t="s">
        <v>215</v>
      </c>
      <c r="M7" s="169" t="str" cm="1">
        <f t="array" ref="M7">IFERROR(_xlfn.SWITCH(M6,-1,"i",0,"g",1,"h"),"")</f>
        <v>g</v>
      </c>
      <c r="N7" s="115" t="s">
        <v>215</v>
      </c>
      <c r="O7" s="115" t="s">
        <v>215</v>
      </c>
      <c r="P7" s="115" t="s">
        <v>215</v>
      </c>
      <c r="Q7" s="115" t="s">
        <v>215</v>
      </c>
      <c r="R7" s="115" t="s">
        <v>215</v>
      </c>
      <c r="S7" s="115" t="s">
        <v>215</v>
      </c>
      <c r="T7" s="115" t="s">
        <v>215</v>
      </c>
      <c r="U7" s="115" t="s">
        <v>215</v>
      </c>
      <c r="V7" s="115" t="s">
        <v>215</v>
      </c>
      <c r="W7" s="115" t="s">
        <v>215</v>
      </c>
      <c r="X7" s="170" t="s">
        <v>215</v>
      </c>
      <c r="Y7" s="171" t="s">
        <v>215</v>
      </c>
      <c r="Z7" s="115" t="s">
        <v>215</v>
      </c>
      <c r="AA7" s="115" t="s">
        <v>215</v>
      </c>
      <c r="AB7" s="115" t="s">
        <v>215</v>
      </c>
    </row>
    <row r="8" spans="1:28" ht="17.25" customHeight="1" collapsed="1" x14ac:dyDescent="0.35">
      <c r="A8" s="737"/>
      <c r="B8" s="738"/>
      <c r="C8" s="738"/>
      <c r="D8" s="738"/>
      <c r="E8" s="738"/>
      <c r="F8" s="738"/>
      <c r="G8" s="738"/>
      <c r="H8" s="738"/>
      <c r="I8" s="738"/>
      <c r="J8" s="738"/>
      <c r="K8" s="738"/>
      <c r="L8" s="738"/>
      <c r="M8" s="738"/>
      <c r="N8" s="738"/>
      <c r="O8" s="738"/>
      <c r="P8" s="738"/>
      <c r="Q8" s="738"/>
      <c r="R8" s="738"/>
      <c r="S8" s="738"/>
      <c r="T8" s="738"/>
      <c r="U8" s="738"/>
      <c r="V8" s="738"/>
      <c r="W8" s="738"/>
      <c r="X8" s="738"/>
      <c r="Y8" s="738"/>
      <c r="Z8" s="738"/>
      <c r="AA8" s="738"/>
      <c r="AB8" s="739"/>
    </row>
    <row r="9" spans="1:28" ht="8.25" customHeight="1" x14ac:dyDescent="0.35">
      <c r="A9" s="735" t="s">
        <v>215</v>
      </c>
      <c r="B9" s="736"/>
      <c r="C9" s="736"/>
      <c r="D9" s="736"/>
      <c r="E9" s="736"/>
      <c r="F9" s="736"/>
      <c r="G9" s="736"/>
      <c r="H9" s="736"/>
      <c r="I9" s="736"/>
      <c r="J9" s="736"/>
      <c r="K9" s="736"/>
      <c r="L9" s="736"/>
      <c r="M9" s="736"/>
      <c r="N9" s="736"/>
      <c r="O9" s="736"/>
      <c r="P9" s="736"/>
      <c r="Q9" s="736"/>
      <c r="R9" s="736"/>
      <c r="S9" s="736"/>
      <c r="T9" s="736"/>
      <c r="U9" s="736"/>
      <c r="V9" s="736"/>
      <c r="W9" s="736"/>
      <c r="X9" s="736"/>
      <c r="Y9" s="736"/>
      <c r="Z9" s="736"/>
      <c r="AA9" s="736"/>
      <c r="AB9" s="736"/>
    </row>
    <row r="10" spans="1:28" ht="16" collapsed="1" x14ac:dyDescent="0.35">
      <c r="A10" s="110" t="s">
        <v>119</v>
      </c>
      <c r="B10" s="111" t="s">
        <v>88</v>
      </c>
      <c r="C10" s="165">
        <v>0</v>
      </c>
      <c r="D10" s="112" t="s">
        <v>232</v>
      </c>
      <c r="E10" s="113">
        <v>43983</v>
      </c>
      <c r="F10" s="166">
        <v>40664000</v>
      </c>
      <c r="G10" s="166">
        <v>48641000</v>
      </c>
      <c r="H10" s="114">
        <v>45051</v>
      </c>
      <c r="I10" s="114">
        <v>45264</v>
      </c>
      <c r="J10" s="166">
        <v>48641000</v>
      </c>
      <c r="K10" s="166">
        <v>48641000</v>
      </c>
      <c r="L10" s="167" t="s">
        <v>88</v>
      </c>
      <c r="M10" s="165">
        <v>0</v>
      </c>
      <c r="N10" s="116">
        <v>43983</v>
      </c>
      <c r="O10" s="166">
        <v>37784582</v>
      </c>
      <c r="P10" s="166">
        <v>68042575.650000006</v>
      </c>
      <c r="Q10" s="166">
        <v>56666.78</v>
      </c>
      <c r="R10" s="114">
        <v>45051</v>
      </c>
      <c r="S10" s="114">
        <v>45902</v>
      </c>
      <c r="T10" s="117">
        <v>0</v>
      </c>
      <c r="U10" s="166">
        <v>37796239.990000002</v>
      </c>
      <c r="V10" s="166">
        <v>24096593.114</v>
      </c>
      <c r="W10" s="166">
        <v>45470871.020000003</v>
      </c>
      <c r="X10" s="119">
        <v>0.52993471586241014</v>
      </c>
      <c r="Y10" s="118">
        <v>0.63753942509560191</v>
      </c>
      <c r="Z10" s="120">
        <f>IFERROR(U10/O10,"")</f>
        <v>1.0003085382815669</v>
      </c>
      <c r="AA10" s="120">
        <f>IFERROR(V10/O10,"")</f>
        <v>0.63773613041425203</v>
      </c>
      <c r="AB10" s="172" t="s">
        <v>91</v>
      </c>
    </row>
    <row r="11" spans="1:28" ht="24.5" hidden="1" outlineLevel="1" collapsed="1" x14ac:dyDescent="0.35">
      <c r="A11" s="110" t="s">
        <v>215</v>
      </c>
      <c r="B11" s="168" t="s">
        <v>215</v>
      </c>
      <c r="C11" s="169" t="str" cm="1">
        <f t="array" ref="C11">IFERROR(_xlfn.SWITCH(C10,-1,"i",0,"g",1,"h"),"")</f>
        <v>g</v>
      </c>
      <c r="D11" s="112" t="s">
        <v>215</v>
      </c>
      <c r="E11" s="112" t="s">
        <v>215</v>
      </c>
      <c r="F11" s="115" t="s">
        <v>215</v>
      </c>
      <c r="G11" s="115" t="s">
        <v>215</v>
      </c>
      <c r="H11" s="115" t="s">
        <v>215</v>
      </c>
      <c r="I11" s="115" t="s">
        <v>215</v>
      </c>
      <c r="J11" s="115" t="s">
        <v>215</v>
      </c>
      <c r="K11" s="115" t="s">
        <v>215</v>
      </c>
      <c r="L11" s="168" t="s">
        <v>215</v>
      </c>
      <c r="M11" s="169" t="str" cm="1">
        <f t="array" ref="M11">IFERROR(_xlfn.SWITCH(M10,-1,"i",0,"g",1,"h"),"")</f>
        <v>g</v>
      </c>
      <c r="N11" s="115" t="s">
        <v>215</v>
      </c>
      <c r="O11" s="115" t="s">
        <v>215</v>
      </c>
      <c r="P11" s="115" t="s">
        <v>215</v>
      </c>
      <c r="Q11" s="115" t="s">
        <v>215</v>
      </c>
      <c r="R11" s="115" t="s">
        <v>215</v>
      </c>
      <c r="S11" s="115" t="s">
        <v>215</v>
      </c>
      <c r="T11" s="115" t="s">
        <v>215</v>
      </c>
      <c r="U11" s="115" t="s">
        <v>215</v>
      </c>
      <c r="V11" s="115" t="s">
        <v>215</v>
      </c>
      <c r="W11" s="115" t="s">
        <v>215</v>
      </c>
      <c r="X11" s="171" t="s">
        <v>215</v>
      </c>
      <c r="Y11" s="170" t="s">
        <v>215</v>
      </c>
      <c r="Z11" s="115" t="s">
        <v>215</v>
      </c>
      <c r="AA11" s="115" t="s">
        <v>215</v>
      </c>
      <c r="AB11" s="173" t="s">
        <v>215</v>
      </c>
    </row>
    <row r="12" spans="1:28" ht="17.25" customHeight="1" collapsed="1" x14ac:dyDescent="0.35">
      <c r="A12" s="737"/>
      <c r="B12" s="738"/>
      <c r="C12" s="738"/>
      <c r="D12" s="738"/>
      <c r="E12" s="738"/>
      <c r="F12" s="738"/>
      <c r="G12" s="738"/>
      <c r="H12" s="738"/>
      <c r="I12" s="738"/>
      <c r="J12" s="738"/>
      <c r="K12" s="738"/>
      <c r="L12" s="738"/>
      <c r="M12" s="738"/>
      <c r="N12" s="738"/>
      <c r="O12" s="738"/>
      <c r="P12" s="738"/>
      <c r="Q12" s="738"/>
      <c r="R12" s="738"/>
      <c r="S12" s="738"/>
      <c r="T12" s="738"/>
      <c r="U12" s="738"/>
      <c r="V12" s="738"/>
      <c r="W12" s="738"/>
      <c r="X12" s="738"/>
      <c r="Y12" s="738"/>
      <c r="Z12" s="738"/>
      <c r="AA12" s="738"/>
      <c r="AB12" s="739"/>
    </row>
    <row r="13" spans="1:28" ht="8.25" customHeight="1" x14ac:dyDescent="0.35">
      <c r="A13" s="735" t="s">
        <v>215</v>
      </c>
      <c r="B13" s="736"/>
      <c r="C13" s="736"/>
      <c r="D13" s="736"/>
      <c r="E13" s="736"/>
      <c r="F13" s="736"/>
      <c r="G13" s="736"/>
      <c r="H13" s="736"/>
      <c r="I13" s="736"/>
      <c r="J13" s="736"/>
      <c r="K13" s="736"/>
      <c r="L13" s="736"/>
      <c r="M13" s="736"/>
      <c r="N13" s="736"/>
      <c r="O13" s="736"/>
      <c r="P13" s="736"/>
      <c r="Q13" s="736"/>
      <c r="R13" s="736"/>
      <c r="S13" s="736"/>
      <c r="T13" s="736"/>
      <c r="U13" s="736"/>
      <c r="V13" s="736"/>
      <c r="W13" s="736"/>
      <c r="X13" s="736"/>
      <c r="Y13" s="736"/>
      <c r="Z13" s="736"/>
      <c r="AA13" s="736"/>
      <c r="AB13" s="736"/>
    </row>
    <row r="14" spans="1:28" ht="32" collapsed="1" x14ac:dyDescent="0.35">
      <c r="A14" s="110" t="s">
        <v>121</v>
      </c>
      <c r="B14" s="174" t="s">
        <v>215</v>
      </c>
      <c r="C14" s="165" t="s">
        <v>215</v>
      </c>
      <c r="D14" s="112" t="s">
        <v>232</v>
      </c>
      <c r="E14" s="113">
        <v>43891</v>
      </c>
      <c r="F14" s="166">
        <v>25837000</v>
      </c>
      <c r="G14" s="166">
        <v>31940000</v>
      </c>
      <c r="H14" s="114">
        <v>45058</v>
      </c>
      <c r="I14" s="114">
        <v>45412</v>
      </c>
      <c r="J14" s="166">
        <v>31940000</v>
      </c>
      <c r="K14" s="166">
        <v>25837000</v>
      </c>
      <c r="L14" s="174" t="s">
        <v>215</v>
      </c>
      <c r="M14" s="165" t="s">
        <v>215</v>
      </c>
      <c r="N14" s="116">
        <v>43891</v>
      </c>
      <c r="O14" s="166">
        <v>25281264</v>
      </c>
      <c r="P14" s="166">
        <v>25769102.469999999</v>
      </c>
      <c r="Q14" s="166">
        <v>0</v>
      </c>
      <c r="R14" s="114">
        <v>45058</v>
      </c>
      <c r="S14" s="114">
        <v>46175</v>
      </c>
      <c r="T14" s="117">
        <v>0</v>
      </c>
      <c r="U14" s="166">
        <v>19634302.82</v>
      </c>
      <c r="V14" s="166">
        <v>19634302.9727</v>
      </c>
      <c r="W14" s="166">
        <v>16969073.489999998</v>
      </c>
      <c r="X14" s="118">
        <v>1.1570639365944546</v>
      </c>
      <c r="Y14" s="119">
        <v>1.0000000077772051</v>
      </c>
      <c r="Z14" s="120">
        <f>IFERROR(U14/O14,"")</f>
        <v>0.77663453931733795</v>
      </c>
      <c r="AA14" s="120">
        <f>IFERROR(V14/O14,"")</f>
        <v>0.77663454535738408</v>
      </c>
      <c r="AB14" s="174" t="s">
        <v>215</v>
      </c>
    </row>
    <row r="15" spans="1:28" ht="24.5" hidden="1" outlineLevel="1" collapsed="1" x14ac:dyDescent="0.35">
      <c r="A15" s="110" t="s">
        <v>215</v>
      </c>
      <c r="B15" s="168" t="s">
        <v>215</v>
      </c>
      <c r="C15" s="169" t="str" cm="1">
        <f t="array" ref="C15">IFERROR(_xlfn.SWITCH(C14,-1,"i",0,"g",1,"h"),"")</f>
        <v/>
      </c>
      <c r="D15" s="112" t="s">
        <v>215</v>
      </c>
      <c r="E15" s="112" t="s">
        <v>215</v>
      </c>
      <c r="F15" s="115" t="s">
        <v>215</v>
      </c>
      <c r="G15" s="115" t="s">
        <v>215</v>
      </c>
      <c r="H15" s="115" t="s">
        <v>215</v>
      </c>
      <c r="I15" s="115" t="s">
        <v>215</v>
      </c>
      <c r="J15" s="115" t="s">
        <v>215</v>
      </c>
      <c r="K15" s="115" t="s">
        <v>215</v>
      </c>
      <c r="L15" s="168" t="s">
        <v>215</v>
      </c>
      <c r="M15" s="169" t="str" cm="1">
        <f t="array" ref="M15">IFERROR(_xlfn.SWITCH(M14,-1,"i",0,"g",1,"h"),"")</f>
        <v/>
      </c>
      <c r="N15" s="115" t="s">
        <v>215</v>
      </c>
      <c r="O15" s="115" t="s">
        <v>215</v>
      </c>
      <c r="P15" s="115" t="s">
        <v>215</v>
      </c>
      <c r="Q15" s="115" t="s">
        <v>215</v>
      </c>
      <c r="R15" s="115" t="s">
        <v>215</v>
      </c>
      <c r="S15" s="115" t="s">
        <v>215</v>
      </c>
      <c r="T15" s="115" t="s">
        <v>215</v>
      </c>
      <c r="U15" s="115" t="s">
        <v>215</v>
      </c>
      <c r="V15" s="115" t="s">
        <v>215</v>
      </c>
      <c r="W15" s="115" t="s">
        <v>215</v>
      </c>
      <c r="X15" s="170" t="s">
        <v>215</v>
      </c>
      <c r="Y15" s="171" t="s">
        <v>215</v>
      </c>
      <c r="Z15" s="115" t="s">
        <v>215</v>
      </c>
      <c r="AA15" s="115" t="s">
        <v>215</v>
      </c>
      <c r="AB15" s="173" t="s">
        <v>215</v>
      </c>
    </row>
    <row r="16" spans="1:28" ht="17.25" customHeight="1" collapsed="1" x14ac:dyDescent="0.35">
      <c r="A16" s="737"/>
      <c r="B16" s="738"/>
      <c r="C16" s="738"/>
      <c r="D16" s="738"/>
      <c r="E16" s="738"/>
      <c r="F16" s="738"/>
      <c r="G16" s="738"/>
      <c r="H16" s="738"/>
      <c r="I16" s="738"/>
      <c r="J16" s="738"/>
      <c r="K16" s="738"/>
      <c r="L16" s="738"/>
      <c r="M16" s="738"/>
      <c r="N16" s="738"/>
      <c r="O16" s="738"/>
      <c r="P16" s="738"/>
      <c r="Q16" s="738"/>
      <c r="R16" s="738"/>
      <c r="S16" s="738"/>
      <c r="T16" s="738"/>
      <c r="U16" s="738"/>
      <c r="V16" s="738"/>
      <c r="W16" s="738"/>
      <c r="X16" s="738"/>
      <c r="Y16" s="738"/>
      <c r="Z16" s="738"/>
      <c r="AA16" s="738"/>
      <c r="AB16" s="739"/>
    </row>
    <row r="17" spans="1:28" ht="8.25" customHeight="1" x14ac:dyDescent="0.35">
      <c r="A17" s="735" t="s">
        <v>215</v>
      </c>
      <c r="B17" s="736"/>
      <c r="C17" s="736"/>
      <c r="D17" s="736"/>
      <c r="E17" s="736"/>
      <c r="F17" s="736"/>
      <c r="G17" s="736"/>
      <c r="H17" s="736"/>
      <c r="I17" s="736"/>
      <c r="J17" s="736"/>
      <c r="K17" s="736"/>
      <c r="L17" s="736"/>
      <c r="M17" s="736"/>
      <c r="N17" s="736"/>
      <c r="O17" s="736"/>
      <c r="P17" s="736"/>
      <c r="Q17" s="736"/>
      <c r="R17" s="736"/>
      <c r="S17" s="736"/>
      <c r="T17" s="736"/>
      <c r="U17" s="736"/>
      <c r="V17" s="736"/>
      <c r="W17" s="736"/>
      <c r="X17" s="736"/>
      <c r="Y17" s="736"/>
      <c r="Z17" s="736"/>
      <c r="AA17" s="736"/>
      <c r="AB17" s="736"/>
    </row>
    <row r="18" spans="1:28" ht="16" collapsed="1" x14ac:dyDescent="0.35">
      <c r="A18" s="110" t="s">
        <v>295</v>
      </c>
      <c r="B18" s="172" t="s">
        <v>91</v>
      </c>
      <c r="C18" s="165">
        <v>0</v>
      </c>
      <c r="D18" s="112" t="s">
        <v>232</v>
      </c>
      <c r="E18" s="113" t="s">
        <v>215</v>
      </c>
      <c r="F18" s="166">
        <v>0</v>
      </c>
      <c r="G18" s="166">
        <v>0</v>
      </c>
      <c r="H18" s="114" t="s">
        <v>215</v>
      </c>
      <c r="I18" s="114" t="s">
        <v>215</v>
      </c>
      <c r="J18" s="166">
        <v>0</v>
      </c>
      <c r="K18" s="166">
        <v>0</v>
      </c>
      <c r="L18" s="175" t="s">
        <v>88</v>
      </c>
      <c r="M18" s="165">
        <v>0</v>
      </c>
      <c r="N18" s="116">
        <v>43864</v>
      </c>
      <c r="O18" s="166">
        <v>28615989</v>
      </c>
      <c r="P18" s="166">
        <v>50400322.689999998</v>
      </c>
      <c r="Q18" s="166">
        <v>-0.01</v>
      </c>
      <c r="R18" s="114">
        <v>48642</v>
      </c>
      <c r="S18" s="114">
        <v>47296</v>
      </c>
      <c r="T18" s="117">
        <v>0</v>
      </c>
      <c r="U18" s="166">
        <v>5395095.4900000002</v>
      </c>
      <c r="V18" s="166">
        <v>950936.66529999999</v>
      </c>
      <c r="W18" s="166">
        <v>2869402.11</v>
      </c>
      <c r="X18" s="118">
        <v>0.33140585698530767</v>
      </c>
      <c r="Y18" s="119">
        <v>0.17625946881989293</v>
      </c>
      <c r="Z18" s="197">
        <f>IFERROR(U18/O18,"")</f>
        <v>0.18853430122579373</v>
      </c>
      <c r="AA18" s="197">
        <f>IFERROR(V18/O18,"")</f>
        <v>3.323095578838809E-2</v>
      </c>
      <c r="AB18" s="174" t="s">
        <v>90</v>
      </c>
    </row>
    <row r="19" spans="1:28" ht="24.5" hidden="1" outlineLevel="1" collapsed="1" x14ac:dyDescent="0.35">
      <c r="A19" s="110" t="s">
        <v>215</v>
      </c>
      <c r="B19" s="168" t="s">
        <v>215</v>
      </c>
      <c r="C19" s="169" t="str" cm="1">
        <f t="array" ref="C19">IFERROR(_xlfn.SWITCH(C18,-1,"i",0,"g",1,"h"),"")</f>
        <v>g</v>
      </c>
      <c r="D19" s="112"/>
      <c r="E19" s="112" t="s">
        <v>215</v>
      </c>
      <c r="F19" s="115" t="s">
        <v>215</v>
      </c>
      <c r="G19" s="115" t="s">
        <v>215</v>
      </c>
      <c r="H19" s="115" t="s">
        <v>215</v>
      </c>
      <c r="I19" s="115" t="s">
        <v>215</v>
      </c>
      <c r="J19" s="115" t="s">
        <v>215</v>
      </c>
      <c r="K19" s="115" t="s">
        <v>215</v>
      </c>
      <c r="L19" s="168" t="s">
        <v>215</v>
      </c>
      <c r="M19" s="169" t="str" cm="1">
        <f t="array" ref="M19">IFERROR(_xlfn.SWITCH(M18,-1,"i",0,"g",1,"h"),"")</f>
        <v>g</v>
      </c>
      <c r="N19" s="115" t="s">
        <v>215</v>
      </c>
      <c r="O19" s="115" t="s">
        <v>215</v>
      </c>
      <c r="P19" s="115" t="s">
        <v>215</v>
      </c>
      <c r="Q19" s="115" t="s">
        <v>215</v>
      </c>
      <c r="R19" s="115" t="s">
        <v>215</v>
      </c>
      <c r="S19" s="115" t="s">
        <v>215</v>
      </c>
      <c r="T19" s="115" t="s">
        <v>215</v>
      </c>
      <c r="U19" s="115" t="s">
        <v>215</v>
      </c>
      <c r="V19" s="115" t="s">
        <v>215</v>
      </c>
      <c r="W19" s="115" t="s">
        <v>215</v>
      </c>
      <c r="X19" s="170" t="s">
        <v>215</v>
      </c>
      <c r="Y19" s="171" t="s">
        <v>215</v>
      </c>
      <c r="Z19" s="115" t="s">
        <v>215</v>
      </c>
      <c r="AA19" s="115" t="s">
        <v>215</v>
      </c>
      <c r="AB19" s="115" t="s">
        <v>215</v>
      </c>
    </row>
    <row r="20" spans="1:28" ht="17.25" customHeight="1" collapsed="1" x14ac:dyDescent="0.35">
      <c r="A20" s="737"/>
      <c r="B20" s="738"/>
      <c r="C20" s="738"/>
      <c r="D20" s="738"/>
      <c r="E20" s="738"/>
      <c r="F20" s="738"/>
      <c r="G20" s="738"/>
      <c r="H20" s="738"/>
      <c r="I20" s="738"/>
      <c r="J20" s="738"/>
      <c r="K20" s="738"/>
      <c r="L20" s="738"/>
      <c r="M20" s="738"/>
      <c r="N20" s="738"/>
      <c r="O20" s="738"/>
      <c r="P20" s="738"/>
      <c r="Q20" s="738"/>
      <c r="R20" s="738"/>
      <c r="S20" s="738"/>
      <c r="T20" s="738"/>
      <c r="U20" s="738"/>
      <c r="V20" s="738"/>
      <c r="W20" s="738"/>
      <c r="X20" s="738"/>
      <c r="Y20" s="738"/>
      <c r="Z20" s="738"/>
      <c r="AA20" s="738"/>
      <c r="AB20" s="739"/>
    </row>
    <row r="21" spans="1:28" ht="8.25" customHeight="1" x14ac:dyDescent="0.35">
      <c r="A21" s="735" t="s">
        <v>215</v>
      </c>
      <c r="B21" s="736"/>
      <c r="C21" s="736"/>
      <c r="D21" s="736"/>
      <c r="E21" s="736"/>
      <c r="F21" s="736"/>
      <c r="G21" s="736"/>
      <c r="H21" s="736"/>
      <c r="I21" s="736"/>
      <c r="J21" s="736"/>
      <c r="K21" s="736"/>
      <c r="L21" s="736"/>
      <c r="M21" s="736"/>
      <c r="N21" s="736"/>
      <c r="O21" s="736"/>
      <c r="P21" s="736"/>
      <c r="Q21" s="736"/>
      <c r="R21" s="736"/>
      <c r="S21" s="736"/>
      <c r="T21" s="736"/>
      <c r="U21" s="736"/>
      <c r="V21" s="736"/>
      <c r="W21" s="736"/>
      <c r="X21" s="736"/>
      <c r="Y21" s="736"/>
      <c r="Z21" s="736"/>
      <c r="AA21" s="736"/>
      <c r="AB21" s="736"/>
    </row>
    <row r="22" spans="1:28" ht="16" collapsed="1" x14ac:dyDescent="0.35">
      <c r="A22" s="110" t="s">
        <v>109</v>
      </c>
      <c r="B22" s="111" t="s">
        <v>91</v>
      </c>
      <c r="C22" s="165">
        <v>0</v>
      </c>
      <c r="D22" s="112" t="s">
        <v>232</v>
      </c>
      <c r="E22" s="113" t="s">
        <v>215</v>
      </c>
      <c r="F22" s="166">
        <v>25714000</v>
      </c>
      <c r="G22" s="166">
        <v>0</v>
      </c>
      <c r="H22" s="114" t="s">
        <v>215</v>
      </c>
      <c r="I22" s="114" t="s">
        <v>215</v>
      </c>
      <c r="J22" s="166">
        <v>0</v>
      </c>
      <c r="K22" s="166">
        <v>25714000</v>
      </c>
      <c r="L22" s="167" t="s">
        <v>91</v>
      </c>
      <c r="M22" s="165">
        <v>0</v>
      </c>
      <c r="N22" s="116">
        <v>45163</v>
      </c>
      <c r="O22" s="166">
        <v>112867009</v>
      </c>
      <c r="P22" s="166">
        <v>158152139.65000001</v>
      </c>
      <c r="Q22" s="166">
        <v>16790440.629999999</v>
      </c>
      <c r="R22" s="114">
        <v>45559</v>
      </c>
      <c r="S22" s="114">
        <v>46951</v>
      </c>
      <c r="T22" s="117">
        <v>0</v>
      </c>
      <c r="U22" s="166">
        <v>12194730.560000001</v>
      </c>
      <c r="V22" s="166">
        <v>11916923.154899999</v>
      </c>
      <c r="W22" s="166">
        <v>12421262.84</v>
      </c>
      <c r="X22" s="119">
        <v>0.95939706843044315</v>
      </c>
      <c r="Y22" s="118">
        <v>0.97721906164854211</v>
      </c>
      <c r="Z22" s="120">
        <f>IFERROR(U22/O22,"")</f>
        <v>0.10804512911297225</v>
      </c>
      <c r="AA22" s="120">
        <f>IFERROR(V22/O22,"")</f>
        <v>0.1055837596874743</v>
      </c>
      <c r="AB22" s="172" t="s">
        <v>90</v>
      </c>
    </row>
    <row r="23" spans="1:28" ht="24.5" hidden="1" outlineLevel="1" collapsed="1" x14ac:dyDescent="0.35">
      <c r="A23" s="110" t="s">
        <v>215</v>
      </c>
      <c r="B23" s="168" t="s">
        <v>215</v>
      </c>
      <c r="C23" s="169" t="str" cm="1">
        <f t="array" ref="C23">IFERROR(_xlfn.SWITCH(C22,-1,"i",0,"g",1,"h"),"")</f>
        <v>g</v>
      </c>
      <c r="D23" s="112" t="s">
        <v>215</v>
      </c>
      <c r="E23" s="112" t="s">
        <v>215</v>
      </c>
      <c r="F23" s="115" t="s">
        <v>215</v>
      </c>
      <c r="G23" s="115" t="s">
        <v>215</v>
      </c>
      <c r="H23" s="115" t="s">
        <v>215</v>
      </c>
      <c r="I23" s="115" t="s">
        <v>215</v>
      </c>
      <c r="J23" s="115" t="s">
        <v>215</v>
      </c>
      <c r="K23" s="115" t="s">
        <v>215</v>
      </c>
      <c r="L23" s="168" t="s">
        <v>215</v>
      </c>
      <c r="M23" s="169" t="str" cm="1">
        <f t="array" ref="M23">IFERROR(_xlfn.SWITCH(M22,-1,"i",0,"g",1,"h"),"")</f>
        <v>g</v>
      </c>
      <c r="N23" s="115" t="s">
        <v>215</v>
      </c>
      <c r="O23" s="115" t="s">
        <v>215</v>
      </c>
      <c r="P23" s="115" t="s">
        <v>215</v>
      </c>
      <c r="Q23" s="115" t="s">
        <v>215</v>
      </c>
      <c r="R23" s="115" t="s">
        <v>215</v>
      </c>
      <c r="S23" s="115" t="s">
        <v>215</v>
      </c>
      <c r="T23" s="115" t="s">
        <v>215</v>
      </c>
      <c r="U23" s="115" t="s">
        <v>215</v>
      </c>
      <c r="V23" s="115" t="s">
        <v>215</v>
      </c>
      <c r="W23" s="115" t="s">
        <v>215</v>
      </c>
      <c r="X23" s="171" t="s">
        <v>215</v>
      </c>
      <c r="Y23" s="170" t="s">
        <v>215</v>
      </c>
      <c r="Z23" s="115" t="s">
        <v>215</v>
      </c>
      <c r="AA23" s="115" t="s">
        <v>215</v>
      </c>
      <c r="AB23" s="173" t="s">
        <v>215</v>
      </c>
    </row>
    <row r="24" spans="1:28" ht="17.25" customHeight="1" collapsed="1" x14ac:dyDescent="0.35">
      <c r="A24" s="737"/>
      <c r="B24" s="738"/>
      <c r="C24" s="738"/>
      <c r="D24" s="738"/>
      <c r="E24" s="738"/>
      <c r="F24" s="738"/>
      <c r="G24" s="738"/>
      <c r="H24" s="738"/>
      <c r="I24" s="738"/>
      <c r="J24" s="738"/>
      <c r="K24" s="738"/>
      <c r="L24" s="738"/>
      <c r="M24" s="738"/>
      <c r="N24" s="738"/>
      <c r="O24" s="738"/>
      <c r="P24" s="738"/>
      <c r="Q24" s="738"/>
      <c r="R24" s="738"/>
      <c r="S24" s="738"/>
      <c r="T24" s="738"/>
      <c r="U24" s="738"/>
      <c r="V24" s="738"/>
      <c r="W24" s="738"/>
      <c r="X24" s="738"/>
      <c r="Y24" s="738"/>
      <c r="Z24" s="738"/>
      <c r="AA24" s="738"/>
      <c r="AB24" s="739"/>
    </row>
    <row r="25" spans="1:28" ht="8.25" customHeight="1" x14ac:dyDescent="0.35">
      <c r="A25" s="735" t="s">
        <v>215</v>
      </c>
      <c r="B25" s="736"/>
      <c r="C25" s="736"/>
      <c r="D25" s="736"/>
      <c r="E25" s="736"/>
      <c r="F25" s="736"/>
      <c r="G25" s="736"/>
      <c r="H25" s="736"/>
      <c r="I25" s="736"/>
      <c r="J25" s="736"/>
      <c r="K25" s="736"/>
      <c r="L25" s="736"/>
      <c r="M25" s="736"/>
      <c r="N25" s="736"/>
      <c r="O25" s="736"/>
      <c r="P25" s="736"/>
      <c r="Q25" s="736"/>
      <c r="R25" s="736"/>
      <c r="S25" s="736"/>
      <c r="T25" s="736"/>
      <c r="U25" s="736"/>
      <c r="V25" s="736"/>
      <c r="W25" s="736"/>
      <c r="X25" s="736"/>
      <c r="Y25" s="736"/>
      <c r="Z25" s="736"/>
      <c r="AA25" s="736"/>
      <c r="AB25" s="736"/>
    </row>
    <row r="26" spans="1:28" ht="16" collapsed="1" x14ac:dyDescent="0.35">
      <c r="A26" s="110" t="s">
        <v>93</v>
      </c>
      <c r="B26" s="174" t="s">
        <v>215</v>
      </c>
      <c r="C26" s="165" t="s">
        <v>215</v>
      </c>
      <c r="D26" s="112">
        <v>0</v>
      </c>
      <c r="E26" s="113" t="s">
        <v>215</v>
      </c>
      <c r="F26" s="166">
        <v>20745000</v>
      </c>
      <c r="G26" s="166">
        <v>0</v>
      </c>
      <c r="H26" s="114" t="s">
        <v>215</v>
      </c>
      <c r="I26" s="114" t="s">
        <v>215</v>
      </c>
      <c r="J26" s="166">
        <v>0</v>
      </c>
      <c r="K26" s="166">
        <v>0</v>
      </c>
      <c r="L26" s="174" t="s">
        <v>215</v>
      </c>
      <c r="M26" s="165" t="s">
        <v>215</v>
      </c>
      <c r="N26" s="116" t="s">
        <v>215</v>
      </c>
      <c r="O26" s="166">
        <v>14400000</v>
      </c>
      <c r="P26" s="166">
        <v>21925275.359999999</v>
      </c>
      <c r="Q26" s="166">
        <v>550.37</v>
      </c>
      <c r="R26" s="114">
        <v>43648</v>
      </c>
      <c r="S26" s="114">
        <v>45556</v>
      </c>
      <c r="T26" s="117">
        <v>0</v>
      </c>
      <c r="U26" s="166">
        <v>14445160.66</v>
      </c>
      <c r="V26" s="166">
        <v>14095559.651699999</v>
      </c>
      <c r="W26" s="166">
        <v>20658734.73</v>
      </c>
      <c r="X26" s="121">
        <v>0.68230507995394551</v>
      </c>
      <c r="Y26" s="118">
        <v>0.9757980533045868</v>
      </c>
      <c r="Z26" s="120">
        <f>IFERROR(U26/O26,"")</f>
        <v>1.0031361569444444</v>
      </c>
      <c r="AA26" s="120">
        <f>IFERROR(V26/O26,"")</f>
        <v>0.97885830914583327</v>
      </c>
      <c r="AB26" s="174" t="s">
        <v>215</v>
      </c>
    </row>
    <row r="27" spans="1:28" ht="24.5" hidden="1" outlineLevel="1" collapsed="1" x14ac:dyDescent="0.35">
      <c r="A27" s="110" t="s">
        <v>215</v>
      </c>
      <c r="B27" s="168" t="s">
        <v>215</v>
      </c>
      <c r="C27" s="169" t="str" cm="1">
        <f t="array" ref="C27">IFERROR(_xlfn.SWITCH(C26,-1,"i",0,"g",1,"h"),"")</f>
        <v/>
      </c>
      <c r="D27" s="112" t="s">
        <v>215</v>
      </c>
      <c r="E27" s="112" t="s">
        <v>215</v>
      </c>
      <c r="F27" s="115" t="s">
        <v>215</v>
      </c>
      <c r="G27" s="115" t="s">
        <v>215</v>
      </c>
      <c r="H27" s="115" t="s">
        <v>215</v>
      </c>
      <c r="I27" s="115" t="s">
        <v>215</v>
      </c>
      <c r="J27" s="115" t="s">
        <v>215</v>
      </c>
      <c r="K27" s="115" t="s">
        <v>215</v>
      </c>
      <c r="L27" s="168" t="s">
        <v>215</v>
      </c>
      <c r="M27" s="169" t="str" cm="1">
        <f t="array" ref="M27">IFERROR(_xlfn.SWITCH(M26,-1,"i",0,"g",1,"h"),"")</f>
        <v/>
      </c>
      <c r="N27" s="115" t="s">
        <v>215</v>
      </c>
      <c r="O27" s="115" t="s">
        <v>215</v>
      </c>
      <c r="P27" s="115" t="s">
        <v>215</v>
      </c>
      <c r="Q27" s="115" t="s">
        <v>215</v>
      </c>
      <c r="R27" s="115" t="s">
        <v>215</v>
      </c>
      <c r="S27" s="115" t="s">
        <v>215</v>
      </c>
      <c r="T27" s="115" t="s">
        <v>215</v>
      </c>
      <c r="U27" s="115" t="s">
        <v>215</v>
      </c>
      <c r="V27" s="115" t="s">
        <v>215</v>
      </c>
      <c r="W27" s="115" t="s">
        <v>215</v>
      </c>
      <c r="X27" s="176" t="s">
        <v>215</v>
      </c>
      <c r="Y27" s="170" t="s">
        <v>215</v>
      </c>
      <c r="Z27" s="115" t="s">
        <v>215</v>
      </c>
      <c r="AA27" s="115" t="s">
        <v>215</v>
      </c>
      <c r="AB27" s="173" t="s">
        <v>215</v>
      </c>
    </row>
    <row r="28" spans="1:28" ht="17.25" customHeight="1" collapsed="1" x14ac:dyDescent="0.35">
      <c r="A28" s="737"/>
      <c r="B28" s="738"/>
      <c r="C28" s="738"/>
      <c r="D28" s="738"/>
      <c r="E28" s="738"/>
      <c r="F28" s="738"/>
      <c r="G28" s="738"/>
      <c r="H28" s="738"/>
      <c r="I28" s="738"/>
      <c r="J28" s="738"/>
      <c r="K28" s="738"/>
      <c r="L28" s="738"/>
      <c r="M28" s="738"/>
      <c r="N28" s="738"/>
      <c r="O28" s="738"/>
      <c r="P28" s="738"/>
      <c r="Q28" s="738"/>
      <c r="R28" s="738"/>
      <c r="S28" s="738"/>
      <c r="T28" s="738"/>
      <c r="U28" s="738"/>
      <c r="V28" s="738"/>
      <c r="W28" s="738"/>
      <c r="X28" s="738"/>
      <c r="Y28" s="738"/>
      <c r="Z28" s="738"/>
      <c r="AA28" s="738"/>
      <c r="AB28" s="739"/>
    </row>
    <row r="29" spans="1:28" ht="8.25" customHeight="1" x14ac:dyDescent="0.35">
      <c r="A29" s="735" t="s">
        <v>215</v>
      </c>
      <c r="B29" s="736"/>
      <c r="C29" s="736"/>
      <c r="D29" s="736"/>
      <c r="E29" s="736"/>
      <c r="F29" s="736"/>
      <c r="G29" s="736"/>
      <c r="H29" s="736"/>
      <c r="I29" s="736"/>
      <c r="J29" s="736"/>
      <c r="K29" s="736"/>
      <c r="L29" s="736"/>
      <c r="M29" s="736"/>
      <c r="N29" s="736"/>
      <c r="O29" s="736"/>
      <c r="P29" s="736"/>
      <c r="Q29" s="736"/>
      <c r="R29" s="736"/>
      <c r="S29" s="736"/>
      <c r="T29" s="736"/>
      <c r="U29" s="736"/>
      <c r="V29" s="736"/>
      <c r="W29" s="736"/>
      <c r="X29" s="736"/>
      <c r="Y29" s="736"/>
      <c r="Z29" s="736"/>
      <c r="AA29" s="736"/>
      <c r="AB29" s="736"/>
    </row>
    <row r="30" spans="1:28" ht="16" collapsed="1" x14ac:dyDescent="0.35">
      <c r="A30" s="110" t="s">
        <v>105</v>
      </c>
      <c r="B30" s="174" t="s">
        <v>91</v>
      </c>
      <c r="C30" s="165">
        <v>0</v>
      </c>
      <c r="D30" s="112">
        <v>0</v>
      </c>
      <c r="E30" s="113" t="s">
        <v>215</v>
      </c>
      <c r="F30" s="166">
        <v>0</v>
      </c>
      <c r="G30" s="166">
        <v>0</v>
      </c>
      <c r="H30" s="114" t="s">
        <v>215</v>
      </c>
      <c r="I30" s="114" t="s">
        <v>215</v>
      </c>
      <c r="J30" s="166">
        <v>36278000</v>
      </c>
      <c r="K30" s="166">
        <v>36278000</v>
      </c>
      <c r="L30" s="174" t="s">
        <v>91</v>
      </c>
      <c r="M30" s="165">
        <v>0</v>
      </c>
      <c r="N30" s="116">
        <v>45017</v>
      </c>
      <c r="O30" s="166">
        <v>72201550</v>
      </c>
      <c r="P30" s="166">
        <v>35858773.68</v>
      </c>
      <c r="Q30" s="166">
        <v>59156.34</v>
      </c>
      <c r="R30" s="114">
        <v>55152</v>
      </c>
      <c r="S30" s="114">
        <v>45382</v>
      </c>
      <c r="T30" s="117">
        <v>0</v>
      </c>
      <c r="U30" s="166">
        <v>34112975.030000001</v>
      </c>
      <c r="V30" s="166">
        <v>34071677.227600001</v>
      </c>
      <c r="W30" s="166">
        <v>35715504.969999999</v>
      </c>
      <c r="X30" s="118">
        <v>0.95397439448831067</v>
      </c>
      <c r="Y30" s="118">
        <v>0.99878938139040407</v>
      </c>
      <c r="Z30" s="120">
        <f>IFERROR(U30/O30,"")</f>
        <v>0.47246873550498569</v>
      </c>
      <c r="AA30" s="120">
        <f>IFERROR(V30/O30,"")</f>
        <v>0.47189675606133108</v>
      </c>
      <c r="AB30" s="174" t="s">
        <v>91</v>
      </c>
    </row>
    <row r="31" spans="1:28" ht="24.5" hidden="1" outlineLevel="1" collapsed="1" x14ac:dyDescent="0.35">
      <c r="A31" s="110" t="s">
        <v>215</v>
      </c>
      <c r="B31" s="168" t="s">
        <v>215</v>
      </c>
      <c r="C31" s="169" t="str" cm="1">
        <f t="array" ref="C31">IFERROR(_xlfn.SWITCH(C30,-1,"i",0,"g",1,"h"),"")</f>
        <v>g</v>
      </c>
      <c r="D31" s="112" t="s">
        <v>215</v>
      </c>
      <c r="E31" s="112" t="s">
        <v>215</v>
      </c>
      <c r="F31" s="115" t="s">
        <v>215</v>
      </c>
      <c r="G31" s="115" t="s">
        <v>215</v>
      </c>
      <c r="H31" s="115" t="s">
        <v>215</v>
      </c>
      <c r="I31" s="115" t="s">
        <v>215</v>
      </c>
      <c r="J31" s="115" t="s">
        <v>215</v>
      </c>
      <c r="K31" s="115" t="s">
        <v>215</v>
      </c>
      <c r="L31" s="168" t="s">
        <v>215</v>
      </c>
      <c r="M31" s="169" t="str" cm="1">
        <f t="array" ref="M31">IFERROR(_xlfn.SWITCH(M30,-1,"i",0,"g",1,"h"),"")</f>
        <v>g</v>
      </c>
      <c r="N31" s="115" t="s">
        <v>215</v>
      </c>
      <c r="O31" s="115" t="s">
        <v>215</v>
      </c>
      <c r="P31" s="115" t="s">
        <v>215</v>
      </c>
      <c r="Q31" s="115" t="s">
        <v>215</v>
      </c>
      <c r="R31" s="115" t="s">
        <v>215</v>
      </c>
      <c r="S31" s="115" t="s">
        <v>215</v>
      </c>
      <c r="T31" s="115" t="s">
        <v>215</v>
      </c>
      <c r="U31" s="115" t="s">
        <v>215</v>
      </c>
      <c r="V31" s="115" t="s">
        <v>215</v>
      </c>
      <c r="W31" s="115" t="s">
        <v>215</v>
      </c>
      <c r="X31" s="170" t="s">
        <v>215</v>
      </c>
      <c r="Y31" s="170" t="s">
        <v>215</v>
      </c>
      <c r="Z31" s="115" t="s">
        <v>215</v>
      </c>
      <c r="AA31" s="115" t="s">
        <v>215</v>
      </c>
      <c r="AB31" s="173" t="s">
        <v>215</v>
      </c>
    </row>
    <row r="32" spans="1:28" ht="17.25" customHeight="1" collapsed="1" x14ac:dyDescent="0.35">
      <c r="A32" s="737"/>
      <c r="B32" s="738"/>
      <c r="C32" s="738"/>
      <c r="D32" s="738"/>
      <c r="E32" s="738"/>
      <c r="F32" s="738"/>
      <c r="G32" s="738"/>
      <c r="H32" s="738"/>
      <c r="I32" s="738"/>
      <c r="J32" s="738"/>
      <c r="K32" s="738"/>
      <c r="L32" s="738"/>
      <c r="M32" s="738"/>
      <c r="N32" s="738"/>
      <c r="O32" s="738"/>
      <c r="P32" s="738"/>
      <c r="Q32" s="738"/>
      <c r="R32" s="738"/>
      <c r="S32" s="738"/>
      <c r="T32" s="738"/>
      <c r="U32" s="738"/>
      <c r="V32" s="738"/>
      <c r="W32" s="738"/>
      <c r="X32" s="738"/>
      <c r="Y32" s="738"/>
      <c r="Z32" s="738"/>
      <c r="AA32" s="738"/>
      <c r="AB32" s="739"/>
    </row>
    <row r="33" spans="1:28" ht="8.25" customHeight="1" x14ac:dyDescent="0.35">
      <c r="A33" s="735" t="s">
        <v>215</v>
      </c>
      <c r="B33" s="736"/>
      <c r="C33" s="736"/>
      <c r="D33" s="736"/>
      <c r="E33" s="736"/>
      <c r="F33" s="736"/>
      <c r="G33" s="736"/>
      <c r="H33" s="736"/>
      <c r="I33" s="736"/>
      <c r="J33" s="736"/>
      <c r="K33" s="736"/>
      <c r="L33" s="736"/>
      <c r="M33" s="736"/>
      <c r="N33" s="736"/>
      <c r="O33" s="736"/>
      <c r="P33" s="736"/>
      <c r="Q33" s="736"/>
      <c r="R33" s="736"/>
      <c r="S33" s="736"/>
      <c r="T33" s="736"/>
      <c r="U33" s="736"/>
      <c r="V33" s="736"/>
      <c r="W33" s="736"/>
      <c r="X33" s="736"/>
      <c r="Y33" s="736"/>
      <c r="Z33" s="736"/>
      <c r="AA33" s="736"/>
      <c r="AB33" s="736"/>
    </row>
    <row r="34" spans="1:28" ht="16" collapsed="1" x14ac:dyDescent="0.35">
      <c r="A34" s="110" t="s">
        <v>279</v>
      </c>
      <c r="B34" s="167" t="s">
        <v>215</v>
      </c>
      <c r="C34" s="165" t="s">
        <v>215</v>
      </c>
      <c r="D34" s="112">
        <v>0</v>
      </c>
      <c r="E34" s="113" t="s">
        <v>215</v>
      </c>
      <c r="F34" s="166">
        <v>0</v>
      </c>
      <c r="G34" s="166">
        <v>0</v>
      </c>
      <c r="H34" s="114" t="s">
        <v>215</v>
      </c>
      <c r="I34" s="114" t="s">
        <v>215</v>
      </c>
      <c r="J34" s="166">
        <v>0</v>
      </c>
      <c r="K34" s="166">
        <v>17393000</v>
      </c>
      <c r="L34" s="174" t="s">
        <v>215</v>
      </c>
      <c r="M34" s="165" t="s">
        <v>215</v>
      </c>
      <c r="N34" s="116" t="s">
        <v>215</v>
      </c>
      <c r="O34" s="166">
        <v>0</v>
      </c>
      <c r="P34" s="166">
        <v>440545251.13999999</v>
      </c>
      <c r="Q34" s="166">
        <v>-38586.910000000003</v>
      </c>
      <c r="R34" s="114" t="s">
        <v>215</v>
      </c>
      <c r="S34" s="114" t="s">
        <v>215</v>
      </c>
      <c r="T34" s="117">
        <v>0</v>
      </c>
      <c r="U34" s="166">
        <v>8472460.9399999995</v>
      </c>
      <c r="V34" s="166">
        <v>7821773.4381999997</v>
      </c>
      <c r="W34" s="166">
        <v>5122236.79</v>
      </c>
      <c r="X34" s="118">
        <v>1.5270230094536492</v>
      </c>
      <c r="Y34" s="118">
        <v>0.92319970473655555</v>
      </c>
      <c r="Z34" s="120" t="str">
        <f>IFERROR(U34/O34,"")</f>
        <v/>
      </c>
      <c r="AA34" s="120" t="str">
        <f>IFERROR(V34/O34,"")</f>
        <v/>
      </c>
      <c r="AB34" s="174" t="s">
        <v>215</v>
      </c>
    </row>
    <row r="35" spans="1:28" ht="24.5" hidden="1" outlineLevel="1" collapsed="1" x14ac:dyDescent="0.35">
      <c r="A35" s="110" t="s">
        <v>215</v>
      </c>
      <c r="B35" s="168" t="s">
        <v>215</v>
      </c>
      <c r="C35" s="169" t="str" cm="1">
        <f t="array" ref="C35">IFERROR(_xlfn.SWITCH(C34,-1,"i",0,"g",1,"h"),"")</f>
        <v/>
      </c>
      <c r="D35" s="112" t="s">
        <v>215</v>
      </c>
      <c r="E35" s="112" t="s">
        <v>215</v>
      </c>
      <c r="F35" s="115" t="s">
        <v>215</v>
      </c>
      <c r="G35" s="115" t="s">
        <v>215</v>
      </c>
      <c r="H35" s="115" t="s">
        <v>215</v>
      </c>
      <c r="I35" s="115" t="s">
        <v>215</v>
      </c>
      <c r="J35" s="115" t="s">
        <v>215</v>
      </c>
      <c r="K35" s="115" t="s">
        <v>215</v>
      </c>
      <c r="L35" s="168" t="s">
        <v>215</v>
      </c>
      <c r="M35" s="169" t="str" cm="1">
        <f t="array" ref="M35">IFERROR(_xlfn.SWITCH(M34,-1,"i",0,"g",1,"h"),"")</f>
        <v/>
      </c>
      <c r="N35" s="115" t="s">
        <v>215</v>
      </c>
      <c r="O35" s="115" t="s">
        <v>215</v>
      </c>
      <c r="P35" s="115" t="s">
        <v>215</v>
      </c>
      <c r="Q35" s="115" t="s">
        <v>215</v>
      </c>
      <c r="R35" s="115" t="s">
        <v>215</v>
      </c>
      <c r="S35" s="115" t="s">
        <v>215</v>
      </c>
      <c r="T35" s="115" t="s">
        <v>215</v>
      </c>
      <c r="U35" s="115" t="s">
        <v>215</v>
      </c>
      <c r="V35" s="115" t="s">
        <v>215</v>
      </c>
      <c r="W35" s="115" t="s">
        <v>215</v>
      </c>
      <c r="X35" s="170" t="s">
        <v>215</v>
      </c>
      <c r="Y35" s="170" t="s">
        <v>215</v>
      </c>
      <c r="Z35" s="115" t="s">
        <v>215</v>
      </c>
      <c r="AA35" s="115" t="s">
        <v>215</v>
      </c>
      <c r="AB35" s="173" t="s">
        <v>215</v>
      </c>
    </row>
    <row r="36" spans="1:28" ht="17.25" customHeight="1" collapsed="1" x14ac:dyDescent="0.35">
      <c r="A36" s="737"/>
      <c r="B36" s="738"/>
      <c r="C36" s="738"/>
      <c r="D36" s="738"/>
      <c r="E36" s="738"/>
      <c r="F36" s="738"/>
      <c r="G36" s="738"/>
      <c r="H36" s="738"/>
      <c r="I36" s="738"/>
      <c r="J36" s="738"/>
      <c r="K36" s="738"/>
      <c r="L36" s="738"/>
      <c r="M36" s="738"/>
      <c r="N36" s="738"/>
      <c r="O36" s="738"/>
      <c r="P36" s="738"/>
      <c r="Q36" s="738"/>
      <c r="R36" s="738"/>
      <c r="S36" s="738"/>
      <c r="T36" s="738"/>
      <c r="U36" s="738"/>
      <c r="V36" s="738"/>
      <c r="W36" s="738"/>
      <c r="X36" s="738"/>
      <c r="Y36" s="738"/>
      <c r="Z36" s="738"/>
      <c r="AA36" s="738"/>
      <c r="AB36" s="739"/>
    </row>
    <row r="37" spans="1:28" ht="8.25" customHeight="1" x14ac:dyDescent="0.35">
      <c r="A37" s="735" t="s">
        <v>215</v>
      </c>
      <c r="B37" s="736"/>
      <c r="C37" s="736"/>
      <c r="D37" s="736"/>
      <c r="E37" s="736"/>
      <c r="F37" s="736"/>
      <c r="G37" s="736"/>
      <c r="H37" s="736"/>
      <c r="I37" s="736"/>
      <c r="J37" s="736"/>
      <c r="K37" s="736"/>
      <c r="L37" s="736"/>
      <c r="M37" s="736"/>
      <c r="N37" s="736"/>
      <c r="O37" s="736"/>
      <c r="P37" s="736"/>
      <c r="Q37" s="736"/>
      <c r="R37" s="736"/>
      <c r="S37" s="736"/>
      <c r="T37" s="736"/>
      <c r="U37" s="736"/>
      <c r="V37" s="736"/>
      <c r="W37" s="736"/>
      <c r="X37" s="736"/>
      <c r="Y37" s="736"/>
      <c r="Z37" s="736"/>
      <c r="AA37" s="736"/>
      <c r="AB37" s="736"/>
    </row>
    <row r="38" spans="1:28" ht="8.25" customHeight="1" x14ac:dyDescent="0.35">
      <c r="A38" s="735" t="s">
        <v>215</v>
      </c>
      <c r="B38" s="736"/>
      <c r="C38" s="736"/>
      <c r="D38" s="736"/>
      <c r="E38" s="736"/>
      <c r="F38" s="736"/>
      <c r="G38" s="736"/>
      <c r="H38" s="736"/>
      <c r="I38" s="736"/>
      <c r="J38" s="736"/>
      <c r="K38" s="736"/>
      <c r="L38" s="736"/>
      <c r="M38" s="736"/>
      <c r="N38" s="736"/>
      <c r="O38" s="736"/>
      <c r="P38" s="736"/>
      <c r="Q38" s="736"/>
      <c r="R38" s="736"/>
      <c r="S38" s="736"/>
      <c r="T38" s="736"/>
      <c r="U38" s="736"/>
      <c r="V38" s="736"/>
      <c r="W38" s="736"/>
      <c r="X38" s="736"/>
      <c r="Y38" s="736"/>
      <c r="Z38" s="736"/>
      <c r="AA38" s="736"/>
      <c r="AB38" s="736"/>
    </row>
  </sheetData>
  <customSheetViews>
    <customSheetView guid="{7E571F1D-D438-4605-90D6-3F831F76D652}" scale="57" hiddenRows="1" state="hidden">
      <pane xSplit="1" ySplit="5" topLeftCell="B6" activePane="bottomRight" state="frozen"/>
      <selection pane="bottomRight" activeCell="B6" sqref="B6"/>
      <pageMargins left="0.7" right="0.7" top="0.75" bottom="0.75" header="0.3" footer="0.3"/>
    </customSheetView>
    <customSheetView guid="{466708C2-41CE-4656-AB81-E1E49DF5945D}" scale="57" hiddenRows="1" state="hidden">
      <pane xSplit="1.4942528735632183" ySplit="5" topLeftCell="B6" activePane="bottomRight" state="frozen"/>
      <selection pane="bottomRight" activeCell="B6" sqref="B6"/>
      <pageMargins left="0.7" right="0.7" top="0.75" bottom="0.75" header="0.3" footer="0.3"/>
    </customSheetView>
    <customSheetView guid="{B84DA703-8C5B-4100-91A4-8807E303D379}" scale="57" hiddenRows="1" state="hidden">
      <pane xSplit="1" ySplit="5" topLeftCell="B6" activePane="bottomRight" state="frozen"/>
      <selection pane="bottomRight" activeCell="B6" sqref="B6"/>
      <pageMargins left="0.7" right="0.7" top="0.75" bottom="0.75" header="0.3" footer="0.3"/>
    </customSheetView>
    <customSheetView guid="{527A2BDE-37CE-4B02-9F2C-CD7E7AC81C63}" scale="57" hiddenRows="1" state="hidden">
      <pane xSplit="1" ySplit="5" topLeftCell="B6" activePane="bottomRight" state="frozen"/>
      <selection pane="bottomRight" activeCell="B6" sqref="B6"/>
      <pageMargins left="0.7" right="0.7" top="0.75" bottom="0.75" header="0.3" footer="0.3"/>
    </customSheetView>
    <customSheetView guid="{BDCD1595-C0B8-4F6C-B01C-3472C895B827}" scale="57" hiddenRows="1" state="hidden">
      <pane xSplit="1" ySplit="5" topLeftCell="B6" activePane="bottomRight" state="frozen"/>
      <selection pane="bottomRight" activeCell="B6" sqref="B6"/>
      <pageMargins left="0.7" right="0.7" top="0.75" bottom="0.75" header="0.3" footer="0.3"/>
    </customSheetView>
    <customSheetView guid="{C57A83F1-F5A3-470B-9579-6A222C54F4E8}" scale="57" hiddenRows="1" state="hidden">
      <pane xSplit="1" ySplit="5" topLeftCell="B6" activePane="bottomRight" state="frozen"/>
      <selection pane="bottomRight" activeCell="B6" sqref="B6"/>
      <pageMargins left="0.7" right="0.7" top="0.75" bottom="0.75" header="0.3" footer="0.3"/>
    </customSheetView>
    <customSheetView guid="{3827E543-57D2-48C8-B786-7077EA079DD2}" scale="57" hiddenRows="1" state="hidden">
      <pane xSplit="1.4942528735632183" ySplit="5" topLeftCell="B6" activePane="bottomRight" state="frozen"/>
      <selection pane="bottomRight" activeCell="B6" sqref="B6"/>
      <pageMargins left="0.7" right="0.7" top="0.75" bottom="0.75" header="0.3" footer="0.3"/>
    </customSheetView>
    <customSheetView guid="{F5FA2A23-9E46-4C2F-B1EE-B71787F95C57}" scale="57" hiddenRows="1" state="hidden">
      <pane xSplit="1" ySplit="5" topLeftCell="B6" activePane="bottomRight" state="frozen"/>
      <selection pane="bottomRight" activeCell="B6" sqref="B6"/>
      <pageMargins left="0.7" right="0.7" top="0.75" bottom="0.75" header="0.3" footer="0.3"/>
    </customSheetView>
    <customSheetView guid="{42B0E8B1-ADFA-49AE-A83B-82D384737703}" scale="57" hiddenRows="1" state="hidden">
      <pane xSplit="1" ySplit="5" topLeftCell="B6" activePane="bottomRight" state="frozen"/>
      <selection pane="bottomRight" activeCell="B6" sqref="B6"/>
      <pageMargins left="0.7" right="0.7" top="0.75" bottom="0.75" header="0.3" footer="0.3"/>
    </customSheetView>
    <customSheetView guid="{602520CD-F98C-43A6-AA0D-88893E9CB6E8}" scale="57" hiddenRows="1" state="hidden">
      <pane xSplit="1.2529411764705882" ySplit="5.4749999999999996" topLeftCell="B6" activePane="bottomRight" state="frozen"/>
      <selection pane="bottomRight" activeCell="B6" sqref="B6"/>
      <pageMargins left="0.7" right="0.7" top="0.75" bottom="0.75" header="0.3" footer="0.3"/>
    </customSheetView>
    <customSheetView guid="{B8317A9A-0FFD-4A18-80F7-203DB2FC8CA5}" scale="57" hiddenRows="1" state="hidden">
      <pane xSplit="1.4942528735632183" ySplit="5" topLeftCell="B6" activePane="bottomRight" state="frozen"/>
      <selection pane="bottomRight" activeCell="B6" sqref="B6"/>
      <pageMargins left="0.7" right="0.7" top="0.75" bottom="0.75" header="0.3" footer="0.3"/>
    </customSheetView>
    <customSheetView guid="{2608BE9B-66AC-4D4C-8EE0-E88C94E88140}" scale="57" hiddenRows="1" state="hidden">
      <pane xSplit="1.2529411764705882" ySplit="5.4749999999999996" topLeftCell="B6" activePane="bottomRight" state="frozen"/>
      <selection pane="bottomRight" activeCell="B6" sqref="B6"/>
      <pageMargins left="0.7" right="0.7" top="0.75" bottom="0.75" header="0.3" footer="0.3"/>
    </customSheetView>
    <customSheetView guid="{D850720D-4A1C-48F2-8E1D-8E09B7414A1A}" scale="57" hiddenRows="1" state="hidden">
      <pane xSplit="1" ySplit="5" topLeftCell="B6" activePane="bottomRight" state="frozen"/>
      <selection pane="bottomRight" activeCell="B6" sqref="B6"/>
      <pageMargins left="0.7" right="0.7" top="0.75" bottom="0.75" header="0.3" footer="0.3"/>
    </customSheetView>
    <customSheetView guid="{A8E976B8-D767-4DB4-82BD-ABE90880F33F}" scale="57" hiddenRows="1" state="hidden">
      <pane xSplit="1" ySplit="5" topLeftCell="B6" activePane="bottomRight" state="frozen"/>
      <selection pane="bottomRight" activeCell="B6" sqref="B6"/>
      <pageMargins left="0.7" right="0.7" top="0.75" bottom="0.75" header="0.3" footer="0.3"/>
    </customSheetView>
    <customSheetView guid="{B95D32C7-1418-4EF6-8936-849885C54A4A}" scale="57" hiddenRows="1" state="hidden">
      <pane xSplit="1" ySplit="5" topLeftCell="B6" activePane="bottomRight" state="frozen"/>
      <selection pane="bottomRight" activeCell="B6" sqref="B6"/>
      <pageMargins left="0.7" right="0.7" top="0.75" bottom="0.75" header="0.3" footer="0.3"/>
    </customSheetView>
    <customSheetView guid="{9355C9F4-9C07-4A93-B7F2-69F1D1526716}" scale="57" hiddenRows="1" state="hidden">
      <pane xSplit="1" ySplit="5" topLeftCell="B6" activePane="bottomRight" state="frozen"/>
      <selection pane="bottomRight" activeCell="B6" sqref="B6"/>
      <pageMargins left="0.7" right="0.7" top="0.75" bottom="0.75" header="0.3" footer="0.3"/>
    </customSheetView>
    <customSheetView guid="{1ECD6E30-299B-4354-A416-2DAFF33C7022}" scale="57" hiddenRows="1" state="hidden">
      <pane xSplit="1" ySplit="5" topLeftCell="B6" activePane="bottomRight" state="frozen"/>
      <selection pane="bottomRight" activeCell="B6" sqref="B6"/>
      <pageMargins left="0.7" right="0.7" top="0.75" bottom="0.75" header="0.3" footer="0.3"/>
    </customSheetView>
    <customSheetView guid="{9AF6E233-883D-48B4-95AB-42B37199AB9E}" scale="57" hiddenRows="1" state="hidden">
      <pane xSplit="1" ySplit="5" topLeftCell="B6" activePane="bottomRight" state="frozen"/>
      <selection pane="bottomRight" activeCell="B6" sqref="B6"/>
      <pageMargins left="0.7" right="0.7" top="0.75" bottom="0.75" header="0.3" footer="0.3"/>
    </customSheetView>
    <customSheetView guid="{451730E2-FFE9-4FCE-B8B5-64952C26C672}" scale="57" hiddenRows="1" state="hidden">
      <pane xSplit="1" ySplit="5" topLeftCell="B6" activePane="bottomRight" state="frozen"/>
      <selection pane="bottomRight" activeCell="B6" sqref="B6"/>
      <pageMargins left="0.7" right="0.7" top="0.75" bottom="0.75" header="0.3" footer="0.3"/>
    </customSheetView>
    <customSheetView guid="{4EBEE699-7DEF-4A50-9CB7-490835CF0B98}" scale="57" hiddenRows="1" state="hidden">
      <pane xSplit="1" ySplit="5" topLeftCell="B6" activePane="bottomRight" state="frozen"/>
      <selection pane="bottomRight" activeCell="B6" sqref="B6"/>
      <pageMargins left="0.7" right="0.7" top="0.75" bottom="0.75" header="0.3" footer="0.3"/>
    </customSheetView>
    <customSheetView guid="{A03C6B09-6B58-4DDE-A3B2-41A27A7049D9}" scale="57" hiddenRows="1" state="hidden">
      <pane xSplit="1" ySplit="5" topLeftCell="B6" activePane="bottomRight" state="frozen"/>
      <selection pane="bottomRight" activeCell="B6" sqref="B6"/>
      <pageMargins left="0.7" right="0.7" top="0.75" bottom="0.75" header="0.3" footer="0.3"/>
    </customSheetView>
    <customSheetView guid="{3C97F0B0-2F3C-4E03-96E0-0C4FEC2F24AC}" scale="57" hiddenRows="1" state="hidden">
      <pane xSplit="1" ySplit="5" topLeftCell="B6" activePane="bottomRight" state="frozen"/>
      <selection pane="bottomRight" activeCell="B6" sqref="B6"/>
      <pageMargins left="0.7" right="0.7" top="0.75" bottom="0.75" header="0.3" footer="0.3"/>
    </customSheetView>
    <customSheetView guid="{B0A28FD4-D7F6-428C-A7F7-92132DCD74BB}" scale="57" hiddenRows="1" state="hidden">
      <pane xSplit="1" ySplit="5" topLeftCell="B6" activePane="bottomRight" state="frozen"/>
      <selection pane="bottomRight" activeCell="B6" sqref="B6"/>
      <pageMargins left="0.7" right="0.7" top="0.75" bottom="0.75" header="0.3" footer="0.3"/>
    </customSheetView>
    <customSheetView guid="{3BB18945-69B5-4B22-8D55-989F8F233459}" scale="57" hiddenRows="1" state="hidden">
      <pane xSplit="1" ySplit="5" topLeftCell="B6" activePane="bottomRight" state="frozen"/>
      <selection pane="bottomRight" activeCell="B6" sqref="B6"/>
      <pageMargins left="0.7" right="0.7" top="0.75" bottom="0.75" header="0.3" footer="0.3"/>
    </customSheetView>
    <customSheetView guid="{D16D941B-FC89-4FEC-A49B-5FA2532584DE}" scale="57" hiddenRows="1" state="hidden">
      <pane xSplit="1" ySplit="5" topLeftCell="B6" activePane="bottomRight" state="frozen"/>
      <selection pane="bottomRight" activeCell="B6" sqref="B6"/>
      <pageMargins left="0.7" right="0.7" top="0.75" bottom="0.75" header="0.3" footer="0.3"/>
    </customSheetView>
    <customSheetView guid="{C39AE06A-FC0A-4D7D-B287-2FA9CA174191}" scale="57" hiddenRows="1" state="hidden">
      <pane xSplit="1" ySplit="5" topLeftCell="B6" activePane="bottomRight" state="frozen"/>
      <selection pane="bottomRight" activeCell="B6" sqref="B6"/>
      <pageMargins left="0.7" right="0.7" top="0.75" bottom="0.75" header="0.3" footer="0.3"/>
    </customSheetView>
    <customSheetView guid="{4E6F9C2D-76F2-4884-BBF6-E02A7BAE11EF}" scale="57" hiddenRows="1" state="hidden">
      <pane xSplit="1" ySplit="5" topLeftCell="B6" activePane="bottomRight" state="frozen"/>
      <selection pane="bottomRight" activeCell="B6" sqref="B6"/>
      <pageMargins left="0.7" right="0.7" top="0.75" bottom="0.75" header="0.3" footer="0.3"/>
    </customSheetView>
    <customSheetView guid="{008CCD98-7480-4C51-806A-4B55C801DDC2}" scale="57" hiddenRows="1" state="hidden">
      <pane xSplit="1.5" ySplit="5.9743589743589745" topLeftCell="B6" activePane="bottomRight" state="frozen"/>
      <selection pane="bottomRight" activeCell="B6" sqref="B6"/>
      <pageMargins left="0.7" right="0.7" top="0.75" bottom="0.75" header="0.3" footer="0.3"/>
    </customSheetView>
    <customSheetView guid="{D27C51BB-BB54-4F37-8171-98067C39697C}" scale="57" hiddenRows="1" state="hidden">
      <pane xSplit="1" ySplit="5" topLeftCell="B6" activePane="bottomRight" state="frozen"/>
      <selection pane="bottomRight" activeCell="B6" sqref="B6"/>
      <pageMargins left="0.7" right="0.7" top="0.75" bottom="0.75" header="0.3" footer="0.3"/>
    </customSheetView>
    <customSheetView guid="{6702457D-A9A8-4F46-8E1C-BC7255F4BA77}" scale="57" hiddenRows="1" state="hidden">
      <pane xSplit="1" ySplit="5" topLeftCell="B6" activePane="bottomRight" state="frozen"/>
      <selection pane="bottomRight" activeCell="B6" sqref="B6"/>
      <pageMargins left="0.7" right="0.7" top="0.75" bottom="0.75" header="0.3" footer="0.3"/>
    </customSheetView>
    <customSheetView guid="{016CEBB2-C827-48F4-95E1-85D8C5129F41}" scale="57" hiddenRows="1" state="hidden">
      <pane xSplit="1" ySplit="5" topLeftCell="B6" activePane="bottomRight" state="frozen"/>
      <selection pane="bottomRight" activeCell="B6" sqref="B6"/>
      <pageMargins left="0.7" right="0.7" top="0.75" bottom="0.75" header="0.3" footer="0.3"/>
    </customSheetView>
    <customSheetView guid="{EB96DBE4-2D64-4388-853C-CB52A0CB79BA}" scale="57" hiddenRows="1" state="hidden">
      <pane xSplit="1" ySplit="5" topLeftCell="B6" activePane="bottomRight" state="frozen"/>
      <selection pane="bottomRight" activeCell="B6" sqref="B6"/>
      <pageMargins left="0.7" right="0.7" top="0.75" bottom="0.75" header="0.3" footer="0.3"/>
    </customSheetView>
    <customSheetView guid="{351EFD38-BF62-4E34-A37F-0EEB3E165043}" scale="57" hiddenRows="1" state="hidden">
      <pane xSplit="1" ySplit="5" topLeftCell="B6" activePane="bottomRight" state="frozen"/>
      <selection pane="bottomRight" activeCell="B6" sqref="B6"/>
      <pageMargins left="0.7" right="0.7" top="0.75" bottom="0.75" header="0.3" footer="0.3"/>
    </customSheetView>
    <customSheetView guid="{593284E7-E32C-4D6C-8C2F-3DEEF9DEE1DF}" scale="57" hiddenRows="1" state="hidden">
      <pane xSplit="1" ySplit="5" topLeftCell="B6" activePane="bottomRight" state="frozen"/>
      <selection pane="bottomRight" activeCell="B6" sqref="B6"/>
      <pageMargins left="0.7" right="0.7" top="0.75" bottom="0.75" header="0.3" footer="0.3"/>
    </customSheetView>
    <customSheetView guid="{E06B4FE8-6127-47B2-A6A5-4FAC9EEB4538}" scale="57" hiddenRows="1" state="hidden">
      <pane xSplit="1.2529411764705882" ySplit="5.4749999999999996" topLeftCell="B6" activePane="bottomRight" state="frozen"/>
      <selection pane="bottomRight" activeCell="B6" sqref="B6"/>
      <pageMargins left="0.7" right="0.7" top="0.75" bottom="0.75" header="0.3" footer="0.3"/>
    </customSheetView>
    <customSheetView guid="{51B3083F-A103-41AB-A137-63549C54B838}" scale="57" hiddenRows="1" state="hidden">
      <pane xSplit="1" ySplit="5" topLeftCell="B6" activePane="bottomRight" state="frozen"/>
      <selection pane="bottomRight" activeCell="B6" sqref="B6"/>
      <pageMargins left="0.7" right="0.7" top="0.75" bottom="0.75" header="0.3" footer="0.3"/>
    </customSheetView>
    <customSheetView guid="{8CB67476-3FD4-42E0-ACD6-62ACA9412843}" scale="57" hiddenRows="1" state="hidden">
      <pane xSplit="1" ySplit="5" topLeftCell="B6" activePane="bottomRight" state="frozen"/>
      <selection pane="bottomRight" activeCell="B6" sqref="B6"/>
      <pageMargins left="0.7" right="0.7" top="0.75" bottom="0.75" header="0.3" footer="0.3"/>
    </customSheetView>
    <customSheetView guid="{151EB58C-4EFD-4330-8D1A-8AACF5F7C679}" scale="57" hiddenRows="1" state="hidden">
      <pane xSplit="1" ySplit="5" topLeftCell="B6" activePane="bottomRight" state="frozen"/>
      <selection pane="bottomRight" activeCell="B6" sqref="B6"/>
      <pageMargins left="0.7" right="0.7" top="0.75" bottom="0.75" header="0.3" footer="0.3"/>
    </customSheetView>
    <customSheetView guid="{8263C9D2-452D-46FA-AFA0-452B42DC0298}" scale="57" hiddenRows="1" state="hidden">
      <pane xSplit="1" ySplit="5" topLeftCell="B6" activePane="bottomRight" state="frozen"/>
      <selection pane="bottomRight" activeCell="B6" sqref="B6"/>
      <pageMargins left="0.7" right="0.7" top="0.75" bottom="0.75" header="0.3" footer="0.3"/>
    </customSheetView>
    <customSheetView guid="{DF265C7B-1EEB-47EB-982A-6938E81F7AC2}" scale="57" hiddenRows="1" state="hidden">
      <pane xSplit="1" ySplit="5" topLeftCell="B6" activePane="bottomRight" state="frozen"/>
      <selection pane="bottomRight" activeCell="B6" sqref="B6"/>
      <pageMargins left="0.7" right="0.7" top="0.75" bottom="0.75" header="0.3" footer="0.3"/>
    </customSheetView>
    <customSheetView guid="{9F91FBC4-6A13-42C2-A2D9-42A2AC814E28}" scale="57" hiddenRows="1" state="hidden">
      <pane xSplit="1" ySplit="5" topLeftCell="B6" activePane="bottomRight" state="frozen"/>
      <selection pane="bottomRight" activeCell="B6" sqref="B6"/>
      <pageMargins left="0.7" right="0.7" top="0.75" bottom="0.75" header="0.3" footer="0.3"/>
    </customSheetView>
    <customSheetView guid="{F4A6298C-1A75-4FA9-A6A4-2BE13CCFE545}" scale="57" hiddenRows="1" state="hidden">
      <pane xSplit="1" ySplit="5" topLeftCell="B6" activePane="bottomRight" state="frozen"/>
      <selection pane="bottomRight" activeCell="B6" sqref="B6"/>
      <pageMargins left="0.7" right="0.7" top="0.75" bottom="0.75" header="0.3" footer="0.3"/>
    </customSheetView>
    <customSheetView guid="{29AC9BE3-332A-4738-949C-1F8C0D32BAEE}" scale="57" hiddenRows="1" state="hidden">
      <pane xSplit="1" ySplit="5" topLeftCell="B6" activePane="bottomRight" state="frozen"/>
      <selection pane="bottomRight" activeCell="B6" sqref="B6"/>
      <pageMargins left="0.7" right="0.7" top="0.75" bottom="0.75" header="0.3" footer="0.3"/>
    </customSheetView>
    <customSheetView guid="{75EE3B92-AF4D-4E93-A70E-6ADE60CC674F}" scale="57" hiddenRows="1" state="hidden">
      <pane xSplit="0.66923076923076918" ySplit="4.333333333333333" topLeftCell="B6" activePane="bottomRight" state="frozen"/>
      <selection pane="bottomRight" activeCell="B6" sqref="B6"/>
      <pageMargins left="0.7" right="0.7" top="0.75" bottom="0.75" header="0.3" footer="0.3"/>
    </customSheetView>
    <customSheetView guid="{CA7E8063-5145-49E1-8E00-2E1025705A81}" scale="57" hiddenRows="1" state="hidden">
      <pane xSplit="1" ySplit="5" topLeftCell="B6" activePane="bottomRight" state="frozen"/>
      <selection pane="bottomRight" activeCell="B6" sqref="B6"/>
      <pageMargins left="0.7" right="0.7" top="0.75" bottom="0.75" header="0.3" footer="0.3"/>
    </customSheetView>
    <customSheetView guid="{51DFD3D6-BC25-47B4-B28F-D640534DB3A9}" scale="57" hiddenRows="1" state="hidden">
      <pane xSplit="1" ySplit="5" topLeftCell="B6" activePane="bottomRight" state="frozen"/>
      <selection pane="bottomRight" activeCell="B6" sqref="B6"/>
      <pageMargins left="0.7" right="0.7" top="0.75" bottom="0.75" header="0.3" footer="0.3"/>
    </customSheetView>
    <customSheetView guid="{37F5A0AB-EB39-4832-9D67-F67D908BF486}" scale="57" hiddenRows="1" state="hidden">
      <pane xSplit="1" ySplit="5" topLeftCell="B6" activePane="bottomRight" state="frozen"/>
      <selection pane="bottomRight" activeCell="B6" sqref="B6"/>
      <pageMargins left="0.7" right="0.7" top="0.75" bottom="0.75" header="0.3" footer="0.3"/>
    </customSheetView>
    <customSheetView guid="{70582C04-BB53-4A99-A3C1-673011D9AE1C}" scale="57" hiddenRows="1" state="hidden">
      <pane xSplit="1" ySplit="5" topLeftCell="B6" activePane="bottomRight" state="frozen"/>
      <selection pane="bottomRight" activeCell="B6" sqref="B6"/>
      <pageMargins left="0.7" right="0.7" top="0.75" bottom="0.75" header="0.3" footer="0.3"/>
    </customSheetView>
    <customSheetView guid="{442F9A23-CA6E-4109-B10C-ACF5FD36B859}" scale="57" hiddenRows="1" state="hidden">
      <pane xSplit="1" ySplit="5" topLeftCell="B6" activePane="bottomRight" state="frozen"/>
      <selection pane="bottomRight" activeCell="B6" sqref="B6"/>
      <pageMargins left="0.7" right="0.7" top="0.75" bottom="0.75" header="0.3" footer="0.3"/>
    </customSheetView>
    <customSheetView guid="{E4713981-DD11-40CE-BE52-873D93BDDE05}" scale="57" hiddenRows="1" state="hidden">
      <pane xSplit="1" ySplit="5" topLeftCell="B6" activePane="bottomRight" state="frozen"/>
      <selection pane="bottomRight" activeCell="B6" sqref="B6"/>
      <pageMargins left="0.7" right="0.7" top="0.75" bottom="0.75" header="0.3" footer="0.3"/>
    </customSheetView>
    <customSheetView guid="{83044EFE-7F92-4F81-B034-85D9567158C2}" scale="57" hiddenRows="1" state="hidden">
      <pane xSplit="1" ySplit="5" topLeftCell="B6" activePane="bottomRight" state="frozen"/>
      <selection pane="bottomRight" activeCell="B6" sqref="B6"/>
      <pageMargins left="0.7" right="0.7" top="0.75" bottom="0.75" header="0.3" footer="0.3"/>
    </customSheetView>
    <customSheetView guid="{E3A3AE56-8881-4A6F-9299-803C489AD1B4}" scale="57" hiddenRows="1" state="hidden">
      <pane xSplit="1" ySplit="5" topLeftCell="B6" activePane="bottomRight" state="frozen"/>
      <selection pane="bottomRight" activeCell="B6" sqref="B6"/>
      <pageMargins left="0.7" right="0.7" top="0.75" bottom="0.75" header="0.3" footer="0.3"/>
    </customSheetView>
    <customSheetView guid="{FBC63E8F-69FE-4648-B709-FA1212EFFB29}" scale="57" hiddenRows="1" state="hidden">
      <pane xSplit="1" ySplit="5" topLeftCell="B6" activePane="bottomRight" state="frozen"/>
      <selection pane="bottomRight" activeCell="B6" sqref="B6"/>
      <pageMargins left="0.7" right="0.7" top="0.75" bottom="0.75" header="0.3" footer="0.3"/>
    </customSheetView>
    <customSheetView guid="{0EDA65D2-43FB-421C-9D8C-D8082C64B09A}" scale="57" hiddenRows="1" state="hidden">
      <pane xSplit="1" ySplit="5" topLeftCell="B6" activePane="bottomRight" state="frozen"/>
      <selection pane="bottomRight" activeCell="B6" sqref="B6"/>
      <pageMargins left="0.7" right="0.7" top="0.75" bottom="0.75" header="0.3" footer="0.3"/>
    </customSheetView>
    <customSheetView guid="{B434A8A8-5A4C-48C0-82E7-2458B9D2EEEF}" scale="57" hiddenRows="1" state="hidden">
      <pane xSplit="1" ySplit="5" topLeftCell="B6" activePane="bottomRight" state="frozen"/>
      <selection pane="bottomRight" activeCell="B6" sqref="B6"/>
      <pageMargins left="0.7" right="0.7" top="0.75" bottom="0.75" header="0.3" footer="0.3"/>
    </customSheetView>
    <customSheetView guid="{EDD5A64E-02C0-4DD6-80BA-449123FCDAA2}" scale="57" hiddenRows="1" state="hidden">
      <pane xSplit="1" ySplit="5" topLeftCell="B6" activePane="bottomRight" state="frozen"/>
      <selection pane="bottomRight" activeCell="B6" sqref="B6"/>
      <pageMargins left="0.7" right="0.7" top="0.75" bottom="0.75" header="0.3" footer="0.3"/>
    </customSheetView>
    <customSheetView guid="{97D58294-343B-4B62-A826-0DDDE29B5F0D}" scale="57" hiddenRows="1" state="hidden">
      <pane xSplit="1" ySplit="5" topLeftCell="B6" activePane="bottomRight" state="frozen"/>
      <selection pane="bottomRight" activeCell="B6" sqref="B6"/>
      <pageMargins left="0.7" right="0.7" top="0.75" bottom="0.75" header="0.3" footer="0.3"/>
    </customSheetView>
    <customSheetView guid="{800416AC-1374-44AC-811C-612C85EF24E6}" scale="57" hiddenRows="1" state="hidden">
      <pane xSplit="1" ySplit="5" topLeftCell="B6" activePane="bottomRight" state="frozen"/>
      <selection pane="bottomRight" activeCell="B6" sqref="B6"/>
      <pageMargins left="0.7" right="0.7" top="0.75" bottom="0.75" header="0.3" footer="0.3"/>
    </customSheetView>
    <customSheetView guid="{2EA8DBF7-9763-457C-AA9F-1EEB2F136D1F}" scale="57" hiddenRows="1" state="hidden">
      <pane xSplit="1" ySplit="5" topLeftCell="B6" activePane="bottomRight" state="frozen"/>
      <selection pane="bottomRight" activeCell="B6" sqref="B6"/>
      <pageMargins left="0.7" right="0.7" top="0.75" bottom="0.75" header="0.3" footer="0.3"/>
    </customSheetView>
    <customSheetView guid="{78AA4A71-CE17-4C4D-849E-E3E1A44EA907}" scale="57" hiddenRows="1" state="hidden">
      <pane xSplit="1" ySplit="5" topLeftCell="B6" activePane="bottomRight" state="frozen"/>
      <selection pane="bottomRight" activeCell="B6" sqref="B6"/>
      <pageMargins left="0.7" right="0.7" top="0.75" bottom="0.75" header="0.3" footer="0.3"/>
    </customSheetView>
    <customSheetView guid="{C7C13768-4A8D-4CBA-978C-F4A7B5550C00}" scale="57" hiddenRows="1" state="hidden">
      <pane xSplit="1" ySplit="5" topLeftCell="B6" activePane="bottomRight" state="frozen"/>
      <selection pane="bottomRight" activeCell="B6" sqref="B6"/>
      <pageMargins left="0.7" right="0.7" top="0.75" bottom="0.75" header="0.3" footer="0.3"/>
    </customSheetView>
    <customSheetView guid="{D59DDBAA-620D-43B7-A6D9-759808D3397A}" scale="57" hiddenRows="1" state="hidden">
      <pane xSplit="1" ySplit="5" topLeftCell="B6" activePane="bottomRight" state="frozen"/>
      <selection pane="bottomRight" activeCell="B6" sqref="B6"/>
      <pageMargins left="0.7" right="0.7" top="0.75" bottom="0.75" header="0.3" footer="0.3"/>
    </customSheetView>
  </customSheetViews>
  <mergeCells count="36">
    <mergeCell ref="A38:AB38"/>
    <mergeCell ref="A21:AB21"/>
    <mergeCell ref="A24:AB24"/>
    <mergeCell ref="A25:AB25"/>
    <mergeCell ref="A28:AB28"/>
    <mergeCell ref="A29:AB29"/>
    <mergeCell ref="A32:AB32"/>
    <mergeCell ref="A16:AB16"/>
    <mergeCell ref="A17:AB17"/>
    <mergeCell ref="A33:AB33"/>
    <mergeCell ref="A36:AB36"/>
    <mergeCell ref="A37:AB37"/>
    <mergeCell ref="A20:AB20"/>
    <mergeCell ref="L4:M4"/>
    <mergeCell ref="O4:Q4"/>
    <mergeCell ref="R4:T4"/>
    <mergeCell ref="Z4:AA4"/>
    <mergeCell ref="B5:C5"/>
    <mergeCell ref="D5:E5"/>
    <mergeCell ref="L5:M5"/>
    <mergeCell ref="A9:AB9"/>
    <mergeCell ref="A12:AB12"/>
    <mergeCell ref="A13:AB13"/>
    <mergeCell ref="B2:K2"/>
    <mergeCell ref="L2:AA2"/>
    <mergeCell ref="B3:C3"/>
    <mergeCell ref="D3:I3"/>
    <mergeCell ref="J3:K3"/>
    <mergeCell ref="L3:M3"/>
    <mergeCell ref="O3:T3"/>
    <mergeCell ref="U3:AA3"/>
    <mergeCell ref="A8:AB8"/>
    <mergeCell ref="B4:C4"/>
    <mergeCell ref="D4:E4"/>
    <mergeCell ref="F4:G4"/>
    <mergeCell ref="H4:I4"/>
  </mergeCells>
  <conditionalFormatting sqref="B6 L6 AB6 B10 L10 AB10 B14 L14 AB14 B18 L18 AB18 B22 L22 AB22 B26 L26 AB26 B30 L30 AB30 B34 AB34">
    <cfRule type="cellIs" dxfId="558" priority="7" operator="equal">
      <formula>"G"</formula>
    </cfRule>
    <cfRule type="cellIs" dxfId="557" priority="8" operator="equal">
      <formula>"R"</formula>
    </cfRule>
    <cfRule type="cellIs" dxfId="556" priority="9" operator="equal">
      <formula>"A"</formula>
    </cfRule>
  </conditionalFormatting>
  <conditionalFormatting sqref="L34">
    <cfRule type="cellIs" dxfId="555" priority="1" operator="equal">
      <formula>"G"</formula>
    </cfRule>
    <cfRule type="cellIs" dxfId="554" priority="2" operator="equal">
      <formula>"R"</formula>
    </cfRule>
    <cfRule type="cellIs" dxfId="553" priority="3" operator="equal">
      <formula>"A"</formula>
    </cfRule>
  </conditionalFormatting>
  <conditionalFormatting sqref="X6:Y6 X10:Y10 X14:Y14 X18:Y18 X22:Y22 X26:Y26 X30:Y30 X34:Y34">
    <cfRule type="cellIs" dxfId="552" priority="4" operator="between">
      <formula>0</formula>
      <formula>0.95</formula>
    </cfRule>
    <cfRule type="cellIs" dxfId="551" priority="5" operator="between">
      <formula>1</formula>
      <formula>0.95</formula>
    </cfRule>
    <cfRule type="cellIs" dxfId="550" priority="6" operator="greaterThanOrEqual">
      <formula>1</formula>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67AEA-DEAD-4658-9340-FC7B6FBA0917}">
  <sheetPr codeName="Sheet12"/>
  <dimension ref="A1:AB75"/>
  <sheetViews>
    <sheetView zoomScale="55" zoomScaleNormal="55" workbookViewId="0">
      <pane ySplit="5" topLeftCell="A50" activePane="bottomLeft" state="frozen"/>
      <selection pane="bottomLeft" activeCell="K62" sqref="K62"/>
    </sheetView>
  </sheetViews>
  <sheetFormatPr defaultColWidth="9.453125" defaultRowHeight="14.5" outlineLevelRow="1" x14ac:dyDescent="0.35"/>
  <cols>
    <col min="1" max="1" width="41.54296875" style="427" customWidth="1"/>
    <col min="2" max="2" width="10.453125" style="427" customWidth="1"/>
    <col min="3" max="3" width="9.453125" style="427" customWidth="1"/>
    <col min="4" max="4" width="13.54296875" style="427" customWidth="1"/>
    <col min="5" max="5" width="12.54296875" style="427" customWidth="1"/>
    <col min="6" max="6" width="13.54296875" style="427" customWidth="1"/>
    <col min="7" max="7" width="13" style="427" customWidth="1"/>
    <col min="8" max="8" width="12.54296875" style="427" customWidth="1"/>
    <col min="9" max="9" width="12.453125" style="427" customWidth="1"/>
    <col min="10" max="10" width="13.54296875" style="427" customWidth="1"/>
    <col min="11" max="11" width="13.453125" style="427" customWidth="1"/>
    <col min="12" max="13" width="9.453125" style="427"/>
    <col min="14" max="14" width="13.453125" style="427" customWidth="1"/>
    <col min="15" max="16" width="12.453125" style="427" customWidth="1"/>
    <col min="17" max="17" width="12.54296875" style="427" customWidth="1"/>
    <col min="18" max="18" width="12.453125" style="427" customWidth="1"/>
    <col min="19" max="19" width="12" style="427" customWidth="1"/>
    <col min="20" max="20" width="13.453125" style="427" customWidth="1"/>
    <col min="21" max="22" width="13.54296875" style="427" customWidth="1"/>
    <col min="23" max="23" width="13.453125" style="427" customWidth="1"/>
    <col min="24" max="24" width="8.54296875" style="427" customWidth="1"/>
    <col min="25" max="25" width="9" style="427" customWidth="1"/>
    <col min="26" max="26" width="13.54296875" style="427" customWidth="1"/>
    <col min="27" max="27" width="13.453125" style="427" customWidth="1"/>
    <col min="28" max="28" width="11.453125" style="427" customWidth="1"/>
    <col min="29" max="16384" width="9.453125" style="427"/>
  </cols>
  <sheetData>
    <row r="1" spans="1:28" ht="1.5" customHeight="1" x14ac:dyDescent="0.35"/>
    <row r="2" spans="1:28" x14ac:dyDescent="0.35">
      <c r="A2" s="277" t="s">
        <v>215</v>
      </c>
      <c r="B2" s="762" t="s">
        <v>216</v>
      </c>
      <c r="C2" s="738"/>
      <c r="D2" s="738"/>
      <c r="E2" s="738"/>
      <c r="F2" s="738"/>
      <c r="G2" s="738"/>
      <c r="H2" s="738"/>
      <c r="I2" s="738"/>
      <c r="J2" s="738"/>
      <c r="K2" s="739"/>
      <c r="L2" s="756" t="s">
        <v>69</v>
      </c>
      <c r="M2" s="738"/>
      <c r="N2" s="738"/>
      <c r="O2" s="738"/>
      <c r="P2" s="738"/>
      <c r="Q2" s="738"/>
      <c r="R2" s="738"/>
      <c r="S2" s="738"/>
      <c r="T2" s="738"/>
      <c r="U2" s="738"/>
      <c r="V2" s="738"/>
      <c r="W2" s="738"/>
      <c r="X2" s="738"/>
      <c r="Y2" s="738"/>
      <c r="Z2" s="738"/>
      <c r="AA2" s="739"/>
      <c r="AB2" s="278" t="s">
        <v>215</v>
      </c>
    </row>
    <row r="3" spans="1:28" x14ac:dyDescent="0.35">
      <c r="A3" s="279" t="s">
        <v>215</v>
      </c>
      <c r="B3" s="755" t="s">
        <v>215</v>
      </c>
      <c r="C3" s="753"/>
      <c r="D3" s="754" t="s">
        <v>48</v>
      </c>
      <c r="E3" s="738"/>
      <c r="F3" s="738"/>
      <c r="G3" s="738"/>
      <c r="H3" s="738"/>
      <c r="I3" s="739"/>
      <c r="J3" s="754" t="s">
        <v>30</v>
      </c>
      <c r="K3" s="739"/>
      <c r="L3" s="755" t="s">
        <v>215</v>
      </c>
      <c r="M3" s="753"/>
      <c r="N3" s="431" t="s">
        <v>215</v>
      </c>
      <c r="O3" s="754" t="s">
        <v>33</v>
      </c>
      <c r="P3" s="738"/>
      <c r="Q3" s="738"/>
      <c r="R3" s="738"/>
      <c r="S3" s="738"/>
      <c r="T3" s="739"/>
      <c r="U3" s="754" t="s">
        <v>217</v>
      </c>
      <c r="V3" s="738"/>
      <c r="W3" s="738"/>
      <c r="X3" s="738"/>
      <c r="Y3" s="738"/>
      <c r="Z3" s="738"/>
      <c r="AA3" s="739"/>
      <c r="AB3" s="280" t="s">
        <v>215</v>
      </c>
    </row>
    <row r="4" spans="1:28" ht="15.5" x14ac:dyDescent="0.35">
      <c r="A4" s="281" t="s">
        <v>215</v>
      </c>
      <c r="B4" s="751" t="s">
        <v>215</v>
      </c>
      <c r="C4" s="746"/>
      <c r="D4" s="752" t="s">
        <v>215</v>
      </c>
      <c r="E4" s="753"/>
      <c r="F4" s="756" t="s">
        <v>73</v>
      </c>
      <c r="G4" s="739"/>
      <c r="H4" s="756" t="s">
        <v>74</v>
      </c>
      <c r="I4" s="739"/>
      <c r="J4" s="282" t="s">
        <v>215</v>
      </c>
      <c r="K4" s="282" t="s">
        <v>215</v>
      </c>
      <c r="L4" s="760" t="s">
        <v>215</v>
      </c>
      <c r="M4" s="748"/>
      <c r="N4" s="430" t="s">
        <v>215</v>
      </c>
      <c r="O4" s="759" t="s">
        <v>73</v>
      </c>
      <c r="P4" s="738"/>
      <c r="Q4" s="739"/>
      <c r="R4" s="759" t="s">
        <v>74</v>
      </c>
      <c r="S4" s="738"/>
      <c r="T4" s="739"/>
      <c r="U4" s="428" t="s">
        <v>215</v>
      </c>
      <c r="V4" s="428" t="s">
        <v>215</v>
      </c>
      <c r="W4" s="428" t="s">
        <v>215</v>
      </c>
      <c r="X4" s="428" t="s">
        <v>215</v>
      </c>
      <c r="Y4" s="428" t="s">
        <v>215</v>
      </c>
      <c r="Z4" s="759" t="s">
        <v>80</v>
      </c>
      <c r="AA4" s="739"/>
      <c r="AB4" s="430" t="s">
        <v>215</v>
      </c>
    </row>
    <row r="5" spans="1:28" ht="50" x14ac:dyDescent="0.35">
      <c r="A5" s="283" t="s">
        <v>218</v>
      </c>
      <c r="B5" s="745" t="s">
        <v>219</v>
      </c>
      <c r="C5" s="746"/>
      <c r="D5" s="743" t="s">
        <v>220</v>
      </c>
      <c r="E5" s="744"/>
      <c r="F5" s="429" t="s">
        <v>221</v>
      </c>
      <c r="G5" s="429" t="s">
        <v>222</v>
      </c>
      <c r="H5" s="284" t="s">
        <v>221</v>
      </c>
      <c r="I5" s="285" t="s">
        <v>222</v>
      </c>
      <c r="J5" s="286" t="s">
        <v>223</v>
      </c>
      <c r="K5" s="286" t="s">
        <v>2</v>
      </c>
      <c r="L5" s="747" t="s">
        <v>68</v>
      </c>
      <c r="M5" s="748"/>
      <c r="N5" s="286" t="s">
        <v>224</v>
      </c>
      <c r="O5" s="429" t="s">
        <v>81</v>
      </c>
      <c r="P5" s="429" t="s">
        <v>225</v>
      </c>
      <c r="Q5" s="429" t="s">
        <v>92</v>
      </c>
      <c r="R5" s="429" t="s">
        <v>81</v>
      </c>
      <c r="S5" s="429" t="s">
        <v>84</v>
      </c>
      <c r="T5" s="429" t="s">
        <v>226</v>
      </c>
      <c r="U5" s="287" t="s">
        <v>227</v>
      </c>
      <c r="V5" s="287" t="s">
        <v>228</v>
      </c>
      <c r="W5" s="287" t="s">
        <v>229</v>
      </c>
      <c r="X5" s="287" t="s">
        <v>230</v>
      </c>
      <c r="Y5" s="287" t="s">
        <v>231</v>
      </c>
      <c r="Z5" s="429" t="s">
        <v>214</v>
      </c>
      <c r="AA5" s="429" t="s">
        <v>86</v>
      </c>
      <c r="AB5" s="283" t="s">
        <v>70</v>
      </c>
    </row>
    <row r="6" spans="1:28" ht="16" x14ac:dyDescent="0.35">
      <c r="A6" s="289" t="s">
        <v>96</v>
      </c>
      <c r="B6" s="290" t="s">
        <v>91</v>
      </c>
      <c r="C6" s="291">
        <v>0</v>
      </c>
      <c r="D6" s="292" t="s">
        <v>232</v>
      </c>
      <c r="E6" s="293">
        <v>45190</v>
      </c>
      <c r="F6" s="294">
        <v>775876000</v>
      </c>
      <c r="G6" s="294">
        <v>837100000</v>
      </c>
      <c r="H6" s="295">
        <v>49490</v>
      </c>
      <c r="I6" s="295">
        <v>49795</v>
      </c>
      <c r="J6" s="294">
        <v>382000000</v>
      </c>
      <c r="K6" s="294">
        <v>186000000</v>
      </c>
      <c r="L6" s="296" t="s">
        <v>91</v>
      </c>
      <c r="M6" s="291">
        <v>0</v>
      </c>
      <c r="N6" s="297">
        <v>44986</v>
      </c>
      <c r="O6" s="294">
        <v>743343144</v>
      </c>
      <c r="P6" s="294">
        <v>742319219.89999998</v>
      </c>
      <c r="Q6" s="294">
        <v>981213.53</v>
      </c>
      <c r="R6" s="295">
        <v>49490</v>
      </c>
      <c r="S6" s="295">
        <v>49490</v>
      </c>
      <c r="T6" s="298">
        <v>0</v>
      </c>
      <c r="U6" s="294">
        <v>63832987.640000001</v>
      </c>
      <c r="V6" s="294">
        <v>52025987.258599997</v>
      </c>
      <c r="W6" s="294">
        <v>46703968.200000003</v>
      </c>
      <c r="X6" s="299">
        <v>1.1139521814465436</v>
      </c>
      <c r="Y6" s="300">
        <v>0.81503293488332174</v>
      </c>
      <c r="Z6" s="288">
        <f>U6/O6</f>
        <v>8.5872841036117767E-2</v>
      </c>
      <c r="AA6" s="288">
        <f>V6/O6</f>
        <v>6.9989193656436008E-2</v>
      </c>
      <c r="AB6" s="290" t="s">
        <v>91</v>
      </c>
    </row>
    <row r="7" spans="1:28" ht="17.25" customHeight="1" outlineLevel="1" collapsed="1" x14ac:dyDescent="0.35">
      <c r="A7" s="289" t="s">
        <v>215</v>
      </c>
      <c r="B7" s="301" t="s">
        <v>215</v>
      </c>
      <c r="C7" s="302" t="str" cm="1">
        <f t="array" ref="C7">_xlfn.SWITCH(C6,-1,"i",0,"g",1,"h")</f>
        <v>g</v>
      </c>
      <c r="D7" s="292" t="s">
        <v>215</v>
      </c>
      <c r="E7" s="292" t="s">
        <v>215</v>
      </c>
      <c r="F7" s="303" t="s">
        <v>215</v>
      </c>
      <c r="G7" s="303" t="s">
        <v>215</v>
      </c>
      <c r="H7" s="303" t="s">
        <v>215</v>
      </c>
      <c r="I7" s="303" t="s">
        <v>215</v>
      </c>
      <c r="J7" s="303" t="s">
        <v>215</v>
      </c>
      <c r="K7" s="303" t="s">
        <v>215</v>
      </c>
      <c r="L7" s="301" t="s">
        <v>215</v>
      </c>
      <c r="M7" s="302" t="str" cm="1">
        <f t="array" ref="M7">_xlfn.SWITCH(M6,-1,"i",0,"g",1,"h")</f>
        <v>g</v>
      </c>
      <c r="N7" s="303" t="s">
        <v>215</v>
      </c>
      <c r="O7" s="303" t="s">
        <v>215</v>
      </c>
      <c r="P7" s="303" t="s">
        <v>215</v>
      </c>
      <c r="Q7" s="303" t="s">
        <v>215</v>
      </c>
      <c r="R7" s="303" t="s">
        <v>215</v>
      </c>
      <c r="S7" s="303" t="s">
        <v>215</v>
      </c>
      <c r="T7" s="303" t="s">
        <v>215</v>
      </c>
      <c r="U7" s="303" t="s">
        <v>215</v>
      </c>
      <c r="V7" s="303" t="s">
        <v>215</v>
      </c>
      <c r="W7" s="303" t="s">
        <v>215</v>
      </c>
      <c r="X7" s="304" t="s">
        <v>215</v>
      </c>
      <c r="Y7" s="305" t="s">
        <v>215</v>
      </c>
      <c r="Z7" s="303" t="s">
        <v>215</v>
      </c>
      <c r="AA7" s="303" t="s">
        <v>215</v>
      </c>
      <c r="AB7" s="303" t="s">
        <v>215</v>
      </c>
    </row>
    <row r="8" spans="1:28" ht="17.25" customHeight="1" x14ac:dyDescent="0.35">
      <c r="A8" s="737"/>
      <c r="B8" s="738"/>
      <c r="C8" s="738"/>
      <c r="D8" s="738"/>
      <c r="E8" s="738"/>
      <c r="F8" s="738"/>
      <c r="G8" s="738"/>
      <c r="H8" s="738"/>
      <c r="I8" s="738"/>
      <c r="J8" s="738"/>
      <c r="K8" s="738"/>
      <c r="L8" s="738"/>
      <c r="M8" s="738"/>
      <c r="N8" s="738"/>
      <c r="O8" s="738"/>
      <c r="P8" s="738"/>
      <c r="Q8" s="738"/>
      <c r="R8" s="738"/>
      <c r="S8" s="738"/>
      <c r="T8" s="738"/>
      <c r="U8" s="738"/>
      <c r="V8" s="738"/>
      <c r="W8" s="738"/>
      <c r="X8" s="738"/>
      <c r="Y8" s="738"/>
      <c r="Z8" s="738"/>
      <c r="AA8" s="738"/>
      <c r="AB8" s="739"/>
    </row>
    <row r="9" spans="1:28" ht="8.25" customHeight="1" x14ac:dyDescent="0.35">
      <c r="A9" s="735" t="s">
        <v>215</v>
      </c>
      <c r="B9" s="736"/>
      <c r="C9" s="736"/>
      <c r="D9" s="736"/>
      <c r="E9" s="736"/>
      <c r="F9" s="736"/>
      <c r="G9" s="736"/>
      <c r="H9" s="736"/>
      <c r="I9" s="736"/>
      <c r="J9" s="736"/>
      <c r="K9" s="736"/>
      <c r="L9" s="736"/>
      <c r="M9" s="736"/>
      <c r="N9" s="736"/>
      <c r="O9" s="736"/>
      <c r="P9" s="736"/>
      <c r="Q9" s="736"/>
      <c r="R9" s="736"/>
      <c r="S9" s="736"/>
      <c r="T9" s="736"/>
      <c r="U9" s="736"/>
      <c r="V9" s="736"/>
      <c r="W9" s="736"/>
      <c r="X9" s="736"/>
      <c r="Y9" s="736"/>
      <c r="Z9" s="736"/>
      <c r="AA9" s="736"/>
      <c r="AB9" s="736"/>
    </row>
    <row r="10" spans="1:28" ht="16" x14ac:dyDescent="0.35">
      <c r="A10" s="289" t="s">
        <v>98</v>
      </c>
      <c r="B10" s="290" t="s">
        <v>91</v>
      </c>
      <c r="C10" s="291">
        <v>0</v>
      </c>
      <c r="D10" s="292" t="s">
        <v>234</v>
      </c>
      <c r="E10" s="293">
        <v>44743</v>
      </c>
      <c r="F10" s="294">
        <v>1316000000</v>
      </c>
      <c r="G10" s="294">
        <v>1512000000</v>
      </c>
      <c r="H10" s="295">
        <v>46332</v>
      </c>
      <c r="I10" s="295">
        <v>46847</v>
      </c>
      <c r="J10" s="294">
        <v>1512000000</v>
      </c>
      <c r="K10" s="294">
        <v>1333000000</v>
      </c>
      <c r="L10" s="306" t="s">
        <v>90</v>
      </c>
      <c r="M10" s="291">
        <v>0</v>
      </c>
      <c r="N10" s="297">
        <v>45212</v>
      </c>
      <c r="O10" s="294">
        <v>1321373776</v>
      </c>
      <c r="P10" s="294">
        <v>1397895418.8499999</v>
      </c>
      <c r="Q10" s="294">
        <v>1389.59</v>
      </c>
      <c r="R10" s="295">
        <v>46332</v>
      </c>
      <c r="S10" s="295">
        <v>46427</v>
      </c>
      <c r="T10" s="298">
        <v>0</v>
      </c>
      <c r="U10" s="294">
        <v>1136053322.96</v>
      </c>
      <c r="V10" s="294">
        <v>1093621914.7543001</v>
      </c>
      <c r="W10" s="294">
        <v>1186481609.5799999</v>
      </c>
      <c r="X10" s="300">
        <v>0.92173524302785337</v>
      </c>
      <c r="Y10" s="299">
        <v>0.96265016144211923</v>
      </c>
      <c r="Z10" s="288">
        <f>U10/O10</f>
        <v>0.85975167934617769</v>
      </c>
      <c r="AA10" s="288">
        <f>V10/O10</f>
        <v>0.82764009292273111</v>
      </c>
      <c r="AB10" s="307" t="s">
        <v>91</v>
      </c>
    </row>
    <row r="11" spans="1:28" ht="24.5" outlineLevel="1" collapsed="1" x14ac:dyDescent="0.35">
      <c r="A11" s="289" t="s">
        <v>215</v>
      </c>
      <c r="B11" s="301" t="s">
        <v>215</v>
      </c>
      <c r="C11" s="302" t="str" cm="1">
        <f t="array" ref="C11">_xlfn.SWITCH(C10,-1,"i",0,"g",1,"h")</f>
        <v>g</v>
      </c>
      <c r="D11" s="292" t="s">
        <v>215</v>
      </c>
      <c r="E11" s="292" t="s">
        <v>215</v>
      </c>
      <c r="F11" s="303" t="s">
        <v>215</v>
      </c>
      <c r="G11" s="303" t="s">
        <v>215</v>
      </c>
      <c r="H11" s="303" t="s">
        <v>215</v>
      </c>
      <c r="I11" s="303" t="s">
        <v>215</v>
      </c>
      <c r="J11" s="303" t="s">
        <v>215</v>
      </c>
      <c r="K11" s="303" t="s">
        <v>215</v>
      </c>
      <c r="L11" s="301" t="s">
        <v>215</v>
      </c>
      <c r="M11" s="302" t="str" cm="1">
        <f t="array" ref="M11">_xlfn.SWITCH(M10,-1,"i",0,"g",1,"h")</f>
        <v>g</v>
      </c>
      <c r="N11" s="303" t="s">
        <v>215</v>
      </c>
      <c r="O11" s="303" t="s">
        <v>215</v>
      </c>
      <c r="P11" s="303" t="s">
        <v>215</v>
      </c>
      <c r="Q11" s="303" t="s">
        <v>215</v>
      </c>
      <c r="R11" s="303" t="s">
        <v>215</v>
      </c>
      <c r="S11" s="303" t="s">
        <v>215</v>
      </c>
      <c r="T11" s="303" t="s">
        <v>215</v>
      </c>
      <c r="U11" s="303" t="s">
        <v>215</v>
      </c>
      <c r="V11" s="303" t="s">
        <v>215</v>
      </c>
      <c r="W11" s="303" t="s">
        <v>215</v>
      </c>
      <c r="X11" s="305" t="s">
        <v>215</v>
      </c>
      <c r="Y11" s="304" t="s">
        <v>215</v>
      </c>
      <c r="Z11" s="303" t="s">
        <v>215</v>
      </c>
      <c r="AA11" s="303" t="s">
        <v>215</v>
      </c>
      <c r="AB11" s="308" t="s">
        <v>215</v>
      </c>
    </row>
    <row r="12" spans="1:28" ht="17.25" customHeight="1" x14ac:dyDescent="0.35">
      <c r="A12" s="737"/>
      <c r="B12" s="738"/>
      <c r="C12" s="738"/>
      <c r="D12" s="738"/>
      <c r="E12" s="738"/>
      <c r="F12" s="738"/>
      <c r="G12" s="738"/>
      <c r="H12" s="738"/>
      <c r="I12" s="738"/>
      <c r="J12" s="738"/>
      <c r="K12" s="738"/>
      <c r="L12" s="738"/>
      <c r="M12" s="738"/>
      <c r="N12" s="738"/>
      <c r="O12" s="738"/>
      <c r="P12" s="738"/>
      <c r="Q12" s="738"/>
      <c r="R12" s="738"/>
      <c r="S12" s="738"/>
      <c r="T12" s="738"/>
      <c r="U12" s="738"/>
      <c r="V12" s="738"/>
      <c r="W12" s="738"/>
      <c r="X12" s="738"/>
      <c r="Y12" s="738"/>
      <c r="Z12" s="738"/>
      <c r="AA12" s="738"/>
      <c r="AB12" s="739"/>
    </row>
    <row r="13" spans="1:28" ht="8.25" customHeight="1" x14ac:dyDescent="0.35">
      <c r="A13" s="735" t="s">
        <v>215</v>
      </c>
      <c r="B13" s="736"/>
      <c r="C13" s="736"/>
      <c r="D13" s="736"/>
      <c r="E13" s="736"/>
      <c r="F13" s="736"/>
      <c r="G13" s="736"/>
      <c r="H13" s="736"/>
      <c r="I13" s="736"/>
      <c r="J13" s="736"/>
      <c r="K13" s="736"/>
      <c r="L13" s="736"/>
      <c r="M13" s="736"/>
      <c r="N13" s="736"/>
      <c r="O13" s="736"/>
      <c r="P13" s="736"/>
      <c r="Q13" s="736"/>
      <c r="R13" s="736"/>
      <c r="S13" s="736"/>
      <c r="T13" s="736"/>
      <c r="U13" s="736"/>
      <c r="V13" s="736"/>
      <c r="W13" s="736"/>
      <c r="X13" s="736"/>
      <c r="Y13" s="736"/>
      <c r="Z13" s="736"/>
      <c r="AA13" s="736"/>
      <c r="AB13" s="736"/>
    </row>
    <row r="14" spans="1:28" ht="32" x14ac:dyDescent="0.35">
      <c r="A14" s="289" t="s">
        <v>101</v>
      </c>
      <c r="B14" s="296" t="s">
        <v>90</v>
      </c>
      <c r="C14" s="291">
        <v>0</v>
      </c>
      <c r="D14" s="292" t="s">
        <v>234</v>
      </c>
      <c r="E14" s="293">
        <v>44635</v>
      </c>
      <c r="F14" s="294">
        <v>458900000</v>
      </c>
      <c r="G14" s="294">
        <v>466400000</v>
      </c>
      <c r="H14" s="295">
        <v>45244</v>
      </c>
      <c r="I14" s="295">
        <v>45361</v>
      </c>
      <c r="J14" s="294">
        <v>466400000</v>
      </c>
      <c r="K14" s="294">
        <v>458900000</v>
      </c>
      <c r="L14" s="296" t="s">
        <v>90</v>
      </c>
      <c r="M14" s="291">
        <v>0</v>
      </c>
      <c r="N14" s="297">
        <v>44286</v>
      </c>
      <c r="O14" s="294">
        <v>419953637</v>
      </c>
      <c r="P14" s="294">
        <v>458343148.91000003</v>
      </c>
      <c r="Q14" s="294">
        <v>538872.55000000005</v>
      </c>
      <c r="R14" s="295">
        <v>45050</v>
      </c>
      <c r="S14" s="295">
        <v>45631</v>
      </c>
      <c r="T14" s="298">
        <v>0</v>
      </c>
      <c r="U14" s="294">
        <v>419953637.50999999</v>
      </c>
      <c r="V14" s="294">
        <v>419211852.38099998</v>
      </c>
      <c r="W14" s="294">
        <v>458243148.91000003</v>
      </c>
      <c r="X14" s="299">
        <v>0.91482404784044935</v>
      </c>
      <c r="Y14" s="300">
        <v>0.99823364994907959</v>
      </c>
      <c r="Z14" s="288">
        <f>U14/O14</f>
        <v>1.0000000012144197</v>
      </c>
      <c r="AA14" s="288">
        <f>V14/O14</f>
        <v>0.99823365116135421</v>
      </c>
      <c r="AB14" s="296" t="s">
        <v>90</v>
      </c>
    </row>
    <row r="15" spans="1:28" ht="17.25" customHeight="1" outlineLevel="1" collapsed="1" x14ac:dyDescent="0.35">
      <c r="A15" s="289" t="s">
        <v>215</v>
      </c>
      <c r="B15" s="301" t="s">
        <v>215</v>
      </c>
      <c r="C15" s="302" t="str" cm="1">
        <f t="array" ref="C15">_xlfn.SWITCH(C14,-1,"i",0,"g",1,"h")</f>
        <v>g</v>
      </c>
      <c r="D15" s="292" t="s">
        <v>215</v>
      </c>
      <c r="E15" s="292" t="s">
        <v>215</v>
      </c>
      <c r="F15" s="303" t="s">
        <v>215</v>
      </c>
      <c r="G15" s="303" t="s">
        <v>215</v>
      </c>
      <c r="H15" s="303" t="s">
        <v>215</v>
      </c>
      <c r="I15" s="303" t="s">
        <v>215</v>
      </c>
      <c r="J15" s="303" t="s">
        <v>215</v>
      </c>
      <c r="K15" s="303" t="s">
        <v>215</v>
      </c>
      <c r="L15" s="301" t="s">
        <v>215</v>
      </c>
      <c r="M15" s="302" t="str" cm="1">
        <f t="array" ref="M15">_xlfn.SWITCH(M14,-1,"i",0,"g",1,"h")</f>
        <v>g</v>
      </c>
      <c r="N15" s="303" t="s">
        <v>215</v>
      </c>
      <c r="O15" s="303" t="s">
        <v>215</v>
      </c>
      <c r="P15" s="303" t="s">
        <v>215</v>
      </c>
      <c r="Q15" s="303" t="s">
        <v>215</v>
      </c>
      <c r="R15" s="303" t="s">
        <v>215</v>
      </c>
      <c r="S15" s="303" t="s">
        <v>215</v>
      </c>
      <c r="T15" s="303" t="s">
        <v>215</v>
      </c>
      <c r="U15" s="303" t="s">
        <v>215</v>
      </c>
      <c r="V15" s="303" t="s">
        <v>215</v>
      </c>
      <c r="W15" s="303" t="s">
        <v>215</v>
      </c>
      <c r="X15" s="304" t="s">
        <v>215</v>
      </c>
      <c r="Y15" s="305" t="s">
        <v>215</v>
      </c>
      <c r="Z15" s="303" t="s">
        <v>215</v>
      </c>
      <c r="AA15" s="303" t="s">
        <v>215</v>
      </c>
      <c r="AB15" s="308" t="s">
        <v>215</v>
      </c>
    </row>
    <row r="16" spans="1:28" ht="17.25" customHeight="1" x14ac:dyDescent="0.35">
      <c r="A16" s="737"/>
      <c r="B16" s="738"/>
      <c r="C16" s="738"/>
      <c r="D16" s="738"/>
      <c r="E16" s="738"/>
      <c r="F16" s="738"/>
      <c r="G16" s="738"/>
      <c r="H16" s="738"/>
      <c r="I16" s="738"/>
      <c r="J16" s="738"/>
      <c r="K16" s="738"/>
      <c r="L16" s="738"/>
      <c r="M16" s="738"/>
      <c r="N16" s="738"/>
      <c r="O16" s="738"/>
      <c r="P16" s="738"/>
      <c r="Q16" s="738"/>
      <c r="R16" s="738"/>
      <c r="S16" s="738"/>
      <c r="T16" s="738"/>
      <c r="U16" s="738"/>
      <c r="V16" s="738"/>
      <c r="W16" s="738"/>
      <c r="X16" s="738"/>
      <c r="Y16" s="738"/>
      <c r="Z16" s="738"/>
      <c r="AA16" s="738"/>
      <c r="AB16" s="739"/>
    </row>
    <row r="17" spans="1:28" ht="8.25" customHeight="1" x14ac:dyDescent="0.35">
      <c r="A17" s="735" t="s">
        <v>215</v>
      </c>
      <c r="B17" s="736"/>
      <c r="C17" s="736"/>
      <c r="D17" s="736"/>
      <c r="E17" s="736"/>
      <c r="F17" s="736"/>
      <c r="G17" s="736"/>
      <c r="H17" s="736"/>
      <c r="I17" s="736"/>
      <c r="J17" s="736"/>
      <c r="K17" s="736"/>
      <c r="L17" s="736"/>
      <c r="M17" s="736"/>
      <c r="N17" s="736"/>
      <c r="O17" s="736"/>
      <c r="P17" s="736"/>
      <c r="Q17" s="736"/>
      <c r="R17" s="736"/>
      <c r="S17" s="736"/>
      <c r="T17" s="736"/>
      <c r="U17" s="736"/>
      <c r="V17" s="736"/>
      <c r="W17" s="736"/>
      <c r="X17" s="736"/>
      <c r="Y17" s="736"/>
      <c r="Z17" s="736"/>
      <c r="AA17" s="736"/>
      <c r="AB17" s="736"/>
    </row>
    <row r="18" spans="1:28" ht="16" x14ac:dyDescent="0.35">
      <c r="A18" s="289" t="s">
        <v>13</v>
      </c>
      <c r="B18" s="307" t="s">
        <v>90</v>
      </c>
      <c r="C18" s="291">
        <v>0</v>
      </c>
      <c r="D18" s="292" t="s">
        <v>234</v>
      </c>
      <c r="E18" s="293">
        <v>44287</v>
      </c>
      <c r="F18" s="294">
        <v>116570000</v>
      </c>
      <c r="G18" s="294">
        <v>122604000</v>
      </c>
      <c r="H18" s="295">
        <v>46874</v>
      </c>
      <c r="I18" s="295">
        <v>47239</v>
      </c>
      <c r="J18" s="294">
        <v>139600000</v>
      </c>
      <c r="K18" s="294">
        <v>116569000</v>
      </c>
      <c r="L18" s="306" t="s">
        <v>88</v>
      </c>
      <c r="M18" s="291">
        <v>0</v>
      </c>
      <c r="N18" s="297">
        <v>45323</v>
      </c>
      <c r="O18" s="294">
        <v>143219252</v>
      </c>
      <c r="P18" s="294">
        <v>135653824.80000001</v>
      </c>
      <c r="Q18" s="294">
        <v>551858.56000000006</v>
      </c>
      <c r="R18" s="295">
        <v>47882</v>
      </c>
      <c r="S18" s="295">
        <v>48003</v>
      </c>
      <c r="T18" s="298">
        <v>-47</v>
      </c>
      <c r="U18" s="294">
        <v>98764664.129999995</v>
      </c>
      <c r="V18" s="294">
        <v>89565335.080200002</v>
      </c>
      <c r="W18" s="294">
        <v>91233113.890000001</v>
      </c>
      <c r="X18" s="299">
        <v>0.98171958909776069</v>
      </c>
      <c r="Y18" s="300">
        <v>0.90685606911302519</v>
      </c>
      <c r="Z18" s="288">
        <f>U18/O18</f>
        <v>0.68960466383388175</v>
      </c>
      <c r="AA18" s="288">
        <f>V18/O18</f>
        <v>0.62537217468640316</v>
      </c>
      <c r="AB18" s="306" t="s">
        <v>90</v>
      </c>
    </row>
    <row r="19" spans="1:28" ht="17.25" customHeight="1" outlineLevel="1" collapsed="1" x14ac:dyDescent="0.35">
      <c r="A19" s="289" t="s">
        <v>215</v>
      </c>
      <c r="B19" s="301" t="s">
        <v>215</v>
      </c>
      <c r="C19" s="302" t="str" cm="1">
        <f t="array" ref="C19">_xlfn.SWITCH(C18,-1,"i",0,"g",1,"h")</f>
        <v>g</v>
      </c>
      <c r="D19" s="292"/>
      <c r="E19" s="292" t="s">
        <v>215</v>
      </c>
      <c r="F19" s="303" t="s">
        <v>215</v>
      </c>
      <c r="G19" s="303" t="s">
        <v>215</v>
      </c>
      <c r="H19" s="303" t="s">
        <v>215</v>
      </c>
      <c r="I19" s="303" t="s">
        <v>215</v>
      </c>
      <c r="J19" s="303" t="s">
        <v>215</v>
      </c>
      <c r="K19" s="303" t="s">
        <v>215</v>
      </c>
      <c r="L19" s="301" t="s">
        <v>215</v>
      </c>
      <c r="M19" s="302" t="str" cm="1">
        <f t="array" ref="M19">_xlfn.SWITCH(M18,-1,"i",0,"g",1,"h")</f>
        <v>g</v>
      </c>
      <c r="N19" s="303" t="s">
        <v>215</v>
      </c>
      <c r="O19" s="303" t="s">
        <v>215</v>
      </c>
      <c r="P19" s="303" t="s">
        <v>215</v>
      </c>
      <c r="Q19" s="303" t="s">
        <v>215</v>
      </c>
      <c r="R19" s="303" t="s">
        <v>215</v>
      </c>
      <c r="S19" s="303" t="s">
        <v>215</v>
      </c>
      <c r="T19" s="303" t="s">
        <v>215</v>
      </c>
      <c r="U19" s="303" t="s">
        <v>215</v>
      </c>
      <c r="V19" s="303" t="s">
        <v>215</v>
      </c>
      <c r="W19" s="303" t="s">
        <v>215</v>
      </c>
      <c r="X19" s="304" t="s">
        <v>215</v>
      </c>
      <c r="Y19" s="305" t="s">
        <v>215</v>
      </c>
      <c r="Z19" s="303" t="s">
        <v>215</v>
      </c>
      <c r="AA19" s="303" t="s">
        <v>215</v>
      </c>
      <c r="AB19" s="303" t="s">
        <v>215</v>
      </c>
    </row>
    <row r="20" spans="1:28" ht="17.25" customHeight="1" x14ac:dyDescent="0.35">
      <c r="A20" s="737"/>
      <c r="B20" s="738"/>
      <c r="C20" s="738"/>
      <c r="D20" s="738"/>
      <c r="E20" s="738"/>
      <c r="F20" s="738"/>
      <c r="G20" s="738"/>
      <c r="H20" s="738"/>
      <c r="I20" s="738"/>
      <c r="J20" s="738"/>
      <c r="K20" s="738"/>
      <c r="L20" s="738"/>
      <c r="M20" s="738"/>
      <c r="N20" s="738"/>
      <c r="O20" s="738"/>
      <c r="P20" s="738"/>
      <c r="Q20" s="738"/>
      <c r="R20" s="738"/>
      <c r="S20" s="738"/>
      <c r="T20" s="738"/>
      <c r="U20" s="738"/>
      <c r="V20" s="738"/>
      <c r="W20" s="738"/>
      <c r="X20" s="738"/>
      <c r="Y20" s="738"/>
      <c r="Z20" s="738"/>
      <c r="AA20" s="738"/>
      <c r="AB20" s="739"/>
    </row>
    <row r="21" spans="1:28" ht="8.25" customHeight="1" x14ac:dyDescent="0.35">
      <c r="A21" s="735" t="s">
        <v>215</v>
      </c>
      <c r="B21" s="736"/>
      <c r="C21" s="736"/>
      <c r="D21" s="736"/>
      <c r="E21" s="736"/>
      <c r="F21" s="736"/>
      <c r="G21" s="736"/>
      <c r="H21" s="736"/>
      <c r="I21" s="736"/>
      <c r="J21" s="736"/>
      <c r="K21" s="736"/>
      <c r="L21" s="736"/>
      <c r="M21" s="736"/>
      <c r="N21" s="736"/>
      <c r="O21" s="736"/>
      <c r="P21" s="736"/>
      <c r="Q21" s="736"/>
      <c r="R21" s="736"/>
      <c r="S21" s="736"/>
      <c r="T21" s="736"/>
      <c r="U21" s="736"/>
      <c r="V21" s="736"/>
      <c r="W21" s="736"/>
      <c r="X21" s="736"/>
      <c r="Y21" s="736"/>
      <c r="Z21" s="736"/>
      <c r="AA21" s="736"/>
      <c r="AB21" s="736"/>
    </row>
    <row r="22" spans="1:28" ht="16" x14ac:dyDescent="0.35">
      <c r="A22" s="289" t="s">
        <v>119</v>
      </c>
      <c r="B22" s="290" t="s">
        <v>91</v>
      </c>
      <c r="C22" s="291">
        <v>0</v>
      </c>
      <c r="D22" s="292" t="s">
        <v>234</v>
      </c>
      <c r="E22" s="293">
        <v>45455</v>
      </c>
      <c r="F22" s="294">
        <v>69000000</v>
      </c>
      <c r="G22" s="294">
        <v>79000000</v>
      </c>
      <c r="H22" s="295">
        <v>46022</v>
      </c>
      <c r="I22" s="295">
        <v>46234</v>
      </c>
      <c r="J22" s="294">
        <v>69000000</v>
      </c>
      <c r="K22" s="294">
        <v>69000000</v>
      </c>
      <c r="L22" s="296" t="s">
        <v>90</v>
      </c>
      <c r="M22" s="291">
        <v>0</v>
      </c>
      <c r="N22" s="297">
        <v>45362</v>
      </c>
      <c r="O22" s="294">
        <v>69231999</v>
      </c>
      <c r="P22" s="294">
        <v>71493855.040000007</v>
      </c>
      <c r="Q22" s="294">
        <v>-1362.54</v>
      </c>
      <c r="R22" s="295">
        <v>46010</v>
      </c>
      <c r="S22" s="295">
        <v>46098</v>
      </c>
      <c r="T22" s="298">
        <v>0</v>
      </c>
      <c r="U22" s="294">
        <v>61153217.520000003</v>
      </c>
      <c r="V22" s="294">
        <v>47132780.530000001</v>
      </c>
      <c r="W22" s="294">
        <v>58274444.530000001</v>
      </c>
      <c r="X22" s="300">
        <v>0.80880703214143534</v>
      </c>
      <c r="Y22" s="299">
        <v>0.77073263585166796</v>
      </c>
      <c r="Z22" s="288">
        <f>U22/O22</f>
        <v>0.88330856256223378</v>
      </c>
      <c r="AA22" s="288">
        <f>V22/O22</f>
        <v>0.68079473669393831</v>
      </c>
      <c r="AB22" s="307" t="s">
        <v>90</v>
      </c>
    </row>
    <row r="23" spans="1:28" ht="17.25" customHeight="1" outlineLevel="1" collapsed="1" x14ac:dyDescent="0.35">
      <c r="A23" s="289" t="s">
        <v>215</v>
      </c>
      <c r="B23" s="301" t="s">
        <v>215</v>
      </c>
      <c r="C23" s="302" t="str" cm="1">
        <f t="array" ref="C23">_xlfn.SWITCH(C22,-1,"i",0,"g",1,"h")</f>
        <v>g</v>
      </c>
      <c r="D23" s="292" t="s">
        <v>215</v>
      </c>
      <c r="E23" s="292" t="s">
        <v>215</v>
      </c>
      <c r="F23" s="303" t="s">
        <v>215</v>
      </c>
      <c r="G23" s="303" t="s">
        <v>215</v>
      </c>
      <c r="H23" s="303" t="s">
        <v>215</v>
      </c>
      <c r="I23" s="303" t="s">
        <v>215</v>
      </c>
      <c r="J23" s="303" t="s">
        <v>215</v>
      </c>
      <c r="K23" s="303" t="s">
        <v>215</v>
      </c>
      <c r="L23" s="301" t="s">
        <v>215</v>
      </c>
      <c r="M23" s="302" t="str" cm="1">
        <f t="array" ref="M23">_xlfn.SWITCH(M22,-1,"i",0,"g",1,"h")</f>
        <v>g</v>
      </c>
      <c r="N23" s="303" t="s">
        <v>215</v>
      </c>
      <c r="O23" s="303" t="s">
        <v>215</v>
      </c>
      <c r="P23" s="303" t="s">
        <v>215</v>
      </c>
      <c r="Q23" s="303" t="s">
        <v>215</v>
      </c>
      <c r="R23" s="303" t="s">
        <v>215</v>
      </c>
      <c r="S23" s="303" t="s">
        <v>215</v>
      </c>
      <c r="T23" s="303" t="s">
        <v>215</v>
      </c>
      <c r="U23" s="303" t="s">
        <v>215</v>
      </c>
      <c r="V23" s="303" t="s">
        <v>215</v>
      </c>
      <c r="W23" s="303" t="s">
        <v>215</v>
      </c>
      <c r="X23" s="305" t="s">
        <v>215</v>
      </c>
      <c r="Y23" s="304" t="s">
        <v>215</v>
      </c>
      <c r="Z23" s="303" t="s">
        <v>215</v>
      </c>
      <c r="AA23" s="303" t="s">
        <v>215</v>
      </c>
      <c r="AB23" s="308" t="s">
        <v>215</v>
      </c>
    </row>
    <row r="24" spans="1:28" ht="17.25" customHeight="1" x14ac:dyDescent="0.35">
      <c r="A24" s="737"/>
      <c r="B24" s="738"/>
      <c r="C24" s="738"/>
      <c r="D24" s="738"/>
      <c r="E24" s="738"/>
      <c r="F24" s="738"/>
      <c r="G24" s="738"/>
      <c r="H24" s="738"/>
      <c r="I24" s="738"/>
      <c r="J24" s="738"/>
      <c r="K24" s="738"/>
      <c r="L24" s="738"/>
      <c r="M24" s="738"/>
      <c r="N24" s="738"/>
      <c r="O24" s="738"/>
      <c r="P24" s="738"/>
      <c r="Q24" s="738"/>
      <c r="R24" s="738"/>
      <c r="S24" s="738"/>
      <c r="T24" s="738"/>
      <c r="U24" s="738"/>
      <c r="V24" s="738"/>
      <c r="W24" s="738"/>
      <c r="X24" s="738"/>
      <c r="Y24" s="738"/>
      <c r="Z24" s="738"/>
      <c r="AA24" s="738"/>
      <c r="AB24" s="739"/>
    </row>
    <row r="25" spans="1:28" ht="8.25" customHeight="1" x14ac:dyDescent="0.35">
      <c r="A25" s="735" t="s">
        <v>215</v>
      </c>
      <c r="B25" s="736"/>
      <c r="C25" s="736"/>
      <c r="D25" s="736"/>
      <c r="E25" s="736"/>
      <c r="F25" s="736"/>
      <c r="G25" s="736"/>
      <c r="H25" s="736"/>
      <c r="I25" s="736"/>
      <c r="J25" s="736"/>
      <c r="K25" s="736"/>
      <c r="L25" s="736"/>
      <c r="M25" s="736"/>
      <c r="N25" s="736"/>
      <c r="O25" s="736"/>
      <c r="P25" s="736"/>
      <c r="Q25" s="736"/>
      <c r="R25" s="736"/>
      <c r="S25" s="736"/>
      <c r="T25" s="736"/>
      <c r="U25" s="736"/>
      <c r="V25" s="736"/>
      <c r="W25" s="736"/>
      <c r="X25" s="736"/>
      <c r="Y25" s="736"/>
      <c r="Z25" s="736"/>
      <c r="AA25" s="736"/>
      <c r="AB25" s="736"/>
    </row>
    <row r="26" spans="1:28" ht="16" x14ac:dyDescent="0.35">
      <c r="A26" s="289" t="s">
        <v>115</v>
      </c>
      <c r="B26" s="307" t="s">
        <v>91</v>
      </c>
      <c r="C26" s="291">
        <v>0</v>
      </c>
      <c r="D26" s="292" t="s">
        <v>234</v>
      </c>
      <c r="E26" s="293">
        <v>45057</v>
      </c>
      <c r="F26" s="294">
        <v>379164000</v>
      </c>
      <c r="G26" s="294">
        <v>403001000</v>
      </c>
      <c r="H26" s="295">
        <v>47364</v>
      </c>
      <c r="I26" s="295">
        <v>47690</v>
      </c>
      <c r="J26" s="294">
        <v>403001000</v>
      </c>
      <c r="K26" s="294">
        <v>379164000</v>
      </c>
      <c r="L26" s="307" t="s">
        <v>90</v>
      </c>
      <c r="M26" s="291">
        <v>0</v>
      </c>
      <c r="N26" s="297">
        <v>44936</v>
      </c>
      <c r="O26" s="294">
        <v>432733200</v>
      </c>
      <c r="P26" s="294">
        <v>374731334.93000001</v>
      </c>
      <c r="Q26" s="294">
        <v>1294.94</v>
      </c>
      <c r="R26" s="295">
        <v>47364</v>
      </c>
      <c r="S26" s="295">
        <v>47585</v>
      </c>
      <c r="T26" s="298">
        <v>0</v>
      </c>
      <c r="U26" s="294">
        <v>279682704.38999999</v>
      </c>
      <c r="V26" s="294">
        <v>240173394.433</v>
      </c>
      <c r="W26" s="294">
        <v>228777822.28999999</v>
      </c>
      <c r="X26" s="309">
        <v>1.0498106504771032</v>
      </c>
      <c r="Y26" s="299">
        <v>0.8587352405534997</v>
      </c>
      <c r="Z26" s="288">
        <f>U26/O26</f>
        <v>0.64631672446209343</v>
      </c>
      <c r="AA26" s="288">
        <f>V26/O26</f>
        <v>0.55501494785470584</v>
      </c>
      <c r="AB26" s="307" t="s">
        <v>90</v>
      </c>
    </row>
    <row r="27" spans="1:28" ht="17.25" customHeight="1" outlineLevel="1" collapsed="1" x14ac:dyDescent="0.35">
      <c r="A27" s="289" t="s">
        <v>215</v>
      </c>
      <c r="B27" s="301" t="s">
        <v>215</v>
      </c>
      <c r="C27" s="302" t="str" cm="1">
        <f t="array" ref="C27">_xlfn.SWITCH(C26,-1,"i",0,"g",1,"h")</f>
        <v>g</v>
      </c>
      <c r="D27" s="292" t="s">
        <v>215</v>
      </c>
      <c r="E27" s="292" t="s">
        <v>215</v>
      </c>
      <c r="F27" s="303" t="s">
        <v>215</v>
      </c>
      <c r="G27" s="303" t="s">
        <v>215</v>
      </c>
      <c r="H27" s="303" t="s">
        <v>215</v>
      </c>
      <c r="I27" s="303" t="s">
        <v>215</v>
      </c>
      <c r="J27" s="303" t="s">
        <v>215</v>
      </c>
      <c r="K27" s="303" t="s">
        <v>215</v>
      </c>
      <c r="L27" s="301" t="s">
        <v>215</v>
      </c>
      <c r="M27" s="302" t="str" cm="1">
        <f t="array" ref="M27">_xlfn.SWITCH(M26,-1,"i",0,"g",1,"h")</f>
        <v>g</v>
      </c>
      <c r="N27" s="303" t="s">
        <v>215</v>
      </c>
      <c r="O27" s="303" t="s">
        <v>215</v>
      </c>
      <c r="P27" s="303" t="s">
        <v>215</v>
      </c>
      <c r="Q27" s="303" t="s">
        <v>215</v>
      </c>
      <c r="R27" s="303" t="s">
        <v>215</v>
      </c>
      <c r="S27" s="303" t="s">
        <v>215</v>
      </c>
      <c r="T27" s="303" t="s">
        <v>215</v>
      </c>
      <c r="U27" s="303" t="s">
        <v>215</v>
      </c>
      <c r="V27" s="303" t="s">
        <v>215</v>
      </c>
      <c r="W27" s="303" t="s">
        <v>215</v>
      </c>
      <c r="X27" s="310" t="s">
        <v>215</v>
      </c>
      <c r="Y27" s="304" t="s">
        <v>215</v>
      </c>
      <c r="Z27" s="303" t="s">
        <v>215</v>
      </c>
      <c r="AA27" s="303" t="s">
        <v>215</v>
      </c>
      <c r="AB27" s="308" t="s">
        <v>215</v>
      </c>
    </row>
    <row r="28" spans="1:28" ht="17.25" customHeight="1" x14ac:dyDescent="0.35">
      <c r="A28" s="737"/>
      <c r="B28" s="738"/>
      <c r="C28" s="738"/>
      <c r="D28" s="738"/>
      <c r="E28" s="738"/>
      <c r="F28" s="738"/>
      <c r="G28" s="738"/>
      <c r="H28" s="738"/>
      <c r="I28" s="738"/>
      <c r="J28" s="738"/>
      <c r="K28" s="738"/>
      <c r="L28" s="738"/>
      <c r="M28" s="738"/>
      <c r="N28" s="738"/>
      <c r="O28" s="738"/>
      <c r="P28" s="738"/>
      <c r="Q28" s="738"/>
      <c r="R28" s="738"/>
      <c r="S28" s="738"/>
      <c r="T28" s="738"/>
      <c r="U28" s="738"/>
      <c r="V28" s="738"/>
      <c r="W28" s="738"/>
      <c r="X28" s="738"/>
      <c r="Y28" s="738"/>
      <c r="Z28" s="738"/>
      <c r="AA28" s="738"/>
      <c r="AB28" s="739"/>
    </row>
    <row r="29" spans="1:28" ht="8.25" customHeight="1" x14ac:dyDescent="0.35">
      <c r="A29" s="735" t="s">
        <v>215</v>
      </c>
      <c r="B29" s="736"/>
      <c r="C29" s="736"/>
      <c r="D29" s="736"/>
      <c r="E29" s="736"/>
      <c r="F29" s="736"/>
      <c r="G29" s="736"/>
      <c r="H29" s="736"/>
      <c r="I29" s="736"/>
      <c r="J29" s="736"/>
      <c r="K29" s="736"/>
      <c r="L29" s="736"/>
      <c r="M29" s="736"/>
      <c r="N29" s="736"/>
      <c r="O29" s="736"/>
      <c r="P29" s="736"/>
      <c r="Q29" s="736"/>
      <c r="R29" s="736"/>
      <c r="S29" s="736"/>
      <c r="T29" s="736"/>
      <c r="U29" s="736"/>
      <c r="V29" s="736"/>
      <c r="W29" s="736"/>
      <c r="X29" s="736"/>
      <c r="Y29" s="736"/>
      <c r="Z29" s="736"/>
      <c r="AA29" s="736"/>
      <c r="AB29" s="736"/>
    </row>
    <row r="30" spans="1:28" ht="32" x14ac:dyDescent="0.35">
      <c r="A30" s="289" t="s">
        <v>121</v>
      </c>
      <c r="B30" s="307" t="s">
        <v>88</v>
      </c>
      <c r="C30" s="291">
        <v>0</v>
      </c>
      <c r="D30" s="292" t="s">
        <v>232</v>
      </c>
      <c r="E30" s="293">
        <v>43891</v>
      </c>
      <c r="F30" s="294">
        <v>25837000</v>
      </c>
      <c r="G30" s="294">
        <v>31940000</v>
      </c>
      <c r="H30" s="295">
        <v>45058</v>
      </c>
      <c r="I30" s="295">
        <v>45412</v>
      </c>
      <c r="J30" s="294">
        <v>31940000</v>
      </c>
      <c r="K30" s="294">
        <v>25837000</v>
      </c>
      <c r="L30" s="296" t="s">
        <v>88</v>
      </c>
      <c r="M30" s="291">
        <v>0</v>
      </c>
      <c r="N30" s="297">
        <v>44999</v>
      </c>
      <c r="O30" s="294">
        <v>25882955</v>
      </c>
      <c r="P30" s="294">
        <v>25769102.469999999</v>
      </c>
      <c r="Q30" s="294">
        <v>0</v>
      </c>
      <c r="R30" s="295">
        <v>45058</v>
      </c>
      <c r="S30" s="295">
        <v>46175</v>
      </c>
      <c r="T30" s="298">
        <v>0</v>
      </c>
      <c r="U30" s="294">
        <v>21105853.18</v>
      </c>
      <c r="V30" s="294">
        <v>19634302.9727</v>
      </c>
      <c r="W30" s="294">
        <v>16969073.489999998</v>
      </c>
      <c r="X30" s="299">
        <v>1.1570639365944546</v>
      </c>
      <c r="Y30" s="299">
        <v>0.93027762513318113</v>
      </c>
      <c r="Z30" s="288">
        <f>U30/O30</f>
        <v>0.8154344502009141</v>
      </c>
      <c r="AA30" s="288">
        <f>V30/O30</f>
        <v>0.7585804237846876</v>
      </c>
      <c r="AB30" s="307" t="s">
        <v>91</v>
      </c>
    </row>
    <row r="31" spans="1:28" ht="17.25" customHeight="1" outlineLevel="1" collapsed="1" x14ac:dyDescent="0.35">
      <c r="A31" s="289" t="s">
        <v>215</v>
      </c>
      <c r="B31" s="301" t="s">
        <v>215</v>
      </c>
      <c r="C31" s="302" t="str" cm="1">
        <f t="array" ref="C31">_xlfn.SWITCH(C30,-1,"i",0,"g",1,"h")</f>
        <v>g</v>
      </c>
      <c r="D31" s="292" t="s">
        <v>215</v>
      </c>
      <c r="E31" s="292" t="s">
        <v>215</v>
      </c>
      <c r="F31" s="303" t="s">
        <v>215</v>
      </c>
      <c r="G31" s="303" t="s">
        <v>215</v>
      </c>
      <c r="H31" s="303" t="s">
        <v>215</v>
      </c>
      <c r="I31" s="303" t="s">
        <v>215</v>
      </c>
      <c r="J31" s="303" t="s">
        <v>215</v>
      </c>
      <c r="K31" s="303" t="s">
        <v>215</v>
      </c>
      <c r="L31" s="301" t="s">
        <v>215</v>
      </c>
      <c r="M31" s="302" t="str" cm="1">
        <f t="array" ref="M31">_xlfn.SWITCH(M30,-1,"i",0,"g",1,"h")</f>
        <v>g</v>
      </c>
      <c r="N31" s="303" t="s">
        <v>215</v>
      </c>
      <c r="O31" s="303" t="s">
        <v>215</v>
      </c>
      <c r="P31" s="303" t="s">
        <v>215</v>
      </c>
      <c r="Q31" s="303" t="s">
        <v>215</v>
      </c>
      <c r="R31" s="303" t="s">
        <v>215</v>
      </c>
      <c r="S31" s="303" t="s">
        <v>215</v>
      </c>
      <c r="T31" s="303" t="s">
        <v>215</v>
      </c>
      <c r="U31" s="303" t="s">
        <v>215</v>
      </c>
      <c r="V31" s="303" t="s">
        <v>215</v>
      </c>
      <c r="W31" s="303" t="s">
        <v>215</v>
      </c>
      <c r="X31" s="304" t="s">
        <v>215</v>
      </c>
      <c r="Y31" s="304" t="s">
        <v>215</v>
      </c>
      <c r="Z31" s="303" t="s">
        <v>215</v>
      </c>
      <c r="AA31" s="303" t="s">
        <v>215</v>
      </c>
      <c r="AB31" s="308" t="s">
        <v>215</v>
      </c>
    </row>
    <row r="32" spans="1:28" ht="17.25" customHeight="1" x14ac:dyDescent="0.35">
      <c r="A32" s="737"/>
      <c r="B32" s="738"/>
      <c r="C32" s="738"/>
      <c r="D32" s="738"/>
      <c r="E32" s="738"/>
      <c r="F32" s="738"/>
      <c r="G32" s="738"/>
      <c r="H32" s="738"/>
      <c r="I32" s="738"/>
      <c r="J32" s="738"/>
      <c r="K32" s="738"/>
      <c r="L32" s="738"/>
      <c r="M32" s="738"/>
      <c r="N32" s="738"/>
      <c r="O32" s="738"/>
      <c r="P32" s="738"/>
      <c r="Q32" s="738"/>
      <c r="R32" s="738"/>
      <c r="S32" s="738"/>
      <c r="T32" s="738"/>
      <c r="U32" s="738"/>
      <c r="V32" s="738"/>
      <c r="W32" s="738"/>
      <c r="X32" s="738"/>
      <c r="Y32" s="738"/>
      <c r="Z32" s="738"/>
      <c r="AA32" s="738"/>
      <c r="AB32" s="739"/>
    </row>
    <row r="33" spans="1:28" ht="8.25" customHeight="1" x14ac:dyDescent="0.35">
      <c r="A33" s="735" t="s">
        <v>215</v>
      </c>
      <c r="B33" s="736"/>
      <c r="C33" s="736"/>
      <c r="D33" s="736"/>
      <c r="E33" s="736"/>
      <c r="F33" s="736"/>
      <c r="G33" s="736"/>
      <c r="H33" s="736"/>
      <c r="I33" s="736"/>
      <c r="J33" s="736"/>
      <c r="K33" s="736"/>
      <c r="L33" s="736"/>
      <c r="M33" s="736"/>
      <c r="N33" s="736"/>
      <c r="O33" s="736"/>
      <c r="P33" s="736"/>
      <c r="Q33" s="736"/>
      <c r="R33" s="736"/>
      <c r="S33" s="736"/>
      <c r="T33" s="736"/>
      <c r="U33" s="736"/>
      <c r="V33" s="736"/>
      <c r="W33" s="736"/>
      <c r="X33" s="736"/>
      <c r="Y33" s="736"/>
      <c r="Z33" s="736"/>
      <c r="AA33" s="736"/>
      <c r="AB33" s="736"/>
    </row>
    <row r="34" spans="1:28" ht="16" x14ac:dyDescent="0.35">
      <c r="A34" s="289" t="s">
        <v>295</v>
      </c>
      <c r="B34" s="296" t="s">
        <v>91</v>
      </c>
      <c r="C34" s="291">
        <v>0</v>
      </c>
      <c r="D34" s="292" t="s">
        <v>232</v>
      </c>
      <c r="E34" s="293" t="s">
        <v>215</v>
      </c>
      <c r="F34" s="294">
        <v>54000000</v>
      </c>
      <c r="G34" s="294">
        <v>65000000</v>
      </c>
      <c r="H34" s="295">
        <v>47297</v>
      </c>
      <c r="I34" s="295">
        <v>47648</v>
      </c>
      <c r="J34" s="294">
        <v>65000000</v>
      </c>
      <c r="K34" s="294">
        <v>11000000</v>
      </c>
      <c r="L34" s="296" t="s">
        <v>88</v>
      </c>
      <c r="M34" s="291">
        <v>0</v>
      </c>
      <c r="N34" s="297">
        <v>45363</v>
      </c>
      <c r="O34" s="294">
        <v>51956737</v>
      </c>
      <c r="P34" s="294">
        <v>50371292.090000004</v>
      </c>
      <c r="Q34" s="294">
        <v>1771.71</v>
      </c>
      <c r="R34" s="295">
        <v>47296</v>
      </c>
      <c r="S34" s="295">
        <v>47296</v>
      </c>
      <c r="T34" s="298">
        <v>0</v>
      </c>
      <c r="U34" s="294">
        <v>3169712.73</v>
      </c>
      <c r="V34" s="294">
        <v>2579442.8146000002</v>
      </c>
      <c r="W34" s="294">
        <v>3435252.74</v>
      </c>
      <c r="X34" s="299">
        <v>0.75087424705758332</v>
      </c>
      <c r="Y34" s="299">
        <v>0.81377810367061243</v>
      </c>
      <c r="Z34" s="288">
        <f>U34/O34</f>
        <v>6.1006770498309007E-2</v>
      </c>
      <c r="AA34" s="288">
        <f>V34/O34</f>
        <v>4.9645974007182174E-2</v>
      </c>
      <c r="AB34" s="296" t="s">
        <v>91</v>
      </c>
    </row>
    <row r="35" spans="1:28" ht="17.25" customHeight="1" outlineLevel="1" collapsed="1" x14ac:dyDescent="0.35">
      <c r="A35" s="289" t="s">
        <v>215</v>
      </c>
      <c r="B35" s="301" t="s">
        <v>215</v>
      </c>
      <c r="C35" s="302" t="str" cm="1">
        <f t="array" ref="C35">_xlfn.SWITCH(C34,-1,"i",0,"g",1,"h")</f>
        <v>g</v>
      </c>
      <c r="D35" s="292" t="s">
        <v>215</v>
      </c>
      <c r="E35" s="292" t="s">
        <v>215</v>
      </c>
      <c r="F35" s="303" t="s">
        <v>215</v>
      </c>
      <c r="G35" s="303" t="s">
        <v>215</v>
      </c>
      <c r="H35" s="303" t="s">
        <v>215</v>
      </c>
      <c r="I35" s="303" t="s">
        <v>215</v>
      </c>
      <c r="J35" s="303" t="s">
        <v>215</v>
      </c>
      <c r="K35" s="303" t="s">
        <v>215</v>
      </c>
      <c r="L35" s="301" t="s">
        <v>215</v>
      </c>
      <c r="M35" s="302" t="str" cm="1">
        <f t="array" ref="M35">_xlfn.SWITCH(M34,-1,"i",0,"g",1,"h")</f>
        <v>g</v>
      </c>
      <c r="N35" s="303" t="s">
        <v>215</v>
      </c>
      <c r="O35" s="303" t="s">
        <v>215</v>
      </c>
      <c r="P35" s="303" t="s">
        <v>215</v>
      </c>
      <c r="Q35" s="303" t="s">
        <v>215</v>
      </c>
      <c r="R35" s="303" t="s">
        <v>215</v>
      </c>
      <c r="S35" s="303" t="s">
        <v>215</v>
      </c>
      <c r="T35" s="303" t="s">
        <v>215</v>
      </c>
      <c r="U35" s="303" t="s">
        <v>215</v>
      </c>
      <c r="V35" s="303" t="s">
        <v>215</v>
      </c>
      <c r="W35" s="303" t="s">
        <v>215</v>
      </c>
      <c r="X35" s="304" t="s">
        <v>215</v>
      </c>
      <c r="Y35" s="304" t="s">
        <v>215</v>
      </c>
      <c r="Z35" s="303" t="s">
        <v>215</v>
      </c>
      <c r="AA35" s="303" t="s">
        <v>215</v>
      </c>
      <c r="AB35" s="308" t="s">
        <v>215</v>
      </c>
    </row>
    <row r="36" spans="1:28" ht="17.25" customHeight="1" x14ac:dyDescent="0.35">
      <c r="A36" s="737"/>
      <c r="B36" s="738"/>
      <c r="C36" s="738"/>
      <c r="D36" s="738"/>
      <c r="E36" s="738"/>
      <c r="F36" s="738"/>
      <c r="G36" s="738"/>
      <c r="H36" s="738"/>
      <c r="I36" s="738"/>
      <c r="J36" s="738"/>
      <c r="K36" s="738"/>
      <c r="L36" s="738"/>
      <c r="M36" s="738"/>
      <c r="N36" s="738"/>
      <c r="O36" s="738"/>
      <c r="P36" s="738"/>
      <c r="Q36" s="738"/>
      <c r="R36" s="738"/>
      <c r="S36" s="738"/>
      <c r="T36" s="738"/>
      <c r="U36" s="738"/>
      <c r="V36" s="738"/>
      <c r="W36" s="738"/>
      <c r="X36" s="738"/>
      <c r="Y36" s="738"/>
      <c r="Z36" s="738"/>
      <c r="AA36" s="738"/>
      <c r="AB36" s="739"/>
    </row>
    <row r="37" spans="1:28" ht="8.25" customHeight="1" x14ac:dyDescent="0.35">
      <c r="A37" s="735" t="s">
        <v>215</v>
      </c>
      <c r="B37" s="736"/>
      <c r="C37" s="736"/>
      <c r="D37" s="736"/>
      <c r="E37" s="736"/>
      <c r="F37" s="736"/>
      <c r="G37" s="736"/>
      <c r="H37" s="736"/>
      <c r="I37" s="736"/>
      <c r="J37" s="736"/>
      <c r="K37" s="736"/>
      <c r="L37" s="736"/>
      <c r="M37" s="736"/>
      <c r="N37" s="736"/>
      <c r="O37" s="736"/>
      <c r="P37" s="736"/>
      <c r="Q37" s="736"/>
      <c r="R37" s="736"/>
      <c r="S37" s="736"/>
      <c r="T37" s="736"/>
      <c r="U37" s="736"/>
      <c r="V37" s="736"/>
      <c r="W37" s="736"/>
      <c r="X37" s="736"/>
      <c r="Y37" s="736"/>
      <c r="Z37" s="736"/>
      <c r="AA37" s="736"/>
      <c r="AB37" s="736"/>
    </row>
    <row r="38" spans="1:28" ht="16" x14ac:dyDescent="0.35">
      <c r="A38" s="289" t="s">
        <v>235</v>
      </c>
      <c r="B38" s="290" t="s">
        <v>91</v>
      </c>
      <c r="C38" s="291">
        <v>0</v>
      </c>
      <c r="D38" s="292" t="s">
        <v>234</v>
      </c>
      <c r="E38" s="293">
        <v>44951</v>
      </c>
      <c r="F38" s="294">
        <v>69149000</v>
      </c>
      <c r="G38" s="294">
        <v>75751776</v>
      </c>
      <c r="H38" s="295">
        <v>46295</v>
      </c>
      <c r="I38" s="295">
        <v>46446</v>
      </c>
      <c r="J38" s="294">
        <v>75751776</v>
      </c>
      <c r="K38" s="294">
        <v>69149000</v>
      </c>
      <c r="L38" s="306" t="s">
        <v>91</v>
      </c>
      <c r="M38" s="291">
        <v>0</v>
      </c>
      <c r="N38" s="297">
        <v>45016</v>
      </c>
      <c r="O38" s="294">
        <v>67044918</v>
      </c>
      <c r="P38" s="294">
        <v>54449006.659999996</v>
      </c>
      <c r="Q38" s="294">
        <v>-8189188.8300000001</v>
      </c>
      <c r="R38" s="295">
        <v>46266</v>
      </c>
      <c r="S38" s="295">
        <v>46266</v>
      </c>
      <c r="T38" s="298">
        <v>0</v>
      </c>
      <c r="U38" s="294">
        <v>34413428.289999999</v>
      </c>
      <c r="V38" s="294">
        <v>27350908.398400001</v>
      </c>
      <c r="W38" s="294">
        <v>19030877.739999998</v>
      </c>
      <c r="X38" s="299">
        <v>1.4371858603721974</v>
      </c>
      <c r="Y38" s="300">
        <v>0.79477430054092413</v>
      </c>
      <c r="Z38" s="288">
        <f>U38/O38</f>
        <v>0.5132891398271231</v>
      </c>
      <c r="AA38" s="288">
        <f>V38/O38</f>
        <v>0.40794901708135434</v>
      </c>
      <c r="AB38" s="306" t="s">
        <v>91</v>
      </c>
    </row>
    <row r="39" spans="1:28" ht="17.25" customHeight="1" outlineLevel="1" collapsed="1" x14ac:dyDescent="0.35">
      <c r="A39" s="289" t="s">
        <v>215</v>
      </c>
      <c r="B39" s="301" t="s">
        <v>215</v>
      </c>
      <c r="C39" s="302" t="str" cm="1">
        <f t="array" ref="C39">_xlfn.SWITCH(C38,-1,"i",0,"g",1,"h")</f>
        <v>g</v>
      </c>
      <c r="D39" s="292" t="s">
        <v>215</v>
      </c>
      <c r="E39" s="292" t="s">
        <v>215</v>
      </c>
      <c r="F39" s="303" t="s">
        <v>215</v>
      </c>
      <c r="G39" s="303" t="s">
        <v>215</v>
      </c>
      <c r="H39" s="303" t="s">
        <v>215</v>
      </c>
      <c r="I39" s="303" t="s">
        <v>215</v>
      </c>
      <c r="J39" s="303" t="s">
        <v>215</v>
      </c>
      <c r="K39" s="303" t="s">
        <v>215</v>
      </c>
      <c r="L39" s="301" t="s">
        <v>215</v>
      </c>
      <c r="M39" s="302" t="str" cm="1">
        <f t="array" ref="M39">_xlfn.SWITCH(M38,-1,"i",0,"g",1,"h")</f>
        <v>g</v>
      </c>
      <c r="N39" s="303" t="s">
        <v>215</v>
      </c>
      <c r="O39" s="303" t="s">
        <v>215</v>
      </c>
      <c r="P39" s="303" t="s">
        <v>215</v>
      </c>
      <c r="Q39" s="303" t="s">
        <v>215</v>
      </c>
      <c r="R39" s="303" t="s">
        <v>215</v>
      </c>
      <c r="S39" s="303" t="s">
        <v>215</v>
      </c>
      <c r="T39" s="303" t="s">
        <v>215</v>
      </c>
      <c r="U39" s="303" t="s">
        <v>215</v>
      </c>
      <c r="V39" s="303" t="s">
        <v>215</v>
      </c>
      <c r="W39" s="303" t="s">
        <v>215</v>
      </c>
      <c r="X39" s="304" t="s">
        <v>215</v>
      </c>
      <c r="Y39" s="305" t="s">
        <v>215</v>
      </c>
      <c r="Z39" s="303" t="s">
        <v>215</v>
      </c>
      <c r="AA39" s="303" t="s">
        <v>215</v>
      </c>
      <c r="AB39" s="303" t="s">
        <v>215</v>
      </c>
    </row>
    <row r="40" spans="1:28" ht="17.25" customHeight="1" x14ac:dyDescent="0.35">
      <c r="A40" s="737"/>
      <c r="B40" s="738"/>
      <c r="C40" s="738"/>
      <c r="D40" s="738"/>
      <c r="E40" s="738"/>
      <c r="F40" s="738"/>
      <c r="G40" s="738"/>
      <c r="H40" s="738"/>
      <c r="I40" s="738"/>
      <c r="J40" s="738"/>
      <c r="K40" s="738"/>
      <c r="L40" s="738"/>
      <c r="M40" s="738"/>
      <c r="N40" s="738"/>
      <c r="O40" s="738"/>
      <c r="P40" s="738"/>
      <c r="Q40" s="738"/>
      <c r="R40" s="738"/>
      <c r="S40" s="738"/>
      <c r="T40" s="738"/>
      <c r="U40" s="738"/>
      <c r="V40" s="738"/>
      <c r="W40" s="738"/>
      <c r="X40" s="738"/>
      <c r="Y40" s="738"/>
      <c r="Z40" s="738"/>
      <c r="AA40" s="738"/>
      <c r="AB40" s="739"/>
    </row>
    <row r="41" spans="1:28" ht="8.25" customHeight="1" x14ac:dyDescent="0.35">
      <c r="A41" s="735" t="s">
        <v>215</v>
      </c>
      <c r="B41" s="736"/>
      <c r="C41" s="736"/>
      <c r="D41" s="736"/>
      <c r="E41" s="736"/>
      <c r="F41" s="736"/>
      <c r="G41" s="736"/>
      <c r="H41" s="736"/>
      <c r="I41" s="736"/>
      <c r="J41" s="736"/>
      <c r="K41" s="736"/>
      <c r="L41" s="736"/>
      <c r="M41" s="736"/>
      <c r="N41" s="736"/>
      <c r="O41" s="736"/>
      <c r="P41" s="736"/>
      <c r="Q41" s="736"/>
      <c r="R41" s="736"/>
      <c r="S41" s="736"/>
      <c r="T41" s="736"/>
      <c r="U41" s="736"/>
      <c r="V41" s="736"/>
      <c r="W41" s="736"/>
      <c r="X41" s="736"/>
      <c r="Y41" s="736"/>
      <c r="Z41" s="736"/>
      <c r="AA41" s="736"/>
      <c r="AB41" s="736"/>
    </row>
    <row r="42" spans="1:28" ht="16" x14ac:dyDescent="0.35">
      <c r="A42" s="289" t="s">
        <v>233</v>
      </c>
      <c r="B42" s="296" t="s">
        <v>90</v>
      </c>
      <c r="C42" s="291">
        <v>0</v>
      </c>
      <c r="D42" s="292" t="s">
        <v>234</v>
      </c>
      <c r="E42" s="293">
        <v>45042</v>
      </c>
      <c r="F42" s="294">
        <v>75133228</v>
      </c>
      <c r="G42" s="294">
        <v>79757588</v>
      </c>
      <c r="H42" s="295">
        <v>46524</v>
      </c>
      <c r="I42" s="295">
        <v>46692</v>
      </c>
      <c r="J42" s="294">
        <v>89548993</v>
      </c>
      <c r="K42" s="294">
        <v>75133228</v>
      </c>
      <c r="L42" s="296" t="s">
        <v>88</v>
      </c>
      <c r="M42" s="291">
        <v>0</v>
      </c>
      <c r="N42" s="297">
        <v>45201</v>
      </c>
      <c r="O42" s="294">
        <v>57789943</v>
      </c>
      <c r="P42" s="294">
        <v>78234346.829999998</v>
      </c>
      <c r="Q42" s="294">
        <v>36595.22</v>
      </c>
      <c r="R42" s="295">
        <v>46524</v>
      </c>
      <c r="S42" s="295">
        <v>46827</v>
      </c>
      <c r="T42" s="298">
        <v>0</v>
      </c>
      <c r="U42" s="294">
        <v>44102803.68</v>
      </c>
      <c r="V42" s="294">
        <v>38639880.814300001</v>
      </c>
      <c r="W42" s="294">
        <v>59454955.090000004</v>
      </c>
      <c r="X42" s="299">
        <v>0.64990177447462272</v>
      </c>
      <c r="Y42" s="299">
        <v>0.87613207302334484</v>
      </c>
      <c r="Z42" s="288">
        <f>U42/O42</f>
        <v>0.76315707181092041</v>
      </c>
      <c r="AA42" s="288">
        <f>V42/O42</f>
        <v>0.66862638736812741</v>
      </c>
      <c r="AB42" s="296" t="s">
        <v>90</v>
      </c>
    </row>
    <row r="43" spans="1:28" ht="17.25" customHeight="1" outlineLevel="1" collapsed="1" x14ac:dyDescent="0.35">
      <c r="A43" s="289" t="s">
        <v>215</v>
      </c>
      <c r="B43" s="301" t="s">
        <v>215</v>
      </c>
      <c r="C43" s="302" t="str" cm="1">
        <f t="array" ref="C43">_xlfn.SWITCH(C42,-1,"i",0,"g",1,"h")</f>
        <v>g</v>
      </c>
      <c r="D43" s="292" t="s">
        <v>215</v>
      </c>
      <c r="E43" s="292" t="s">
        <v>215</v>
      </c>
      <c r="F43" s="303" t="s">
        <v>215</v>
      </c>
      <c r="G43" s="303" t="s">
        <v>215</v>
      </c>
      <c r="H43" s="303" t="s">
        <v>215</v>
      </c>
      <c r="I43" s="303" t="s">
        <v>215</v>
      </c>
      <c r="J43" s="303" t="s">
        <v>215</v>
      </c>
      <c r="K43" s="303" t="s">
        <v>215</v>
      </c>
      <c r="L43" s="301" t="s">
        <v>215</v>
      </c>
      <c r="M43" s="302" t="str" cm="1">
        <f t="array" ref="M43">_xlfn.SWITCH(M42,-1,"i",0,"g",1,"h")</f>
        <v>g</v>
      </c>
      <c r="N43" s="303" t="s">
        <v>215</v>
      </c>
      <c r="O43" s="303" t="s">
        <v>215</v>
      </c>
      <c r="P43" s="303" t="s">
        <v>215</v>
      </c>
      <c r="Q43" s="303" t="s">
        <v>215</v>
      </c>
      <c r="R43" s="303" t="s">
        <v>215</v>
      </c>
      <c r="S43" s="303" t="s">
        <v>215</v>
      </c>
      <c r="T43" s="303" t="s">
        <v>215</v>
      </c>
      <c r="U43" s="303" t="s">
        <v>215</v>
      </c>
      <c r="V43" s="303" t="s">
        <v>215</v>
      </c>
      <c r="W43" s="303" t="s">
        <v>215</v>
      </c>
      <c r="X43" s="304" t="s">
        <v>215</v>
      </c>
      <c r="Y43" s="304" t="s">
        <v>215</v>
      </c>
      <c r="Z43" s="303" t="s">
        <v>215</v>
      </c>
      <c r="AA43" s="303" t="s">
        <v>215</v>
      </c>
      <c r="AB43" s="308" t="s">
        <v>215</v>
      </c>
    </row>
    <row r="44" spans="1:28" ht="17.25" customHeight="1" x14ac:dyDescent="0.35">
      <c r="A44" s="737"/>
      <c r="B44" s="738"/>
      <c r="C44" s="738"/>
      <c r="D44" s="738"/>
      <c r="E44" s="738"/>
      <c r="F44" s="738"/>
      <c r="G44" s="738"/>
      <c r="H44" s="738"/>
      <c r="I44" s="738"/>
      <c r="J44" s="738"/>
      <c r="K44" s="738"/>
      <c r="L44" s="738"/>
      <c r="M44" s="738"/>
      <c r="N44" s="738"/>
      <c r="O44" s="738"/>
      <c r="P44" s="738"/>
      <c r="Q44" s="738"/>
      <c r="R44" s="738"/>
      <c r="S44" s="738"/>
      <c r="T44" s="738"/>
      <c r="U44" s="738"/>
      <c r="V44" s="738"/>
      <c r="W44" s="738"/>
      <c r="X44" s="738"/>
      <c r="Y44" s="738"/>
      <c r="Z44" s="738"/>
      <c r="AA44" s="738"/>
      <c r="AB44" s="739"/>
    </row>
    <row r="45" spans="1:28" ht="8.25" customHeight="1" x14ac:dyDescent="0.35">
      <c r="A45" s="735" t="s">
        <v>215</v>
      </c>
      <c r="B45" s="736"/>
      <c r="C45" s="736"/>
      <c r="D45" s="736"/>
      <c r="E45" s="736"/>
      <c r="F45" s="736"/>
      <c r="G45" s="736"/>
      <c r="H45" s="736"/>
      <c r="I45" s="736"/>
      <c r="J45" s="736"/>
      <c r="K45" s="736"/>
      <c r="L45" s="736"/>
      <c r="M45" s="736"/>
      <c r="N45" s="736"/>
      <c r="O45" s="736"/>
      <c r="P45" s="736"/>
      <c r="Q45" s="736"/>
      <c r="R45" s="736"/>
      <c r="S45" s="736"/>
      <c r="T45" s="736"/>
      <c r="U45" s="736"/>
      <c r="V45" s="736"/>
      <c r="W45" s="736"/>
      <c r="X45" s="736"/>
      <c r="Y45" s="736"/>
      <c r="Z45" s="736"/>
      <c r="AA45" s="736"/>
      <c r="AB45" s="736"/>
    </row>
    <row r="46" spans="1:28" ht="16" x14ac:dyDescent="0.35">
      <c r="A46" s="289" t="s">
        <v>103</v>
      </c>
      <c r="B46" s="307" t="s">
        <v>91</v>
      </c>
      <c r="C46" s="291">
        <v>0</v>
      </c>
      <c r="D46" s="292" t="s">
        <v>234</v>
      </c>
      <c r="E46" s="293">
        <v>45411</v>
      </c>
      <c r="F46" s="294">
        <v>68500000</v>
      </c>
      <c r="G46" s="294">
        <v>74600000</v>
      </c>
      <c r="H46" s="295">
        <v>45834</v>
      </c>
      <c r="I46" s="295">
        <v>45911</v>
      </c>
      <c r="J46" s="294">
        <v>0</v>
      </c>
      <c r="K46" s="294">
        <v>74600000</v>
      </c>
      <c r="L46" s="307" t="s">
        <v>91</v>
      </c>
      <c r="M46" s="291">
        <v>0</v>
      </c>
      <c r="N46" s="297">
        <v>45437</v>
      </c>
      <c r="O46" s="294">
        <v>75781353</v>
      </c>
      <c r="P46" s="294">
        <v>71465534.620000005</v>
      </c>
      <c r="Q46" s="294">
        <v>342891.49</v>
      </c>
      <c r="R46" s="295">
        <v>45834</v>
      </c>
      <c r="S46" s="295">
        <v>45842</v>
      </c>
      <c r="T46" s="298">
        <v>-15</v>
      </c>
      <c r="U46" s="294">
        <v>70398180.939999998</v>
      </c>
      <c r="V46" s="294">
        <v>69377385.300099999</v>
      </c>
      <c r="W46" s="294">
        <v>69646391</v>
      </c>
      <c r="X46" s="309">
        <v>0.99613755004333249</v>
      </c>
      <c r="Y46" s="299">
        <v>0.98549968726081116</v>
      </c>
      <c r="Z46" s="288">
        <f>U46/O46</f>
        <v>0.92896442400546742</v>
      </c>
      <c r="AA46" s="288">
        <f>V46/O46</f>
        <v>0.91549414933380768</v>
      </c>
      <c r="AB46" s="306" t="s">
        <v>91</v>
      </c>
    </row>
    <row r="47" spans="1:28" ht="17.25" customHeight="1" outlineLevel="1" collapsed="1" x14ac:dyDescent="0.35">
      <c r="A47" s="289" t="s">
        <v>215</v>
      </c>
      <c r="B47" s="301" t="s">
        <v>215</v>
      </c>
      <c r="C47" s="302" t="str" cm="1">
        <f t="array" ref="C47">_xlfn.SWITCH(C46,-1,"i",0,"g",1,"h")</f>
        <v>g</v>
      </c>
      <c r="D47" s="292" t="s">
        <v>215</v>
      </c>
      <c r="E47" s="292" t="s">
        <v>215</v>
      </c>
      <c r="F47" s="303" t="s">
        <v>215</v>
      </c>
      <c r="G47" s="303" t="s">
        <v>215</v>
      </c>
      <c r="H47" s="303" t="s">
        <v>215</v>
      </c>
      <c r="I47" s="303" t="s">
        <v>215</v>
      </c>
      <c r="J47" s="303" t="s">
        <v>215</v>
      </c>
      <c r="K47" s="303" t="s">
        <v>215</v>
      </c>
      <c r="L47" s="301" t="s">
        <v>215</v>
      </c>
      <c r="M47" s="302" t="str" cm="1">
        <f t="array" ref="M47">_xlfn.SWITCH(M46,-1,"i",0,"g",1,"h")</f>
        <v>g</v>
      </c>
      <c r="N47" s="303" t="s">
        <v>215</v>
      </c>
      <c r="O47" s="303" t="s">
        <v>215</v>
      </c>
      <c r="P47" s="303" t="s">
        <v>215</v>
      </c>
      <c r="Q47" s="303" t="s">
        <v>215</v>
      </c>
      <c r="R47" s="303" t="s">
        <v>215</v>
      </c>
      <c r="S47" s="303" t="s">
        <v>215</v>
      </c>
      <c r="T47" s="303" t="s">
        <v>215</v>
      </c>
      <c r="U47" s="303" t="s">
        <v>215</v>
      </c>
      <c r="V47" s="303" t="s">
        <v>215</v>
      </c>
      <c r="W47" s="303" t="s">
        <v>215</v>
      </c>
      <c r="X47" s="310" t="s">
        <v>215</v>
      </c>
      <c r="Y47" s="304" t="s">
        <v>215</v>
      </c>
      <c r="Z47" s="303" t="s">
        <v>215</v>
      </c>
      <c r="AA47" s="303" t="s">
        <v>215</v>
      </c>
      <c r="AB47" s="303" t="s">
        <v>215</v>
      </c>
    </row>
    <row r="48" spans="1:28" ht="17.25" customHeight="1" x14ac:dyDescent="0.35">
      <c r="A48" s="737"/>
      <c r="B48" s="738"/>
      <c r="C48" s="738"/>
      <c r="D48" s="738"/>
      <c r="E48" s="738"/>
      <c r="F48" s="738"/>
      <c r="G48" s="738"/>
      <c r="H48" s="738"/>
      <c r="I48" s="738"/>
      <c r="J48" s="738"/>
      <c r="K48" s="738"/>
      <c r="L48" s="738"/>
      <c r="M48" s="738"/>
      <c r="N48" s="738"/>
      <c r="O48" s="738"/>
      <c r="P48" s="738"/>
      <c r="Q48" s="738"/>
      <c r="R48" s="738"/>
      <c r="S48" s="738"/>
      <c r="T48" s="738"/>
      <c r="U48" s="738"/>
      <c r="V48" s="738"/>
      <c r="W48" s="738"/>
      <c r="X48" s="738"/>
      <c r="Y48" s="738"/>
      <c r="Z48" s="738"/>
      <c r="AA48" s="738"/>
      <c r="AB48" s="739"/>
    </row>
    <row r="49" spans="1:28" ht="8.25" customHeight="1" x14ac:dyDescent="0.35">
      <c r="A49" s="735" t="s">
        <v>215</v>
      </c>
      <c r="B49" s="736"/>
      <c r="C49" s="736"/>
      <c r="D49" s="736"/>
      <c r="E49" s="736"/>
      <c r="F49" s="736"/>
      <c r="G49" s="736"/>
      <c r="H49" s="736"/>
      <c r="I49" s="736"/>
      <c r="J49" s="736"/>
      <c r="K49" s="736"/>
      <c r="L49" s="736"/>
      <c r="M49" s="736"/>
      <c r="N49" s="736"/>
      <c r="O49" s="736"/>
      <c r="P49" s="736"/>
      <c r="Q49" s="736"/>
      <c r="R49" s="736"/>
      <c r="S49" s="736"/>
      <c r="T49" s="736"/>
      <c r="U49" s="736"/>
      <c r="V49" s="736"/>
      <c r="W49" s="736"/>
      <c r="X49" s="736"/>
      <c r="Y49" s="736"/>
      <c r="Z49" s="736"/>
      <c r="AA49" s="736"/>
      <c r="AB49" s="736"/>
    </row>
    <row r="50" spans="1:28" ht="16" x14ac:dyDescent="0.35">
      <c r="A50" s="289" t="s">
        <v>117</v>
      </c>
      <c r="B50" s="307" t="s">
        <v>88</v>
      </c>
      <c r="C50" s="291">
        <v>0</v>
      </c>
      <c r="D50" s="292" t="s">
        <v>232</v>
      </c>
      <c r="E50" s="293">
        <v>43833</v>
      </c>
      <c r="F50" s="294">
        <v>704620000</v>
      </c>
      <c r="G50" s="294">
        <v>902620000</v>
      </c>
      <c r="H50" s="295">
        <v>47209</v>
      </c>
      <c r="I50" s="295">
        <v>47423</v>
      </c>
      <c r="J50" s="294">
        <v>384623000</v>
      </c>
      <c r="K50" s="294">
        <v>351623000</v>
      </c>
      <c r="L50" s="307" t="s">
        <v>88</v>
      </c>
      <c r="M50" s="291">
        <v>0</v>
      </c>
      <c r="N50" s="297">
        <v>43617</v>
      </c>
      <c r="O50" s="294">
        <v>737262484</v>
      </c>
      <c r="P50" s="294">
        <v>264913475.66999999</v>
      </c>
      <c r="Q50" s="294">
        <v>-460263.22</v>
      </c>
      <c r="R50" s="295">
        <v>46944</v>
      </c>
      <c r="S50" s="295">
        <v>48516</v>
      </c>
      <c r="T50" s="298">
        <v>0</v>
      </c>
      <c r="U50" s="294">
        <v>430313884.66000003</v>
      </c>
      <c r="V50" s="294">
        <v>158974839.49900001</v>
      </c>
      <c r="W50" s="294">
        <v>264497945.91</v>
      </c>
      <c r="X50" s="309">
        <v>0.60104375840065671</v>
      </c>
      <c r="Y50" s="299">
        <v>0.36943925159330926</v>
      </c>
      <c r="Z50" s="288">
        <f>U50/O50</f>
        <v>0.58366442616928282</v>
      </c>
      <c r="AA50" s="288">
        <f>V50/O50</f>
        <v>0.21562854878561813</v>
      </c>
      <c r="AB50" s="307" t="s">
        <v>91</v>
      </c>
    </row>
    <row r="51" spans="1:28" ht="17.25" customHeight="1" outlineLevel="1" collapsed="1" x14ac:dyDescent="0.35">
      <c r="A51" s="289" t="s">
        <v>215</v>
      </c>
      <c r="B51" s="301" t="s">
        <v>215</v>
      </c>
      <c r="C51" s="302" t="str" cm="1">
        <f t="array" ref="C51">_xlfn.SWITCH(C50,-1,"i",0,"g",1,"h")</f>
        <v>g</v>
      </c>
      <c r="D51" s="292" t="s">
        <v>215</v>
      </c>
      <c r="E51" s="292" t="s">
        <v>215</v>
      </c>
      <c r="F51" s="303" t="s">
        <v>215</v>
      </c>
      <c r="G51" s="303" t="s">
        <v>215</v>
      </c>
      <c r="H51" s="303" t="s">
        <v>215</v>
      </c>
      <c r="I51" s="303" t="s">
        <v>215</v>
      </c>
      <c r="J51" s="303" t="s">
        <v>215</v>
      </c>
      <c r="K51" s="303" t="s">
        <v>215</v>
      </c>
      <c r="L51" s="301" t="s">
        <v>215</v>
      </c>
      <c r="M51" s="302" t="str" cm="1">
        <f t="array" ref="M51">_xlfn.SWITCH(M50,-1,"i",0,"g",1,"h")</f>
        <v>g</v>
      </c>
      <c r="N51" s="303" t="s">
        <v>215</v>
      </c>
      <c r="O51" s="303" t="s">
        <v>215</v>
      </c>
      <c r="P51" s="303" t="s">
        <v>215</v>
      </c>
      <c r="Q51" s="303" t="s">
        <v>215</v>
      </c>
      <c r="R51" s="303" t="s">
        <v>215</v>
      </c>
      <c r="S51" s="303" t="s">
        <v>215</v>
      </c>
      <c r="T51" s="303" t="s">
        <v>215</v>
      </c>
      <c r="U51" s="303" t="s">
        <v>215</v>
      </c>
      <c r="V51" s="303" t="s">
        <v>215</v>
      </c>
      <c r="W51" s="303" t="s">
        <v>215</v>
      </c>
      <c r="X51" s="310" t="s">
        <v>215</v>
      </c>
      <c r="Y51" s="304" t="s">
        <v>215</v>
      </c>
      <c r="Z51" s="303" t="s">
        <v>215</v>
      </c>
      <c r="AA51" s="303" t="s">
        <v>215</v>
      </c>
      <c r="AB51" s="308" t="s">
        <v>215</v>
      </c>
    </row>
    <row r="52" spans="1:28" ht="17.25" customHeight="1" x14ac:dyDescent="0.35">
      <c r="A52" s="737"/>
      <c r="B52" s="738"/>
      <c r="C52" s="738"/>
      <c r="D52" s="738"/>
      <c r="E52" s="738"/>
      <c r="F52" s="738"/>
      <c r="G52" s="738"/>
      <c r="H52" s="738"/>
      <c r="I52" s="738"/>
      <c r="J52" s="738"/>
      <c r="K52" s="738"/>
      <c r="L52" s="738"/>
      <c r="M52" s="738"/>
      <c r="N52" s="738"/>
      <c r="O52" s="738"/>
      <c r="P52" s="738"/>
      <c r="Q52" s="738"/>
      <c r="R52" s="738"/>
      <c r="S52" s="738"/>
      <c r="T52" s="738"/>
      <c r="U52" s="738"/>
      <c r="V52" s="738"/>
      <c r="W52" s="738"/>
      <c r="X52" s="738"/>
      <c r="Y52" s="738"/>
      <c r="Z52" s="738"/>
      <c r="AA52" s="738"/>
      <c r="AB52" s="739"/>
    </row>
    <row r="53" spans="1:28" ht="4.5" customHeight="1" x14ac:dyDescent="0.35">
      <c r="A53" s="424"/>
      <c r="B53" s="425"/>
      <c r="C53" s="425"/>
      <c r="D53" s="425"/>
      <c r="E53" s="425"/>
      <c r="F53" s="425"/>
      <c r="G53" s="425"/>
      <c r="H53" s="425"/>
      <c r="I53" s="425"/>
      <c r="J53" s="425"/>
      <c r="K53" s="425"/>
      <c r="L53" s="425"/>
      <c r="M53" s="425"/>
      <c r="N53" s="425"/>
      <c r="O53" s="425"/>
      <c r="P53" s="425"/>
      <c r="Q53" s="425"/>
      <c r="R53" s="425"/>
      <c r="S53" s="425"/>
      <c r="T53" s="425"/>
      <c r="U53" s="425"/>
      <c r="V53" s="425"/>
      <c r="W53" s="425"/>
      <c r="X53" s="425"/>
      <c r="Y53" s="425"/>
      <c r="Z53" s="425"/>
      <c r="AA53" s="425"/>
      <c r="AB53" s="426"/>
    </row>
    <row r="54" spans="1:28" ht="32" x14ac:dyDescent="0.35">
      <c r="A54" s="289" t="s">
        <v>5</v>
      </c>
      <c r="B54" s="307" t="s">
        <v>88</v>
      </c>
      <c r="C54" s="291">
        <v>0</v>
      </c>
      <c r="D54" s="292" t="s">
        <v>234</v>
      </c>
      <c r="E54" s="293">
        <v>43892</v>
      </c>
      <c r="F54" s="294">
        <v>305915000</v>
      </c>
      <c r="G54" s="294">
        <v>315347000</v>
      </c>
      <c r="H54" s="295">
        <v>45392</v>
      </c>
      <c r="I54" s="295">
        <v>45627</v>
      </c>
      <c r="J54" s="294">
        <v>315347000</v>
      </c>
      <c r="K54" s="294">
        <v>305931037</v>
      </c>
      <c r="L54" s="307" t="s">
        <v>88</v>
      </c>
      <c r="M54" s="291">
        <v>0</v>
      </c>
      <c r="N54" s="297">
        <v>43891</v>
      </c>
      <c r="O54" s="294">
        <v>290797664</v>
      </c>
      <c r="P54" s="294">
        <v>313151952.38999999</v>
      </c>
      <c r="Q54" s="294">
        <v>2574.9</v>
      </c>
      <c r="R54" s="295">
        <v>45392</v>
      </c>
      <c r="S54" s="295">
        <v>46107</v>
      </c>
      <c r="T54" s="298">
        <v>0</v>
      </c>
      <c r="U54" s="294">
        <v>290797663.80000001</v>
      </c>
      <c r="V54" s="294">
        <v>284971726.3423</v>
      </c>
      <c r="W54" s="294">
        <v>304772553.64999998</v>
      </c>
      <c r="X54" s="309">
        <v>0.93503080552837703</v>
      </c>
      <c r="Y54" s="299">
        <v>0.97996566622451664</v>
      </c>
      <c r="Z54" s="288">
        <f>U54/O54</f>
        <v>0.9999999993122366</v>
      </c>
      <c r="AA54" s="288">
        <f>V54/O54</f>
        <v>0.97996566555053211</v>
      </c>
      <c r="AB54" s="307" t="s">
        <v>90</v>
      </c>
    </row>
    <row r="55" spans="1:28" ht="15.75" customHeight="1" outlineLevel="1" collapsed="1" x14ac:dyDescent="0.35">
      <c r="A55" s="289"/>
      <c r="B55" s="301"/>
      <c r="C55" s="302" t="str" cm="1">
        <f t="array" ref="C55">_xlfn.SWITCH(C54,-1,"i",0,"g",1,"h")</f>
        <v>g</v>
      </c>
      <c r="D55" s="292"/>
      <c r="E55" s="292"/>
      <c r="F55" s="303"/>
      <c r="G55" s="303"/>
      <c r="H55" s="303"/>
      <c r="I55" s="303"/>
      <c r="J55" s="303"/>
      <c r="K55" s="303"/>
      <c r="L55" s="301"/>
      <c r="M55" s="302" t="str" cm="1">
        <f t="array" ref="M55">_xlfn.SWITCH(M54,-1,"i",0,"g",1,"h")</f>
        <v>g</v>
      </c>
      <c r="N55" s="303"/>
      <c r="O55" s="303"/>
      <c r="P55" s="303"/>
      <c r="Q55" s="303"/>
      <c r="R55" s="303"/>
      <c r="S55" s="303"/>
      <c r="T55" s="303"/>
      <c r="U55" s="303"/>
      <c r="V55" s="303"/>
      <c r="W55" s="303"/>
      <c r="X55" s="310"/>
      <c r="Y55" s="304"/>
      <c r="Z55" s="303"/>
      <c r="AA55" s="303"/>
      <c r="AB55" s="308"/>
    </row>
    <row r="57" spans="1:28" ht="6.75" customHeight="1" x14ac:dyDescent="0.35"/>
    <row r="58" spans="1:28" ht="32" x14ac:dyDescent="0.35">
      <c r="A58" s="289" t="s">
        <v>111</v>
      </c>
      <c r="B58" s="307" t="s">
        <v>91</v>
      </c>
      <c r="C58" s="291">
        <v>0</v>
      </c>
      <c r="D58" s="292" t="s">
        <v>234</v>
      </c>
      <c r="E58" s="293">
        <v>44378</v>
      </c>
      <c r="F58" s="294">
        <v>1335430000</v>
      </c>
      <c r="G58" s="294">
        <v>1672870000</v>
      </c>
      <c r="H58" s="295">
        <v>47400</v>
      </c>
      <c r="I58" s="295">
        <v>48274</v>
      </c>
      <c r="J58" s="294">
        <v>1672870000</v>
      </c>
      <c r="K58" s="294">
        <v>1335430000</v>
      </c>
      <c r="L58" s="307" t="s">
        <v>91</v>
      </c>
      <c r="M58" s="291">
        <v>0</v>
      </c>
      <c r="N58" s="297">
        <v>44256</v>
      </c>
      <c r="O58" s="294">
        <v>1453946177</v>
      </c>
      <c r="P58" s="294">
        <v>1424968016.8800001</v>
      </c>
      <c r="Q58" s="294">
        <v>-16210981.17</v>
      </c>
      <c r="R58" s="295">
        <v>47400</v>
      </c>
      <c r="S58" s="295">
        <v>47400</v>
      </c>
      <c r="T58" s="298">
        <v>0</v>
      </c>
      <c r="U58" s="294">
        <v>891319728.77999997</v>
      </c>
      <c r="V58" s="294">
        <v>783574653.68019998</v>
      </c>
      <c r="W58" s="294">
        <v>774574256.11000001</v>
      </c>
      <c r="X58" s="309">
        <v>1.0116197995210956</v>
      </c>
      <c r="Y58" s="299">
        <v>0.87911736762825077</v>
      </c>
      <c r="Z58" s="288">
        <f>U58/O58</f>
        <v>0.61303488593993527</v>
      </c>
      <c r="AA58" s="288">
        <f>V58/O58</f>
        <v>0.53892961519180083</v>
      </c>
      <c r="AB58" s="307" t="s">
        <v>90</v>
      </c>
    </row>
    <row r="59" spans="1:28" ht="17.25" customHeight="1" outlineLevel="1" collapsed="1" x14ac:dyDescent="0.35">
      <c r="A59" s="289"/>
      <c r="B59" s="301"/>
      <c r="C59" s="302" t="str" cm="1">
        <f t="array" ref="C59">_xlfn.SWITCH(C58,-1,"i",0,"g",1,"h")</f>
        <v>g</v>
      </c>
      <c r="D59" s="292"/>
      <c r="E59" s="292"/>
      <c r="F59" s="303"/>
      <c r="G59" s="303"/>
      <c r="H59" s="303"/>
      <c r="I59" s="303"/>
      <c r="J59" s="303"/>
      <c r="K59" s="303"/>
      <c r="L59" s="301"/>
      <c r="M59" s="302" t="str" cm="1">
        <f t="array" ref="M59">_xlfn.SWITCH(M58,-1,"i",0,"g",1,"h")</f>
        <v>g</v>
      </c>
      <c r="N59" s="303"/>
      <c r="O59" s="303"/>
      <c r="P59" s="303"/>
      <c r="Q59" s="303"/>
      <c r="R59" s="303"/>
      <c r="S59" s="303"/>
      <c r="T59" s="303"/>
      <c r="U59" s="303"/>
      <c r="V59" s="303"/>
      <c r="W59" s="303"/>
      <c r="X59" s="310"/>
      <c r="Y59" s="304"/>
      <c r="Z59" s="303"/>
      <c r="AA59" s="303"/>
      <c r="AB59" s="308"/>
    </row>
    <row r="61" spans="1:28" ht="6.75" customHeight="1" x14ac:dyDescent="0.35"/>
    <row r="62" spans="1:28" ht="16" x14ac:dyDescent="0.35">
      <c r="A62" s="289" t="s">
        <v>7</v>
      </c>
      <c r="B62" s="307" t="s">
        <v>91</v>
      </c>
      <c r="C62" s="291">
        <v>0</v>
      </c>
      <c r="D62" s="292" t="s">
        <v>234</v>
      </c>
      <c r="E62" s="293">
        <v>45194</v>
      </c>
      <c r="F62" s="294">
        <v>866700000</v>
      </c>
      <c r="G62" s="294">
        <v>897900000</v>
      </c>
      <c r="H62" s="295">
        <v>46478</v>
      </c>
      <c r="I62" s="295">
        <v>47027</v>
      </c>
      <c r="J62" s="294">
        <v>897900000</v>
      </c>
      <c r="K62" s="294">
        <v>897900000</v>
      </c>
      <c r="L62" s="307" t="s">
        <v>90</v>
      </c>
      <c r="M62" s="291">
        <v>0</v>
      </c>
      <c r="N62" s="297">
        <v>44652</v>
      </c>
      <c r="O62" s="294">
        <v>802958036</v>
      </c>
      <c r="P62" s="294">
        <v>874149935.48000002</v>
      </c>
      <c r="Q62" s="294">
        <v>57972.02</v>
      </c>
      <c r="R62" s="295">
        <v>46505</v>
      </c>
      <c r="S62" s="295">
        <v>46703</v>
      </c>
      <c r="T62" s="298">
        <v>0</v>
      </c>
      <c r="U62" s="294">
        <v>779970958.01999998</v>
      </c>
      <c r="V62" s="294">
        <v>771041490.02569997</v>
      </c>
      <c r="W62" s="294">
        <v>846348058.71000004</v>
      </c>
      <c r="X62" s="309">
        <v>0.91102175055605139</v>
      </c>
      <c r="Y62" s="299">
        <v>0.98855153784575778</v>
      </c>
      <c r="Z62" s="288">
        <f>U62/O62</f>
        <v>0.97137200582173389</v>
      </c>
      <c r="AA62" s="288">
        <f>V62/O62</f>
        <v>0.96025129017539335</v>
      </c>
      <c r="AB62" s="307" t="s">
        <v>91</v>
      </c>
    </row>
    <row r="63" spans="1:28" ht="17.25" customHeight="1" outlineLevel="1" collapsed="1" x14ac:dyDescent="0.35">
      <c r="A63" s="289"/>
      <c r="B63" s="301"/>
      <c r="C63" s="302" t="str" cm="1">
        <f t="array" ref="C63">_xlfn.SWITCH(C62,-1,"i",0,"g",1,"h")</f>
        <v>g</v>
      </c>
      <c r="D63" s="292"/>
      <c r="E63" s="292"/>
      <c r="F63" s="303"/>
      <c r="G63" s="303"/>
      <c r="H63" s="303"/>
      <c r="I63" s="303"/>
      <c r="J63" s="303"/>
      <c r="K63" s="303"/>
      <c r="L63" s="301"/>
      <c r="M63" s="302" t="str" cm="1">
        <f t="array" ref="M63">_xlfn.SWITCH(M62,-1,"i",0,"g",1,"h")</f>
        <v>g</v>
      </c>
      <c r="N63" s="303"/>
      <c r="O63" s="303"/>
      <c r="P63" s="303"/>
      <c r="Q63" s="303"/>
      <c r="R63" s="303"/>
      <c r="S63" s="303"/>
      <c r="T63" s="303"/>
      <c r="U63" s="303"/>
      <c r="V63" s="303"/>
      <c r="W63" s="303"/>
      <c r="X63" s="310"/>
      <c r="Y63" s="304"/>
      <c r="Z63" s="303"/>
      <c r="AA63" s="303"/>
      <c r="AB63" s="308"/>
    </row>
    <row r="65" spans="1:28" ht="6.75" customHeight="1" x14ac:dyDescent="0.35"/>
    <row r="66" spans="1:28" ht="16" x14ac:dyDescent="0.35">
      <c r="A66" s="289" t="s">
        <v>113</v>
      </c>
      <c r="B66" s="307" t="s">
        <v>91</v>
      </c>
      <c r="C66" s="291">
        <v>0</v>
      </c>
      <c r="D66" s="292" t="s">
        <v>234</v>
      </c>
      <c r="E66" s="293">
        <v>44531</v>
      </c>
      <c r="F66" s="294">
        <v>1007000000</v>
      </c>
      <c r="G66" s="294">
        <v>1181564753</v>
      </c>
      <c r="H66" s="295">
        <v>47849</v>
      </c>
      <c r="I66" s="295">
        <v>48611</v>
      </c>
      <c r="J66" s="294">
        <v>1182000000</v>
      </c>
      <c r="K66" s="294">
        <v>1007000000</v>
      </c>
      <c r="L66" s="307" t="s">
        <v>91</v>
      </c>
      <c r="M66" s="291">
        <v>0</v>
      </c>
      <c r="N66" s="297">
        <v>45317</v>
      </c>
      <c r="O66" s="294">
        <v>1092964583</v>
      </c>
      <c r="P66" s="294">
        <v>1106635565</v>
      </c>
      <c r="Q66" s="294">
        <v>-18725.46</v>
      </c>
      <c r="R66" s="295">
        <v>47871</v>
      </c>
      <c r="S66" s="295">
        <v>47871</v>
      </c>
      <c r="T66" s="298">
        <v>0</v>
      </c>
      <c r="U66" s="294">
        <v>623721106</v>
      </c>
      <c r="V66" s="294">
        <v>579031562.3391</v>
      </c>
      <c r="W66" s="294">
        <v>560442116.97000003</v>
      </c>
      <c r="X66" s="309">
        <v>1.0331692512147423</v>
      </c>
      <c r="Y66" s="299">
        <v>0.92835011797580569</v>
      </c>
      <c r="Z66" s="288">
        <f>U66/O66</f>
        <v>0.57066909184558634</v>
      </c>
      <c r="AA66" s="288">
        <f>V66/O66</f>
        <v>0.52978071873999599</v>
      </c>
      <c r="AB66" s="307" t="s">
        <v>91</v>
      </c>
    </row>
    <row r="67" spans="1:28" ht="17.25" customHeight="1" outlineLevel="1" collapsed="1" x14ac:dyDescent="0.35">
      <c r="A67" s="289"/>
      <c r="B67" s="301"/>
      <c r="C67" s="302" t="str" cm="1">
        <f t="array" ref="C67">_xlfn.SWITCH(C66,-1,"i",0,"g",1,"h")</f>
        <v>g</v>
      </c>
      <c r="D67" s="292"/>
      <c r="E67" s="292"/>
      <c r="F67" s="303"/>
      <c r="G67" s="303"/>
      <c r="H67" s="303"/>
      <c r="I67" s="303"/>
      <c r="J67" s="303"/>
      <c r="K67" s="303"/>
      <c r="L67" s="301"/>
      <c r="M67" s="302" t="str" cm="1">
        <f t="array" ref="M67">_xlfn.SWITCH(M66,-1,"i",0,"g",1,"h")</f>
        <v>g</v>
      </c>
      <c r="N67" s="303"/>
      <c r="O67" s="303"/>
      <c r="P67" s="303"/>
      <c r="Q67" s="303"/>
      <c r="R67" s="303"/>
      <c r="S67" s="303"/>
      <c r="T67" s="303"/>
      <c r="U67" s="303"/>
      <c r="V67" s="303"/>
      <c r="W67" s="303"/>
      <c r="X67" s="310"/>
      <c r="Y67" s="304"/>
      <c r="Z67" s="303"/>
      <c r="AA67" s="303"/>
      <c r="AB67" s="308"/>
    </row>
    <row r="69" spans="1:28" ht="6.75" customHeight="1" x14ac:dyDescent="0.35"/>
    <row r="70" spans="1:28" ht="32" x14ac:dyDescent="0.35">
      <c r="A70" s="289" t="s">
        <v>320</v>
      </c>
      <c r="B70" s="303" t="s">
        <v>91</v>
      </c>
      <c r="C70" s="303">
        <v>0</v>
      </c>
      <c r="D70" s="303" t="s">
        <v>234</v>
      </c>
      <c r="E70" s="293">
        <v>45225</v>
      </c>
      <c r="F70" s="294">
        <v>130000000</v>
      </c>
      <c r="G70" s="294">
        <v>200000000</v>
      </c>
      <c r="H70" s="293" t="s">
        <v>319</v>
      </c>
      <c r="I70" s="293" t="s">
        <v>319</v>
      </c>
      <c r="J70" s="294">
        <v>200000000</v>
      </c>
      <c r="K70" s="294">
        <v>200000000</v>
      </c>
      <c r="L70" s="311" t="s">
        <v>91</v>
      </c>
      <c r="M70" s="294">
        <v>0</v>
      </c>
      <c r="N70" s="297">
        <v>45254</v>
      </c>
      <c r="O70" s="294">
        <v>138103039</v>
      </c>
      <c r="P70" s="294">
        <v>142747307.47</v>
      </c>
      <c r="Q70" s="294">
        <v>-2643868.8800000004</v>
      </c>
      <c r="R70" s="295">
        <v>48935</v>
      </c>
      <c r="S70" s="295">
        <v>48935</v>
      </c>
      <c r="T70" s="298">
        <v>0</v>
      </c>
      <c r="U70" s="294">
        <v>51493703.383200005</v>
      </c>
      <c r="V70" s="294">
        <v>25039774.340599999</v>
      </c>
      <c r="W70" s="294">
        <v>23113241.129999999</v>
      </c>
      <c r="X70" s="309">
        <v>1.0833519280037036</v>
      </c>
      <c r="Y70" s="299">
        <v>0.48626866384539957</v>
      </c>
      <c r="Z70" s="288">
        <v>0.37286437544071716</v>
      </c>
      <c r="AA70" s="288">
        <v>0.18131226164110698</v>
      </c>
      <c r="AB70" s="296" t="s">
        <v>88</v>
      </c>
    </row>
    <row r="71" spans="1:28" ht="17.25" customHeight="1" x14ac:dyDescent="0.35">
      <c r="A71" s="763"/>
      <c r="B71" s="764"/>
      <c r="C71" s="764"/>
      <c r="D71" s="764"/>
      <c r="E71" s="764"/>
      <c r="F71" s="764"/>
      <c r="G71" s="764"/>
      <c r="H71" s="764"/>
      <c r="I71" s="764"/>
      <c r="J71" s="764"/>
      <c r="K71" s="764"/>
      <c r="L71" s="764"/>
      <c r="M71" s="764"/>
      <c r="N71" s="764"/>
      <c r="O71" s="764"/>
      <c r="P71" s="764"/>
      <c r="Q71" s="764"/>
      <c r="R71" s="764"/>
      <c r="S71" s="764"/>
      <c r="T71" s="764"/>
      <c r="U71" s="764"/>
      <c r="V71" s="764"/>
      <c r="W71" s="764"/>
      <c r="X71" s="764"/>
      <c r="Y71" s="764"/>
      <c r="Z71" s="764"/>
      <c r="AA71" s="764"/>
      <c r="AB71" s="764"/>
    </row>
    <row r="72" spans="1:28" ht="6.75" customHeight="1" x14ac:dyDescent="0.35">
      <c r="A72" s="427" t="s">
        <v>215</v>
      </c>
    </row>
    <row r="73" spans="1:28" ht="32" x14ac:dyDescent="0.35">
      <c r="A73" s="289" t="s">
        <v>299</v>
      </c>
      <c r="B73" s="307" t="s">
        <v>91</v>
      </c>
      <c r="C73" s="291">
        <v>0</v>
      </c>
      <c r="D73" s="292"/>
      <c r="E73" s="293">
        <v>41579</v>
      </c>
      <c r="F73" s="294">
        <v>774500000</v>
      </c>
      <c r="G73" s="294">
        <v>880000000</v>
      </c>
      <c r="H73" s="295"/>
      <c r="I73" s="295"/>
      <c r="J73" s="294">
        <v>921800000</v>
      </c>
      <c r="K73" s="294">
        <v>921800000</v>
      </c>
      <c r="L73" s="291" t="s">
        <v>95</v>
      </c>
      <c r="M73" s="291"/>
      <c r="N73" s="297"/>
      <c r="O73" s="294"/>
      <c r="P73" s="294">
        <v>920049412.26999998</v>
      </c>
      <c r="Q73" s="294">
        <v>0</v>
      </c>
      <c r="R73" s="295"/>
      <c r="S73" s="295">
        <v>46079</v>
      </c>
      <c r="T73" s="298"/>
      <c r="U73" s="294"/>
      <c r="V73" s="294"/>
      <c r="W73" s="294">
        <v>889529173.84000003</v>
      </c>
      <c r="X73" s="309"/>
      <c r="Y73" s="299"/>
      <c r="Z73" s="288"/>
      <c r="AA73" s="288"/>
      <c r="AB73" s="291" t="s">
        <v>95</v>
      </c>
    </row>
    <row r="74" spans="1:28" ht="24.5" x14ac:dyDescent="0.35">
      <c r="A74" s="289"/>
      <c r="B74" s="301"/>
      <c r="C74" s="302" t="str" cm="1">
        <f t="array" ref="C74">_xlfn.SWITCH(C73,-1,"i",0,"g",1,"h")</f>
        <v>g</v>
      </c>
      <c r="D74" s="292"/>
      <c r="E74" s="292"/>
      <c r="F74" s="303"/>
      <c r="G74" s="303"/>
      <c r="H74" s="303"/>
      <c r="I74" s="303"/>
      <c r="J74" s="303"/>
      <c r="K74" s="303"/>
      <c r="L74" s="301"/>
      <c r="M74" s="302"/>
      <c r="N74" s="303"/>
      <c r="O74" s="303"/>
      <c r="P74" s="303"/>
      <c r="Q74" s="303"/>
      <c r="R74" s="303"/>
      <c r="S74" s="303"/>
      <c r="T74" s="303"/>
      <c r="U74" s="303"/>
      <c r="V74" s="303"/>
      <c r="W74" s="310"/>
      <c r="X74" s="310"/>
      <c r="Y74" s="304"/>
      <c r="Z74" s="303"/>
      <c r="AA74" s="303"/>
      <c r="AB74" s="308"/>
    </row>
    <row r="75" spans="1:28" ht="6.75" customHeight="1" x14ac:dyDescent="0.35"/>
  </sheetData>
  <sheetProtection algorithmName="SHA-512" hashValue="FfospzUyw1vWtBfZzdQVJ9I7OeeYS3ID2iTr70QncHAeD1InsQjK+8sngoCZMZmmFEbrYOSjiteqHUl7JHgVZg==" saltValue="W0u5jsF3gM0VHnJQsS8D5Q==" spinCount="100000" sheet="1" objects="1" scenarios="1"/>
  <customSheetViews>
    <customSheetView guid="{7E571F1D-D438-4605-90D6-3F831F76D652}" scale="55" state="hidden">
      <pane ySplit="5" topLeftCell="A50" activePane="bottomLeft" state="frozen"/>
      <selection pane="bottomLeft" activeCell="K62" sqref="K62"/>
      <pageMargins left="0.7" right="0.7" top="0.75" bottom="0.75" header="0.3" footer="0.3"/>
    </customSheetView>
    <customSheetView guid="{466708C2-41CE-4656-AB81-E1E49DF5945D}" scale="55" state="hidden">
      <pane ySplit="5.9729729729729728" topLeftCell="A50" activePane="bottomLeft" state="frozen"/>
      <selection pane="bottomLeft" activeCell="K62" sqref="K62"/>
      <pageMargins left="0.7" right="0.7" top="0.75" bottom="0.75" header="0.3" footer="0.3"/>
    </customSheetView>
    <customSheetView guid="{B84DA703-8C5B-4100-91A4-8807E303D379}" scale="55" state="hidden">
      <pane ySplit="5" topLeftCell="A50" activePane="bottomLeft" state="frozen"/>
      <selection pane="bottomLeft" activeCell="K62" sqref="K62"/>
      <pageMargins left="0.7" right="0.7" top="0.75" bottom="0.75" header="0.3" footer="0.3"/>
    </customSheetView>
    <customSheetView guid="{527A2BDE-37CE-4B02-9F2C-CD7E7AC81C63}" scale="55" state="hidden">
      <pane ySplit="5" topLeftCell="A50" activePane="bottomLeft" state="frozen"/>
      <selection pane="bottomLeft" activeCell="K62" sqref="K62"/>
      <pageMargins left="0.7" right="0.7" top="0.75" bottom="0.75" header="0.3" footer="0.3"/>
    </customSheetView>
    <customSheetView guid="{BDCD1595-C0B8-4F6C-B01C-3472C895B827}" scale="55" state="hidden">
      <pane ySplit="5" topLeftCell="A50" activePane="bottomLeft" state="frozen"/>
      <selection pane="bottomLeft" activeCell="K62" sqref="K62"/>
      <pageMargins left="0.7" right="0.7" top="0.75" bottom="0.75" header="0.3" footer="0.3"/>
    </customSheetView>
    <customSheetView guid="{C57A83F1-F5A3-470B-9579-6A222C54F4E8}" scale="55" state="hidden">
      <pane ySplit="5" topLeftCell="A50" activePane="bottomLeft" state="frozen"/>
      <selection pane="bottomLeft" activeCell="K62" sqref="K62"/>
      <pageMargins left="0.7" right="0.7" top="0.75" bottom="0.75" header="0.3" footer="0.3"/>
    </customSheetView>
    <customSheetView guid="{3827E543-57D2-48C8-B786-7077EA079DD2}" scale="55" state="hidden">
      <pane ySplit="5.9729729729729728" topLeftCell="A50" activePane="bottomLeft" state="frozen"/>
      <selection pane="bottomLeft" activeCell="K62" sqref="K62"/>
      <pageMargins left="0.7" right="0.7" top="0.75" bottom="0.75" header="0.3" footer="0.3"/>
    </customSheetView>
    <customSheetView guid="{F5FA2A23-9E46-4C2F-B1EE-B71787F95C57}" scale="55" state="hidden">
      <pane ySplit="5" topLeftCell="A50" activePane="bottomLeft" state="frozen"/>
      <selection pane="bottomLeft" activeCell="K62" sqref="K62"/>
      <pageMargins left="0.7" right="0.7" top="0.75" bottom="0.75" header="0.3" footer="0.3"/>
    </customSheetView>
    <customSheetView guid="{42B0E8B1-ADFA-49AE-A83B-82D384737703}" scale="55" state="hidden">
      <pane ySplit="5" topLeftCell="A50" activePane="bottomLeft" state="frozen"/>
      <selection pane="bottomLeft" activeCell="K62" sqref="K62"/>
      <pageMargins left="0.7" right="0.7" top="0.75" bottom="0.75" header="0.3" footer="0.3"/>
    </customSheetView>
    <customSheetView guid="{602520CD-F98C-43A6-AA0D-88893E9CB6E8}" scale="55" state="hidden">
      <pane ySplit="5.4615384615384617" topLeftCell="A50" activePane="bottomLeft" state="frozen"/>
      <selection pane="bottomLeft" activeCell="K62" sqref="K62"/>
      <pageMargins left="0.7" right="0.7" top="0.75" bottom="0.75" header="0.3" footer="0.3"/>
    </customSheetView>
    <customSheetView guid="{B8317A9A-0FFD-4A18-80F7-203DB2FC8CA5}" scale="55" state="hidden">
      <pane ySplit="5.9729729729729728" topLeftCell="A50" activePane="bottomLeft" state="frozen"/>
      <selection pane="bottomLeft" activeCell="K62" sqref="K62"/>
      <pageMargins left="0.7" right="0.7" top="0.75" bottom="0.75" header="0.3" footer="0.3"/>
    </customSheetView>
    <customSheetView guid="{2608BE9B-66AC-4D4C-8EE0-E88C94E88140}" scale="55" state="hidden">
      <pane ySplit="5.4615384615384617" topLeftCell="A50" activePane="bottomLeft" state="frozen"/>
      <selection pane="bottomLeft" activeCell="K62" sqref="K62"/>
      <pageMargins left="0.7" right="0.7" top="0.75" bottom="0.75" header="0.3" footer="0.3"/>
    </customSheetView>
    <customSheetView guid="{D850720D-4A1C-48F2-8E1D-8E09B7414A1A}" scale="55" state="hidden">
      <pane ySplit="5" topLeftCell="A50" activePane="bottomLeft" state="frozen"/>
      <selection pane="bottomLeft" activeCell="K62" sqref="K62"/>
      <pageMargins left="0.7" right="0.7" top="0.75" bottom="0.75" header="0.3" footer="0.3"/>
    </customSheetView>
    <customSheetView guid="{A8E976B8-D767-4DB4-82BD-ABE90880F33F}" scale="55" state="hidden">
      <pane ySplit="5" topLeftCell="A50" activePane="bottomLeft" state="frozen"/>
      <selection pane="bottomLeft" activeCell="K62" sqref="K62"/>
      <pageMargins left="0.7" right="0.7" top="0.75" bottom="0.75" header="0.3" footer="0.3"/>
    </customSheetView>
    <customSheetView guid="{B95D32C7-1418-4EF6-8936-849885C54A4A}" scale="55" state="hidden">
      <pane ySplit="5" topLeftCell="A50" activePane="bottomLeft" state="frozen"/>
      <selection pane="bottomLeft" activeCell="K62" sqref="K62"/>
      <pageMargins left="0.7" right="0.7" top="0.75" bottom="0.75" header="0.3" footer="0.3"/>
    </customSheetView>
    <customSheetView guid="{9355C9F4-9C07-4A93-B7F2-69F1D1526716}" scale="55" state="hidden">
      <pane ySplit="5" topLeftCell="A50" activePane="bottomLeft" state="frozen"/>
      <selection pane="bottomLeft" activeCell="K62" sqref="K62"/>
      <pageMargins left="0.7" right="0.7" top="0.75" bottom="0.75" header="0.3" footer="0.3"/>
    </customSheetView>
    <customSheetView guid="{1ECD6E30-299B-4354-A416-2DAFF33C7022}" scale="55" state="hidden">
      <pane ySplit="5" topLeftCell="A50" activePane="bottomLeft" state="frozen"/>
      <selection pane="bottomLeft" activeCell="K62" sqref="K62"/>
      <pageMargins left="0.7" right="0.7" top="0.75" bottom="0.75" header="0.3" footer="0.3"/>
    </customSheetView>
    <customSheetView guid="{9AF6E233-883D-48B4-95AB-42B37199AB9E}" scale="55" state="hidden">
      <pane ySplit="5" topLeftCell="A50" activePane="bottomLeft" state="frozen"/>
      <selection pane="bottomLeft" activeCell="K62" sqref="K62"/>
      <pageMargins left="0.7" right="0.7" top="0.75" bottom="0.75" header="0.3" footer="0.3"/>
    </customSheetView>
    <customSheetView guid="{451730E2-FFE9-4FCE-B8B5-64952C26C672}" scale="55" state="hidden">
      <pane ySplit="5" topLeftCell="A50" activePane="bottomLeft" state="frozen"/>
      <selection pane="bottomLeft" activeCell="K62" sqref="K62"/>
      <pageMargins left="0.7" right="0.7" top="0.75" bottom="0.75" header="0.3" footer="0.3"/>
    </customSheetView>
    <customSheetView guid="{4EBEE699-7DEF-4A50-9CB7-490835CF0B98}" scale="55" state="hidden">
      <pane ySplit="5" topLeftCell="A50" activePane="bottomLeft" state="frozen"/>
      <selection pane="bottomLeft" activeCell="K62" sqref="K62"/>
      <pageMargins left="0.7" right="0.7" top="0.75" bottom="0.75" header="0.3" footer="0.3"/>
    </customSheetView>
    <customSheetView guid="{A03C6B09-6B58-4DDE-A3B2-41A27A7049D9}" scale="55" state="hidden">
      <pane ySplit="5" topLeftCell="A50" activePane="bottomLeft" state="frozen"/>
      <selection pane="bottomLeft" activeCell="K62" sqref="K62"/>
      <pageMargins left="0.7" right="0.7" top="0.75" bottom="0.75" header="0.3" footer="0.3"/>
    </customSheetView>
    <customSheetView guid="{3C97F0B0-2F3C-4E03-96E0-0C4FEC2F24AC}" scale="55" state="hidden">
      <pane ySplit="5" topLeftCell="A50" activePane="bottomLeft" state="frozen"/>
      <selection pane="bottomLeft" activeCell="K62" sqref="K62"/>
      <pageMargins left="0.7" right="0.7" top="0.75" bottom="0.75" header="0.3" footer="0.3"/>
    </customSheetView>
    <customSheetView guid="{B0A28FD4-D7F6-428C-A7F7-92132DCD74BB}" scale="55" state="hidden">
      <pane ySplit="5" topLeftCell="A50" activePane="bottomLeft" state="frozen"/>
      <selection pane="bottomLeft" activeCell="K62" sqref="K62"/>
      <pageMargins left="0.7" right="0.7" top="0.75" bottom="0.75" header="0.3" footer="0.3"/>
    </customSheetView>
    <customSheetView guid="{3BB18945-69B5-4B22-8D55-989F8F233459}" scale="55" state="hidden">
      <pane ySplit="5" topLeftCell="A50" activePane="bottomLeft" state="frozen"/>
      <selection pane="bottomLeft" activeCell="K62" sqref="K62"/>
      <pageMargins left="0.7" right="0.7" top="0.75" bottom="0.75" header="0.3" footer="0.3"/>
    </customSheetView>
    <customSheetView guid="{D16D941B-FC89-4FEC-A49B-5FA2532584DE}" scale="55" state="hidden">
      <pane ySplit="5" topLeftCell="A50" activePane="bottomLeft" state="frozen"/>
      <selection pane="bottomLeft" activeCell="K62" sqref="K62"/>
      <pageMargins left="0.7" right="0.7" top="0.75" bottom="0.75" header="0.3" footer="0.3"/>
    </customSheetView>
    <customSheetView guid="{C39AE06A-FC0A-4D7D-B287-2FA9CA174191}" scale="55" state="hidden">
      <pane ySplit="5" topLeftCell="A50" activePane="bottomLeft" state="frozen"/>
      <selection pane="bottomLeft" activeCell="K62" sqref="K62"/>
      <pageMargins left="0.7" right="0.7" top="0.75" bottom="0.75" header="0.3" footer="0.3"/>
    </customSheetView>
    <customSheetView guid="{4E6F9C2D-76F2-4884-BBF6-E02A7BAE11EF}" scale="55" state="hidden">
      <pane ySplit="5" topLeftCell="A50" activePane="bottomLeft" state="frozen"/>
      <selection pane="bottomLeft" activeCell="K62" sqref="K62"/>
      <pageMargins left="0.7" right="0.7" top="0.75" bottom="0.75" header="0.3" footer="0.3"/>
    </customSheetView>
    <customSheetView guid="{008CCD98-7480-4C51-806A-4B55C801DDC2}" scale="55">
      <pane ySplit="5" topLeftCell="A6" activePane="bottomLeft" state="frozen"/>
      <selection pane="bottomLeft" activeCell="K62" sqref="K62"/>
      <pageMargins left="0.7" right="0.7" top="0.75" bottom="0.75" header="0.3" footer="0.3"/>
    </customSheetView>
    <customSheetView guid="{D27C51BB-BB54-4F37-8171-98067C39697C}" scale="55">
      <pane ySplit="5" topLeftCell="A43" activePane="bottomLeft" state="frozen"/>
      <selection pane="bottomLeft" activeCell="K62" sqref="K62"/>
      <pageMargins left="0.7" right="0.7" top="0.75" bottom="0.75" header="0.3" footer="0.3"/>
    </customSheetView>
    <customSheetView guid="{6702457D-A9A8-4F46-8E1C-BC7255F4BA77}" scale="70">
      <pane ySplit="5" topLeftCell="A6" activePane="bottomLeft" state="frozen"/>
      <selection pane="bottomLeft" sqref="A1:XFD1048576"/>
      <pageMargins left="0.7" right="0.7" top="0.75" bottom="0.75" header="0.3" footer="0.3"/>
    </customSheetView>
    <customSheetView guid="{016CEBB2-C827-48F4-95E1-85D8C5129F41}" scale="55" state="hidden">
      <pane ySplit="5" topLeftCell="A50" activePane="bottomLeft" state="frozen"/>
      <selection pane="bottomLeft" activeCell="K62" sqref="K62"/>
      <pageMargins left="0.7" right="0.7" top="0.75" bottom="0.75" header="0.3" footer="0.3"/>
    </customSheetView>
    <customSheetView guid="{EB96DBE4-2D64-4388-853C-CB52A0CB79BA}" scale="55" state="hidden">
      <pane ySplit="5" topLeftCell="A50" activePane="bottomLeft" state="frozen"/>
      <selection pane="bottomLeft" activeCell="K62" sqref="K62"/>
      <pageMargins left="0.7" right="0.7" top="0.75" bottom="0.75" header="0.3" footer="0.3"/>
    </customSheetView>
    <customSheetView guid="{351EFD38-BF62-4E34-A37F-0EEB3E165043}" scale="55" state="hidden">
      <pane ySplit="5" topLeftCell="A50" activePane="bottomLeft" state="frozen"/>
      <selection pane="bottomLeft" activeCell="K62" sqref="K62"/>
      <pageMargins left="0.7" right="0.7" top="0.75" bottom="0.75" header="0.3" footer="0.3"/>
    </customSheetView>
    <customSheetView guid="{593284E7-E32C-4D6C-8C2F-3DEEF9DEE1DF}" scale="55" state="hidden">
      <pane ySplit="5" topLeftCell="A50" activePane="bottomLeft" state="frozen"/>
      <selection pane="bottomLeft" activeCell="K62" sqref="K62"/>
      <pageMargins left="0.7" right="0.7" top="0.75" bottom="0.75" header="0.3" footer="0.3"/>
    </customSheetView>
    <customSheetView guid="{E06B4FE8-6127-47B2-A6A5-4FAC9EEB4538}" scale="55" state="hidden">
      <pane ySplit="5.4615384615384617" topLeftCell="A50" activePane="bottomLeft" state="frozen"/>
      <selection pane="bottomLeft" activeCell="K62" sqref="K62"/>
      <pageMargins left="0.7" right="0.7" top="0.75" bottom="0.75" header="0.3" footer="0.3"/>
    </customSheetView>
    <customSheetView guid="{51B3083F-A103-41AB-A137-63549C54B838}" scale="55" state="hidden">
      <pane ySplit="5" topLeftCell="A50" activePane="bottomLeft" state="frozen"/>
      <selection pane="bottomLeft" activeCell="K62" sqref="K62"/>
      <pageMargins left="0.7" right="0.7" top="0.75" bottom="0.75" header="0.3" footer="0.3"/>
    </customSheetView>
    <customSheetView guid="{8CB67476-3FD4-42E0-ACD6-62ACA9412843}" scale="55" state="hidden">
      <pane ySplit="5" topLeftCell="A50" activePane="bottomLeft" state="frozen"/>
      <selection pane="bottomLeft" activeCell="K62" sqref="K62"/>
      <pageMargins left="0.7" right="0.7" top="0.75" bottom="0.75" header="0.3" footer="0.3"/>
    </customSheetView>
    <customSheetView guid="{151EB58C-4EFD-4330-8D1A-8AACF5F7C679}" scale="55" state="hidden">
      <pane ySplit="5" topLeftCell="A50" activePane="bottomLeft" state="frozen"/>
      <selection pane="bottomLeft" activeCell="K62" sqref="K62"/>
      <pageMargins left="0.7" right="0.7" top="0.75" bottom="0.75" header="0.3" footer="0.3"/>
    </customSheetView>
    <customSheetView guid="{8263C9D2-452D-46FA-AFA0-452B42DC0298}" scale="55" state="hidden">
      <pane ySplit="5" topLeftCell="A50" activePane="bottomLeft" state="frozen"/>
      <selection pane="bottomLeft" activeCell="K62" sqref="K62"/>
      <pageMargins left="0.7" right="0.7" top="0.75" bottom="0.75" header="0.3" footer="0.3"/>
    </customSheetView>
    <customSheetView guid="{DF265C7B-1EEB-47EB-982A-6938E81F7AC2}" scale="55" state="hidden">
      <pane ySplit="5" topLeftCell="A50" activePane="bottomLeft" state="frozen"/>
      <selection pane="bottomLeft" activeCell="K62" sqref="K62"/>
      <pageMargins left="0.7" right="0.7" top="0.75" bottom="0.75" header="0.3" footer="0.3"/>
    </customSheetView>
    <customSheetView guid="{9F91FBC4-6A13-42C2-A2D9-42A2AC814E28}" scale="55" state="hidden">
      <pane ySplit="5" topLeftCell="A50" activePane="bottomLeft" state="frozen"/>
      <selection pane="bottomLeft" activeCell="K62" sqref="K62"/>
      <pageMargins left="0.7" right="0.7" top="0.75" bottom="0.75" header="0.3" footer="0.3"/>
    </customSheetView>
    <customSheetView guid="{F4A6298C-1A75-4FA9-A6A4-2BE13CCFE545}" scale="55" state="hidden">
      <pane ySplit="5" topLeftCell="A50" activePane="bottomLeft" state="frozen"/>
      <selection pane="bottomLeft" activeCell="K62" sqref="K62"/>
      <pageMargins left="0.7" right="0.7" top="0.75" bottom="0.75" header="0.3" footer="0.3"/>
    </customSheetView>
    <customSheetView guid="{29AC9BE3-332A-4738-949C-1F8C0D32BAEE}" scale="55" state="hidden">
      <pane ySplit="5" topLeftCell="A50" activePane="bottomLeft" state="frozen"/>
      <selection pane="bottomLeft" activeCell="K62" sqref="K62"/>
      <pageMargins left="0.7" right="0.7" top="0.75" bottom="0.75" header="0.3" footer="0.3"/>
    </customSheetView>
    <customSheetView guid="{75EE3B92-AF4D-4E93-A70E-6ADE60CC674F}" scale="55" state="hidden">
      <pane ySplit="4.3454545454545457" topLeftCell="A50" activePane="bottomLeft" state="frozen"/>
      <selection pane="bottomLeft" activeCell="K62" sqref="K62"/>
      <pageMargins left="0.7" right="0.7" top="0.75" bottom="0.75" header="0.3" footer="0.3"/>
    </customSheetView>
    <customSheetView guid="{CA7E8063-5145-49E1-8E00-2E1025705A81}" scale="55" state="hidden">
      <pane ySplit="5" topLeftCell="A50" activePane="bottomLeft" state="frozen"/>
      <selection pane="bottomLeft" activeCell="K62" sqref="K62"/>
      <pageMargins left="0.7" right="0.7" top="0.75" bottom="0.75" header="0.3" footer="0.3"/>
    </customSheetView>
    <customSheetView guid="{51DFD3D6-BC25-47B4-B28F-D640534DB3A9}" scale="55" state="hidden">
      <pane ySplit="5" topLeftCell="A50" activePane="bottomLeft" state="frozen"/>
      <selection pane="bottomLeft" activeCell="K62" sqref="K62"/>
      <pageMargins left="0.7" right="0.7" top="0.75" bottom="0.75" header="0.3" footer="0.3"/>
    </customSheetView>
    <customSheetView guid="{37F5A0AB-EB39-4832-9D67-F67D908BF486}" scale="55" state="hidden">
      <pane ySplit="5" topLeftCell="A50" activePane="bottomLeft" state="frozen"/>
      <selection pane="bottomLeft" activeCell="K62" sqref="K62"/>
      <pageMargins left="0.7" right="0.7" top="0.75" bottom="0.75" header="0.3" footer="0.3"/>
    </customSheetView>
    <customSheetView guid="{70582C04-BB53-4A99-A3C1-673011D9AE1C}" scale="55" state="hidden">
      <pane ySplit="5" topLeftCell="A50" activePane="bottomLeft" state="frozen"/>
      <selection pane="bottomLeft" activeCell="K62" sqref="K62"/>
      <pageMargins left="0.7" right="0.7" top="0.75" bottom="0.75" header="0.3" footer="0.3"/>
    </customSheetView>
    <customSheetView guid="{442F9A23-CA6E-4109-B10C-ACF5FD36B859}" scale="55" state="hidden">
      <pane ySplit="5" topLeftCell="A50" activePane="bottomLeft" state="frozen"/>
      <selection pane="bottomLeft" activeCell="K62" sqref="K62"/>
      <pageMargins left="0.7" right="0.7" top="0.75" bottom="0.75" header="0.3" footer="0.3"/>
    </customSheetView>
    <customSheetView guid="{E4713981-DD11-40CE-BE52-873D93BDDE05}" scale="55" state="hidden">
      <pane ySplit="5" topLeftCell="A50" activePane="bottomLeft" state="frozen"/>
      <selection pane="bottomLeft" activeCell="K62" sqref="K62"/>
      <pageMargins left="0.7" right="0.7" top="0.75" bottom="0.75" header="0.3" footer="0.3"/>
    </customSheetView>
    <customSheetView guid="{83044EFE-7F92-4F81-B034-85D9567158C2}" scale="55" state="hidden">
      <pane ySplit="5" topLeftCell="A50" activePane="bottomLeft" state="frozen"/>
      <selection pane="bottomLeft" activeCell="K62" sqref="K62"/>
      <pageMargins left="0.7" right="0.7" top="0.75" bottom="0.75" header="0.3" footer="0.3"/>
    </customSheetView>
    <customSheetView guid="{E3A3AE56-8881-4A6F-9299-803C489AD1B4}" scale="55" state="hidden">
      <pane ySplit="5" topLeftCell="A50" activePane="bottomLeft" state="frozen"/>
      <selection pane="bottomLeft" activeCell="K62" sqref="K62"/>
      <pageMargins left="0.7" right="0.7" top="0.75" bottom="0.75" header="0.3" footer="0.3"/>
    </customSheetView>
    <customSheetView guid="{FBC63E8F-69FE-4648-B709-FA1212EFFB29}" scale="55" state="hidden">
      <pane ySplit="5" topLeftCell="A50" activePane="bottomLeft" state="frozen"/>
      <selection pane="bottomLeft" activeCell="K62" sqref="K62"/>
      <pageMargins left="0.7" right="0.7" top="0.75" bottom="0.75" header="0.3" footer="0.3"/>
    </customSheetView>
    <customSheetView guid="{0EDA65D2-43FB-421C-9D8C-D8082C64B09A}" scale="55" state="hidden">
      <pane ySplit="5" topLeftCell="A50" activePane="bottomLeft" state="frozen"/>
      <selection pane="bottomLeft" activeCell="K62" sqref="K62"/>
      <pageMargins left="0.7" right="0.7" top="0.75" bottom="0.75" header="0.3" footer="0.3"/>
    </customSheetView>
    <customSheetView guid="{B434A8A8-5A4C-48C0-82E7-2458B9D2EEEF}" scale="55" state="hidden">
      <pane ySplit="5" topLeftCell="A50" activePane="bottomLeft" state="frozen"/>
      <selection pane="bottomLeft" activeCell="K62" sqref="K62"/>
      <pageMargins left="0.7" right="0.7" top="0.75" bottom="0.75" header="0.3" footer="0.3"/>
    </customSheetView>
    <customSheetView guid="{EDD5A64E-02C0-4DD6-80BA-449123FCDAA2}" scale="55" state="hidden">
      <pane ySplit="5" topLeftCell="A50" activePane="bottomLeft" state="frozen"/>
      <selection pane="bottomLeft" activeCell="K62" sqref="K62"/>
      <pageMargins left="0.7" right="0.7" top="0.75" bottom="0.75" header="0.3" footer="0.3"/>
    </customSheetView>
    <customSheetView guid="{97D58294-343B-4B62-A826-0DDDE29B5F0D}" scale="55" state="hidden">
      <pane ySplit="5" topLeftCell="A50" activePane="bottomLeft" state="frozen"/>
      <selection pane="bottomLeft" activeCell="K62" sqref="K62"/>
      <pageMargins left="0.7" right="0.7" top="0.75" bottom="0.75" header="0.3" footer="0.3"/>
    </customSheetView>
    <customSheetView guid="{800416AC-1374-44AC-811C-612C85EF24E6}" scale="55" state="hidden">
      <pane ySplit="5" topLeftCell="A50" activePane="bottomLeft" state="frozen"/>
      <selection pane="bottomLeft" activeCell="K62" sqref="K62"/>
      <pageMargins left="0.7" right="0.7" top="0.75" bottom="0.75" header="0.3" footer="0.3"/>
    </customSheetView>
    <customSheetView guid="{2EA8DBF7-9763-457C-AA9F-1EEB2F136D1F}" scale="55" state="hidden">
      <pane ySplit="5" topLeftCell="A50" activePane="bottomLeft" state="frozen"/>
      <selection pane="bottomLeft" activeCell="K62" sqref="K62"/>
      <pageMargins left="0.7" right="0.7" top="0.75" bottom="0.75" header="0.3" footer="0.3"/>
    </customSheetView>
    <customSheetView guid="{78AA4A71-CE17-4C4D-849E-E3E1A44EA907}" scale="55" state="hidden">
      <pane ySplit="5" topLeftCell="A50" activePane="bottomLeft" state="frozen"/>
      <selection pane="bottomLeft" activeCell="K62" sqref="K62"/>
      <pageMargins left="0.7" right="0.7" top="0.75" bottom="0.75" header="0.3" footer="0.3"/>
    </customSheetView>
    <customSheetView guid="{C7C13768-4A8D-4CBA-978C-F4A7B5550C00}" scale="55" state="hidden">
      <pane ySplit="5" topLeftCell="A50" activePane="bottomLeft" state="frozen"/>
      <selection pane="bottomLeft" activeCell="K62" sqref="K62"/>
      <pageMargins left="0.7" right="0.7" top="0.75" bottom="0.75" header="0.3" footer="0.3"/>
    </customSheetView>
    <customSheetView guid="{D59DDBAA-620D-43B7-A6D9-759808D3397A}" scale="55" state="hidden">
      <pane ySplit="5" topLeftCell="A50" activePane="bottomLeft" state="frozen"/>
      <selection pane="bottomLeft" activeCell="K62" sqref="K62"/>
      <pageMargins left="0.7" right="0.7" top="0.75" bottom="0.75" header="0.3" footer="0.3"/>
    </customSheetView>
  </customSheetViews>
  <mergeCells count="43">
    <mergeCell ref="B2:K2"/>
    <mergeCell ref="L2:AA2"/>
    <mergeCell ref="B3:C3"/>
    <mergeCell ref="D3:I3"/>
    <mergeCell ref="J3:K3"/>
    <mergeCell ref="L3:M3"/>
    <mergeCell ref="O3:T3"/>
    <mergeCell ref="U3:AA3"/>
    <mergeCell ref="A8:AB8"/>
    <mergeCell ref="B4:C4"/>
    <mergeCell ref="D4:E4"/>
    <mergeCell ref="F4:G4"/>
    <mergeCell ref="H4:I4"/>
    <mergeCell ref="L4:M4"/>
    <mergeCell ref="O4:Q4"/>
    <mergeCell ref="R4:T4"/>
    <mergeCell ref="Z4:AA4"/>
    <mergeCell ref="B5:C5"/>
    <mergeCell ref="D5:E5"/>
    <mergeCell ref="L5:M5"/>
    <mergeCell ref="A32:AB32"/>
    <mergeCell ref="A9:AB9"/>
    <mergeCell ref="A12:AB12"/>
    <mergeCell ref="A13:AB13"/>
    <mergeCell ref="A16:AB16"/>
    <mergeCell ref="A17:AB17"/>
    <mergeCell ref="A20:AB20"/>
    <mergeCell ref="A21:AB21"/>
    <mergeCell ref="A24:AB24"/>
    <mergeCell ref="A25:AB25"/>
    <mergeCell ref="A28:AB28"/>
    <mergeCell ref="A29:AB29"/>
    <mergeCell ref="A71:AB71"/>
    <mergeCell ref="A33:AB33"/>
    <mergeCell ref="A36:AB36"/>
    <mergeCell ref="A37:AB37"/>
    <mergeCell ref="A40:AB40"/>
    <mergeCell ref="A41:AB41"/>
    <mergeCell ref="A44:AB44"/>
    <mergeCell ref="A45:AB45"/>
    <mergeCell ref="A48:AB48"/>
    <mergeCell ref="A49:AB49"/>
    <mergeCell ref="A52:AB52"/>
  </mergeCells>
  <conditionalFormatting sqref="A2:AB55">
    <cfRule type="cellIs" dxfId="549" priority="65" operator="equal">
      <formula>"A"</formula>
    </cfRule>
  </conditionalFormatting>
  <conditionalFormatting sqref="A58:AB59">
    <cfRule type="cellIs" dxfId="548" priority="52" operator="equal">
      <formula>"A"</formula>
    </cfRule>
  </conditionalFormatting>
  <conditionalFormatting sqref="A62:AB63">
    <cfRule type="cellIs" dxfId="547" priority="28" operator="equal">
      <formula>"A"</formula>
    </cfRule>
  </conditionalFormatting>
  <conditionalFormatting sqref="A66:AB67">
    <cfRule type="cellIs" dxfId="546" priority="15" operator="equal">
      <formula>"A"</formula>
    </cfRule>
  </conditionalFormatting>
  <conditionalFormatting sqref="A73:AB74">
    <cfRule type="cellIs" dxfId="545" priority="1" operator="equal">
      <formula>"A"</formula>
    </cfRule>
  </conditionalFormatting>
  <conditionalFormatting sqref="B6 L6 AB6 B10 L10 AB10 B14 L14 AB14 B18 L18 AB18 B22 L22 AB22 B26 L26 AB26 B30 L30 AB30 B34 L34 AB34 B38 L38 AB38 B42 L42 AB42 B46 L46 AB46 B50 L50">
    <cfRule type="cellIs" dxfId="544" priority="84" operator="equal">
      <formula>"R"</formula>
    </cfRule>
    <cfRule type="cellIs" dxfId="543" priority="83" operator="equal">
      <formula>"G"</formula>
    </cfRule>
  </conditionalFormatting>
  <conditionalFormatting sqref="B54">
    <cfRule type="cellIs" dxfId="542" priority="76" operator="equal">
      <formula>"R"</formula>
    </cfRule>
    <cfRule type="cellIs" dxfId="541" priority="75" operator="equal">
      <formula>"G"</formula>
    </cfRule>
  </conditionalFormatting>
  <conditionalFormatting sqref="B58">
    <cfRule type="cellIs" dxfId="540" priority="63" operator="equal">
      <formula>"R"</formula>
    </cfRule>
    <cfRule type="cellIs" dxfId="539" priority="62" operator="equal">
      <formula>"G"</formula>
    </cfRule>
  </conditionalFormatting>
  <conditionalFormatting sqref="B62">
    <cfRule type="cellIs" dxfId="538" priority="38" operator="equal">
      <formula>"G"</formula>
    </cfRule>
    <cfRule type="cellIs" dxfId="537" priority="39" operator="equal">
      <formula>"R"</formula>
    </cfRule>
  </conditionalFormatting>
  <conditionalFormatting sqref="B66">
    <cfRule type="cellIs" dxfId="536" priority="25" operator="equal">
      <formula>"G"</formula>
    </cfRule>
    <cfRule type="cellIs" dxfId="535" priority="26" operator="equal">
      <formula>"R"</formula>
    </cfRule>
  </conditionalFormatting>
  <conditionalFormatting sqref="B73">
    <cfRule type="cellIs" dxfId="534" priority="6" operator="equal">
      <formula>"G"</formula>
    </cfRule>
    <cfRule type="cellIs" dxfId="533" priority="7" operator="equal">
      <formula>"R"</formula>
    </cfRule>
  </conditionalFormatting>
  <conditionalFormatting sqref="B70:D70">
    <cfRule type="cellIs" dxfId="532" priority="50" operator="equal">
      <formula>"R"</formula>
    </cfRule>
    <cfRule type="cellIs" dxfId="531" priority="49" operator="equal">
      <formula>"G"</formula>
    </cfRule>
  </conditionalFormatting>
  <conditionalFormatting sqref="B70:E70 H70:I70">
    <cfRule type="cellIs" dxfId="530" priority="48" operator="equal">
      <formula>"A"</formula>
    </cfRule>
  </conditionalFormatting>
  <conditionalFormatting sqref="C51">
    <cfRule type="cellIs" dxfId="529" priority="79" operator="equal">
      <formula>"A"</formula>
    </cfRule>
  </conditionalFormatting>
  <conditionalFormatting sqref="L54">
    <cfRule type="cellIs" dxfId="528" priority="70" operator="equal">
      <formula>"G"</formula>
    </cfRule>
    <cfRule type="cellIs" dxfId="527" priority="71" operator="equal">
      <formula>"R"</formula>
    </cfRule>
  </conditionalFormatting>
  <conditionalFormatting sqref="L58">
    <cfRule type="cellIs" dxfId="526" priority="58" operator="equal">
      <formula>"R"</formula>
    </cfRule>
    <cfRule type="cellIs" dxfId="525" priority="57" operator="equal">
      <formula>"G"</formula>
    </cfRule>
  </conditionalFormatting>
  <conditionalFormatting sqref="L62">
    <cfRule type="cellIs" dxfId="524" priority="33" operator="equal">
      <formula>"G"</formula>
    </cfRule>
    <cfRule type="cellIs" dxfId="523" priority="34" operator="equal">
      <formula>"R"</formula>
    </cfRule>
  </conditionalFormatting>
  <conditionalFormatting sqref="L66">
    <cfRule type="cellIs" dxfId="522" priority="20" operator="equal">
      <formula>"G"</formula>
    </cfRule>
    <cfRule type="cellIs" dxfId="521" priority="21" operator="equal">
      <formula>"R"</formula>
    </cfRule>
  </conditionalFormatting>
  <conditionalFormatting sqref="L70">
    <cfRule type="cellIs" dxfId="520" priority="46" operator="equal">
      <formula>"R"</formula>
    </cfRule>
    <cfRule type="cellIs" dxfId="519" priority="47" operator="equal">
      <formula>"A"</formula>
    </cfRule>
    <cfRule type="cellIs" dxfId="518" priority="45" operator="equal">
      <formula>"G"</formula>
    </cfRule>
  </conditionalFormatting>
  <conditionalFormatting sqref="M51">
    <cfRule type="cellIs" dxfId="517" priority="78" operator="equal">
      <formula>"A"</formula>
    </cfRule>
  </conditionalFormatting>
  <conditionalFormatting sqref="N70">
    <cfRule type="cellIs" dxfId="516" priority="42" operator="equal">
      <formula>"A"</formula>
    </cfRule>
  </conditionalFormatting>
  <conditionalFormatting sqref="P70:AB70">
    <cfRule type="cellIs" dxfId="515" priority="10" operator="equal">
      <formula>"A"</formula>
    </cfRule>
  </conditionalFormatting>
  <conditionalFormatting sqref="X6:Y6 X10:Y10 X14:Y14 X18:Y18 X22:Y22 X26:Y26 X30:Y30 X34:Y34 X38:Y38 X42:Y42 X46:Y46 X50:Y50">
    <cfRule type="cellIs" dxfId="514" priority="80" operator="between">
      <formula>0</formula>
      <formula>0.95</formula>
    </cfRule>
    <cfRule type="cellIs" dxfId="513" priority="81" operator="between">
      <formula>1</formula>
      <formula>0.95</formula>
    </cfRule>
    <cfRule type="cellIs" dxfId="512" priority="82" operator="greaterThanOrEqual">
      <formula>1</formula>
    </cfRule>
  </conditionalFormatting>
  <conditionalFormatting sqref="X54:Y54">
    <cfRule type="cellIs" dxfId="511" priority="68" operator="between">
      <formula>1</formula>
      <formula>0.95</formula>
    </cfRule>
    <cfRule type="cellIs" dxfId="510" priority="69" operator="greaterThanOrEqual">
      <formula>1</formula>
    </cfRule>
    <cfRule type="cellIs" dxfId="509" priority="67" operator="between">
      <formula>0</formula>
      <formula>0.95</formula>
    </cfRule>
  </conditionalFormatting>
  <conditionalFormatting sqref="X58:Y58">
    <cfRule type="cellIs" dxfId="508" priority="54" operator="between">
      <formula>0</formula>
      <formula>0.95</formula>
    </cfRule>
    <cfRule type="cellIs" dxfId="507" priority="55" operator="between">
      <formula>1</formula>
      <formula>0.95</formula>
    </cfRule>
    <cfRule type="cellIs" dxfId="506" priority="56" operator="greaterThanOrEqual">
      <formula>1</formula>
    </cfRule>
  </conditionalFormatting>
  <conditionalFormatting sqref="X62:Y62">
    <cfRule type="cellIs" dxfId="505" priority="31" operator="between">
      <formula>1</formula>
      <formula>0.95</formula>
    </cfRule>
    <cfRule type="cellIs" dxfId="504" priority="32" operator="greaterThanOrEqual">
      <formula>1</formula>
    </cfRule>
    <cfRule type="cellIs" dxfId="503" priority="30" operator="between">
      <formula>0</formula>
      <formula>0.95</formula>
    </cfRule>
  </conditionalFormatting>
  <conditionalFormatting sqref="X66:Y66">
    <cfRule type="cellIs" dxfId="502" priority="19" operator="greaterThanOrEqual">
      <formula>1</formula>
    </cfRule>
    <cfRule type="cellIs" dxfId="501" priority="17" operator="between">
      <formula>0</formula>
      <formula>0.95</formula>
    </cfRule>
    <cfRule type="cellIs" dxfId="500" priority="18" operator="between">
      <formula>1</formula>
      <formula>0.95</formula>
    </cfRule>
  </conditionalFormatting>
  <conditionalFormatting sqref="X70:Y70">
    <cfRule type="cellIs" dxfId="499" priority="13" operator="greaterThanOrEqual">
      <formula>1</formula>
    </cfRule>
    <cfRule type="cellIs" dxfId="498" priority="12" operator="between">
      <formula>1</formula>
      <formula>0.95</formula>
    </cfRule>
    <cfRule type="cellIs" dxfId="497" priority="11" operator="between">
      <formula>0</formula>
      <formula>0.95</formula>
    </cfRule>
  </conditionalFormatting>
  <conditionalFormatting sqref="X73:Y73">
    <cfRule type="cellIs" dxfId="496" priority="3" operator="between">
      <formula>0</formula>
      <formula>0.95</formula>
    </cfRule>
    <cfRule type="cellIs" dxfId="495" priority="5" operator="greaterThanOrEqual">
      <formula>1</formula>
    </cfRule>
    <cfRule type="cellIs" dxfId="494" priority="4" operator="between">
      <formula>1</formula>
      <formula>0.95</formula>
    </cfRule>
  </conditionalFormatting>
  <conditionalFormatting sqref="AB70">
    <cfRule type="cellIs" dxfId="493" priority="9" operator="equal">
      <formula>"R"</formula>
    </cfRule>
    <cfRule type="cellIs" dxfId="492" priority="8" operator="equal">
      <formula>"G"</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637FAF-1BDE-411C-9088-24B8D9399FF7}">
  <sheetPr codeName="Sheet9"/>
  <dimension ref="B1:K181"/>
  <sheetViews>
    <sheetView topLeftCell="A2" zoomScale="90" zoomScaleNormal="90" workbookViewId="0">
      <pane ySplit="4" topLeftCell="A6" activePane="bottomLeft" state="frozen"/>
      <selection activeCell="A2" sqref="A2"/>
      <selection pane="bottomLeft" activeCell="D15" sqref="D15"/>
    </sheetView>
  </sheetViews>
  <sheetFormatPr defaultColWidth="8.54296875" defaultRowHeight="14.5" x14ac:dyDescent="0.35"/>
  <cols>
    <col min="1" max="1" width="8.54296875" style="15" customWidth="1"/>
    <col min="2" max="2" width="12" style="15" customWidth="1"/>
    <col min="3" max="3" width="35.453125" style="15" customWidth="1"/>
    <col min="4" max="4" width="8.54296875" style="15" customWidth="1"/>
    <col min="5" max="5" width="8.54296875" customWidth="1"/>
    <col min="6" max="7" width="8.54296875" style="15" customWidth="1"/>
    <col min="8" max="9" width="8.54296875" style="1" customWidth="1"/>
    <col min="10" max="11" width="8.54296875" style="15" customWidth="1"/>
    <col min="12" max="16384" width="8.54296875" style="15"/>
  </cols>
  <sheetData>
    <row r="1" spans="2:11" ht="12" hidden="1" thickBot="1" x14ac:dyDescent="0.4">
      <c r="D1" s="1"/>
      <c r="E1" s="1"/>
      <c r="H1" s="42"/>
      <c r="I1" s="42"/>
    </row>
    <row r="2" spans="2:11" ht="11.5" x14ac:dyDescent="0.35">
      <c r="C2" s="43"/>
      <c r="D2" s="1"/>
      <c r="E2" s="1"/>
    </row>
    <row r="3" spans="2:11" ht="35.25" customHeight="1" x14ac:dyDescent="0.35">
      <c r="B3" s="773" t="s">
        <v>172</v>
      </c>
      <c r="C3" s="775" t="s">
        <v>0</v>
      </c>
      <c r="D3" s="776" t="s">
        <v>285</v>
      </c>
      <c r="E3" s="777"/>
      <c r="F3" s="778" t="s">
        <v>69</v>
      </c>
      <c r="G3" s="779"/>
      <c r="H3" s="779"/>
      <c r="I3" s="780"/>
      <c r="J3" s="765" t="s">
        <v>70</v>
      </c>
      <c r="K3" s="766"/>
    </row>
    <row r="4" spans="2:11" ht="23.25" customHeight="1" x14ac:dyDescent="0.35">
      <c r="B4" s="774"/>
      <c r="C4" s="665"/>
      <c r="D4" s="772" t="s">
        <v>169</v>
      </c>
      <c r="E4" s="669"/>
      <c r="F4" s="683" t="s">
        <v>71</v>
      </c>
      <c r="G4" s="684"/>
      <c r="H4" s="730" t="s">
        <v>78</v>
      </c>
      <c r="I4" s="683" t="s">
        <v>79</v>
      </c>
      <c r="J4" s="767"/>
      <c r="K4" s="768"/>
    </row>
    <row r="5" spans="2:11" ht="32.25" customHeight="1" x14ac:dyDescent="0.35">
      <c r="B5" s="774"/>
      <c r="C5" s="665"/>
      <c r="D5" s="772"/>
      <c r="E5" s="669"/>
      <c r="F5" s="772"/>
      <c r="G5" s="669"/>
      <c r="H5" s="731"/>
      <c r="I5" s="772"/>
      <c r="J5" s="767"/>
      <c r="K5" s="768"/>
    </row>
    <row r="6" spans="2:11" ht="4.5" customHeight="1" x14ac:dyDescent="0.35">
      <c r="B6" s="179"/>
      <c r="C6" s="82"/>
      <c r="D6" s="83"/>
      <c r="E6" s="83"/>
      <c r="F6" s="83"/>
      <c r="G6" s="83"/>
      <c r="H6" s="83"/>
      <c r="I6" s="83"/>
      <c r="J6" s="83"/>
      <c r="K6" s="151"/>
    </row>
    <row r="7" spans="2:11" ht="15" customHeight="1" x14ac:dyDescent="0.35">
      <c r="B7" s="769" t="s">
        <v>192</v>
      </c>
      <c r="C7" s="770"/>
      <c r="D7" s="770"/>
      <c r="E7" s="770"/>
      <c r="F7" s="770"/>
      <c r="G7" s="770"/>
      <c r="H7" s="770"/>
      <c r="I7" s="770"/>
      <c r="J7" s="770"/>
      <c r="K7" s="771"/>
    </row>
    <row r="8" spans="2:11" ht="3" customHeight="1" x14ac:dyDescent="0.35">
      <c r="B8" s="146"/>
      <c r="C8" s="178"/>
      <c r="D8" s="81"/>
      <c r="E8" s="81"/>
      <c r="F8" s="81"/>
      <c r="G8" s="81"/>
      <c r="H8" s="80"/>
      <c r="I8" s="80"/>
      <c r="J8" s="81"/>
      <c r="K8" s="151"/>
    </row>
    <row r="9" spans="2:11" ht="22.5" customHeight="1" x14ac:dyDescent="0.35">
      <c r="B9" s="177" t="s">
        <v>110</v>
      </c>
      <c r="C9" s="84" t="s">
        <v>109</v>
      </c>
      <c r="D9" s="85" t="str">
        <f>'1) Report'!F41</f>
        <v>N/A</v>
      </c>
      <c r="E9" s="86">
        <f>'1) Report'!G41</f>
        <v>0</v>
      </c>
      <c r="F9" s="85" t="str">
        <f>'1) Report'!R41</f>
        <v>N/A</v>
      </c>
      <c r="G9" s="86">
        <f>'1) Report'!S41</f>
        <v>0</v>
      </c>
      <c r="H9" s="87">
        <f>'1) Report'!AH41</f>
        <v>0.68076597992736865</v>
      </c>
      <c r="I9" s="87">
        <f>'1) Report'!AI41</f>
        <v>0.60003989461995133</v>
      </c>
      <c r="J9" s="85" t="str">
        <f>'1) Report'!AM41</f>
        <v>G</v>
      </c>
      <c r="K9" s="157" t="str">
        <f>'6) RAG Table'!AA16</f>
        <v>è</v>
      </c>
    </row>
    <row r="10" spans="2:11" ht="22.5" customHeight="1" x14ac:dyDescent="0.35">
      <c r="B10" s="177" t="s">
        <v>120</v>
      </c>
      <c r="C10" s="84" t="s">
        <v>119</v>
      </c>
      <c r="D10" s="85" t="str">
        <f>'1) Report'!F32</f>
        <v>G</v>
      </c>
      <c r="E10" s="86">
        <f>'1) Report'!G32</f>
        <v>0</v>
      </c>
      <c r="F10" s="85" t="str">
        <f>'1) Report'!R32</f>
        <v>G</v>
      </c>
      <c r="G10" s="86">
        <f>'1) Report'!S32</f>
        <v>0</v>
      </c>
      <c r="H10" s="87">
        <f>'1) Report'!AH32</f>
        <v>0.94206565574941936</v>
      </c>
      <c r="I10" s="87">
        <f>'1) Report'!AI32</f>
        <v>0.90835517794390497</v>
      </c>
      <c r="J10" s="85" t="str">
        <f>'1) Report'!AM32</f>
        <v>G</v>
      </c>
      <c r="K10" s="158" t="str">
        <f>'6) RAG Table'!AA13</f>
        <v>è</v>
      </c>
    </row>
    <row r="11" spans="2:11" ht="22.5" customHeight="1" x14ac:dyDescent="0.35">
      <c r="B11" s="177" t="s">
        <v>118</v>
      </c>
      <c r="C11" s="88" t="s">
        <v>117</v>
      </c>
      <c r="D11" s="85" t="e">
        <f>'1) Report'!#REF!</f>
        <v>#REF!</v>
      </c>
      <c r="E11" s="86" t="e">
        <f>'1) Report'!#REF!</f>
        <v>#REF!</v>
      </c>
      <c r="F11" s="85" t="e">
        <f>'1) Report'!#REF!</f>
        <v>#REF!</v>
      </c>
      <c r="G11" s="86" t="e">
        <f>'1) Report'!#REF!</f>
        <v>#REF!</v>
      </c>
      <c r="H11" s="87" t="e">
        <f>'1) Report'!#REF!</f>
        <v>#REF!</v>
      </c>
      <c r="I11" s="87" t="e">
        <f>'1) Report'!#REF!</f>
        <v>#REF!</v>
      </c>
      <c r="J11" s="85" t="e">
        <f>'1) Report'!#REF!</f>
        <v>#REF!</v>
      </c>
      <c r="K11" s="158" t="str">
        <f>'6) RAG Table'!AA8</f>
        <v>è</v>
      </c>
    </row>
    <row r="12" spans="2:11" ht="22.5" customHeight="1" x14ac:dyDescent="0.35">
      <c r="B12" s="177" t="s">
        <v>123</v>
      </c>
      <c r="C12" s="89" t="s">
        <v>5</v>
      </c>
      <c r="D12" s="85" t="str">
        <f>'1) Report'!F29</f>
        <v>G</v>
      </c>
      <c r="E12" s="86">
        <f>'1) Report'!G29</f>
        <v>0</v>
      </c>
      <c r="F12" s="85" t="str">
        <f>'1) Report'!R29</f>
        <v>R</v>
      </c>
      <c r="G12" s="86">
        <f>'1) Report'!S29</f>
        <v>0</v>
      </c>
      <c r="H12" s="87">
        <f>'1) Report'!AH29</f>
        <v>0.93270949901570166</v>
      </c>
      <c r="I12" s="87">
        <f>'1) Report'!AI29</f>
        <v>0.9968090107279981</v>
      </c>
      <c r="J12" s="85" t="str">
        <f>'1) Report'!AM29</f>
        <v>A</v>
      </c>
      <c r="K12" s="158" t="str">
        <f>'6) RAG Table'!AA12</f>
        <v>è</v>
      </c>
    </row>
    <row r="13" spans="2:11" ht="22.5" customHeight="1" x14ac:dyDescent="0.35">
      <c r="B13" s="177" t="s">
        <v>122</v>
      </c>
      <c r="C13" s="84" t="s">
        <v>121</v>
      </c>
      <c r="D13" s="85" t="str">
        <f>'1) Report'!F17</f>
        <v>R</v>
      </c>
      <c r="E13" s="86">
        <f>'1) Report'!G17</f>
        <v>0</v>
      </c>
      <c r="F13" s="85" t="str">
        <f>'1) Report'!R17</f>
        <v>R</v>
      </c>
      <c r="G13" s="86">
        <f>'1) Report'!S17</f>
        <v>0</v>
      </c>
      <c r="H13" s="87">
        <f>'1) Report'!AH17</f>
        <v>1.1570639371837619</v>
      </c>
      <c r="I13" s="87">
        <f>'1) Report'!AI17</f>
        <v>1.0000000082865179</v>
      </c>
      <c r="J13" s="85" t="str">
        <f>'1) Report'!AM17</f>
        <v>G</v>
      </c>
      <c r="K13" s="158" t="e">
        <f>'6) RAG Table'!#REF!</f>
        <v>#REF!</v>
      </c>
    </row>
    <row r="14" spans="2:11" ht="22.5" customHeight="1" x14ac:dyDescent="0.35">
      <c r="B14" s="177" t="s">
        <v>97</v>
      </c>
      <c r="C14" s="84" t="s">
        <v>96</v>
      </c>
      <c r="D14" s="85" t="str">
        <f>'1) Report'!F26</f>
        <v>A</v>
      </c>
      <c r="E14" s="86">
        <f>'1) Report'!G26</f>
        <v>-1</v>
      </c>
      <c r="F14" s="85" t="str">
        <f>'1) Report'!R26</f>
        <v>A</v>
      </c>
      <c r="G14" s="86">
        <f>'1) Report'!S26</f>
        <v>-1</v>
      </c>
      <c r="H14" s="87">
        <f>'1) Report'!AH26</f>
        <v>1.1125287244775663</v>
      </c>
      <c r="I14" s="87">
        <f>'1) Report'!AI26</f>
        <v>0.93293054107060436</v>
      </c>
      <c r="J14" s="85" t="str">
        <f>'1) Report'!AM26</f>
        <v>G</v>
      </c>
      <c r="K14" s="158" t="str">
        <f>'6) RAG Table'!AA11</f>
        <v>è</v>
      </c>
    </row>
    <row r="15" spans="2:11" ht="22.5" customHeight="1" x14ac:dyDescent="0.35">
      <c r="B15" s="177" t="s">
        <v>112</v>
      </c>
      <c r="C15" s="88" t="s">
        <v>111</v>
      </c>
      <c r="D15" s="85" t="str">
        <f>'1) Report'!F23</f>
        <v>A</v>
      </c>
      <c r="E15" s="86">
        <f>'1) Report'!G23</f>
        <v>0</v>
      </c>
      <c r="F15" s="85" t="str">
        <f>'1) Report'!R23</f>
        <v>A</v>
      </c>
      <c r="G15" s="86">
        <f>'1) Report'!S23</f>
        <v>0</v>
      </c>
      <c r="H15" s="87">
        <f>'1) Report'!AH23</f>
        <v>0.93007799450822148</v>
      </c>
      <c r="I15" s="87">
        <f>'1) Report'!AI23</f>
        <v>0.85262188149032603</v>
      </c>
      <c r="J15" s="85" t="str">
        <f>'1) Report'!AM23</f>
        <v>A</v>
      </c>
      <c r="K15" s="158" t="str">
        <f>'6) RAG Table'!AA10</f>
        <v>è</v>
      </c>
    </row>
    <row r="16" spans="2:11" ht="22.5" customHeight="1" x14ac:dyDescent="0.35">
      <c r="B16" s="177" t="s">
        <v>99</v>
      </c>
      <c r="C16" s="89" t="s">
        <v>98</v>
      </c>
      <c r="D16" s="85" t="str">
        <f>'1) Report'!F20</f>
        <v>A</v>
      </c>
      <c r="E16" s="86">
        <f>'1) Report'!G20</f>
        <v>0</v>
      </c>
      <c r="F16" s="85" t="str">
        <f>'1) Report'!R20</f>
        <v>A</v>
      </c>
      <c r="G16" s="86">
        <f>'1) Report'!S20</f>
        <v>0</v>
      </c>
      <c r="H16" s="87">
        <f>'1) Report'!AH20</f>
        <v>0.90269717481632328</v>
      </c>
      <c r="I16" s="87">
        <f>'1) Report'!AI20</f>
        <v>0.95361887330774375</v>
      </c>
      <c r="J16" s="85" t="str">
        <f>'1) Report'!AM20</f>
        <v>G</v>
      </c>
      <c r="K16" s="158" t="str">
        <f>'6) RAG Table'!AA9</f>
        <v>è</v>
      </c>
    </row>
    <row r="17" spans="2:11" ht="22.5" customHeight="1" x14ac:dyDescent="0.35">
      <c r="B17" s="177" t="s">
        <v>114</v>
      </c>
      <c r="C17" s="88" t="s">
        <v>113</v>
      </c>
      <c r="D17" s="85" t="str">
        <f>'1) Report'!F35</f>
        <v>G</v>
      </c>
      <c r="E17" s="86">
        <f>'1) Report'!G35</f>
        <v>0</v>
      </c>
      <c r="F17" s="85" t="str">
        <f>'1) Report'!R35</f>
        <v>G</v>
      </c>
      <c r="G17" s="86">
        <f>'1) Report'!S35</f>
        <v>0</v>
      </c>
      <c r="H17" s="87">
        <f>'1) Report'!AH35</f>
        <v>0.95963651523065918</v>
      </c>
      <c r="I17" s="87">
        <f>'1) Report'!AI35</f>
        <v>0.94014726564587969</v>
      </c>
      <c r="J17" s="85" t="str">
        <f>'1) Report'!AM35</f>
        <v>G</v>
      </c>
      <c r="K17" s="158" t="str">
        <f>'6) RAG Table'!AA14</f>
        <v>è</v>
      </c>
    </row>
    <row r="18" spans="2:11" ht="22.5" customHeight="1" x14ac:dyDescent="0.35">
      <c r="B18" s="177" t="s">
        <v>171</v>
      </c>
      <c r="C18" s="88" t="s">
        <v>167</v>
      </c>
      <c r="D18" s="85" t="str">
        <f>'1) Report'!F38</f>
        <v>G</v>
      </c>
      <c r="E18" s="86">
        <f>'1) Report'!G38</f>
        <v>0</v>
      </c>
      <c r="F18" s="85" t="str">
        <f>'1) Report'!R38</f>
        <v>G</v>
      </c>
      <c r="G18" s="86">
        <f>'1) Report'!S38</f>
        <v>0</v>
      </c>
      <c r="H18" s="87">
        <f>'1) Report'!AH38</f>
        <v>1.7669679530243541</v>
      </c>
      <c r="I18" s="87">
        <f>'1) Report'!AI38</f>
        <v>0.98546187061827906</v>
      </c>
      <c r="J18" s="85" t="str">
        <f>'1) Report'!AM38</f>
        <v>G</v>
      </c>
      <c r="K18" s="158" t="str">
        <f>'6) RAG Table'!AA15</f>
        <v>è</v>
      </c>
    </row>
    <row r="19" spans="2:11" x14ac:dyDescent="0.35">
      <c r="E19" s="54"/>
    </row>
    <row r="20" spans="2:11" x14ac:dyDescent="0.35">
      <c r="E20" s="54"/>
    </row>
    <row r="21" spans="2:11" x14ac:dyDescent="0.35">
      <c r="E21" s="54"/>
    </row>
    <row r="22" spans="2:11" x14ac:dyDescent="0.35">
      <c r="E22" s="54"/>
    </row>
    <row r="23" spans="2:11" x14ac:dyDescent="0.35">
      <c r="E23" s="54"/>
    </row>
    <row r="24" spans="2:11" x14ac:dyDescent="0.35">
      <c r="E24" s="54"/>
    </row>
    <row r="25" spans="2:11" x14ac:dyDescent="0.35">
      <c r="E25" s="54"/>
    </row>
    <row r="26" spans="2:11" x14ac:dyDescent="0.35">
      <c r="E26" s="54"/>
    </row>
    <row r="27" spans="2:11" x14ac:dyDescent="0.35">
      <c r="E27" s="54"/>
    </row>
    <row r="28" spans="2:11" x14ac:dyDescent="0.35">
      <c r="E28" s="54"/>
    </row>
    <row r="29" spans="2:11" x14ac:dyDescent="0.35">
      <c r="E29" s="54"/>
    </row>
    <row r="30" spans="2:11" x14ac:dyDescent="0.35">
      <c r="E30" s="54"/>
    </row>
    <row r="31" spans="2:11" x14ac:dyDescent="0.35">
      <c r="E31" s="54"/>
    </row>
    <row r="32" spans="2:11" x14ac:dyDescent="0.35">
      <c r="E32" s="54"/>
    </row>
    <row r="33" spans="5:5" x14ac:dyDescent="0.35">
      <c r="E33" s="54"/>
    </row>
    <row r="34" spans="5:5" x14ac:dyDescent="0.35">
      <c r="E34" s="54"/>
    </row>
    <row r="35" spans="5:5" x14ac:dyDescent="0.35">
      <c r="E35" s="54"/>
    </row>
    <row r="36" spans="5:5" x14ac:dyDescent="0.35">
      <c r="E36" s="54"/>
    </row>
    <row r="37" spans="5:5" x14ac:dyDescent="0.35">
      <c r="E37" s="54"/>
    </row>
    <row r="38" spans="5:5" x14ac:dyDescent="0.35">
      <c r="E38" s="54"/>
    </row>
    <row r="39" spans="5:5" x14ac:dyDescent="0.35">
      <c r="E39" s="54"/>
    </row>
    <row r="40" spans="5:5" x14ac:dyDescent="0.35">
      <c r="E40" s="54"/>
    </row>
    <row r="41" spans="5:5" x14ac:dyDescent="0.35">
      <c r="E41" s="54"/>
    </row>
    <row r="42" spans="5:5" x14ac:dyDescent="0.35">
      <c r="E42" s="54"/>
    </row>
    <row r="43" spans="5:5" x14ac:dyDescent="0.35">
      <c r="E43" s="54"/>
    </row>
    <row r="44" spans="5:5" x14ac:dyDescent="0.35">
      <c r="E44" s="54"/>
    </row>
    <row r="45" spans="5:5" x14ac:dyDescent="0.35">
      <c r="E45" s="54"/>
    </row>
    <row r="46" spans="5:5" x14ac:dyDescent="0.35">
      <c r="E46" s="54"/>
    </row>
    <row r="47" spans="5:5" x14ac:dyDescent="0.35">
      <c r="E47" s="54"/>
    </row>
    <row r="48" spans="5:5" x14ac:dyDescent="0.35">
      <c r="E48" s="54"/>
    </row>
    <row r="49" spans="5:5" x14ac:dyDescent="0.35">
      <c r="E49" s="54"/>
    </row>
    <row r="50" spans="5:5" x14ac:dyDescent="0.35">
      <c r="E50" s="54"/>
    </row>
    <row r="51" spans="5:5" x14ac:dyDescent="0.35">
      <c r="E51" s="54"/>
    </row>
    <row r="52" spans="5:5" x14ac:dyDescent="0.35">
      <c r="E52" s="54"/>
    </row>
    <row r="53" spans="5:5" x14ac:dyDescent="0.35">
      <c r="E53" s="54"/>
    </row>
    <row r="54" spans="5:5" x14ac:dyDescent="0.35">
      <c r="E54" s="54"/>
    </row>
    <row r="55" spans="5:5" x14ac:dyDescent="0.35">
      <c r="E55" s="54"/>
    </row>
    <row r="56" spans="5:5" x14ac:dyDescent="0.35">
      <c r="E56" s="54"/>
    </row>
    <row r="57" spans="5:5" x14ac:dyDescent="0.35">
      <c r="E57" s="54"/>
    </row>
    <row r="58" spans="5:5" x14ac:dyDescent="0.35">
      <c r="E58" s="54"/>
    </row>
    <row r="59" spans="5:5" x14ac:dyDescent="0.35">
      <c r="E59" s="54"/>
    </row>
    <row r="60" spans="5:5" x14ac:dyDescent="0.35">
      <c r="E60" s="54"/>
    </row>
    <row r="61" spans="5:5" x14ac:dyDescent="0.35">
      <c r="E61" s="54"/>
    </row>
    <row r="62" spans="5:5" x14ac:dyDescent="0.35">
      <c r="E62" s="54"/>
    </row>
    <row r="63" spans="5:5" x14ac:dyDescent="0.35">
      <c r="E63" s="54"/>
    </row>
    <row r="64" spans="5:5" x14ac:dyDescent="0.35">
      <c r="E64" s="54"/>
    </row>
    <row r="65" spans="5:5" x14ac:dyDescent="0.35">
      <c r="E65" s="54"/>
    </row>
    <row r="66" spans="5:5" x14ac:dyDescent="0.35">
      <c r="E66" s="54"/>
    </row>
    <row r="67" spans="5:5" x14ac:dyDescent="0.35">
      <c r="E67" s="54"/>
    </row>
    <row r="68" spans="5:5" x14ac:dyDescent="0.35">
      <c r="E68" s="54"/>
    </row>
    <row r="69" spans="5:5" x14ac:dyDescent="0.35">
      <c r="E69" s="54"/>
    </row>
    <row r="70" spans="5:5" x14ac:dyDescent="0.35">
      <c r="E70" s="54"/>
    </row>
    <row r="71" spans="5:5" x14ac:dyDescent="0.35">
      <c r="E71" s="54"/>
    </row>
    <row r="72" spans="5:5" x14ac:dyDescent="0.35">
      <c r="E72" s="54"/>
    </row>
    <row r="73" spans="5:5" x14ac:dyDescent="0.35">
      <c r="E73" s="54"/>
    </row>
    <row r="74" spans="5:5" x14ac:dyDescent="0.35">
      <c r="E74" s="54"/>
    </row>
    <row r="75" spans="5:5" x14ac:dyDescent="0.35">
      <c r="E75" s="54"/>
    </row>
    <row r="76" spans="5:5" x14ac:dyDescent="0.35">
      <c r="E76" s="54"/>
    </row>
    <row r="77" spans="5:5" x14ac:dyDescent="0.35">
      <c r="E77" s="54"/>
    </row>
    <row r="78" spans="5:5" x14ac:dyDescent="0.35">
      <c r="E78" s="54"/>
    </row>
    <row r="79" spans="5:5" x14ac:dyDescent="0.35">
      <c r="E79" s="54"/>
    </row>
    <row r="80" spans="5:5" x14ac:dyDescent="0.35">
      <c r="E80" s="54"/>
    </row>
    <row r="81" spans="5:5" x14ac:dyDescent="0.35">
      <c r="E81" s="54"/>
    </row>
    <row r="82" spans="5:5" x14ac:dyDescent="0.35">
      <c r="E82" s="54"/>
    </row>
    <row r="83" spans="5:5" x14ac:dyDescent="0.35">
      <c r="E83" s="54"/>
    </row>
    <row r="84" spans="5:5" x14ac:dyDescent="0.35">
      <c r="E84" s="54"/>
    </row>
    <row r="85" spans="5:5" x14ac:dyDescent="0.35">
      <c r="E85" s="54"/>
    </row>
    <row r="86" spans="5:5" x14ac:dyDescent="0.35">
      <c r="E86" s="54"/>
    </row>
    <row r="87" spans="5:5" x14ac:dyDescent="0.35">
      <c r="E87" s="54"/>
    </row>
    <row r="88" spans="5:5" x14ac:dyDescent="0.35">
      <c r="E88" s="54"/>
    </row>
    <row r="89" spans="5:5" x14ac:dyDescent="0.35">
      <c r="E89" s="54"/>
    </row>
    <row r="90" spans="5:5" x14ac:dyDescent="0.35">
      <c r="E90" s="54"/>
    </row>
    <row r="91" spans="5:5" x14ac:dyDescent="0.35">
      <c r="E91" s="54"/>
    </row>
    <row r="92" spans="5:5" x14ac:dyDescent="0.35">
      <c r="E92" s="54"/>
    </row>
    <row r="93" spans="5:5" x14ac:dyDescent="0.35">
      <c r="E93" s="54"/>
    </row>
    <row r="94" spans="5:5" x14ac:dyDescent="0.35">
      <c r="E94" s="54"/>
    </row>
    <row r="95" spans="5:5" x14ac:dyDescent="0.35">
      <c r="E95" s="54"/>
    </row>
    <row r="96" spans="5:5" x14ac:dyDescent="0.35">
      <c r="E96" s="54"/>
    </row>
    <row r="97" spans="5:5" x14ac:dyDescent="0.35">
      <c r="E97" s="54"/>
    </row>
    <row r="98" spans="5:5" x14ac:dyDescent="0.35">
      <c r="E98" s="54"/>
    </row>
    <row r="99" spans="5:5" x14ac:dyDescent="0.35">
      <c r="E99" s="54"/>
    </row>
    <row r="100" spans="5:5" x14ac:dyDescent="0.35">
      <c r="E100" s="54"/>
    </row>
    <row r="101" spans="5:5" x14ac:dyDescent="0.35">
      <c r="E101" s="54"/>
    </row>
    <row r="102" spans="5:5" x14ac:dyDescent="0.35">
      <c r="E102" s="54"/>
    </row>
    <row r="103" spans="5:5" x14ac:dyDescent="0.35">
      <c r="E103" s="54"/>
    </row>
    <row r="104" spans="5:5" x14ac:dyDescent="0.35">
      <c r="E104" s="54"/>
    </row>
    <row r="105" spans="5:5" x14ac:dyDescent="0.35">
      <c r="E105" s="54"/>
    </row>
    <row r="106" spans="5:5" x14ac:dyDescent="0.35">
      <c r="E106" s="54"/>
    </row>
    <row r="107" spans="5:5" x14ac:dyDescent="0.35">
      <c r="E107" s="54"/>
    </row>
    <row r="108" spans="5:5" x14ac:dyDescent="0.35">
      <c r="E108" s="54"/>
    </row>
    <row r="109" spans="5:5" x14ac:dyDescent="0.35">
      <c r="E109" s="54"/>
    </row>
    <row r="110" spans="5:5" x14ac:dyDescent="0.35">
      <c r="E110" s="54"/>
    </row>
    <row r="111" spans="5:5" x14ac:dyDescent="0.35">
      <c r="E111" s="54"/>
    </row>
    <row r="112" spans="5:5" x14ac:dyDescent="0.35">
      <c r="E112" s="54"/>
    </row>
    <row r="113" spans="5:5" x14ac:dyDescent="0.35">
      <c r="E113" s="54"/>
    </row>
    <row r="114" spans="5:5" x14ac:dyDescent="0.35">
      <c r="E114" s="54"/>
    </row>
    <row r="115" spans="5:5" x14ac:dyDescent="0.35">
      <c r="E115" s="54"/>
    </row>
    <row r="116" spans="5:5" x14ac:dyDescent="0.35">
      <c r="E116" s="54"/>
    </row>
    <row r="117" spans="5:5" x14ac:dyDescent="0.35">
      <c r="E117" s="54"/>
    </row>
    <row r="118" spans="5:5" x14ac:dyDescent="0.35">
      <c r="E118" s="54"/>
    </row>
    <row r="119" spans="5:5" x14ac:dyDescent="0.35">
      <c r="E119" s="54"/>
    </row>
    <row r="120" spans="5:5" x14ac:dyDescent="0.35">
      <c r="E120" s="54"/>
    </row>
    <row r="121" spans="5:5" x14ac:dyDescent="0.35">
      <c r="E121" s="54"/>
    </row>
    <row r="122" spans="5:5" x14ac:dyDescent="0.35">
      <c r="E122" s="54"/>
    </row>
    <row r="123" spans="5:5" x14ac:dyDescent="0.35">
      <c r="E123" s="54"/>
    </row>
    <row r="124" spans="5:5" x14ac:dyDescent="0.35">
      <c r="E124" s="54"/>
    </row>
    <row r="125" spans="5:5" x14ac:dyDescent="0.35">
      <c r="E125" s="54"/>
    </row>
    <row r="126" spans="5:5" x14ac:dyDescent="0.35">
      <c r="E126" s="54"/>
    </row>
    <row r="127" spans="5:5" x14ac:dyDescent="0.35">
      <c r="E127" s="54"/>
    </row>
    <row r="128" spans="5:5" x14ac:dyDescent="0.35">
      <c r="E128" s="54"/>
    </row>
    <row r="129" spans="5:5" x14ac:dyDescent="0.35">
      <c r="E129" s="54"/>
    </row>
    <row r="130" spans="5:5" x14ac:dyDescent="0.35">
      <c r="E130" s="54"/>
    </row>
    <row r="131" spans="5:5" x14ac:dyDescent="0.35">
      <c r="E131" s="54"/>
    </row>
    <row r="132" spans="5:5" x14ac:dyDescent="0.35">
      <c r="E132" s="54"/>
    </row>
    <row r="133" spans="5:5" x14ac:dyDescent="0.35">
      <c r="E133" s="54"/>
    </row>
    <row r="134" spans="5:5" x14ac:dyDescent="0.35">
      <c r="E134" s="54"/>
    </row>
    <row r="135" spans="5:5" x14ac:dyDescent="0.35">
      <c r="E135" s="54"/>
    </row>
    <row r="136" spans="5:5" x14ac:dyDescent="0.35">
      <c r="E136" s="54"/>
    </row>
    <row r="137" spans="5:5" x14ac:dyDescent="0.35">
      <c r="E137" s="54"/>
    </row>
    <row r="138" spans="5:5" x14ac:dyDescent="0.35">
      <c r="E138" s="54"/>
    </row>
    <row r="139" spans="5:5" x14ac:dyDescent="0.35">
      <c r="E139" s="54"/>
    </row>
    <row r="140" spans="5:5" x14ac:dyDescent="0.35">
      <c r="E140" s="54"/>
    </row>
    <row r="141" spans="5:5" x14ac:dyDescent="0.35">
      <c r="E141" s="54"/>
    </row>
    <row r="142" spans="5:5" x14ac:dyDescent="0.35">
      <c r="E142" s="54"/>
    </row>
    <row r="143" spans="5:5" x14ac:dyDescent="0.35">
      <c r="E143" s="54"/>
    </row>
    <row r="144" spans="5:5" x14ac:dyDescent="0.35">
      <c r="E144" s="54"/>
    </row>
    <row r="145" spans="5:5" x14ac:dyDescent="0.35">
      <c r="E145" s="54"/>
    </row>
    <row r="146" spans="5:5" x14ac:dyDescent="0.35">
      <c r="E146" s="54"/>
    </row>
    <row r="147" spans="5:5" x14ac:dyDescent="0.35">
      <c r="E147" s="54"/>
    </row>
    <row r="148" spans="5:5" x14ac:dyDescent="0.35">
      <c r="E148" s="54"/>
    </row>
    <row r="149" spans="5:5" x14ac:dyDescent="0.35">
      <c r="E149" s="54"/>
    </row>
    <row r="150" spans="5:5" x14ac:dyDescent="0.35">
      <c r="E150" s="54"/>
    </row>
    <row r="151" spans="5:5" x14ac:dyDescent="0.35">
      <c r="E151" s="54"/>
    </row>
    <row r="152" spans="5:5" x14ac:dyDescent="0.35">
      <c r="E152" s="54"/>
    </row>
    <row r="153" spans="5:5" x14ac:dyDescent="0.35">
      <c r="E153" s="54"/>
    </row>
    <row r="154" spans="5:5" x14ac:dyDescent="0.35">
      <c r="E154" s="54"/>
    </row>
    <row r="155" spans="5:5" x14ac:dyDescent="0.35">
      <c r="E155" s="54"/>
    </row>
    <row r="156" spans="5:5" x14ac:dyDescent="0.35">
      <c r="E156" s="54"/>
    </row>
    <row r="157" spans="5:5" x14ac:dyDescent="0.35">
      <c r="E157" s="54"/>
    </row>
    <row r="158" spans="5:5" x14ac:dyDescent="0.35">
      <c r="E158" s="54"/>
    </row>
    <row r="159" spans="5:5" x14ac:dyDescent="0.35">
      <c r="E159" s="54"/>
    </row>
    <row r="160" spans="5:5" x14ac:dyDescent="0.35">
      <c r="E160" s="54"/>
    </row>
    <row r="161" spans="5:5" x14ac:dyDescent="0.35">
      <c r="E161" s="54"/>
    </row>
    <row r="162" spans="5:5" x14ac:dyDescent="0.35">
      <c r="E162" s="54"/>
    </row>
    <row r="163" spans="5:5" x14ac:dyDescent="0.35">
      <c r="E163" s="54"/>
    </row>
    <row r="164" spans="5:5" x14ac:dyDescent="0.35">
      <c r="E164" s="54"/>
    </row>
    <row r="165" spans="5:5" x14ac:dyDescent="0.35">
      <c r="E165" s="54"/>
    </row>
    <row r="166" spans="5:5" x14ac:dyDescent="0.35">
      <c r="E166" s="54"/>
    </row>
    <row r="167" spans="5:5" x14ac:dyDescent="0.35">
      <c r="E167" s="54"/>
    </row>
    <row r="168" spans="5:5" x14ac:dyDescent="0.35">
      <c r="E168" s="54"/>
    </row>
    <row r="169" spans="5:5" x14ac:dyDescent="0.35">
      <c r="E169" s="54"/>
    </row>
    <row r="170" spans="5:5" x14ac:dyDescent="0.35">
      <c r="E170" s="54"/>
    </row>
    <row r="171" spans="5:5" x14ac:dyDescent="0.35">
      <c r="E171" s="54"/>
    </row>
    <row r="172" spans="5:5" x14ac:dyDescent="0.35">
      <c r="E172" s="54"/>
    </row>
    <row r="173" spans="5:5" x14ac:dyDescent="0.35">
      <c r="E173" s="54"/>
    </row>
    <row r="174" spans="5:5" x14ac:dyDescent="0.35">
      <c r="E174" s="54"/>
    </row>
    <row r="175" spans="5:5" x14ac:dyDescent="0.35">
      <c r="E175" s="54"/>
    </row>
    <row r="176" spans="5:5" x14ac:dyDescent="0.35">
      <c r="E176" s="54"/>
    </row>
    <row r="177" spans="5:5" x14ac:dyDescent="0.35">
      <c r="E177" s="54"/>
    </row>
    <row r="178" spans="5:5" x14ac:dyDescent="0.35">
      <c r="E178" s="54"/>
    </row>
    <row r="179" spans="5:5" x14ac:dyDescent="0.35">
      <c r="E179" s="54"/>
    </row>
    <row r="180" spans="5:5" x14ac:dyDescent="0.35">
      <c r="E180" s="54"/>
    </row>
    <row r="181" spans="5:5" x14ac:dyDescent="0.35">
      <c r="E181" s="54"/>
    </row>
  </sheetData>
  <sheetProtection formatCells="0" formatRows="0"/>
  <customSheetViews>
    <customSheetView guid="{7E571F1D-D438-4605-90D6-3F831F76D652}" scale="90" hiddenRows="1" state="hidden" topLeftCell="A2">
      <pane ySplit="4" topLeftCell="A6" activePane="bottomLeft" state="frozen"/>
      <selection pane="bottomLeft" activeCell="D15" sqref="D15"/>
      <pageMargins left="1.4173228346456694" right="0.23622047244094491" top="0.74803149606299213" bottom="0.74803149606299213" header="0.31496062992125984" footer="0.31496062992125984"/>
      <pageSetup paperSize="9" orientation="landscape" r:id="rId1"/>
      <headerFooter>
        <oddHeader>&amp;L&amp;"Calibri"&amp;10&amp;K000000OFFICIAL&amp;1#</oddHeader>
        <oddFooter>&amp;L&amp;1#&amp;"Calibri"&amp;10&amp;K000000OFFICIAL</oddFooter>
      </headerFooter>
    </customSheetView>
    <customSheetView guid="{466708C2-41CE-4656-AB81-E1E49DF5945D}" scale="90" hiddenRows="1" state="hidden" topLeftCell="A2">
      <pane ySplit="5.5384615384615383" topLeftCell="A6" activePane="bottomLeft" state="frozen"/>
      <selection pane="bottomLeft" activeCell="D15" sqref="D15"/>
      <pageMargins left="1.4173228346456694" right="0.23622047244094491" top="0.74803149606299213" bottom="0.74803149606299213" header="0.31496062992125984" footer="0.31496062992125984"/>
      <pageSetup paperSize="9" orientation="landscape" r:id="rId2"/>
      <headerFooter>
        <oddHeader>&amp;L&amp;"Calibri"&amp;10&amp;K000000OFFICIAL&amp;1#</oddHeader>
        <oddFooter>&amp;L&amp;1#&amp;"Calibri"&amp;10&amp;K000000OFFICIAL</oddFooter>
      </headerFooter>
    </customSheetView>
    <customSheetView guid="{B84DA703-8C5B-4100-91A4-8807E303D379}" scale="90" hiddenRows="1" state="hidden" topLeftCell="A2">
      <pane ySplit="4" topLeftCell="A6" activePane="bottomLeft" state="frozen"/>
      <selection pane="bottomLeft" activeCell="D15" sqref="D15"/>
      <pageMargins left="1.4173228346456694" right="0.23622047244094491" top="0.74803149606299213" bottom="0.74803149606299213" header="0.31496062992125984" footer="0.31496062992125984"/>
      <pageSetup paperSize="9" orientation="landscape" r:id="rId3"/>
      <headerFooter>
        <oddHeader>&amp;L&amp;"Calibri"&amp;10&amp;K000000OFFICIAL&amp;1#</oddHeader>
        <oddFooter>&amp;L&amp;1#&amp;"Calibri"&amp;10&amp;K000000OFFICIAL</oddFooter>
      </headerFooter>
    </customSheetView>
    <customSheetView guid="{527A2BDE-37CE-4B02-9F2C-CD7E7AC81C63}" scale="90" hiddenRows="1" state="hidden" topLeftCell="A2">
      <pane ySplit="4" topLeftCell="A6" activePane="bottomLeft" state="frozen"/>
      <selection pane="bottomLeft" activeCell="D15" sqref="D15"/>
      <pageMargins left="1.4173228346456694" right="0.23622047244094491" top="0.74803149606299213" bottom="0.74803149606299213" header="0.31496062992125984" footer="0.31496062992125984"/>
      <pageSetup paperSize="9" orientation="landscape" r:id="rId4"/>
      <headerFooter>
        <oddHeader>&amp;L&amp;"Calibri"&amp;10&amp;K000000OFFICIAL&amp;1#</oddHeader>
        <oddFooter>&amp;L&amp;1#&amp;"Calibri"&amp;10&amp;K000000OFFICIAL</oddFooter>
      </headerFooter>
    </customSheetView>
    <customSheetView guid="{BDCD1595-C0B8-4F6C-B01C-3472C895B827}" scale="90" hiddenRows="1" state="hidden" topLeftCell="A2">
      <pane ySplit="4" topLeftCell="A6" activePane="bottomLeft" state="frozen"/>
      <selection pane="bottomLeft" activeCell="D15" sqref="D15"/>
      <pageMargins left="1.4173228346456694" right="0.23622047244094491" top="0.74803149606299213" bottom="0.74803149606299213" header="0.31496062992125984" footer="0.31496062992125984"/>
      <pageSetup paperSize="9" orientation="landscape" r:id="rId5"/>
      <headerFooter>
        <oddHeader>&amp;L&amp;"Calibri"&amp;10&amp;K000000OFFICIAL&amp;1#</oddHeader>
        <oddFooter>&amp;L&amp;1#&amp;"Calibri"&amp;10&amp;K000000OFFICIAL</oddFooter>
      </headerFooter>
    </customSheetView>
    <customSheetView guid="{C57A83F1-F5A3-470B-9579-6A222C54F4E8}" scale="90" hiddenRows="1" state="hidden" topLeftCell="A2">
      <pane ySplit="4" topLeftCell="A6" activePane="bottomLeft" state="frozen"/>
      <selection pane="bottomLeft" activeCell="D15" sqref="D15"/>
      <pageMargins left="1.4173228346456694" right="0.23622047244094491" top="0.74803149606299213" bottom="0.74803149606299213" header="0.31496062992125984" footer="0.31496062992125984"/>
      <pageSetup paperSize="9" orientation="landscape" r:id="rId6"/>
      <headerFooter>
        <oddHeader>&amp;L&amp;"Calibri"&amp;10&amp;K000000OFFICIAL&amp;1#</oddHeader>
        <oddFooter>&amp;L&amp;1#&amp;"Calibri"&amp;10&amp;K000000OFFICIAL</oddFooter>
      </headerFooter>
    </customSheetView>
    <customSheetView guid="{3827E543-57D2-48C8-B786-7077EA079DD2}" scale="90" hiddenRows="1" state="hidden" topLeftCell="A2">
      <pane ySplit="5.5384615384615383" topLeftCell="A6" activePane="bottomLeft" state="frozen"/>
      <selection pane="bottomLeft" activeCell="D15" sqref="D15"/>
      <pageMargins left="1.4173228346456694" right="0.23622047244094491" top="0.74803149606299213" bottom="0.74803149606299213" header="0.31496062992125984" footer="0.31496062992125984"/>
      <pageSetup paperSize="9" orientation="landscape" r:id="rId7"/>
      <headerFooter>
        <oddHeader>&amp;L&amp;"Calibri"&amp;10&amp;K000000OFFICIAL&amp;1#</oddHeader>
        <oddFooter>&amp;L&amp;1#&amp;"Calibri"&amp;10&amp;K000000OFFICIAL</oddFooter>
      </headerFooter>
    </customSheetView>
    <customSheetView guid="{F5FA2A23-9E46-4C2F-B1EE-B71787F95C57}" scale="90" hiddenRows="1" state="hidden" topLeftCell="A2">
      <pane ySplit="4" topLeftCell="A6" activePane="bottomLeft" state="frozen"/>
      <selection pane="bottomLeft" activeCell="D15" sqref="D15"/>
      <pageMargins left="1.4173228346456694" right="0.23622047244094491" top="0.74803149606299213" bottom="0.74803149606299213" header="0.31496062992125984" footer="0.31496062992125984"/>
      <pageSetup paperSize="9" orientation="landscape" r:id="rId8"/>
      <headerFooter>
        <oddHeader>&amp;L&amp;"Calibri"&amp;10&amp;K000000OFFICIAL&amp;1#</oddHeader>
        <oddFooter>&amp;L&amp;1#&amp;"Calibri"&amp;10&amp;K000000OFFICIAL</oddFooter>
      </headerFooter>
    </customSheetView>
    <customSheetView guid="{42B0E8B1-ADFA-49AE-A83B-82D384737703}" scale="90" hiddenRows="1" state="hidden" topLeftCell="A2">
      <pane ySplit="4" topLeftCell="A6" activePane="bottomLeft" state="frozen"/>
      <selection pane="bottomLeft" activeCell="D15" sqref="D15"/>
      <pageMargins left="1.4173228346456694" right="0.23622047244094491" top="0.74803149606299213" bottom="0.74803149606299213" header="0.31496062992125984" footer="0.31496062992125984"/>
      <pageSetup paperSize="9" orientation="landscape" r:id="rId9"/>
      <headerFooter>
        <oddHeader>&amp;L&amp;"Calibri"&amp;10&amp;K000000OFFICIAL&amp;1#</oddHeader>
        <oddFooter>&amp;L&amp;1#&amp;"Calibri"&amp;10&amp;K000000OFFICIAL</oddFooter>
      </headerFooter>
    </customSheetView>
    <customSheetView guid="{602520CD-F98C-43A6-AA0D-88893E9CB6E8}" scale="90" hiddenRows="1" state="hidden" topLeftCell="A2">
      <pane ySplit="4.8157894736842106" topLeftCell="A6" activePane="bottomLeft" state="frozen"/>
      <selection pane="bottomLeft" activeCell="D15" sqref="D15"/>
      <pageMargins left="1.4173228346456694" right="0.23622047244094491" top="0.74803149606299213" bottom="0.74803149606299213" header="0.31496062992125984" footer="0.31496062992125984"/>
      <pageSetup paperSize="9" orientation="landscape" r:id="rId10"/>
      <headerFooter>
        <oddHeader>&amp;L&amp;"Calibri"&amp;10&amp;K000000OFFICIAL&amp;1#</oddHeader>
        <oddFooter>&amp;L&amp;1#&amp;"Calibri"&amp;10&amp;K000000OFFICIAL</oddFooter>
      </headerFooter>
    </customSheetView>
    <customSheetView guid="{B8317A9A-0FFD-4A18-80F7-203DB2FC8CA5}" scale="90" hiddenRows="1" state="hidden" topLeftCell="A2">
      <pane ySplit="5.5384615384615383" topLeftCell="A6" activePane="bottomLeft" state="frozen"/>
      <selection pane="bottomLeft" activeCell="D15" sqref="D15"/>
      <pageMargins left="1.4173228346456694" right="0.23622047244094491" top="0.74803149606299213" bottom="0.74803149606299213" header="0.31496062992125984" footer="0.31496062992125984"/>
      <pageSetup paperSize="9" orientation="landscape" r:id="rId11"/>
      <headerFooter>
        <oddHeader>&amp;L&amp;"Calibri"&amp;10&amp;K000000OFFICIAL&amp;1#</oddHeader>
        <oddFooter>&amp;L&amp;1#&amp;"Calibri"&amp;10&amp;K000000OFFICIAL</oddFooter>
      </headerFooter>
    </customSheetView>
    <customSheetView guid="{2608BE9B-66AC-4D4C-8EE0-E88C94E88140}" scale="90" hiddenRows="1" state="hidden" topLeftCell="A2">
      <pane ySplit="4.8157894736842106" topLeftCell="A6" activePane="bottomLeft" state="frozen"/>
      <selection pane="bottomLeft" activeCell="D15" sqref="D15"/>
      <pageMargins left="1.4173228346456694" right="0.23622047244094491" top="0.74803149606299213" bottom="0.74803149606299213" header="0.31496062992125984" footer="0.31496062992125984"/>
      <pageSetup paperSize="9" orientation="landscape" r:id="rId12"/>
      <headerFooter>
        <oddHeader>&amp;L&amp;"Calibri"&amp;10&amp;K000000OFFICIAL&amp;1#</oddHeader>
        <oddFooter>&amp;L&amp;1#&amp;"Calibri"&amp;10&amp;K000000OFFICIAL</oddFooter>
      </headerFooter>
    </customSheetView>
    <customSheetView guid="{D850720D-4A1C-48F2-8E1D-8E09B7414A1A}" scale="90" hiddenRows="1" state="hidden" topLeftCell="A2">
      <pane ySplit="4" topLeftCell="A6" activePane="bottomLeft" state="frozen"/>
      <selection pane="bottomLeft" activeCell="D15" sqref="D15"/>
      <pageMargins left="1.4173228346456694" right="0.23622047244094491" top="0.74803149606299213" bottom="0.74803149606299213" header="0.31496062992125984" footer="0.31496062992125984"/>
      <pageSetup paperSize="9" orientation="landscape" r:id="rId13"/>
      <headerFooter>
        <oddHeader>&amp;L&amp;"Calibri"&amp;10&amp;K000000OFFICIAL&amp;1#</oddHeader>
        <oddFooter>&amp;L&amp;1#&amp;"Calibri"&amp;10&amp;K000000OFFICIAL</oddFooter>
      </headerFooter>
    </customSheetView>
    <customSheetView guid="{A8E976B8-D767-4DB4-82BD-ABE90880F33F}" scale="90" hiddenRows="1" state="hidden" topLeftCell="A2">
      <pane ySplit="4" topLeftCell="A6" activePane="bottomLeft" state="frozen"/>
      <selection pane="bottomLeft" activeCell="D15" sqref="D15"/>
      <pageMargins left="1.4173228346456694" right="0.23622047244094491" top="0.74803149606299213" bottom="0.74803149606299213" header="0.31496062992125984" footer="0.31496062992125984"/>
      <pageSetup paperSize="9" orientation="landscape" r:id="rId14"/>
      <headerFooter>
        <oddHeader>&amp;L&amp;"Calibri"&amp;10&amp;K000000OFFICIAL&amp;1#</oddHeader>
        <oddFooter>&amp;L&amp;1#&amp;"Calibri"&amp;10&amp;K000000OFFICIAL</oddFooter>
      </headerFooter>
    </customSheetView>
    <customSheetView guid="{B95D32C7-1418-4EF6-8936-849885C54A4A}" scale="90" hiddenRows="1" state="hidden" topLeftCell="A2">
      <pane ySplit="4" topLeftCell="A6" activePane="bottomLeft" state="frozen"/>
      <selection pane="bottomLeft" activeCell="D15" sqref="D15"/>
      <pageMargins left="1.4173228346456694" right="0.23622047244094491" top="0.74803149606299213" bottom="0.74803149606299213" header="0.31496062992125984" footer="0.31496062992125984"/>
      <pageSetup paperSize="9" orientation="landscape" r:id="rId15"/>
      <headerFooter>
        <oddHeader>&amp;L&amp;"Calibri"&amp;10&amp;K000000OFFICIAL&amp;1#</oddHeader>
        <oddFooter>&amp;L&amp;1#&amp;"Calibri"&amp;10&amp;K000000OFFICIAL</oddFooter>
      </headerFooter>
    </customSheetView>
    <customSheetView guid="{9355C9F4-9C07-4A93-B7F2-69F1D1526716}" scale="90" hiddenRows="1" state="hidden" topLeftCell="A2">
      <pane ySplit="4" topLeftCell="A6" activePane="bottomLeft" state="frozen"/>
      <selection pane="bottomLeft" activeCell="D15" sqref="D15"/>
      <pageMargins left="1.4173228346456694" right="0.23622047244094491" top="0.74803149606299213" bottom="0.74803149606299213" header="0.31496062992125984" footer="0.31496062992125984"/>
      <pageSetup paperSize="9" orientation="landscape" r:id="rId16"/>
      <headerFooter>
        <oddHeader>&amp;L&amp;"Calibri"&amp;10&amp;K000000OFFICIAL&amp;1#</oddHeader>
        <oddFooter>&amp;L&amp;1#&amp;"Calibri"&amp;10&amp;K000000OFFICIAL</oddFooter>
      </headerFooter>
    </customSheetView>
    <customSheetView guid="{1ECD6E30-299B-4354-A416-2DAFF33C7022}" scale="90" hiddenRows="1" state="hidden" topLeftCell="A2">
      <pane ySplit="4" topLeftCell="A6" activePane="bottomLeft" state="frozen"/>
      <selection pane="bottomLeft" activeCell="D15" sqref="D15"/>
      <pageMargins left="1.4173228346456694" right="0.23622047244094491" top="0.74803149606299213" bottom="0.74803149606299213" header="0.31496062992125984" footer="0.31496062992125984"/>
      <pageSetup paperSize="9" orientation="landscape" r:id="rId17"/>
      <headerFooter>
        <oddHeader>&amp;L&amp;"Calibri"&amp;10&amp;K000000OFFICIAL&amp;1#</oddHeader>
        <oddFooter>&amp;L&amp;1#&amp;"Calibri"&amp;10&amp;K000000OFFICIAL</oddFooter>
      </headerFooter>
    </customSheetView>
    <customSheetView guid="{9AF6E233-883D-48B4-95AB-42B37199AB9E}" scale="90" hiddenRows="1" state="hidden" topLeftCell="A2">
      <pane ySplit="4" topLeftCell="A6" activePane="bottomLeft" state="frozen"/>
      <selection pane="bottomLeft" activeCell="D15" sqref="D15"/>
      <pageMargins left="1.4173228346456694" right="0.23622047244094491" top="0.74803149606299213" bottom="0.74803149606299213" header="0.31496062992125984" footer="0.31496062992125984"/>
      <pageSetup paperSize="9" orientation="landscape" r:id="rId18"/>
      <headerFooter>
        <oddHeader>&amp;L&amp;"Calibri"&amp;10&amp;K000000OFFICIAL&amp;1#</oddHeader>
        <oddFooter>&amp;L&amp;1#&amp;"Calibri"&amp;10&amp;K000000OFFICIAL</oddFooter>
      </headerFooter>
    </customSheetView>
    <customSheetView guid="{451730E2-FFE9-4FCE-B8B5-64952C26C672}" scale="90" hiddenRows="1" state="hidden" topLeftCell="A2">
      <pane ySplit="4" topLeftCell="A6" activePane="bottomLeft" state="frozen"/>
      <selection pane="bottomLeft" activeCell="D15" sqref="D15"/>
      <pageMargins left="1.4173228346456694" right="0.23622047244094491" top="0.74803149606299213" bottom="0.74803149606299213" header="0.31496062992125984" footer="0.31496062992125984"/>
      <pageSetup paperSize="9" orientation="landscape" r:id="rId19"/>
      <headerFooter>
        <oddHeader>&amp;L&amp;"Calibri"&amp;10&amp;K000000OFFICIAL&amp;1#</oddHeader>
        <oddFooter>&amp;L&amp;1#&amp;"Calibri"&amp;10&amp;K000000OFFICIAL</oddFooter>
      </headerFooter>
    </customSheetView>
    <customSheetView guid="{4EBEE699-7DEF-4A50-9CB7-490835CF0B98}" scale="90" hiddenRows="1" state="hidden" topLeftCell="A2">
      <pane ySplit="4" topLeftCell="A6" activePane="bottomLeft" state="frozen"/>
      <selection pane="bottomLeft" activeCell="D15" sqref="D15"/>
      <pageMargins left="1.4173228346456694" right="0.23622047244094491" top="0.74803149606299213" bottom="0.74803149606299213" header="0.31496062992125984" footer="0.31496062992125984"/>
      <pageSetup paperSize="9" orientation="landscape" r:id="rId20"/>
      <headerFooter>
        <oddHeader>&amp;L&amp;"Calibri"&amp;10&amp;K000000OFFICIAL&amp;1#</oddHeader>
        <oddFooter>&amp;L&amp;1#&amp;"Calibri"&amp;10&amp;K000000OFFICIAL</oddFooter>
      </headerFooter>
    </customSheetView>
    <customSheetView guid="{A03C6B09-6B58-4DDE-A3B2-41A27A7049D9}" scale="90" hiddenRows="1" state="hidden" topLeftCell="A2">
      <pane ySplit="4" topLeftCell="A6" activePane="bottomLeft" state="frozen"/>
      <selection pane="bottomLeft" activeCell="D15" sqref="D15"/>
      <pageMargins left="1.4173228346456694" right="0.23622047244094491" top="0.74803149606299213" bottom="0.74803149606299213" header="0.31496062992125984" footer="0.31496062992125984"/>
      <pageSetup paperSize="9" orientation="landscape" r:id="rId21"/>
      <headerFooter>
        <oddHeader>&amp;L&amp;"Calibri"&amp;10&amp;K000000OFFICIAL&amp;1#</oddHeader>
        <oddFooter>&amp;L&amp;1#&amp;"Calibri"&amp;10&amp;K000000OFFICIAL</oddFooter>
      </headerFooter>
    </customSheetView>
    <customSheetView guid="{3C97F0B0-2F3C-4E03-96E0-0C4FEC2F24AC}" scale="90" hiddenRows="1" state="hidden" topLeftCell="A2">
      <pane ySplit="4" topLeftCell="A6" activePane="bottomLeft" state="frozen"/>
      <selection pane="bottomLeft" activeCell="D15" sqref="D15"/>
      <pageMargins left="1.4173228346456694" right="0.23622047244094491" top="0.74803149606299213" bottom="0.74803149606299213" header="0.31496062992125984" footer="0.31496062992125984"/>
      <pageSetup paperSize="9" orientation="landscape" r:id="rId22"/>
      <headerFooter>
        <oddHeader>&amp;L&amp;"Calibri"&amp;10&amp;K000000OFFICIAL&amp;1#</oddHeader>
        <oddFooter>&amp;L&amp;1#&amp;"Calibri"&amp;10&amp;K000000OFFICIAL</oddFooter>
      </headerFooter>
    </customSheetView>
    <customSheetView guid="{B0A28FD4-D7F6-428C-A7F7-92132DCD74BB}" scale="90" hiddenRows="1" state="hidden" topLeftCell="A2">
      <pane ySplit="4" topLeftCell="A6" activePane="bottomLeft" state="frozen"/>
      <selection pane="bottomLeft" activeCell="D15" sqref="D15"/>
      <pageMargins left="1.4173228346456694" right="0.23622047244094491" top="0.74803149606299213" bottom="0.74803149606299213" header="0.31496062992125984" footer="0.31496062992125984"/>
      <pageSetup paperSize="9" orientation="landscape" r:id="rId23"/>
      <headerFooter>
        <oddHeader>&amp;L&amp;"Calibri"&amp;10&amp;K000000OFFICIAL&amp;1#</oddHeader>
        <oddFooter>&amp;L&amp;1#&amp;"Calibri"&amp;10&amp;K000000OFFICIAL</oddFooter>
      </headerFooter>
    </customSheetView>
    <customSheetView guid="{3BB18945-69B5-4B22-8D55-989F8F233459}" scale="90" hiddenRows="1" state="hidden" topLeftCell="A2">
      <pane ySplit="4" topLeftCell="A6" activePane="bottomLeft" state="frozen"/>
      <selection pane="bottomLeft" activeCell="D15" sqref="D15"/>
      <pageMargins left="1.4173228346456694" right="0.23622047244094491" top="0.74803149606299213" bottom="0.74803149606299213" header="0.31496062992125984" footer="0.31496062992125984"/>
      <pageSetup paperSize="9" orientation="landscape" r:id="rId24"/>
      <headerFooter>
        <oddHeader>&amp;L&amp;"Calibri"&amp;10&amp;K000000OFFICIAL&amp;1#</oddHeader>
        <oddFooter>&amp;L&amp;1#&amp;"Calibri"&amp;10&amp;K000000OFFICIAL</oddFooter>
      </headerFooter>
    </customSheetView>
    <customSheetView guid="{D16D941B-FC89-4FEC-A49B-5FA2532584DE}" scale="90" hiddenRows="1" state="hidden" topLeftCell="A2">
      <pane ySplit="4" topLeftCell="A6" activePane="bottomLeft" state="frozen"/>
      <selection pane="bottomLeft" activeCell="D15" sqref="D15"/>
      <pageMargins left="1.4173228346456694" right="0.23622047244094491" top="0.74803149606299213" bottom="0.74803149606299213" header="0.31496062992125984" footer="0.31496062992125984"/>
      <pageSetup paperSize="9" orientation="landscape" r:id="rId25"/>
      <headerFooter>
        <oddHeader>&amp;L&amp;"Calibri"&amp;10&amp;K000000OFFICIAL&amp;1#</oddHeader>
        <oddFooter>&amp;L&amp;1#&amp;"Calibri"&amp;10&amp;K000000OFFICIAL</oddFooter>
      </headerFooter>
    </customSheetView>
    <customSheetView guid="{C39AE06A-FC0A-4D7D-B287-2FA9CA174191}" scale="90" hiddenRows="1" state="hidden" topLeftCell="A2">
      <pane ySplit="4" topLeftCell="A6" activePane="bottomLeft" state="frozen"/>
      <selection pane="bottomLeft" activeCell="D15" sqref="D15"/>
      <pageMargins left="1.4173228346456694" right="0.23622047244094491" top="0.74803149606299213" bottom="0.74803149606299213" header="0.31496062992125984" footer="0.31496062992125984"/>
      <pageSetup paperSize="9" orientation="landscape" r:id="rId26"/>
      <headerFooter>
        <oddHeader>&amp;L&amp;"Calibri"&amp;10&amp;K000000OFFICIAL&amp;1#</oddHeader>
        <oddFooter>&amp;L&amp;1#&amp;"Calibri"&amp;10&amp;K000000OFFICIAL</oddFooter>
      </headerFooter>
    </customSheetView>
    <customSheetView guid="{4E6F9C2D-76F2-4884-BBF6-E02A7BAE11EF}" scale="90" hiddenRows="1" state="hidden" topLeftCell="A2">
      <pane ySplit="4" topLeftCell="A6" activePane="bottomLeft" state="frozen"/>
      <selection pane="bottomLeft" activeCell="D15" sqref="D15"/>
      <pageMargins left="1.4173228346456694" right="0.23622047244094491" top="0.74803149606299213" bottom="0.74803149606299213" header="0.31496062992125984" footer="0.31496062992125984"/>
      <pageSetup paperSize="9" orientation="landscape" r:id="rId27"/>
      <headerFooter>
        <oddHeader>&amp;L&amp;"Calibri"&amp;10&amp;K000000OFFICIAL&amp;1#</oddHeader>
        <oddFooter>&amp;L&amp;1#&amp;"Calibri"&amp;10&amp;K000000OFFICIAL</oddFooter>
      </headerFooter>
    </customSheetView>
    <customSheetView guid="{008CCD98-7480-4C51-806A-4B55C801DDC2}" scale="90" hiddenRows="1" state="hidden" topLeftCell="A2">
      <pane ySplit="5.6410256410256405" topLeftCell="A6" activePane="bottomLeft" state="frozen"/>
      <selection pane="bottomLeft" activeCell="D15" sqref="D15"/>
      <pageMargins left="1.4173228346456694" right="0.23622047244094491" top="0.74803149606299213" bottom="0.74803149606299213" header="0.31496062992125984" footer="0.31496062992125984"/>
      <pageSetup paperSize="9" orientation="landscape" r:id="rId28"/>
      <headerFooter>
        <oddHeader>&amp;L&amp;"Calibri"&amp;10&amp;K000000OFFICIAL&amp;1#</oddHeader>
        <oddFooter>&amp;L&amp;1#&amp;"Calibri"&amp;10&amp;K000000OFFICIAL</oddFooter>
      </headerFooter>
    </customSheetView>
    <customSheetView guid="{D27C51BB-BB54-4F37-8171-98067C39697C}" scale="90" hiddenRows="1" state="hidden" topLeftCell="A2">
      <pane ySplit="4" topLeftCell="A6" activePane="bottomLeft" state="frozen"/>
      <selection pane="bottomLeft" activeCell="D15" sqref="D15"/>
      <pageMargins left="1.4173228346456694" right="0.23622047244094491" top="0.74803149606299213" bottom="0.74803149606299213" header="0.31496062992125984" footer="0.31496062992125984"/>
      <pageSetup paperSize="9" orientation="landscape" r:id="rId29"/>
      <headerFooter>
        <oddHeader>&amp;L&amp;"Calibri"&amp;10&amp;K000000OFFICIAL&amp;1#</oddHeader>
        <oddFooter>&amp;L&amp;1#&amp;"Calibri"&amp;10&amp;K000000OFFICIAL</oddFooter>
      </headerFooter>
    </customSheetView>
    <customSheetView guid="{6702457D-A9A8-4F46-8E1C-BC7255F4BA77}" scale="90" hiddenRows="1" state="hidden" topLeftCell="A2">
      <pane ySplit="4" topLeftCell="A6" activePane="bottomLeft" state="frozen"/>
      <selection pane="bottomLeft" activeCell="D15" sqref="D15"/>
      <pageMargins left="1.4173228346456694" right="0.23622047244094491" top="0.74803149606299213" bottom="0.74803149606299213" header="0.31496062992125984" footer="0.31496062992125984"/>
      <pageSetup paperSize="9" orientation="landscape" r:id="rId30"/>
      <headerFooter>
        <oddHeader>&amp;L&amp;"Calibri"&amp;10&amp;K000000OFFICIAL&amp;1#</oddHeader>
        <oddFooter>&amp;L&amp;1#&amp;"Calibri"&amp;10&amp;K000000OFFICIAL</oddFooter>
      </headerFooter>
    </customSheetView>
    <customSheetView guid="{016CEBB2-C827-48F4-95E1-85D8C5129F41}" scale="90" hiddenRows="1" state="hidden" topLeftCell="A2">
      <pane ySplit="4" topLeftCell="A6" activePane="bottomLeft" state="frozen"/>
      <selection pane="bottomLeft" activeCell="D15" sqref="D15"/>
      <pageMargins left="1.4173228346456694" right="0.23622047244094491" top="0.74803149606299213" bottom="0.74803149606299213" header="0.31496062992125984" footer="0.31496062992125984"/>
      <pageSetup paperSize="9" orientation="landscape" r:id="rId31"/>
      <headerFooter>
        <oddHeader>&amp;L&amp;"Calibri"&amp;10&amp;K000000OFFICIAL&amp;1#</oddHeader>
        <oddFooter>&amp;L&amp;1#&amp;"Calibri"&amp;10&amp;K000000OFFICIAL</oddFooter>
      </headerFooter>
    </customSheetView>
    <customSheetView guid="{EB96DBE4-2D64-4388-853C-CB52A0CB79BA}" scale="90" hiddenRows="1" state="hidden" topLeftCell="A2">
      <pane ySplit="4" topLeftCell="A6" activePane="bottomLeft" state="frozen"/>
      <selection pane="bottomLeft" activeCell="D15" sqref="D15"/>
      <pageMargins left="1.4173228346456694" right="0.23622047244094491" top="0.74803149606299213" bottom="0.74803149606299213" header="0.31496062992125984" footer="0.31496062992125984"/>
      <pageSetup paperSize="9" orientation="landscape" r:id="rId32"/>
      <headerFooter>
        <oddHeader>&amp;L&amp;"Calibri"&amp;10&amp;K000000OFFICIAL&amp;1#</oddHeader>
        <oddFooter>&amp;L&amp;1#&amp;"Calibri"&amp;10&amp;K000000OFFICIAL</oddFooter>
      </headerFooter>
    </customSheetView>
    <customSheetView guid="{351EFD38-BF62-4E34-A37F-0EEB3E165043}" scale="90" hiddenRows="1" state="hidden" topLeftCell="A2">
      <pane ySplit="4" topLeftCell="A6" activePane="bottomLeft" state="frozen"/>
      <selection pane="bottomLeft" activeCell="D15" sqref="D15"/>
      <pageMargins left="1.4173228346456694" right="0.23622047244094491" top="0.74803149606299213" bottom="0.74803149606299213" header="0.31496062992125984" footer="0.31496062992125984"/>
      <pageSetup paperSize="9" orientation="landscape" r:id="rId33"/>
      <headerFooter>
        <oddHeader>&amp;L&amp;"Calibri"&amp;10&amp;K000000OFFICIAL&amp;1#</oddHeader>
        <oddFooter>&amp;L&amp;1#&amp;"Calibri"&amp;10&amp;K000000OFFICIAL</oddFooter>
      </headerFooter>
    </customSheetView>
    <customSheetView guid="{593284E7-E32C-4D6C-8C2F-3DEEF9DEE1DF}" scale="90" hiddenRows="1" state="hidden" topLeftCell="A2">
      <pane ySplit="4" topLeftCell="A6" activePane="bottomLeft" state="frozen"/>
      <selection pane="bottomLeft" activeCell="D15" sqref="D15"/>
      <pageMargins left="1.4173228346456694" right="0.23622047244094491" top="0.74803149606299213" bottom="0.74803149606299213" header="0.31496062992125984" footer="0.31496062992125984"/>
      <pageSetup paperSize="9" orientation="landscape" r:id="rId34"/>
      <headerFooter>
        <oddHeader>&amp;L&amp;"Calibri"&amp;10&amp;K000000OFFICIAL&amp;1#</oddHeader>
        <oddFooter>&amp;L&amp;1#&amp;"Calibri"&amp;10&amp;K000000OFFICIAL</oddFooter>
      </headerFooter>
    </customSheetView>
    <customSheetView guid="{E06B4FE8-6127-47B2-A6A5-4FAC9EEB4538}" scale="90" hiddenRows="1" state="hidden" topLeftCell="A2">
      <pane ySplit="4.8157894736842106" topLeftCell="A6" activePane="bottomLeft" state="frozen"/>
      <selection pane="bottomLeft" activeCell="D15" sqref="D15"/>
      <pageMargins left="1.4173228346456694" right="0.23622047244094491" top="0.74803149606299213" bottom="0.74803149606299213" header="0.31496062992125984" footer="0.31496062992125984"/>
      <pageSetup paperSize="9" orientation="landscape" r:id="rId35"/>
      <headerFooter>
        <oddHeader>&amp;L&amp;"Calibri"&amp;10&amp;K000000OFFICIAL&amp;1#</oddHeader>
        <oddFooter>&amp;L&amp;1#&amp;"Calibri"&amp;10&amp;K000000OFFICIAL</oddFooter>
      </headerFooter>
    </customSheetView>
    <customSheetView guid="{51B3083F-A103-41AB-A137-63549C54B838}" scale="90" hiddenRows="1" state="hidden" topLeftCell="A2">
      <pane ySplit="4" topLeftCell="A6" activePane="bottomLeft" state="frozen"/>
      <selection pane="bottomLeft" activeCell="D15" sqref="D15"/>
      <pageMargins left="1.4173228346456694" right="0.23622047244094491" top="0.74803149606299213" bottom="0.74803149606299213" header="0.31496062992125984" footer="0.31496062992125984"/>
      <pageSetup paperSize="9" orientation="landscape" r:id="rId36"/>
      <headerFooter>
        <oddHeader>&amp;L&amp;"Calibri"&amp;10&amp;K000000OFFICIAL&amp;1#</oddHeader>
        <oddFooter>&amp;L&amp;1#&amp;"Calibri"&amp;10&amp;K000000OFFICIAL</oddFooter>
      </headerFooter>
    </customSheetView>
    <customSheetView guid="{8CB67476-3FD4-42E0-ACD6-62ACA9412843}" scale="90" hiddenRows="1" state="hidden" topLeftCell="A2">
      <pane ySplit="4" topLeftCell="A6" activePane="bottomLeft" state="frozen"/>
      <selection pane="bottomLeft" activeCell="D15" sqref="D15"/>
      <pageMargins left="1.4173228346456694" right="0.23622047244094491" top="0.74803149606299213" bottom="0.74803149606299213" header="0.31496062992125984" footer="0.31496062992125984"/>
      <pageSetup paperSize="9" orientation="landscape" r:id="rId37"/>
      <headerFooter>
        <oddHeader>&amp;L&amp;"Calibri"&amp;10&amp;K000000OFFICIAL&amp;1#</oddHeader>
        <oddFooter>&amp;L&amp;1#&amp;"Calibri"&amp;10&amp;K000000OFFICIAL</oddFooter>
      </headerFooter>
    </customSheetView>
    <customSheetView guid="{151EB58C-4EFD-4330-8D1A-8AACF5F7C679}" scale="90" hiddenRows="1" state="hidden" topLeftCell="A2">
      <pane ySplit="4" topLeftCell="A6" activePane="bottomLeft" state="frozen"/>
      <selection pane="bottomLeft" activeCell="D15" sqref="D15"/>
      <pageMargins left="1.4173228346456694" right="0.23622047244094491" top="0.74803149606299213" bottom="0.74803149606299213" header="0.31496062992125984" footer="0.31496062992125984"/>
      <pageSetup paperSize="9" orientation="landscape" r:id="rId38"/>
      <headerFooter>
        <oddHeader>&amp;L&amp;"Calibri"&amp;10&amp;K000000OFFICIAL&amp;1#</oddHeader>
        <oddFooter>&amp;L&amp;1#&amp;"Calibri"&amp;10&amp;K000000OFFICIAL</oddFooter>
      </headerFooter>
    </customSheetView>
    <customSheetView guid="{8263C9D2-452D-46FA-AFA0-452B42DC0298}" scale="90" hiddenRows="1" state="hidden" topLeftCell="A2">
      <pane ySplit="4" topLeftCell="A6" activePane="bottomLeft" state="frozen"/>
      <selection pane="bottomLeft" activeCell="D15" sqref="D15"/>
      <pageMargins left="1.4173228346456694" right="0.23622047244094491" top="0.74803149606299213" bottom="0.74803149606299213" header="0.31496062992125984" footer="0.31496062992125984"/>
      <pageSetup paperSize="9" orientation="landscape" r:id="rId39"/>
      <headerFooter>
        <oddHeader>&amp;L&amp;"Calibri"&amp;10&amp;K000000OFFICIAL&amp;1#</oddHeader>
        <oddFooter>&amp;L&amp;1#&amp;"Calibri"&amp;10&amp;K000000OFFICIAL</oddFooter>
      </headerFooter>
    </customSheetView>
    <customSheetView guid="{DF265C7B-1EEB-47EB-982A-6938E81F7AC2}" scale="90" hiddenRows="1" state="hidden" topLeftCell="A2">
      <pane ySplit="4" topLeftCell="A6" activePane="bottomLeft" state="frozen"/>
      <selection pane="bottomLeft" activeCell="D15" sqref="D15"/>
      <pageMargins left="1.4173228346456694" right="0.23622047244094491" top="0.74803149606299213" bottom="0.74803149606299213" header="0.31496062992125984" footer="0.31496062992125984"/>
      <pageSetup paperSize="9" orientation="landscape" r:id="rId40"/>
      <headerFooter>
        <oddHeader>&amp;L&amp;"Calibri"&amp;10&amp;K000000OFFICIAL&amp;1#</oddHeader>
        <oddFooter>&amp;L&amp;1#&amp;"Calibri"&amp;10&amp;K000000OFFICIAL</oddFooter>
      </headerFooter>
    </customSheetView>
    <customSheetView guid="{9F91FBC4-6A13-42C2-A2D9-42A2AC814E28}" scale="90" hiddenRows="1" state="hidden" topLeftCell="A2">
      <pane ySplit="4" topLeftCell="A6" activePane="bottomLeft" state="frozen"/>
      <selection pane="bottomLeft" activeCell="D15" sqref="D15"/>
      <pageMargins left="1.4173228346456694" right="0.23622047244094491" top="0.74803149606299213" bottom="0.74803149606299213" header="0.31496062992125984" footer="0.31496062992125984"/>
      <pageSetup paperSize="9" orientation="landscape" r:id="rId41"/>
      <headerFooter>
        <oddHeader>&amp;L&amp;"Calibri"&amp;10&amp;K000000OFFICIAL&amp;1#</oddHeader>
        <oddFooter>&amp;L&amp;1#&amp;"Calibri"&amp;10&amp;K000000OFFICIAL</oddFooter>
      </headerFooter>
    </customSheetView>
    <customSheetView guid="{F4A6298C-1A75-4FA9-A6A4-2BE13CCFE545}" scale="90" hiddenRows="1" state="hidden" topLeftCell="A2">
      <pane ySplit="4" topLeftCell="A6" activePane="bottomLeft" state="frozen"/>
      <selection pane="bottomLeft" activeCell="D15" sqref="D15"/>
      <pageMargins left="1.4173228346456694" right="0.23622047244094491" top="0.74803149606299213" bottom="0.74803149606299213" header="0.31496062992125984" footer="0.31496062992125984"/>
      <pageSetup paperSize="9" orientation="landscape" r:id="rId42"/>
      <headerFooter>
        <oddHeader>&amp;L&amp;"Calibri"&amp;10&amp;K000000OFFICIAL&amp;1#</oddHeader>
        <oddFooter>&amp;L&amp;1#&amp;"Calibri"&amp;10&amp;K000000OFFICIAL</oddFooter>
      </headerFooter>
    </customSheetView>
    <customSheetView guid="{29AC9BE3-332A-4738-949C-1F8C0D32BAEE}" scale="90" hiddenRows="1" state="hidden" topLeftCell="A2">
      <pane ySplit="4" topLeftCell="A6" activePane="bottomLeft" state="frozen"/>
      <selection pane="bottomLeft" activeCell="D15" sqref="D15"/>
      <pageMargins left="1.4173228346456694" right="0.23622047244094491" top="0.74803149606299213" bottom="0.74803149606299213" header="0.31496062992125984" footer="0.31496062992125984"/>
      <pageSetup paperSize="9" orientation="landscape" r:id="rId43"/>
      <headerFooter>
        <oddHeader>&amp;L&amp;"Calibri"&amp;10&amp;K000000OFFICIAL&amp;1#</oddHeader>
        <oddFooter>&amp;L&amp;1#&amp;"Calibri"&amp;10&amp;K000000OFFICIAL</oddFooter>
      </headerFooter>
    </customSheetView>
    <customSheetView guid="{75EE3B92-AF4D-4E93-A70E-6ADE60CC674F}" scale="90" hiddenRows="1" state="hidden" topLeftCell="A2">
      <pane ySplit="3" topLeftCell="A6" activePane="bottomLeft" state="frozen"/>
      <selection pane="bottomLeft" activeCell="D15" sqref="D15"/>
      <pageMargins left="1.4173228346456694" right="0.23622047244094491" top="0.74803149606299213" bottom="0.74803149606299213" header="0.31496062992125984" footer="0.31496062992125984"/>
      <pageSetup paperSize="9" orientation="landscape" r:id="rId44"/>
      <headerFooter>
        <oddHeader>&amp;L&amp;"Calibri"&amp;10&amp;K000000OFFICIAL&amp;1#</oddHeader>
        <oddFooter>&amp;L&amp;1#&amp;"Calibri"&amp;10&amp;K000000OFFICIAL</oddFooter>
      </headerFooter>
    </customSheetView>
    <customSheetView guid="{CA7E8063-5145-49E1-8E00-2E1025705A81}" scale="90" hiddenRows="1" state="hidden" topLeftCell="A2">
      <pane ySplit="4" topLeftCell="A6" activePane="bottomLeft" state="frozen"/>
      <selection pane="bottomLeft" activeCell="D15" sqref="D15"/>
      <pageMargins left="1.4173228346456694" right="0.23622047244094491" top="0.74803149606299213" bottom="0.74803149606299213" header="0.31496062992125984" footer="0.31496062992125984"/>
      <pageSetup paperSize="9" orientation="landscape" r:id="rId45"/>
      <headerFooter>
        <oddHeader>&amp;L&amp;"Calibri"&amp;10&amp;K000000OFFICIAL&amp;1#</oddHeader>
        <oddFooter>&amp;L&amp;1#&amp;"Calibri"&amp;10&amp;K000000OFFICIAL</oddFooter>
      </headerFooter>
    </customSheetView>
    <customSheetView guid="{51DFD3D6-BC25-47B4-B28F-D640534DB3A9}" scale="90" hiddenRows="1" state="hidden" topLeftCell="A2">
      <pane ySplit="4" topLeftCell="A6" activePane="bottomLeft" state="frozen"/>
      <selection pane="bottomLeft" activeCell="D15" sqref="D15"/>
      <pageMargins left="1.4173228346456694" right="0.23622047244094491" top="0.74803149606299213" bottom="0.74803149606299213" header="0.31496062992125984" footer="0.31496062992125984"/>
      <pageSetup paperSize="9" orientation="landscape" r:id="rId46"/>
      <headerFooter>
        <oddHeader>&amp;L&amp;"Calibri"&amp;10&amp;K000000OFFICIAL&amp;1#</oddHeader>
        <oddFooter>&amp;L&amp;1#&amp;"Calibri"&amp;10&amp;K000000OFFICIAL</oddFooter>
      </headerFooter>
    </customSheetView>
    <customSheetView guid="{37F5A0AB-EB39-4832-9D67-F67D908BF486}" scale="90" hiddenRows="1" state="hidden" topLeftCell="A2">
      <pane ySplit="4" topLeftCell="A6" activePane="bottomLeft" state="frozen"/>
      <selection pane="bottomLeft" activeCell="D15" sqref="D15"/>
      <pageMargins left="1.4173228346456694" right="0.23622047244094491" top="0.74803149606299213" bottom="0.74803149606299213" header="0.31496062992125984" footer="0.31496062992125984"/>
      <pageSetup paperSize="9" orientation="landscape" r:id="rId47"/>
      <headerFooter>
        <oddHeader>&amp;L&amp;"Calibri"&amp;10&amp;K000000OFFICIAL&amp;1#</oddHeader>
        <oddFooter>&amp;L&amp;1#&amp;"Calibri"&amp;10&amp;K000000OFFICIAL</oddFooter>
      </headerFooter>
    </customSheetView>
    <customSheetView guid="{70582C04-BB53-4A99-A3C1-673011D9AE1C}" scale="90" hiddenRows="1" state="hidden" topLeftCell="A2">
      <pane ySplit="4" topLeftCell="A6" activePane="bottomLeft" state="frozen"/>
      <selection pane="bottomLeft" activeCell="D15" sqref="D15"/>
      <pageMargins left="1.4173228346456694" right="0.23622047244094491" top="0.74803149606299213" bottom="0.74803149606299213" header="0.31496062992125984" footer="0.31496062992125984"/>
      <pageSetup paperSize="9" orientation="landscape" r:id="rId48"/>
      <headerFooter>
        <oddHeader>&amp;L&amp;"Calibri"&amp;10&amp;K000000OFFICIAL&amp;1#</oddHeader>
        <oddFooter>&amp;L&amp;1#&amp;"Calibri"&amp;10&amp;K000000OFFICIAL</oddFooter>
      </headerFooter>
    </customSheetView>
    <customSheetView guid="{442F9A23-CA6E-4109-B10C-ACF5FD36B859}" scale="90" hiddenRows="1" state="hidden" topLeftCell="A2">
      <pane ySplit="4" topLeftCell="A6" activePane="bottomLeft" state="frozen"/>
      <selection pane="bottomLeft" activeCell="D15" sqref="D15"/>
      <pageMargins left="1.4173228346456694" right="0.23622047244094491" top="0.74803149606299213" bottom="0.74803149606299213" header="0.31496062992125984" footer="0.31496062992125984"/>
      <pageSetup paperSize="9" orientation="landscape" r:id="rId49"/>
      <headerFooter>
        <oddHeader>&amp;L&amp;"Calibri"&amp;10&amp;K000000OFFICIAL&amp;1#</oddHeader>
        <oddFooter>&amp;L&amp;1#&amp;"Calibri"&amp;10&amp;K000000OFFICIAL</oddFooter>
      </headerFooter>
    </customSheetView>
    <customSheetView guid="{E4713981-DD11-40CE-BE52-873D93BDDE05}" scale="90" hiddenRows="1" state="hidden" topLeftCell="A2">
      <pane ySplit="4" topLeftCell="A6" activePane="bottomLeft" state="frozen"/>
      <selection pane="bottomLeft" activeCell="D15" sqref="D15"/>
      <pageMargins left="1.4173228346456694" right="0.23622047244094491" top="0.74803149606299213" bottom="0.74803149606299213" header="0.31496062992125984" footer="0.31496062992125984"/>
      <pageSetup paperSize="9" orientation="landscape" r:id="rId50"/>
      <headerFooter>
        <oddHeader>&amp;L&amp;"Calibri"&amp;10&amp;K000000OFFICIAL&amp;1#</oddHeader>
        <oddFooter>&amp;L&amp;1#&amp;"Calibri"&amp;10&amp;K000000OFFICIAL</oddFooter>
      </headerFooter>
    </customSheetView>
    <customSheetView guid="{83044EFE-7F92-4F81-B034-85D9567158C2}" scale="90" hiddenRows="1" state="hidden" topLeftCell="A2">
      <pane ySplit="4" topLeftCell="A6" activePane="bottomLeft" state="frozen"/>
      <selection pane="bottomLeft" activeCell="D15" sqref="D15"/>
      <pageMargins left="1.4173228346456694" right="0.23622047244094491" top="0.74803149606299213" bottom="0.74803149606299213" header="0.31496062992125984" footer="0.31496062992125984"/>
      <pageSetup paperSize="9" orientation="landscape" r:id="rId51"/>
      <headerFooter>
        <oddHeader>&amp;L&amp;"Calibri"&amp;10&amp;K000000OFFICIAL&amp;1#</oddHeader>
        <oddFooter>&amp;L&amp;1#&amp;"Calibri"&amp;10&amp;K000000OFFICIAL</oddFooter>
      </headerFooter>
    </customSheetView>
    <customSheetView guid="{E3A3AE56-8881-4A6F-9299-803C489AD1B4}" scale="90" hiddenRows="1" state="hidden" topLeftCell="A2">
      <pane ySplit="4" topLeftCell="A6" activePane="bottomLeft" state="frozen"/>
      <selection pane="bottomLeft" activeCell="D15" sqref="D15"/>
      <pageMargins left="1.4173228346456694" right="0.23622047244094491" top="0.74803149606299213" bottom="0.74803149606299213" header="0.31496062992125984" footer="0.31496062992125984"/>
      <pageSetup paperSize="9" orientation="landscape" r:id="rId52"/>
      <headerFooter>
        <oddHeader>&amp;L&amp;"Calibri"&amp;10&amp;K000000OFFICIAL&amp;1#</oddHeader>
        <oddFooter>&amp;L&amp;1#&amp;"Calibri"&amp;10&amp;K000000OFFICIAL</oddFooter>
      </headerFooter>
    </customSheetView>
    <customSheetView guid="{FBC63E8F-69FE-4648-B709-FA1212EFFB29}" scale="90" hiddenRows="1" state="hidden" topLeftCell="A2">
      <pane ySplit="4" topLeftCell="A6" activePane="bottomLeft" state="frozen"/>
      <selection pane="bottomLeft" activeCell="D15" sqref="D15"/>
      <pageMargins left="1.4173228346456694" right="0.23622047244094491" top="0.74803149606299213" bottom="0.74803149606299213" header="0.31496062992125984" footer="0.31496062992125984"/>
      <pageSetup paperSize="9" orientation="landscape" r:id="rId53"/>
      <headerFooter>
        <oddHeader>&amp;L&amp;"Calibri"&amp;10&amp;K000000OFFICIAL&amp;1#</oddHeader>
        <oddFooter>&amp;L&amp;1#&amp;"Calibri"&amp;10&amp;K000000OFFICIAL</oddFooter>
      </headerFooter>
    </customSheetView>
    <customSheetView guid="{0EDA65D2-43FB-421C-9D8C-D8082C64B09A}" scale="90" hiddenRows="1" state="hidden" topLeftCell="A2">
      <pane ySplit="4" topLeftCell="A6" activePane="bottomLeft" state="frozen"/>
      <selection pane="bottomLeft" activeCell="D15" sqref="D15"/>
      <pageMargins left="1.4173228346456694" right="0.23622047244094491" top="0.74803149606299213" bottom="0.74803149606299213" header="0.31496062992125984" footer="0.31496062992125984"/>
      <pageSetup paperSize="9" orientation="landscape" r:id="rId54"/>
      <headerFooter>
        <oddHeader>&amp;L&amp;"Calibri"&amp;10&amp;K000000OFFICIAL&amp;1#</oddHeader>
        <oddFooter>&amp;L&amp;1#&amp;"Calibri"&amp;10&amp;K000000OFFICIAL</oddFooter>
      </headerFooter>
    </customSheetView>
    <customSheetView guid="{B434A8A8-5A4C-48C0-82E7-2458B9D2EEEF}" scale="90" hiddenRows="1" state="hidden" topLeftCell="A2">
      <pane ySplit="4" topLeftCell="A6" activePane="bottomLeft" state="frozen"/>
      <selection pane="bottomLeft" activeCell="D15" sqref="D15"/>
      <pageMargins left="1.4173228346456694" right="0.23622047244094491" top="0.74803149606299213" bottom="0.74803149606299213" header="0.31496062992125984" footer="0.31496062992125984"/>
      <pageSetup paperSize="9" orientation="landscape" r:id="rId55"/>
      <headerFooter>
        <oddHeader>&amp;L&amp;"Calibri"&amp;10&amp;K000000OFFICIAL&amp;1#</oddHeader>
        <oddFooter>&amp;L&amp;1#&amp;"Calibri"&amp;10&amp;K000000OFFICIAL</oddFooter>
      </headerFooter>
    </customSheetView>
    <customSheetView guid="{EDD5A64E-02C0-4DD6-80BA-449123FCDAA2}" scale="90" hiddenRows="1" state="hidden" topLeftCell="A2">
      <pane ySplit="4" topLeftCell="A6" activePane="bottomLeft" state="frozen"/>
      <selection pane="bottomLeft" activeCell="D15" sqref="D15"/>
      <pageMargins left="1.4173228346456694" right="0.23622047244094491" top="0.74803149606299213" bottom="0.74803149606299213" header="0.31496062992125984" footer="0.31496062992125984"/>
      <pageSetup paperSize="9" orientation="landscape" r:id="rId56"/>
      <headerFooter>
        <oddHeader>&amp;L&amp;"Calibri"&amp;10&amp;K000000OFFICIAL&amp;1#</oddHeader>
        <oddFooter>&amp;L&amp;1#&amp;"Calibri"&amp;10&amp;K000000OFFICIAL</oddFooter>
      </headerFooter>
    </customSheetView>
    <customSheetView guid="{97D58294-343B-4B62-A826-0DDDE29B5F0D}" scale="90" hiddenRows="1" state="hidden" topLeftCell="A2">
      <pane ySplit="4" topLeftCell="A6" activePane="bottomLeft" state="frozen"/>
      <selection pane="bottomLeft" activeCell="D15" sqref="D15"/>
      <pageMargins left="1.4173228346456694" right="0.23622047244094491" top="0.74803149606299213" bottom="0.74803149606299213" header="0.31496062992125984" footer="0.31496062992125984"/>
      <pageSetup paperSize="9" orientation="landscape" r:id="rId57"/>
      <headerFooter>
        <oddHeader>&amp;L&amp;"Calibri"&amp;10&amp;K000000OFFICIAL&amp;1#</oddHeader>
        <oddFooter>&amp;L&amp;1#&amp;"Calibri"&amp;10&amp;K000000OFFICIAL</oddFooter>
      </headerFooter>
    </customSheetView>
    <customSheetView guid="{800416AC-1374-44AC-811C-612C85EF24E6}" scale="90" hiddenRows="1" state="hidden" topLeftCell="A2">
      <pane ySplit="4" topLeftCell="A6" activePane="bottomLeft" state="frozen"/>
      <selection pane="bottomLeft" activeCell="D15" sqref="D15"/>
      <pageMargins left="1.4173228346456694" right="0.23622047244094491" top="0.74803149606299213" bottom="0.74803149606299213" header="0.31496062992125984" footer="0.31496062992125984"/>
      <pageSetup paperSize="9" orientation="landscape" r:id="rId58"/>
      <headerFooter>
        <oddHeader>&amp;L&amp;"Calibri"&amp;10&amp;K000000OFFICIAL&amp;1#</oddHeader>
        <oddFooter>&amp;L&amp;1#&amp;"Calibri"&amp;10&amp;K000000OFFICIAL</oddFooter>
      </headerFooter>
    </customSheetView>
    <customSheetView guid="{2EA8DBF7-9763-457C-AA9F-1EEB2F136D1F}" scale="90" hiddenRows="1" state="hidden" topLeftCell="A2">
      <pane ySplit="4" topLeftCell="A6" activePane="bottomLeft" state="frozen"/>
      <selection pane="bottomLeft" activeCell="D15" sqref="D15"/>
      <pageMargins left="1.4173228346456694" right="0.23622047244094491" top="0.74803149606299213" bottom="0.74803149606299213" header="0.31496062992125984" footer="0.31496062992125984"/>
      <pageSetup paperSize="9" orientation="landscape" r:id="rId59"/>
      <headerFooter>
        <oddHeader>&amp;L&amp;"Calibri"&amp;10&amp;K000000OFFICIAL&amp;1#</oddHeader>
        <oddFooter>&amp;L&amp;1#&amp;"Calibri"&amp;10&amp;K000000OFFICIAL</oddFooter>
      </headerFooter>
    </customSheetView>
    <customSheetView guid="{78AA4A71-CE17-4C4D-849E-E3E1A44EA907}" scale="90" hiddenRows="1" state="hidden" topLeftCell="A2">
      <pane ySplit="4" topLeftCell="A6" activePane="bottomLeft" state="frozen"/>
      <selection pane="bottomLeft" activeCell="D15" sqref="D15"/>
      <pageMargins left="1.4173228346456694" right="0.23622047244094491" top="0.74803149606299213" bottom="0.74803149606299213" header="0.31496062992125984" footer="0.31496062992125984"/>
      <pageSetup paperSize="9" orientation="landscape" r:id="rId60"/>
      <headerFooter>
        <oddHeader>&amp;L&amp;"Calibri"&amp;10&amp;K000000OFFICIAL&amp;1#</oddHeader>
        <oddFooter>&amp;L&amp;1#&amp;"Calibri"&amp;10&amp;K000000OFFICIAL</oddFooter>
      </headerFooter>
    </customSheetView>
    <customSheetView guid="{C7C13768-4A8D-4CBA-978C-F4A7B5550C00}" scale="90" hiddenRows="1" state="hidden" topLeftCell="A2">
      <pane ySplit="4" topLeftCell="A6" activePane="bottomLeft" state="frozen"/>
      <selection pane="bottomLeft" activeCell="D15" sqref="D15"/>
      <pageMargins left="1.4173228346456694" right="0.23622047244094491" top="0.74803149606299213" bottom="0.74803149606299213" header="0.31496062992125984" footer="0.31496062992125984"/>
      <pageSetup paperSize="9" orientation="landscape" r:id="rId61"/>
      <headerFooter>
        <oddHeader>&amp;L&amp;"Calibri"&amp;10&amp;K000000OFFICIAL&amp;1#</oddHeader>
        <oddFooter>&amp;L&amp;1#&amp;"Calibri"&amp;10&amp;K000000OFFICIAL</oddFooter>
      </headerFooter>
    </customSheetView>
    <customSheetView guid="{D59DDBAA-620D-43B7-A6D9-759808D3397A}" scale="90" hiddenRows="1" state="hidden" topLeftCell="A2">
      <pane ySplit="4" topLeftCell="A6" activePane="bottomLeft" state="frozen"/>
      <selection pane="bottomLeft" activeCell="D15" sqref="D15"/>
      <pageMargins left="1.4173228346456694" right="0.23622047244094491" top="0.74803149606299213" bottom="0.74803149606299213" header="0.31496062992125984" footer="0.31496062992125984"/>
      <pageSetup paperSize="9" orientation="landscape" r:id="rId62"/>
      <headerFooter>
        <oddHeader>&amp;L&amp;"Calibri"&amp;10&amp;K000000OFFICIAL&amp;1#</oddHeader>
        <oddFooter>&amp;L&amp;1#&amp;"Calibri"&amp;10&amp;K000000OFFICIAL</oddFooter>
      </headerFooter>
    </customSheetView>
  </customSheetViews>
  <mergeCells count="10">
    <mergeCell ref="J3:K5"/>
    <mergeCell ref="B7:K7"/>
    <mergeCell ref="D4:E5"/>
    <mergeCell ref="F4:G5"/>
    <mergeCell ref="B3:B5"/>
    <mergeCell ref="C3:C5"/>
    <mergeCell ref="D3:E3"/>
    <mergeCell ref="F3:I3"/>
    <mergeCell ref="I4:I5"/>
    <mergeCell ref="H4:H5"/>
  </mergeCells>
  <conditionalFormatting sqref="D9:D18">
    <cfRule type="cellIs" dxfId="491" priority="21" operator="equal">
      <formula>"n/a"</formula>
    </cfRule>
    <cfRule type="cellIs" dxfId="490" priority="22" operator="equal">
      <formula>"G"</formula>
    </cfRule>
    <cfRule type="cellIs" dxfId="489" priority="23" operator="equal">
      <formula>"A"</formula>
    </cfRule>
    <cfRule type="cellIs" dxfId="488" priority="24" operator="equal">
      <formula>"R"</formula>
    </cfRule>
  </conditionalFormatting>
  <conditionalFormatting sqref="E9:E18 G9:G18 K9:K18">
    <cfRule type="iconSet" priority="1">
      <iconSet iconSet="3ArrowsGray" showValue="0">
        <cfvo type="percent" val="0"/>
        <cfvo type="num" val="0"/>
        <cfvo type="num" val="1"/>
      </iconSet>
    </cfRule>
  </conditionalFormatting>
  <conditionalFormatting sqref="F9:F18">
    <cfRule type="cellIs" dxfId="487" priority="11" operator="equal">
      <formula>""""""</formula>
    </cfRule>
    <cfRule type="cellIs" dxfId="486" priority="12" operator="equal">
      <formula>"n/a"</formula>
    </cfRule>
    <cfRule type="cellIs" dxfId="485" priority="13" operator="equal">
      <formula>"G"</formula>
    </cfRule>
    <cfRule type="cellIs" dxfId="484" priority="14" operator="equal">
      <formula>"A"</formula>
    </cfRule>
    <cfRule type="cellIs" dxfId="483" priority="15" operator="equal">
      <formula>"R"</formula>
    </cfRule>
  </conditionalFormatting>
  <conditionalFormatting sqref="H9:I18">
    <cfRule type="cellIs" dxfId="482" priority="103" stopIfTrue="1" operator="greaterThanOrEqual">
      <formula>1</formula>
    </cfRule>
    <cfRule type="cellIs" dxfId="481" priority="104" stopIfTrue="1" operator="lessThan">
      <formula>0.95</formula>
    </cfRule>
    <cfRule type="cellIs" dxfId="480" priority="105" operator="lessThan">
      <formula>1</formula>
    </cfRule>
  </conditionalFormatting>
  <conditionalFormatting sqref="J9:J18">
    <cfRule type="cellIs" dxfId="479" priority="16" operator="equal">
      <formula>""""""</formula>
    </cfRule>
    <cfRule type="cellIs" dxfId="478" priority="17" operator="equal">
      <formula>"n/a"</formula>
    </cfRule>
    <cfRule type="cellIs" dxfId="477" priority="18" operator="equal">
      <formula>"G"</formula>
    </cfRule>
    <cfRule type="cellIs" dxfId="476" priority="19" operator="equal">
      <formula>"A"</formula>
    </cfRule>
    <cfRule type="cellIs" dxfId="475" priority="20" operator="equal">
      <formula>"R"</formula>
    </cfRule>
  </conditionalFormatting>
  <dataValidations count="1">
    <dataValidation type="list" allowBlank="1" showInputMessage="1" showErrorMessage="1" sqref="J9:J18 D9:D18 F9:F18" xr:uid="{D4418151-A563-4CFF-B053-CFEB3D3635C3}">
      <formula1>"G, A, R, n/a"</formula1>
    </dataValidation>
  </dataValidations>
  <pageMargins left="1.4173228346456694" right="0.23622047244094491" top="0.74803149606299213" bottom="0.74803149606299213" header="0.31496062992125984" footer="0.31496062992125984"/>
  <pageSetup paperSize="9" orientation="landscape" r:id="rId63"/>
  <headerFooter>
    <oddHeader>&amp;L&amp;"Calibri"&amp;10&amp;K000000OFFICIAL&amp;1#</oddHeader>
    <oddFooter>&amp;L&amp;1#&amp;"Calibri"&amp;10&amp;K000000OFFICIAL</oddFooter>
  </headerFooter>
  <ignoredErrors>
    <ignoredError sqref="D9:D12 F9:F12 J9:J12 D14:D18 F14:F18 J14:J18" unlockedFormula="1"/>
  </ignoredErrors>
  <drawing r:id="rId64"/>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688DB6-44D7-4DCF-B04E-EA475C207960}">
  <sheetPr codeName="Sheet14"/>
  <dimension ref="A1:BI318"/>
  <sheetViews>
    <sheetView topLeftCell="B12" zoomScale="70" zoomScaleNormal="70" workbookViewId="0">
      <selection activeCell="B46" sqref="B46:AK46"/>
    </sheetView>
  </sheetViews>
  <sheetFormatPr defaultColWidth="8.453125" defaultRowHeight="14.5" x14ac:dyDescent="0.35"/>
  <cols>
    <col min="1" max="1" width="0.453125" style="467" customWidth="1"/>
    <col min="2" max="2" width="28.81640625" style="475" customWidth="1"/>
    <col min="3" max="3" width="0.81640625" style="475" customWidth="1"/>
    <col min="4" max="4" width="5.453125" style="475" customWidth="1"/>
    <col min="5" max="5" width="5.453125" style="636" customWidth="1"/>
    <col min="6" max="6" width="0.453125" style="475" customWidth="1"/>
    <col min="7" max="9" width="8.453125" style="475" customWidth="1"/>
    <col min="10" max="11" width="9.453125" style="475" customWidth="1"/>
    <col min="12" max="12" width="0.453125" style="475" customWidth="1"/>
    <col min="13" max="14" width="8.453125" style="475" customWidth="1"/>
    <col min="15" max="15" width="0.81640625" style="475" customWidth="1"/>
    <col min="16" max="17" width="5.453125" style="475" customWidth="1"/>
    <col min="18" max="18" width="0.453125" style="475" customWidth="1"/>
    <col min="19" max="19" width="8.453125" style="475" customWidth="1"/>
    <col min="20" max="20" width="0.453125" style="475" customWidth="1"/>
    <col min="21" max="23" width="8.453125" style="475" customWidth="1"/>
    <col min="24" max="24" width="0.453125" style="475" customWidth="1"/>
    <col min="25" max="26" width="9.453125" style="475" customWidth="1"/>
    <col min="27" max="27" width="8.453125" style="475" customWidth="1"/>
    <col min="28" max="28" width="0.453125" style="475" customWidth="1"/>
    <col min="29" max="31" width="9.453125" style="623" customWidth="1"/>
    <col min="32" max="33" width="8.453125" style="623" customWidth="1"/>
    <col min="34" max="35" width="7.453125" style="623" customWidth="1"/>
    <col min="36" max="36" width="0.81640625" style="623" customWidth="1"/>
    <col min="37" max="37" width="5.453125" style="475" customWidth="1"/>
    <col min="38" max="38" width="0.54296875" style="475" customWidth="1"/>
    <col min="39" max="39" width="9.453125" style="475" customWidth="1"/>
    <col min="40" max="41" width="8.54296875" style="475" customWidth="1"/>
    <col min="42" max="42" width="8.453125" style="475"/>
    <col min="43" max="44" width="8.453125" style="623"/>
    <col min="45" max="45" width="0.453125" style="623" customWidth="1"/>
    <col min="46" max="46" width="8.453125" style="623"/>
    <col min="47" max="47" width="0.81640625" style="475" customWidth="1"/>
    <col min="48" max="48" width="8.453125" style="623"/>
    <col min="49" max="49" width="0.453125" style="623" customWidth="1"/>
    <col min="50" max="50" width="8.453125" style="623"/>
    <col min="51" max="51" width="8.453125" style="475"/>
    <col min="52" max="52" width="11.1796875" style="623" customWidth="1"/>
    <col min="53" max="53" width="10.81640625" style="470" customWidth="1"/>
    <col min="54" max="54" width="8.453125" style="475"/>
    <col min="55" max="57" width="11.1796875" style="623" customWidth="1"/>
    <col min="58" max="58" width="10.81640625" style="470" customWidth="1"/>
    <col min="59" max="16384" width="8.453125" style="475"/>
  </cols>
  <sheetData>
    <row r="1" spans="1:58" ht="11.5" x14ac:dyDescent="0.35">
      <c r="B1" s="476">
        <v>1</v>
      </c>
      <c r="C1" s="476">
        <v>2</v>
      </c>
      <c r="D1" s="476">
        <v>3</v>
      </c>
      <c r="E1" s="476">
        <v>4</v>
      </c>
      <c r="F1" s="476">
        <v>5</v>
      </c>
      <c r="G1" s="476">
        <v>6</v>
      </c>
      <c r="H1" s="476">
        <v>7</v>
      </c>
      <c r="I1" s="476">
        <v>8</v>
      </c>
      <c r="J1" s="476">
        <v>9</v>
      </c>
      <c r="K1" s="476">
        <v>10</v>
      </c>
      <c r="L1" s="476">
        <v>11</v>
      </c>
      <c r="M1" s="476">
        <v>12</v>
      </c>
      <c r="N1" s="476">
        <v>13</v>
      </c>
      <c r="O1" s="476">
        <v>14</v>
      </c>
      <c r="P1" s="476">
        <v>15</v>
      </c>
      <c r="Q1" s="476">
        <v>16</v>
      </c>
      <c r="R1" s="476">
        <v>17</v>
      </c>
      <c r="S1" s="476">
        <v>18</v>
      </c>
      <c r="T1" s="476">
        <v>19</v>
      </c>
      <c r="U1" s="476">
        <v>20</v>
      </c>
      <c r="V1" s="476">
        <v>21</v>
      </c>
      <c r="W1" s="476">
        <v>22</v>
      </c>
      <c r="X1" s="476">
        <v>23</v>
      </c>
      <c r="Y1" s="476">
        <v>24</v>
      </c>
      <c r="Z1" s="476">
        <v>25</v>
      </c>
      <c r="AA1" s="476">
        <v>26</v>
      </c>
      <c r="AB1" s="476">
        <v>27</v>
      </c>
      <c r="AC1" s="476">
        <v>28</v>
      </c>
      <c r="AD1" s="476">
        <v>29</v>
      </c>
      <c r="AE1" s="476">
        <v>30</v>
      </c>
      <c r="AF1" s="476">
        <v>31</v>
      </c>
      <c r="AG1" s="476">
        <v>32</v>
      </c>
      <c r="AH1" s="476">
        <v>33</v>
      </c>
      <c r="AI1" s="476">
        <v>34</v>
      </c>
      <c r="AJ1" s="476">
        <v>35</v>
      </c>
      <c r="AK1" s="476">
        <v>36</v>
      </c>
    </row>
    <row r="2" spans="1:58" ht="23.25" customHeight="1" x14ac:dyDescent="0.35">
      <c r="B2" s="803" t="s">
        <v>0</v>
      </c>
      <c r="D2" s="660" t="s">
        <v>47</v>
      </c>
      <c r="E2" s="660"/>
      <c r="F2" s="660"/>
      <c r="G2" s="660"/>
      <c r="H2" s="660"/>
      <c r="I2" s="660"/>
      <c r="J2" s="660"/>
      <c r="K2" s="660"/>
      <c r="L2" s="660"/>
      <c r="M2" s="660"/>
      <c r="N2" s="660"/>
      <c r="P2" s="670" t="s">
        <v>69</v>
      </c>
      <c r="Q2" s="670"/>
      <c r="R2" s="670"/>
      <c r="S2" s="670"/>
      <c r="T2" s="670"/>
      <c r="U2" s="670"/>
      <c r="V2" s="670"/>
      <c r="W2" s="670"/>
      <c r="X2" s="670"/>
      <c r="Y2" s="670"/>
      <c r="Z2" s="670"/>
      <c r="AA2" s="670"/>
      <c r="AB2" s="670"/>
      <c r="AC2" s="670"/>
      <c r="AD2" s="670"/>
      <c r="AE2" s="670"/>
      <c r="AF2" s="670"/>
      <c r="AG2" s="670"/>
      <c r="AH2" s="670"/>
      <c r="AI2" s="670"/>
      <c r="AK2" s="674" t="s">
        <v>70</v>
      </c>
      <c r="AM2" s="606"/>
      <c r="AN2" s="606"/>
      <c r="AO2" s="606"/>
      <c r="AQ2" s="785" t="s">
        <v>135</v>
      </c>
      <c r="AR2" s="786"/>
      <c r="AS2" s="786"/>
      <c r="AT2" s="787"/>
      <c r="AV2" s="785" t="s">
        <v>136</v>
      </c>
      <c r="AW2" s="786"/>
      <c r="AX2" s="787"/>
      <c r="AZ2" s="790" t="s">
        <v>137</v>
      </c>
      <c r="BA2" s="791"/>
      <c r="BC2" s="790" t="s">
        <v>147</v>
      </c>
      <c r="BD2" s="794"/>
      <c r="BE2" s="794"/>
      <c r="BF2" s="791"/>
    </row>
    <row r="3" spans="1:58" ht="23.25" customHeight="1" x14ac:dyDescent="0.35">
      <c r="B3" s="803"/>
      <c r="C3" s="623"/>
      <c r="D3" s="683" t="s">
        <v>382</v>
      </c>
      <c r="E3" s="684"/>
      <c r="F3" s="477"/>
      <c r="G3" s="676" t="s">
        <v>48</v>
      </c>
      <c r="H3" s="719"/>
      <c r="I3" s="719"/>
      <c r="J3" s="719"/>
      <c r="K3" s="719"/>
      <c r="L3" s="623"/>
      <c r="M3" s="796" t="s">
        <v>30</v>
      </c>
      <c r="N3" s="678"/>
      <c r="O3" s="623"/>
      <c r="P3" s="683" t="s">
        <v>71</v>
      </c>
      <c r="Q3" s="684"/>
      <c r="R3" s="478"/>
      <c r="S3" s="730" t="s">
        <v>72</v>
      </c>
      <c r="T3" s="478"/>
      <c r="U3" s="679" t="s">
        <v>33</v>
      </c>
      <c r="V3" s="796"/>
      <c r="W3" s="796"/>
      <c r="X3" s="796"/>
      <c r="Y3" s="796"/>
      <c r="Z3" s="796"/>
      <c r="AA3" s="678"/>
      <c r="AB3" s="479"/>
      <c r="AC3" s="676" t="s">
        <v>217</v>
      </c>
      <c r="AD3" s="719"/>
      <c r="AE3" s="719"/>
      <c r="AF3" s="719"/>
      <c r="AG3" s="719"/>
      <c r="AH3" s="719"/>
      <c r="AI3" s="719"/>
      <c r="AJ3" s="480"/>
      <c r="AK3" s="674"/>
      <c r="AM3" s="730" t="s">
        <v>478</v>
      </c>
      <c r="AN3" s="730" t="s">
        <v>479</v>
      </c>
      <c r="AO3" s="730" t="s">
        <v>480</v>
      </c>
      <c r="AQ3" s="783"/>
      <c r="AR3" s="788"/>
      <c r="AS3" s="788"/>
      <c r="AT3" s="789"/>
      <c r="AV3" s="783"/>
      <c r="AW3" s="788"/>
      <c r="AX3" s="789"/>
      <c r="AZ3" s="792"/>
      <c r="BA3" s="793"/>
      <c r="BC3" s="792"/>
      <c r="BD3" s="795"/>
      <c r="BE3" s="795"/>
      <c r="BF3" s="793"/>
    </row>
    <row r="4" spans="1:58" ht="23.25" customHeight="1" x14ac:dyDescent="0.35">
      <c r="B4" s="803"/>
      <c r="C4" s="623"/>
      <c r="D4" s="668"/>
      <c r="E4" s="669"/>
      <c r="F4" s="478"/>
      <c r="G4" s="672" t="s">
        <v>142</v>
      </c>
      <c r="H4" s="804" t="s">
        <v>73</v>
      </c>
      <c r="I4" s="805"/>
      <c r="J4" s="804" t="s">
        <v>74</v>
      </c>
      <c r="K4" s="805"/>
      <c r="L4" s="623"/>
      <c r="M4" s="684" t="s">
        <v>51</v>
      </c>
      <c r="N4" s="730" t="s">
        <v>2</v>
      </c>
      <c r="O4" s="623"/>
      <c r="P4" s="668"/>
      <c r="Q4" s="669"/>
      <c r="R4" s="478"/>
      <c r="S4" s="731"/>
      <c r="T4" s="478"/>
      <c r="U4" s="676" t="s">
        <v>73</v>
      </c>
      <c r="V4" s="719"/>
      <c r="W4" s="718"/>
      <c r="X4" s="481"/>
      <c r="Y4" s="676" t="s">
        <v>74</v>
      </c>
      <c r="Z4" s="719"/>
      <c r="AA4" s="718"/>
      <c r="AB4" s="479"/>
      <c r="AC4" s="730" t="s">
        <v>75</v>
      </c>
      <c r="AD4" s="730" t="s">
        <v>76</v>
      </c>
      <c r="AE4" s="730" t="s">
        <v>77</v>
      </c>
      <c r="AF4" s="672" t="s">
        <v>78</v>
      </c>
      <c r="AG4" s="672" t="s">
        <v>79</v>
      </c>
      <c r="AH4" s="676" t="s">
        <v>80</v>
      </c>
      <c r="AI4" s="719"/>
      <c r="AJ4" s="480"/>
      <c r="AK4" s="674"/>
      <c r="AM4" s="731"/>
      <c r="AN4" s="731"/>
      <c r="AO4" s="731"/>
      <c r="AQ4" s="783" t="s">
        <v>130</v>
      </c>
      <c r="AR4" s="788" t="s">
        <v>131</v>
      </c>
      <c r="AS4" s="478"/>
      <c r="AT4" s="789" t="s">
        <v>133</v>
      </c>
      <c r="AV4" s="783" t="s">
        <v>132</v>
      </c>
      <c r="AW4" s="478"/>
      <c r="AX4" s="789" t="s">
        <v>134</v>
      </c>
      <c r="AZ4" s="644" t="s">
        <v>160</v>
      </c>
      <c r="BA4" s="491" t="s">
        <v>161</v>
      </c>
      <c r="BC4" s="797" t="s">
        <v>73</v>
      </c>
      <c r="BD4" s="798"/>
      <c r="BE4" s="799" t="s">
        <v>74</v>
      </c>
      <c r="BF4" s="800"/>
    </row>
    <row r="5" spans="1:58" ht="55.4" customHeight="1" x14ac:dyDescent="0.35">
      <c r="B5" s="803"/>
      <c r="C5" s="623"/>
      <c r="D5" s="670"/>
      <c r="E5" s="671"/>
      <c r="F5" s="482"/>
      <c r="G5" s="673"/>
      <c r="H5" s="642" t="s">
        <v>221</v>
      </c>
      <c r="I5" s="642" t="s">
        <v>222</v>
      </c>
      <c r="J5" s="642" t="s">
        <v>177</v>
      </c>
      <c r="K5" s="642" t="s">
        <v>178</v>
      </c>
      <c r="L5" s="623"/>
      <c r="M5" s="669"/>
      <c r="N5" s="731"/>
      <c r="O5" s="623"/>
      <c r="P5" s="670"/>
      <c r="Q5" s="671"/>
      <c r="R5" s="482"/>
      <c r="S5" s="781"/>
      <c r="T5" s="482"/>
      <c r="U5" s="643" t="s">
        <v>81</v>
      </c>
      <c r="V5" s="643" t="s">
        <v>82</v>
      </c>
      <c r="W5" s="641" t="s">
        <v>83</v>
      </c>
      <c r="X5" s="482"/>
      <c r="Y5" s="643" t="s">
        <v>81</v>
      </c>
      <c r="Z5" s="643" t="s">
        <v>84</v>
      </c>
      <c r="AA5" s="641" t="s">
        <v>85</v>
      </c>
      <c r="AB5" s="483"/>
      <c r="AC5" s="731"/>
      <c r="AD5" s="731"/>
      <c r="AE5" s="731"/>
      <c r="AF5" s="664"/>
      <c r="AG5" s="664"/>
      <c r="AH5" s="643" t="s">
        <v>214</v>
      </c>
      <c r="AI5" s="497" t="s">
        <v>86</v>
      </c>
      <c r="AJ5" s="480"/>
      <c r="AK5" s="674"/>
      <c r="AM5" s="781"/>
      <c r="AN5" s="781"/>
      <c r="AO5" s="781"/>
      <c r="AQ5" s="784"/>
      <c r="AR5" s="801"/>
      <c r="AS5" s="482"/>
      <c r="AT5" s="802"/>
      <c r="AV5" s="784"/>
      <c r="AW5" s="482"/>
      <c r="AX5" s="802"/>
      <c r="AZ5" s="490" t="s">
        <v>87</v>
      </c>
      <c r="BA5" s="490" t="s">
        <v>162</v>
      </c>
      <c r="BC5" s="490" t="s">
        <v>148</v>
      </c>
      <c r="BD5" s="484" t="s">
        <v>149</v>
      </c>
      <c r="BE5" s="490" t="s">
        <v>148</v>
      </c>
      <c r="BF5" s="484" t="s">
        <v>149</v>
      </c>
    </row>
    <row r="6" spans="1:58" ht="5.25" customHeight="1" x14ac:dyDescent="0.35">
      <c r="B6" s="471"/>
      <c r="E6" s="475"/>
      <c r="U6" s="623"/>
      <c r="V6" s="623"/>
      <c r="W6" s="623"/>
      <c r="X6" s="623"/>
      <c r="Y6" s="623"/>
      <c r="Z6" s="623"/>
      <c r="AA6" s="623"/>
    </row>
    <row r="7" spans="1:58" ht="18" customHeight="1" x14ac:dyDescent="0.35">
      <c r="B7" s="493" t="s">
        <v>3</v>
      </c>
      <c r="C7" s="495"/>
      <c r="D7" s="495"/>
      <c r="E7" s="495"/>
      <c r="F7" s="495"/>
      <c r="G7" s="495"/>
      <c r="H7" s="495"/>
      <c r="I7" s="495"/>
      <c r="J7" s="495"/>
      <c r="K7" s="495"/>
      <c r="L7" s="495"/>
      <c r="M7" s="495"/>
      <c r="N7" s="495"/>
      <c r="O7" s="495"/>
      <c r="P7" s="495"/>
      <c r="Q7" s="495"/>
      <c r="R7" s="495"/>
      <c r="S7" s="495"/>
      <c r="T7" s="495"/>
      <c r="U7" s="494"/>
      <c r="V7" s="494"/>
      <c r="W7" s="494"/>
      <c r="X7" s="494"/>
      <c r="Y7" s="494"/>
      <c r="Z7" s="494"/>
      <c r="AA7" s="494"/>
      <c r="AB7" s="495"/>
      <c r="AC7" s="494"/>
      <c r="AD7" s="494"/>
      <c r="AE7" s="494"/>
      <c r="AF7" s="494"/>
      <c r="AG7" s="494"/>
      <c r="AH7" s="494"/>
      <c r="AI7" s="494"/>
      <c r="AJ7" s="494"/>
      <c r="AK7" s="495"/>
      <c r="AM7" s="494"/>
      <c r="AN7" s="494"/>
      <c r="AO7" s="494"/>
    </row>
    <row r="8" spans="1:58" ht="5.25" customHeight="1" thickBot="1" x14ac:dyDescent="0.4">
      <c r="B8" s="471"/>
      <c r="E8" s="475"/>
      <c r="U8" s="623"/>
      <c r="V8" s="623"/>
      <c r="W8" s="623"/>
      <c r="X8" s="623"/>
      <c r="Y8" s="623"/>
      <c r="Z8" s="623"/>
      <c r="AA8" s="623"/>
      <c r="AQ8" s="526"/>
      <c r="AR8" s="526"/>
      <c r="AV8" s="526"/>
      <c r="AZ8" s="526"/>
      <c r="BC8" s="526"/>
      <c r="BD8" s="539"/>
      <c r="BF8" s="496"/>
    </row>
    <row r="9" spans="1:58" ht="28.5" customHeight="1" x14ac:dyDescent="0.35">
      <c r="B9" s="503" t="s">
        <v>121</v>
      </c>
      <c r="C9" s="504"/>
      <c r="D9" s="216" t="s">
        <v>88</v>
      </c>
      <c r="E9" s="529">
        <v>0</v>
      </c>
      <c r="F9" s="505"/>
      <c r="G9" s="506" t="s">
        <v>310</v>
      </c>
      <c r="H9" s="48">
        <v>25.838000000000001</v>
      </c>
      <c r="I9" s="48">
        <v>31.94</v>
      </c>
      <c r="J9" s="507">
        <v>45058</v>
      </c>
      <c r="K9" s="507">
        <v>45412</v>
      </c>
      <c r="L9" s="504"/>
      <c r="M9" s="48">
        <v>31.9</v>
      </c>
      <c r="N9" s="48">
        <v>25.8</v>
      </c>
      <c r="O9" s="504"/>
      <c r="P9" s="216" t="s">
        <v>88</v>
      </c>
      <c r="Q9" s="529">
        <v>0</v>
      </c>
      <c r="R9" s="505"/>
      <c r="S9" s="523" t="s">
        <v>554</v>
      </c>
      <c r="T9" s="505"/>
      <c r="U9" s="49">
        <v>25.979194</v>
      </c>
      <c r="V9" s="49">
        <v>18.769073489999997</v>
      </c>
      <c r="W9" s="49">
        <f>ROUND((V9-AZ9),1)</f>
        <v>0</v>
      </c>
      <c r="X9" s="50"/>
      <c r="Y9" s="507">
        <v>45058</v>
      </c>
      <c r="Z9" s="507">
        <v>46175</v>
      </c>
      <c r="AA9" s="51">
        <f>Z9-BA9</f>
        <v>0</v>
      </c>
      <c r="AB9" s="504"/>
      <c r="AC9" s="49">
        <v>19.634302820000002</v>
      </c>
      <c r="AD9" s="49">
        <v>19.634302982700003</v>
      </c>
      <c r="AE9" s="52">
        <v>16.96907349</v>
      </c>
      <c r="AF9" s="508">
        <v>1.1570639371837619</v>
      </c>
      <c r="AG9" s="508">
        <v>1.0000000082865179</v>
      </c>
      <c r="AH9" s="544">
        <v>0.75577028371242005</v>
      </c>
      <c r="AI9" s="543">
        <v>0.75577028997512397</v>
      </c>
      <c r="AJ9" s="509"/>
      <c r="AK9" s="219" t="s">
        <v>91</v>
      </c>
      <c r="AM9" s="555">
        <v>41821</v>
      </c>
      <c r="AN9" s="568">
        <f>(V9-I9)/I9</f>
        <v>-0.41236463713212285</v>
      </c>
      <c r="AO9" s="568">
        <f>((Z9-AM9)-(K9-AM9))/(K9-AM9)</f>
        <v>0.2124756335282651</v>
      </c>
      <c r="AQ9" s="530">
        <f>V9-I9</f>
        <v>-13.170926510000005</v>
      </c>
      <c r="AR9" s="531">
        <f>V9-M9</f>
        <v>-13.130926510000002</v>
      </c>
      <c r="AS9" s="510"/>
      <c r="AT9" s="509">
        <f>Z9-K9</f>
        <v>763</v>
      </c>
      <c r="AU9" s="504"/>
      <c r="AV9" s="532">
        <f>V9-U9</f>
        <v>-7.210120510000003</v>
      </c>
      <c r="AW9" s="510"/>
      <c r="AX9" s="511">
        <f>Z9-Y9</f>
        <v>1117</v>
      </c>
      <c r="AZ9" s="53">
        <v>18.769073489999997</v>
      </c>
      <c r="BA9" s="521">
        <v>46175</v>
      </c>
      <c r="BC9" s="53">
        <v>25.979194</v>
      </c>
      <c r="BD9" s="77">
        <f>U9-BC9</f>
        <v>0</v>
      </c>
      <c r="BE9" s="512">
        <v>45058</v>
      </c>
      <c r="BF9" s="513">
        <f>Y9-BE9</f>
        <v>0</v>
      </c>
    </row>
    <row r="10" spans="1:58" ht="99.75" customHeight="1" thickBot="1" x14ac:dyDescent="0.4">
      <c r="A10" s="467" t="str">
        <f>B9</f>
        <v>Enhanced CNC Airwave System (Encrypted Comms)</v>
      </c>
      <c r="B10" s="694" t="s">
        <v>543</v>
      </c>
      <c r="C10" s="695"/>
      <c r="D10" s="695"/>
      <c r="E10" s="695"/>
      <c r="F10" s="695"/>
      <c r="G10" s="695"/>
      <c r="H10" s="695"/>
      <c r="I10" s="695"/>
      <c r="J10" s="695"/>
      <c r="K10" s="695"/>
      <c r="L10" s="695"/>
      <c r="M10" s="695"/>
      <c r="N10" s="695"/>
      <c r="O10" s="695"/>
      <c r="P10" s="695"/>
      <c r="Q10" s="695"/>
      <c r="R10" s="695"/>
      <c r="S10" s="695"/>
      <c r="T10" s="695"/>
      <c r="U10" s="695"/>
      <c r="V10" s="695"/>
      <c r="W10" s="695"/>
      <c r="X10" s="695"/>
      <c r="Y10" s="695"/>
      <c r="Z10" s="695"/>
      <c r="AA10" s="695"/>
      <c r="AB10" s="695"/>
      <c r="AC10" s="695"/>
      <c r="AD10" s="695"/>
      <c r="AE10" s="695"/>
      <c r="AF10" s="695"/>
      <c r="AG10" s="695"/>
      <c r="AH10" s="695"/>
      <c r="AI10" s="695"/>
      <c r="AJ10" s="695"/>
      <c r="AK10" s="696"/>
      <c r="AQ10" s="533"/>
      <c r="AR10" s="534"/>
      <c r="AS10" s="514"/>
      <c r="AT10" s="514"/>
      <c r="AU10" s="515"/>
      <c r="AV10" s="535"/>
      <c r="AW10" s="514"/>
      <c r="AX10" s="517"/>
      <c r="AZ10" s="536"/>
      <c r="BA10" s="518"/>
      <c r="BC10" s="536"/>
      <c r="BD10" s="537"/>
      <c r="BE10" s="516"/>
      <c r="BF10" s="519"/>
    </row>
    <row r="11" spans="1:58" ht="5.25" customHeight="1" thickBot="1" x14ac:dyDescent="0.4">
      <c r="B11" s="472"/>
      <c r="D11" s="540"/>
      <c r="E11" s="485"/>
      <c r="F11" s="474"/>
      <c r="G11" s="473"/>
      <c r="H11" s="473"/>
      <c r="I11" s="545"/>
      <c r="J11" s="545"/>
      <c r="K11" s="473"/>
      <c r="M11" s="545"/>
      <c r="N11" s="546"/>
      <c r="R11" s="474"/>
      <c r="S11" s="474"/>
      <c r="T11" s="474"/>
      <c r="U11" s="545"/>
      <c r="V11" s="545"/>
      <c r="W11" s="547"/>
      <c r="X11" s="547"/>
      <c r="Y11" s="473"/>
      <c r="Z11" s="473"/>
      <c r="AA11" s="547"/>
      <c r="AC11" s="547"/>
      <c r="AD11" s="547"/>
      <c r="AE11" s="547"/>
      <c r="AF11" s="541"/>
      <c r="AG11" s="541"/>
      <c r="AH11" s="542"/>
      <c r="AI11" s="542"/>
      <c r="AK11" s="487"/>
      <c r="AQ11" s="526"/>
      <c r="AR11" s="526"/>
      <c r="AV11" s="526"/>
      <c r="AZ11" s="526"/>
      <c r="BC11" s="526"/>
      <c r="BD11" s="539"/>
      <c r="BF11" s="496"/>
    </row>
    <row r="12" spans="1:58" ht="28.5" customHeight="1" x14ac:dyDescent="0.35">
      <c r="B12" s="525" t="s">
        <v>233</v>
      </c>
      <c r="C12" s="504"/>
      <c r="D12" s="216" t="s">
        <v>90</v>
      </c>
      <c r="E12" s="529">
        <v>0</v>
      </c>
      <c r="F12" s="505"/>
      <c r="G12" s="506" t="s">
        <v>570</v>
      </c>
      <c r="H12" s="48">
        <v>75.099999999999994</v>
      </c>
      <c r="I12" s="48">
        <v>79.8</v>
      </c>
      <c r="J12" s="507">
        <v>47189</v>
      </c>
      <c r="K12" s="507">
        <v>47339</v>
      </c>
      <c r="L12" s="504"/>
      <c r="M12" s="48">
        <v>90.2</v>
      </c>
      <c r="N12" s="48">
        <v>90.2</v>
      </c>
      <c r="O12" s="504"/>
      <c r="P12" s="216" t="s">
        <v>88</v>
      </c>
      <c r="Q12" s="529">
        <v>0</v>
      </c>
      <c r="R12" s="505"/>
      <c r="S12" s="523" t="s">
        <v>555</v>
      </c>
      <c r="T12" s="505"/>
      <c r="U12" s="49">
        <v>57.796824000000001</v>
      </c>
      <c r="V12" s="49">
        <v>87.702751090000007</v>
      </c>
      <c r="W12" s="49">
        <f>ROUND((V12-AZ12),1)</f>
        <v>0.1</v>
      </c>
      <c r="X12" s="50"/>
      <c r="Y12" s="507">
        <v>46524</v>
      </c>
      <c r="Z12" s="507">
        <v>47189</v>
      </c>
      <c r="AA12" s="51">
        <f>Z12-BA12</f>
        <v>0</v>
      </c>
      <c r="AB12" s="504"/>
      <c r="AC12" s="49">
        <v>53.769457100000004</v>
      </c>
      <c r="AD12" s="49">
        <v>44.769150374399999</v>
      </c>
      <c r="AE12" s="52">
        <v>75.375883139999999</v>
      </c>
      <c r="AF12" s="508">
        <v>0.59394528474376429</v>
      </c>
      <c r="AG12" s="508">
        <v>0.83261302585106445</v>
      </c>
      <c r="AH12" s="544">
        <v>0.93031854310887396</v>
      </c>
      <c r="AI12" s="543">
        <v>0.77459533718323337</v>
      </c>
      <c r="AJ12" s="509"/>
      <c r="AK12" s="219" t="s">
        <v>90</v>
      </c>
      <c r="AM12" s="555">
        <v>40940</v>
      </c>
      <c r="AN12" s="568">
        <f>(V12-I12)/I12</f>
        <v>9.9031968546366034E-2</v>
      </c>
      <c r="AO12" s="568">
        <f>((Z12-AM12)-(K12-AM12))/(K12-AM12)</f>
        <v>-2.3441162681669011E-2</v>
      </c>
      <c r="AQ12" s="530">
        <f>V12-I12</f>
        <v>7.9027510900000095</v>
      </c>
      <c r="AR12" s="531">
        <f>V12-M12</f>
        <v>-2.4972489099999962</v>
      </c>
      <c r="AS12" s="510"/>
      <c r="AT12" s="509">
        <f>Z12-K12</f>
        <v>-150</v>
      </c>
      <c r="AU12" s="504"/>
      <c r="AV12" s="532">
        <f>V12-U12</f>
        <v>29.905927090000006</v>
      </c>
      <c r="AW12" s="510"/>
      <c r="AX12" s="511">
        <f>Z12-Y12</f>
        <v>665</v>
      </c>
      <c r="AZ12" s="53">
        <v>87.561272459999998</v>
      </c>
      <c r="BA12" s="521">
        <v>47189</v>
      </c>
      <c r="BC12" s="53">
        <v>57.796824000000001</v>
      </c>
      <c r="BD12" s="77">
        <f>U12-BC12</f>
        <v>0</v>
      </c>
      <c r="BE12" s="512">
        <v>46524</v>
      </c>
      <c r="BF12" s="513">
        <f>Y12-BE12</f>
        <v>0</v>
      </c>
    </row>
    <row r="13" spans="1:58" ht="139.4" customHeight="1" thickBot="1" x14ac:dyDescent="0.4">
      <c r="A13" s="467" t="str">
        <f>B12</f>
        <v>LAETP Floc Retrieval</v>
      </c>
      <c r="B13" s="694" t="s">
        <v>576</v>
      </c>
      <c r="C13" s="695"/>
      <c r="D13" s="695"/>
      <c r="E13" s="695"/>
      <c r="F13" s="695"/>
      <c r="G13" s="695"/>
      <c r="H13" s="695"/>
      <c r="I13" s="695"/>
      <c r="J13" s="695"/>
      <c r="K13" s="695"/>
      <c r="L13" s="695"/>
      <c r="M13" s="695"/>
      <c r="N13" s="695"/>
      <c r="O13" s="695"/>
      <c r="P13" s="695"/>
      <c r="Q13" s="695"/>
      <c r="R13" s="695"/>
      <c r="S13" s="695"/>
      <c r="T13" s="695"/>
      <c r="U13" s="695"/>
      <c r="V13" s="695"/>
      <c r="W13" s="695"/>
      <c r="X13" s="695"/>
      <c r="Y13" s="695"/>
      <c r="Z13" s="695"/>
      <c r="AA13" s="695"/>
      <c r="AB13" s="695"/>
      <c r="AC13" s="695"/>
      <c r="AD13" s="695"/>
      <c r="AE13" s="695"/>
      <c r="AF13" s="695"/>
      <c r="AG13" s="695"/>
      <c r="AH13" s="695"/>
      <c r="AI13" s="695"/>
      <c r="AJ13" s="695"/>
      <c r="AK13" s="696"/>
      <c r="AQ13" s="533"/>
      <c r="AR13" s="534"/>
      <c r="AS13" s="514"/>
      <c r="AT13" s="514"/>
      <c r="AU13" s="515"/>
      <c r="AV13" s="535"/>
      <c r="AW13" s="514"/>
      <c r="AX13" s="517"/>
      <c r="AZ13" s="536"/>
      <c r="BA13" s="518"/>
      <c r="BC13" s="536"/>
      <c r="BD13" s="537"/>
      <c r="BE13" s="516"/>
      <c r="BF13" s="519"/>
    </row>
    <row r="14" spans="1:58" ht="5.25" customHeight="1" thickBot="1" x14ac:dyDescent="0.4">
      <c r="B14" s="471"/>
      <c r="E14" s="475"/>
      <c r="U14" s="623"/>
      <c r="V14" s="623"/>
      <c r="W14" s="623"/>
      <c r="X14" s="623"/>
      <c r="Y14" s="623"/>
      <c r="Z14" s="623"/>
      <c r="AA14" s="623"/>
    </row>
    <row r="15" spans="1:58" ht="32.25" customHeight="1" x14ac:dyDescent="0.35">
      <c r="B15" s="520" t="s">
        <v>13</v>
      </c>
      <c r="C15" s="504"/>
      <c r="D15" s="216" t="s">
        <v>90</v>
      </c>
      <c r="E15" s="529">
        <v>0</v>
      </c>
      <c r="F15" s="505"/>
      <c r="G15" s="506" t="s">
        <v>14</v>
      </c>
      <c r="H15" s="48">
        <v>125.5</v>
      </c>
      <c r="I15" s="48">
        <v>132.1</v>
      </c>
      <c r="J15" s="507">
        <v>46874</v>
      </c>
      <c r="K15" s="507">
        <v>47239</v>
      </c>
      <c r="L15" s="504"/>
      <c r="M15" s="48">
        <v>149.1</v>
      </c>
      <c r="N15" s="48">
        <v>125.5</v>
      </c>
      <c r="O15" s="504"/>
      <c r="P15" s="216" t="s">
        <v>88</v>
      </c>
      <c r="Q15" s="529">
        <v>0</v>
      </c>
      <c r="R15" s="505"/>
      <c r="S15" s="523" t="s">
        <v>556</v>
      </c>
      <c r="T15" s="505"/>
      <c r="U15" s="49">
        <v>144.83407500000001</v>
      </c>
      <c r="V15" s="49">
        <v>138.83421663999999</v>
      </c>
      <c r="W15" s="49">
        <f>ROUND((V15-AZ15),1)</f>
        <v>-10.1</v>
      </c>
      <c r="X15" s="50"/>
      <c r="Y15" s="507">
        <v>47882</v>
      </c>
      <c r="Z15" s="507">
        <v>48684</v>
      </c>
      <c r="AA15" s="51">
        <f>Z15-BA15</f>
        <v>0</v>
      </c>
      <c r="AB15" s="504"/>
      <c r="AC15" s="49">
        <v>114.54411661</v>
      </c>
      <c r="AD15" s="49">
        <v>102.89862837029999</v>
      </c>
      <c r="AE15" s="52">
        <v>101.72590307999999</v>
      </c>
      <c r="AF15" s="508">
        <v>1.0115282858622325</v>
      </c>
      <c r="AG15" s="508">
        <v>0.89833185165371188</v>
      </c>
      <c r="AH15" s="544">
        <v>0.7908644192328359</v>
      </c>
      <c r="AI15" s="543">
        <v>0.710458698136471</v>
      </c>
      <c r="AJ15" s="509"/>
      <c r="AK15" s="219" t="s">
        <v>91</v>
      </c>
      <c r="AM15" s="555">
        <v>41275</v>
      </c>
      <c r="AN15" s="568">
        <f>(V15-I15)/I15</f>
        <v>5.0978172899318698E-2</v>
      </c>
      <c r="AO15" s="568">
        <f>((Z15-AM15)-(K15-AM15))/(K15-AM15)</f>
        <v>0.24228705566733735</v>
      </c>
      <c r="AQ15" s="530">
        <f>V15-I15</f>
        <v>6.7342166399999996</v>
      </c>
      <c r="AR15" s="531">
        <f>V15-M15</f>
        <v>-10.26578336</v>
      </c>
      <c r="AS15" s="510"/>
      <c r="AT15" s="509">
        <f>Z15-K15</f>
        <v>1445</v>
      </c>
      <c r="AU15" s="504"/>
      <c r="AV15" s="532">
        <f>V15-U15</f>
        <v>-5.9998583600000188</v>
      </c>
      <c r="AW15" s="510"/>
      <c r="AX15" s="511">
        <f>Z15-Y15</f>
        <v>802</v>
      </c>
      <c r="AZ15" s="53">
        <v>148.90178813999998</v>
      </c>
      <c r="BA15" s="521">
        <v>48684</v>
      </c>
      <c r="BC15" s="53">
        <v>144.83407500000001</v>
      </c>
      <c r="BD15" s="77">
        <f>U15-BC15</f>
        <v>0</v>
      </c>
      <c r="BE15" s="512">
        <v>47882</v>
      </c>
      <c r="BF15" s="513">
        <f>Y15-BE15</f>
        <v>0</v>
      </c>
    </row>
    <row r="16" spans="1:58" ht="141" customHeight="1" thickBot="1" x14ac:dyDescent="0.4">
      <c r="A16" s="467" t="str">
        <f>B15</f>
        <v>Chimney Decommissioning Phase 2F</v>
      </c>
      <c r="B16" s="694" t="s">
        <v>577</v>
      </c>
      <c r="C16" s="695"/>
      <c r="D16" s="695"/>
      <c r="E16" s="695"/>
      <c r="F16" s="695"/>
      <c r="G16" s="695"/>
      <c r="H16" s="695"/>
      <c r="I16" s="695"/>
      <c r="J16" s="695"/>
      <c r="K16" s="695"/>
      <c r="L16" s="695"/>
      <c r="M16" s="695"/>
      <c r="N16" s="695"/>
      <c r="O16" s="695"/>
      <c r="P16" s="695"/>
      <c r="Q16" s="695"/>
      <c r="R16" s="695"/>
      <c r="S16" s="695"/>
      <c r="T16" s="695"/>
      <c r="U16" s="695"/>
      <c r="V16" s="695"/>
      <c r="W16" s="695"/>
      <c r="X16" s="695"/>
      <c r="Y16" s="695"/>
      <c r="Z16" s="695"/>
      <c r="AA16" s="695"/>
      <c r="AB16" s="695"/>
      <c r="AC16" s="695"/>
      <c r="AD16" s="695"/>
      <c r="AE16" s="695"/>
      <c r="AF16" s="695"/>
      <c r="AG16" s="695"/>
      <c r="AH16" s="695"/>
      <c r="AI16" s="695"/>
      <c r="AJ16" s="695"/>
      <c r="AK16" s="696"/>
      <c r="AQ16" s="533"/>
      <c r="AR16" s="534"/>
      <c r="AS16" s="514"/>
      <c r="AT16" s="514"/>
      <c r="AU16" s="515"/>
      <c r="AV16" s="535"/>
      <c r="AW16" s="514"/>
      <c r="AX16" s="517"/>
      <c r="AZ16" s="536"/>
      <c r="BA16" s="518"/>
      <c r="BC16" s="536"/>
      <c r="BD16" s="537"/>
      <c r="BE16" s="516"/>
      <c r="BF16" s="519"/>
    </row>
    <row r="17" spans="1:61" ht="5.25" customHeight="1" thickBot="1" x14ac:dyDescent="0.4">
      <c r="B17" s="471"/>
      <c r="E17" s="475"/>
      <c r="U17" s="623"/>
      <c r="V17" s="623"/>
      <c r="W17" s="623"/>
      <c r="X17" s="623"/>
      <c r="Y17" s="623"/>
      <c r="Z17" s="623"/>
      <c r="AA17" s="623"/>
      <c r="AQ17" s="526"/>
      <c r="AR17" s="526"/>
      <c r="AV17" s="526"/>
      <c r="AZ17" s="526"/>
      <c r="BC17" s="526"/>
      <c r="BD17" s="539"/>
      <c r="BF17" s="496"/>
    </row>
    <row r="18" spans="1:61" ht="28.5" customHeight="1" x14ac:dyDescent="0.35">
      <c r="B18" s="503" t="s">
        <v>320</v>
      </c>
      <c r="C18" s="504"/>
      <c r="D18" s="216" t="s">
        <v>90</v>
      </c>
      <c r="E18" s="529">
        <v>0</v>
      </c>
      <c r="F18" s="505"/>
      <c r="G18" s="506" t="s">
        <v>291</v>
      </c>
      <c r="H18" s="48">
        <v>130</v>
      </c>
      <c r="I18" s="48">
        <v>200</v>
      </c>
      <c r="J18" s="507" t="s">
        <v>319</v>
      </c>
      <c r="K18" s="507" t="s">
        <v>319</v>
      </c>
      <c r="L18" s="504"/>
      <c r="M18" s="48">
        <v>200</v>
      </c>
      <c r="N18" s="48">
        <v>200</v>
      </c>
      <c r="O18" s="504"/>
      <c r="P18" s="216" t="s">
        <v>90</v>
      </c>
      <c r="Q18" s="529">
        <v>0</v>
      </c>
      <c r="R18" s="505"/>
      <c r="S18" s="523" t="s">
        <v>557</v>
      </c>
      <c r="T18" s="505"/>
      <c r="U18" s="49">
        <v>127.732077</v>
      </c>
      <c r="V18" s="49">
        <v>141.50572745999997</v>
      </c>
      <c r="W18" s="49">
        <f>ROUND((V18-AZ18),1)</f>
        <v>0</v>
      </c>
      <c r="X18" s="50"/>
      <c r="Y18" s="507">
        <v>48935</v>
      </c>
      <c r="Z18" s="507">
        <v>48935</v>
      </c>
      <c r="AA18" s="51">
        <f>Z18-BA18</f>
        <v>0</v>
      </c>
      <c r="AB18" s="504"/>
      <c r="AC18" s="49">
        <v>0</v>
      </c>
      <c r="AD18" s="49">
        <v>0</v>
      </c>
      <c r="AE18" s="52">
        <v>37.756586219999996</v>
      </c>
      <c r="AF18" s="508">
        <v>0</v>
      </c>
      <c r="AG18" s="508">
        <v>0</v>
      </c>
      <c r="AH18" s="544">
        <v>0</v>
      </c>
      <c r="AI18" s="543">
        <v>0</v>
      </c>
      <c r="AJ18" s="509"/>
      <c r="AK18" s="219" t="s">
        <v>88</v>
      </c>
      <c r="AM18" s="555">
        <v>37987</v>
      </c>
      <c r="AN18" s="568">
        <f>(V18-I18)/I18</f>
        <v>-0.29247136270000013</v>
      </c>
      <c r="AO18" s="568" t="e">
        <f>((Z18-AM18)-(K18-AM18))/(K18-AM18)</f>
        <v>#VALUE!</v>
      </c>
      <c r="AQ18" s="530">
        <f>V18-I18</f>
        <v>-58.494272540000026</v>
      </c>
      <c r="AR18" s="531">
        <f>V18-M18</f>
        <v>-58.494272540000026</v>
      </c>
      <c r="AS18" s="510"/>
      <c r="AT18" s="509" t="e">
        <f>Z18-K18</f>
        <v>#VALUE!</v>
      </c>
      <c r="AU18" s="504"/>
      <c r="AV18" s="532">
        <f>V18-U18</f>
        <v>13.773650459999971</v>
      </c>
      <c r="AW18" s="510"/>
      <c r="AX18" s="511">
        <f>Z18-Y18</f>
        <v>0</v>
      </c>
      <c r="AZ18" s="53">
        <v>141.47171437</v>
      </c>
      <c r="BA18" s="521">
        <v>48935</v>
      </c>
      <c r="BC18" s="53">
        <v>127.732077</v>
      </c>
      <c r="BD18" s="77">
        <f>U18-BC18</f>
        <v>0</v>
      </c>
      <c r="BE18" s="512">
        <v>48935</v>
      </c>
      <c r="BF18" s="513">
        <f>Y18-BE18</f>
        <v>0</v>
      </c>
    </row>
    <row r="19" spans="1:61" ht="163.4" customHeight="1" thickBot="1" x14ac:dyDescent="0.4">
      <c r="A19" s="467" t="str">
        <f>B18</f>
        <v>MSSS 2nd and 3rd Extension Sub-Programme</v>
      </c>
      <c r="B19" s="694" t="s">
        <v>544</v>
      </c>
      <c r="C19" s="695"/>
      <c r="D19" s="695"/>
      <c r="E19" s="695"/>
      <c r="F19" s="695"/>
      <c r="G19" s="695"/>
      <c r="H19" s="695"/>
      <c r="I19" s="695"/>
      <c r="J19" s="695"/>
      <c r="K19" s="695"/>
      <c r="L19" s="695"/>
      <c r="M19" s="695"/>
      <c r="N19" s="695"/>
      <c r="O19" s="695"/>
      <c r="P19" s="695"/>
      <c r="Q19" s="695"/>
      <c r="R19" s="695"/>
      <c r="S19" s="695"/>
      <c r="T19" s="695"/>
      <c r="U19" s="695"/>
      <c r="V19" s="695"/>
      <c r="W19" s="695"/>
      <c r="X19" s="695"/>
      <c r="Y19" s="695"/>
      <c r="Z19" s="695"/>
      <c r="AA19" s="695"/>
      <c r="AB19" s="695"/>
      <c r="AC19" s="695"/>
      <c r="AD19" s="695"/>
      <c r="AE19" s="695"/>
      <c r="AF19" s="695"/>
      <c r="AG19" s="695"/>
      <c r="AH19" s="695"/>
      <c r="AI19" s="695"/>
      <c r="AJ19" s="695"/>
      <c r="AK19" s="696"/>
      <c r="AQ19" s="533"/>
      <c r="AR19" s="534"/>
      <c r="AS19" s="514"/>
      <c r="AT19" s="514"/>
      <c r="AU19" s="515"/>
      <c r="AV19" s="535"/>
      <c r="AW19" s="514"/>
      <c r="AX19" s="517"/>
      <c r="AZ19" s="536"/>
      <c r="BA19" s="518"/>
      <c r="BC19" s="536"/>
      <c r="BD19" s="537"/>
      <c r="BE19" s="516"/>
      <c r="BF19" s="519"/>
    </row>
    <row r="20" spans="1:61" ht="5.25" customHeight="1" thickBot="1" x14ac:dyDescent="0.4">
      <c r="B20" s="472"/>
      <c r="D20" s="547"/>
      <c r="E20" s="485"/>
      <c r="F20" s="474"/>
      <c r="G20" s="473"/>
      <c r="H20" s="473"/>
      <c r="I20" s="547"/>
      <c r="J20" s="547"/>
      <c r="K20" s="473"/>
      <c r="M20" s="547"/>
      <c r="N20" s="546"/>
      <c r="R20" s="474"/>
      <c r="S20" s="474"/>
      <c r="T20" s="474"/>
      <c r="U20" s="547"/>
      <c r="V20" s="547"/>
      <c r="W20" s="548"/>
      <c r="X20" s="549"/>
      <c r="Y20" s="473"/>
      <c r="Z20" s="473"/>
      <c r="AA20" s="549"/>
      <c r="AC20" s="547"/>
      <c r="AD20" s="547"/>
      <c r="AE20" s="547"/>
      <c r="AF20" s="522"/>
      <c r="AG20" s="522"/>
      <c r="AH20" s="486"/>
      <c r="AI20" s="486"/>
      <c r="AK20" s="487"/>
      <c r="AQ20" s="526"/>
      <c r="AR20" s="526"/>
      <c r="AV20" s="526"/>
      <c r="AZ20" s="526"/>
      <c r="BC20" s="526"/>
      <c r="BD20" s="539"/>
      <c r="BF20" s="496"/>
    </row>
    <row r="21" spans="1:61" ht="28.5" customHeight="1" x14ac:dyDescent="0.35">
      <c r="B21" s="503" t="s">
        <v>115</v>
      </c>
      <c r="C21" s="504"/>
      <c r="D21" s="216" t="s">
        <v>90</v>
      </c>
      <c r="E21" s="529">
        <v>0</v>
      </c>
      <c r="F21" s="505"/>
      <c r="G21" s="506" t="s">
        <v>241</v>
      </c>
      <c r="H21" s="48">
        <v>403.5</v>
      </c>
      <c r="I21" s="48">
        <v>430.4</v>
      </c>
      <c r="J21" s="507">
        <v>47362</v>
      </c>
      <c r="K21" s="507">
        <v>47665</v>
      </c>
      <c r="L21" s="504"/>
      <c r="M21" s="48">
        <v>430.4</v>
      </c>
      <c r="N21" s="48">
        <v>403.5</v>
      </c>
      <c r="O21" s="504"/>
      <c r="P21" s="216" t="s">
        <v>90</v>
      </c>
      <c r="Q21" s="529">
        <v>0</v>
      </c>
      <c r="R21" s="505"/>
      <c r="S21" s="523" t="s">
        <v>558</v>
      </c>
      <c r="T21" s="505"/>
      <c r="U21" s="49">
        <v>435.381978</v>
      </c>
      <c r="V21" s="49">
        <v>427.83868386</v>
      </c>
      <c r="W21" s="49">
        <f>ROUND((V21-AZ21),1)</f>
        <v>0</v>
      </c>
      <c r="X21" s="50"/>
      <c r="Y21" s="507">
        <v>47364</v>
      </c>
      <c r="Z21" s="507">
        <v>47826</v>
      </c>
      <c r="AA21" s="51">
        <f>Z21-BA21</f>
        <v>0</v>
      </c>
      <c r="AB21" s="504"/>
      <c r="AC21" s="49">
        <v>343.16946235</v>
      </c>
      <c r="AD21" s="49">
        <v>309.56488580569999</v>
      </c>
      <c r="AE21" s="52">
        <v>306.47835002999994</v>
      </c>
      <c r="AF21" s="508">
        <v>1.0100709749168184</v>
      </c>
      <c r="AG21" s="508">
        <v>0.90207585396970269</v>
      </c>
      <c r="AH21" s="544">
        <v>0.78820318637534426</v>
      </c>
      <c r="AI21" s="543">
        <v>0.71101906245117941</v>
      </c>
      <c r="AJ21" s="509"/>
      <c r="AK21" s="219" t="s">
        <v>90</v>
      </c>
      <c r="AM21" s="555">
        <v>42395</v>
      </c>
      <c r="AN21" s="568">
        <f>(V21-I21)/I21</f>
        <v>-5.9510133364311666E-3</v>
      </c>
      <c r="AO21" s="568">
        <f>((Z21-AM21)-(K21-AM21))/(K21-AM21)</f>
        <v>3.0550284629981026E-2</v>
      </c>
      <c r="AQ21" s="530">
        <f>V21-I21</f>
        <v>-2.561316139999974</v>
      </c>
      <c r="AR21" s="531">
        <f>V21-M21</f>
        <v>-2.561316139999974</v>
      </c>
      <c r="AS21" s="510"/>
      <c r="AT21" s="509">
        <f>Z21-K21</f>
        <v>161</v>
      </c>
      <c r="AU21" s="504"/>
      <c r="AV21" s="532">
        <f>V21-U21</f>
        <v>-7.5432941400000004</v>
      </c>
      <c r="AW21" s="510"/>
      <c r="AX21" s="511">
        <f>Z21-Y21</f>
        <v>462</v>
      </c>
      <c r="AZ21" s="53">
        <v>427.81347215</v>
      </c>
      <c r="BA21" s="521">
        <v>47826</v>
      </c>
      <c r="BC21" s="53">
        <v>435.381978</v>
      </c>
      <c r="BD21" s="77">
        <f>U21-BC21</f>
        <v>0</v>
      </c>
      <c r="BE21" s="512">
        <v>47364</v>
      </c>
      <c r="BF21" s="513">
        <f>Y21-BE21</f>
        <v>0</v>
      </c>
    </row>
    <row r="22" spans="1:61" ht="60.75" customHeight="1" thickBot="1" x14ac:dyDescent="0.4">
      <c r="A22" s="467" t="str">
        <f>B21</f>
        <v>Electrical Supply - New Construction</v>
      </c>
      <c r="B22" s="694" t="s">
        <v>578</v>
      </c>
      <c r="C22" s="697"/>
      <c r="D22" s="697"/>
      <c r="E22" s="697"/>
      <c r="F22" s="697"/>
      <c r="G22" s="697"/>
      <c r="H22" s="697"/>
      <c r="I22" s="697"/>
      <c r="J22" s="697"/>
      <c r="K22" s="697"/>
      <c r="L22" s="697"/>
      <c r="M22" s="697"/>
      <c r="N22" s="697"/>
      <c r="O22" s="697"/>
      <c r="P22" s="697"/>
      <c r="Q22" s="697"/>
      <c r="R22" s="697"/>
      <c r="S22" s="697"/>
      <c r="T22" s="697"/>
      <c r="U22" s="697"/>
      <c r="V22" s="697"/>
      <c r="W22" s="697"/>
      <c r="X22" s="697"/>
      <c r="Y22" s="697"/>
      <c r="Z22" s="697"/>
      <c r="AA22" s="697"/>
      <c r="AB22" s="697"/>
      <c r="AC22" s="697"/>
      <c r="AD22" s="697"/>
      <c r="AE22" s="697"/>
      <c r="AF22" s="697"/>
      <c r="AG22" s="697"/>
      <c r="AH22" s="697"/>
      <c r="AI22" s="697"/>
      <c r="AJ22" s="697"/>
      <c r="AK22" s="698"/>
      <c r="AQ22" s="533"/>
      <c r="AR22" s="534"/>
      <c r="AS22" s="514"/>
      <c r="AT22" s="514"/>
      <c r="AU22" s="515"/>
      <c r="AV22" s="535"/>
      <c r="AW22" s="514"/>
      <c r="AX22" s="517"/>
      <c r="AZ22" s="536"/>
      <c r="BA22" s="518"/>
      <c r="BC22" s="536"/>
      <c r="BD22" s="537"/>
      <c r="BE22" s="516"/>
      <c r="BF22" s="519"/>
    </row>
    <row r="23" spans="1:61" ht="5.25" customHeight="1" thickBot="1" x14ac:dyDescent="0.4">
      <c r="B23" s="492"/>
      <c r="C23" s="538"/>
      <c r="D23" s="538"/>
      <c r="E23" s="538"/>
      <c r="F23" s="538"/>
      <c r="G23" s="538"/>
      <c r="H23" s="538"/>
      <c r="I23" s="538"/>
      <c r="J23" s="538"/>
      <c r="K23" s="538"/>
      <c r="L23" s="538"/>
      <c r="M23" s="538"/>
      <c r="N23" s="538"/>
      <c r="O23" s="538"/>
      <c r="P23" s="538"/>
      <c r="Q23" s="538"/>
      <c r="R23" s="538"/>
      <c r="S23" s="538"/>
      <c r="T23" s="538"/>
      <c r="U23" s="538"/>
      <c r="V23" s="538"/>
      <c r="W23" s="538"/>
      <c r="X23" s="538"/>
      <c r="Y23" s="538"/>
      <c r="Z23" s="538"/>
      <c r="AA23" s="538"/>
      <c r="AB23" s="538"/>
      <c r="AC23" s="538"/>
      <c r="AD23" s="538"/>
      <c r="AE23" s="538"/>
      <c r="AF23" s="538"/>
      <c r="AG23" s="538"/>
      <c r="AH23" s="538"/>
      <c r="AI23" s="538"/>
      <c r="AJ23" s="538"/>
      <c r="AK23" s="538"/>
      <c r="AM23" s="94"/>
      <c r="AN23" s="94"/>
      <c r="AO23" s="94"/>
      <c r="AQ23" s="526"/>
      <c r="AR23" s="526"/>
      <c r="AV23" s="526"/>
      <c r="AZ23" s="526"/>
      <c r="BC23" s="526"/>
      <c r="BD23" s="526"/>
    </row>
    <row r="24" spans="1:61" ht="28.5" customHeight="1" x14ac:dyDescent="0.35">
      <c r="B24" s="503" t="s">
        <v>111</v>
      </c>
      <c r="C24" s="504"/>
      <c r="D24" s="216" t="s">
        <v>90</v>
      </c>
      <c r="E24" s="529">
        <v>0</v>
      </c>
      <c r="F24" s="505"/>
      <c r="G24" s="506" t="s">
        <v>15</v>
      </c>
      <c r="H24" s="48">
        <v>1335.43</v>
      </c>
      <c r="I24" s="48">
        <v>1673</v>
      </c>
      <c r="J24" s="507">
        <v>47400</v>
      </c>
      <c r="K24" s="507">
        <v>48274</v>
      </c>
      <c r="L24" s="504"/>
      <c r="M24" s="48">
        <v>1673</v>
      </c>
      <c r="N24" s="48">
        <v>1482.9</v>
      </c>
      <c r="O24" s="504"/>
      <c r="P24" s="216" t="s">
        <v>90</v>
      </c>
      <c r="Q24" s="529">
        <v>0</v>
      </c>
      <c r="R24" s="505"/>
      <c r="S24" s="523" t="s">
        <v>559</v>
      </c>
      <c r="T24" s="505"/>
      <c r="U24" s="49">
        <v>1479.319029</v>
      </c>
      <c r="V24" s="49">
        <v>1466.5526999799999</v>
      </c>
      <c r="W24" s="49">
        <f>ROUND((V24-AZ24),1)</f>
        <v>0</v>
      </c>
      <c r="X24" s="50"/>
      <c r="Y24" s="507">
        <v>47574</v>
      </c>
      <c r="Z24" s="507">
        <v>47574</v>
      </c>
      <c r="AA24" s="51">
        <f>Z24-BA24</f>
        <v>0</v>
      </c>
      <c r="AB24" s="504"/>
      <c r="AC24" s="49">
        <v>1159.6947185899999</v>
      </c>
      <c r="AD24" s="49">
        <v>988.78109291859994</v>
      </c>
      <c r="AE24" s="52">
        <v>1063.11631794</v>
      </c>
      <c r="AF24" s="508">
        <v>0.93007799450822148</v>
      </c>
      <c r="AG24" s="508">
        <v>0.85262188149032603</v>
      </c>
      <c r="AH24" s="544">
        <v>0.78393821471622527</v>
      </c>
      <c r="AI24" s="543">
        <v>0.6684028756035153</v>
      </c>
      <c r="AJ24" s="509"/>
      <c r="AK24" s="219" t="s">
        <v>90</v>
      </c>
      <c r="AM24" s="555">
        <v>42272</v>
      </c>
      <c r="AN24" s="568">
        <f>(V24-I24)/I24</f>
        <v>-0.12339946205618653</v>
      </c>
      <c r="AO24" s="568">
        <f>((Z24-AM24)-(K24-AM24))/(K24-AM24)</f>
        <v>-0.1166277907364212</v>
      </c>
      <c r="AQ24" s="530">
        <f>V24-I24</f>
        <v>-206.44730002000006</v>
      </c>
      <c r="AR24" s="531">
        <f>V24-M24</f>
        <v>-206.44730002000006</v>
      </c>
      <c r="AS24" s="510"/>
      <c r="AT24" s="509">
        <f>Z24-K24</f>
        <v>-700</v>
      </c>
      <c r="AU24" s="504"/>
      <c r="AV24" s="532">
        <f>V24-U24</f>
        <v>-12.766329020000057</v>
      </c>
      <c r="AW24" s="510"/>
      <c r="AX24" s="511">
        <f>Z24-Y24</f>
        <v>0</v>
      </c>
      <c r="AZ24" s="53">
        <v>1466.54995661</v>
      </c>
      <c r="BA24" s="521">
        <v>47574</v>
      </c>
      <c r="BC24" s="53">
        <v>1479.319029</v>
      </c>
      <c r="BD24" s="77">
        <f>U24-BC24</f>
        <v>0</v>
      </c>
      <c r="BE24" s="512">
        <v>47574</v>
      </c>
      <c r="BF24" s="513">
        <f>Y24-BE24</f>
        <v>0</v>
      </c>
    </row>
    <row r="25" spans="1:61" s="471" customFormat="1" ht="71.25" customHeight="1" thickBot="1" x14ac:dyDescent="0.4">
      <c r="A25" s="467" t="str">
        <f>B24</f>
        <v>Sellafield Product &amp; Residue Store Retreatment Plant</v>
      </c>
      <c r="B25" s="694" t="s">
        <v>579</v>
      </c>
      <c r="C25" s="695"/>
      <c r="D25" s="695"/>
      <c r="E25" s="695"/>
      <c r="F25" s="695"/>
      <c r="G25" s="695"/>
      <c r="H25" s="695"/>
      <c r="I25" s="695"/>
      <c r="J25" s="695"/>
      <c r="K25" s="695"/>
      <c r="L25" s="695"/>
      <c r="M25" s="695"/>
      <c r="N25" s="695"/>
      <c r="O25" s="695"/>
      <c r="P25" s="695"/>
      <c r="Q25" s="695"/>
      <c r="R25" s="695"/>
      <c r="S25" s="695"/>
      <c r="T25" s="695"/>
      <c r="U25" s="695"/>
      <c r="V25" s="695"/>
      <c r="W25" s="695"/>
      <c r="X25" s="695"/>
      <c r="Y25" s="695"/>
      <c r="Z25" s="695"/>
      <c r="AA25" s="695"/>
      <c r="AB25" s="695"/>
      <c r="AC25" s="695"/>
      <c r="AD25" s="695"/>
      <c r="AE25" s="695"/>
      <c r="AF25" s="695"/>
      <c r="AG25" s="695"/>
      <c r="AH25" s="695"/>
      <c r="AI25" s="695"/>
      <c r="AJ25" s="695"/>
      <c r="AK25" s="696"/>
      <c r="AL25" s="475"/>
      <c r="AM25" s="475"/>
      <c r="AN25" s="475"/>
      <c r="AO25" s="475"/>
      <c r="AP25" s="475"/>
      <c r="AQ25" s="533"/>
      <c r="AR25" s="534"/>
      <c r="AS25" s="514"/>
      <c r="AT25" s="514"/>
      <c r="AU25" s="515"/>
      <c r="AV25" s="535"/>
      <c r="AW25" s="514"/>
      <c r="AX25" s="517"/>
      <c r="AY25" s="475"/>
      <c r="AZ25" s="536"/>
      <c r="BA25" s="518"/>
      <c r="BB25" s="475"/>
      <c r="BC25" s="536"/>
      <c r="BD25" s="537"/>
      <c r="BE25" s="516"/>
      <c r="BF25" s="519"/>
      <c r="BG25" s="475"/>
      <c r="BH25" s="475"/>
      <c r="BI25" s="475"/>
    </row>
    <row r="26" spans="1:61" ht="5.25" customHeight="1" thickBot="1" x14ac:dyDescent="0.4">
      <c r="B26" s="471"/>
      <c r="E26" s="475"/>
      <c r="U26" s="623"/>
      <c r="V26" s="623"/>
      <c r="W26" s="623"/>
      <c r="X26" s="623"/>
      <c r="Y26" s="623"/>
      <c r="Z26" s="623"/>
      <c r="AA26" s="623"/>
      <c r="AQ26" s="526"/>
      <c r="AR26" s="526"/>
      <c r="AV26" s="526"/>
      <c r="AZ26" s="526"/>
      <c r="BC26" s="526"/>
      <c r="BD26" s="539"/>
      <c r="BF26" s="496"/>
    </row>
    <row r="27" spans="1:61" ht="28.5" customHeight="1" x14ac:dyDescent="0.35">
      <c r="B27" s="520" t="s">
        <v>101</v>
      </c>
      <c r="C27" s="504"/>
      <c r="D27" s="216" t="s">
        <v>90</v>
      </c>
      <c r="E27" s="529">
        <v>0</v>
      </c>
      <c r="F27" s="505"/>
      <c r="G27" s="506" t="s">
        <v>375</v>
      </c>
      <c r="H27" s="48">
        <v>458.9</v>
      </c>
      <c r="I27" s="48">
        <v>466.4</v>
      </c>
      <c r="J27" s="507">
        <v>45244</v>
      </c>
      <c r="K27" s="507">
        <v>45361</v>
      </c>
      <c r="L27" s="504"/>
      <c r="M27" s="48">
        <v>466.4</v>
      </c>
      <c r="N27" s="48">
        <v>458.9</v>
      </c>
      <c r="O27" s="504"/>
      <c r="P27" s="216" t="s">
        <v>90</v>
      </c>
      <c r="Q27" s="529">
        <v>0</v>
      </c>
      <c r="R27" s="505"/>
      <c r="S27" s="523" t="s">
        <v>560</v>
      </c>
      <c r="T27" s="505"/>
      <c r="U27" s="49">
        <v>419.95363700000001</v>
      </c>
      <c r="V27" s="49">
        <v>458.24501213000002</v>
      </c>
      <c r="W27" s="49">
        <f>ROUND((V27-AZ27),1)</f>
        <v>0</v>
      </c>
      <c r="X27" s="50"/>
      <c r="Y27" s="507">
        <v>45050</v>
      </c>
      <c r="Z27" s="507">
        <v>46142</v>
      </c>
      <c r="AA27" s="51">
        <f>Z27-BA27</f>
        <v>0</v>
      </c>
      <c r="AB27" s="504"/>
      <c r="AC27" s="49">
        <v>419.95363750999996</v>
      </c>
      <c r="AD27" s="49">
        <v>419.93138477130003</v>
      </c>
      <c r="AE27" s="52">
        <v>458.19501213000001</v>
      </c>
      <c r="AF27" s="508">
        <v>0.9164905196570674</v>
      </c>
      <c r="AG27" s="508">
        <v>0.99994701143956766</v>
      </c>
      <c r="AH27" s="544">
        <v>1.0000000012144197</v>
      </c>
      <c r="AI27" s="543">
        <v>0.99994701265392305</v>
      </c>
      <c r="AJ27" s="509"/>
      <c r="AK27" s="219" t="s">
        <v>91</v>
      </c>
      <c r="AM27" s="555">
        <v>41518</v>
      </c>
      <c r="AN27" s="568">
        <f>(V27-I27)/I27</f>
        <v>-1.7484965415951882E-2</v>
      </c>
      <c r="AO27" s="568">
        <f>((Z27-AM27)-(K27-AM27))/(K27-AM27)</f>
        <v>0.20322664584959668</v>
      </c>
      <c r="AQ27" s="530">
        <f>V27-I27</f>
        <v>-8.1549878699999567</v>
      </c>
      <c r="AR27" s="531">
        <f>V27-M27</f>
        <v>-8.1549878699999567</v>
      </c>
      <c r="AS27" s="510"/>
      <c r="AT27" s="509">
        <f>Z27-K27</f>
        <v>781</v>
      </c>
      <c r="AU27" s="504"/>
      <c r="AV27" s="532">
        <f>V27-U27</f>
        <v>38.291375130000006</v>
      </c>
      <c r="AW27" s="510"/>
      <c r="AX27" s="511">
        <f>Z27-Y27</f>
        <v>1092</v>
      </c>
      <c r="AZ27" s="53">
        <v>458.2836949</v>
      </c>
      <c r="BA27" s="521">
        <v>46142</v>
      </c>
      <c r="BC27" s="53">
        <v>419.95363700000001</v>
      </c>
      <c r="BD27" s="77">
        <f>U27-BC27</f>
        <v>0</v>
      </c>
      <c r="BE27" s="512">
        <v>45050</v>
      </c>
      <c r="BF27" s="513">
        <f>Y27-BE27</f>
        <v>0</v>
      </c>
    </row>
    <row r="28" spans="1:61" ht="85.4" customHeight="1" thickBot="1" x14ac:dyDescent="0.4">
      <c r="A28" s="467" t="str">
        <f>B27</f>
        <v>Box Encapsulation Plant Product Store Direct Import Facility</v>
      </c>
      <c r="B28" s="694" t="s">
        <v>548</v>
      </c>
      <c r="C28" s="695"/>
      <c r="D28" s="695"/>
      <c r="E28" s="695"/>
      <c r="F28" s="695"/>
      <c r="G28" s="695"/>
      <c r="H28" s="695"/>
      <c r="I28" s="695"/>
      <c r="J28" s="695"/>
      <c r="K28" s="695"/>
      <c r="L28" s="695"/>
      <c r="M28" s="695"/>
      <c r="N28" s="695"/>
      <c r="O28" s="695"/>
      <c r="P28" s="695"/>
      <c r="Q28" s="695"/>
      <c r="R28" s="695"/>
      <c r="S28" s="695"/>
      <c r="T28" s="695"/>
      <c r="U28" s="695"/>
      <c r="V28" s="695"/>
      <c r="W28" s="695"/>
      <c r="X28" s="695"/>
      <c r="Y28" s="695"/>
      <c r="Z28" s="695"/>
      <c r="AA28" s="695"/>
      <c r="AB28" s="695"/>
      <c r="AC28" s="695"/>
      <c r="AD28" s="695"/>
      <c r="AE28" s="695"/>
      <c r="AF28" s="695"/>
      <c r="AG28" s="695"/>
      <c r="AH28" s="695"/>
      <c r="AI28" s="695"/>
      <c r="AJ28" s="695"/>
      <c r="AK28" s="696"/>
      <c r="AP28" s="471"/>
      <c r="AQ28" s="533"/>
      <c r="AR28" s="534"/>
      <c r="AS28" s="514"/>
      <c r="AT28" s="514"/>
      <c r="AU28" s="515"/>
      <c r="AV28" s="535"/>
      <c r="AW28" s="514"/>
      <c r="AX28" s="517"/>
      <c r="AY28" s="471"/>
      <c r="AZ28" s="536"/>
      <c r="BA28" s="518"/>
      <c r="BB28" s="471"/>
      <c r="BC28" s="536"/>
      <c r="BD28" s="537"/>
      <c r="BE28" s="516"/>
      <c r="BF28" s="519"/>
      <c r="BG28" s="471"/>
      <c r="BH28" s="471"/>
      <c r="BI28" s="471"/>
    </row>
    <row r="29" spans="1:61" ht="5.25" customHeight="1" thickBot="1" x14ac:dyDescent="0.4">
      <c r="B29" s="471"/>
      <c r="E29" s="475"/>
      <c r="U29" s="623"/>
      <c r="V29" s="623"/>
      <c r="W29" s="623"/>
      <c r="X29" s="623"/>
      <c r="Y29" s="623"/>
      <c r="Z29" s="623"/>
      <c r="AA29" s="623"/>
      <c r="AQ29" s="526"/>
      <c r="AR29" s="526"/>
      <c r="AV29" s="526"/>
      <c r="AZ29" s="526"/>
      <c r="BC29" s="526"/>
      <c r="BD29" s="539"/>
      <c r="BF29" s="496"/>
    </row>
    <row r="30" spans="1:61" ht="28.5" customHeight="1" x14ac:dyDescent="0.35">
      <c r="B30" s="520" t="s">
        <v>98</v>
      </c>
      <c r="C30" s="504"/>
      <c r="D30" s="216" t="s">
        <v>90</v>
      </c>
      <c r="E30" s="529">
        <v>0</v>
      </c>
      <c r="F30" s="505"/>
      <c r="G30" s="506" t="s">
        <v>184</v>
      </c>
      <c r="H30" s="48">
        <v>1316</v>
      </c>
      <c r="I30" s="48">
        <v>1512</v>
      </c>
      <c r="J30" s="507">
        <v>46609</v>
      </c>
      <c r="K30" s="507">
        <v>46847</v>
      </c>
      <c r="L30" s="504"/>
      <c r="M30" s="48">
        <v>1512</v>
      </c>
      <c r="N30" s="48">
        <v>1447.5</v>
      </c>
      <c r="O30" s="504"/>
      <c r="P30" s="216" t="s">
        <v>90</v>
      </c>
      <c r="Q30" s="529">
        <v>0</v>
      </c>
      <c r="R30" s="505"/>
      <c r="S30" s="523" t="s">
        <v>561</v>
      </c>
      <c r="T30" s="505"/>
      <c r="U30" s="49">
        <v>1335.4604200000001</v>
      </c>
      <c r="V30" s="49">
        <v>1474.73089903</v>
      </c>
      <c r="W30" s="49">
        <f>ROUND((V30-AZ30),1)</f>
        <v>0</v>
      </c>
      <c r="X30" s="50"/>
      <c r="Y30" s="507">
        <v>46402</v>
      </c>
      <c r="Z30" s="507">
        <v>46721</v>
      </c>
      <c r="AA30" s="51">
        <f>Z30-BA30</f>
        <v>20</v>
      </c>
      <c r="AB30" s="504"/>
      <c r="AC30" s="49">
        <v>1282.9507228299999</v>
      </c>
      <c r="AD30" s="49">
        <v>1223.4460228145001</v>
      </c>
      <c r="AE30" s="52">
        <v>1355.3227560099999</v>
      </c>
      <c r="AF30" s="508">
        <v>0.90269717481632328</v>
      </c>
      <c r="AG30" s="508">
        <v>0.95361887330774375</v>
      </c>
      <c r="AH30" s="544">
        <v>0.96068045418373382</v>
      </c>
      <c r="AI30" s="543">
        <v>0.91612301232746385</v>
      </c>
      <c r="AJ30" s="509"/>
      <c r="AK30" s="219" t="s">
        <v>91</v>
      </c>
      <c r="AM30" s="555">
        <v>41621</v>
      </c>
      <c r="AN30" s="568">
        <f>(V30-I30)/I30</f>
        <v>-2.4648876302910024E-2</v>
      </c>
      <c r="AO30" s="568">
        <f>((Z30-AM30)-(K30-AM30))/(K30-AM30)</f>
        <v>-2.4110218140068886E-2</v>
      </c>
      <c r="AQ30" s="530">
        <f>V30-I30</f>
        <v>-37.269100969999954</v>
      </c>
      <c r="AR30" s="531">
        <f>V30-M30</f>
        <v>-37.269100969999954</v>
      </c>
      <c r="AS30" s="510"/>
      <c r="AT30" s="509">
        <f>Z30-K30</f>
        <v>-126</v>
      </c>
      <c r="AU30" s="504"/>
      <c r="AV30" s="532">
        <f>V30-U30</f>
        <v>139.27047902999993</v>
      </c>
      <c r="AW30" s="510"/>
      <c r="AX30" s="511">
        <f>Z30-Y30</f>
        <v>319</v>
      </c>
      <c r="AZ30" s="53">
        <v>1474.7308989999999</v>
      </c>
      <c r="BA30" s="521">
        <v>46701</v>
      </c>
      <c r="BC30" s="53">
        <v>1335.4604200000001</v>
      </c>
      <c r="BD30" s="77">
        <f>U30-BC30</f>
        <v>0</v>
      </c>
      <c r="BE30" s="512">
        <v>46402</v>
      </c>
      <c r="BF30" s="513">
        <f>Y30-BE30</f>
        <v>0</v>
      </c>
    </row>
    <row r="31" spans="1:61" ht="109.4" customHeight="1" thickBot="1" x14ac:dyDescent="0.4">
      <c r="A31" s="467" t="str">
        <f>B30</f>
        <v>Box Encapsulation Plant</v>
      </c>
      <c r="B31" s="694" t="s">
        <v>580</v>
      </c>
      <c r="C31" s="697"/>
      <c r="D31" s="697"/>
      <c r="E31" s="697"/>
      <c r="F31" s="697"/>
      <c r="G31" s="697"/>
      <c r="H31" s="697"/>
      <c r="I31" s="697"/>
      <c r="J31" s="697"/>
      <c r="K31" s="697"/>
      <c r="L31" s="697"/>
      <c r="M31" s="697"/>
      <c r="N31" s="697"/>
      <c r="O31" s="697"/>
      <c r="P31" s="697"/>
      <c r="Q31" s="697"/>
      <c r="R31" s="697"/>
      <c r="S31" s="697"/>
      <c r="T31" s="697"/>
      <c r="U31" s="697"/>
      <c r="V31" s="697"/>
      <c r="W31" s="697"/>
      <c r="X31" s="697"/>
      <c r="Y31" s="697"/>
      <c r="Z31" s="697"/>
      <c r="AA31" s="697"/>
      <c r="AB31" s="697"/>
      <c r="AC31" s="697"/>
      <c r="AD31" s="697"/>
      <c r="AE31" s="697"/>
      <c r="AF31" s="697"/>
      <c r="AG31" s="697"/>
      <c r="AH31" s="697"/>
      <c r="AI31" s="697"/>
      <c r="AJ31" s="697"/>
      <c r="AK31" s="698"/>
      <c r="AQ31" s="533"/>
      <c r="AR31" s="534"/>
      <c r="AS31" s="514"/>
      <c r="AT31" s="514"/>
      <c r="AU31" s="515"/>
      <c r="AV31" s="535"/>
      <c r="AW31" s="514"/>
      <c r="AX31" s="517"/>
      <c r="AZ31" s="536"/>
      <c r="BA31" s="518"/>
      <c r="BC31" s="536"/>
      <c r="BD31" s="537"/>
      <c r="BE31" s="516"/>
      <c r="BF31" s="519"/>
    </row>
    <row r="32" spans="1:61" ht="5.25" customHeight="1" thickBot="1" x14ac:dyDescent="0.4">
      <c r="B32" s="472"/>
      <c r="D32" s="487"/>
      <c r="E32" s="485"/>
      <c r="F32" s="474"/>
      <c r="G32" s="473"/>
      <c r="H32" s="473"/>
      <c r="I32" s="547"/>
      <c r="J32" s="547"/>
      <c r="K32" s="473"/>
      <c r="M32" s="547"/>
      <c r="N32" s="546"/>
      <c r="R32" s="474"/>
      <c r="S32" s="474"/>
      <c r="T32" s="474"/>
      <c r="U32" s="550"/>
      <c r="V32" s="550"/>
      <c r="W32" s="551"/>
      <c r="X32" s="552"/>
      <c r="Y32" s="473"/>
      <c r="Z32" s="473"/>
      <c r="AA32" s="552"/>
      <c r="AC32" s="549"/>
      <c r="AD32" s="549"/>
      <c r="AE32" s="549"/>
      <c r="AF32" s="522"/>
      <c r="AG32" s="522"/>
      <c r="AH32" s="486"/>
      <c r="AI32" s="486"/>
      <c r="AK32" s="487"/>
      <c r="AQ32" s="526"/>
      <c r="AR32" s="526"/>
      <c r="AV32" s="526"/>
      <c r="AZ32" s="526"/>
      <c r="BC32" s="526"/>
      <c r="BD32" s="539"/>
      <c r="BF32" s="496"/>
    </row>
    <row r="33" spans="1:58" ht="28.5" customHeight="1" x14ac:dyDescent="0.35">
      <c r="B33" s="520" t="s">
        <v>7</v>
      </c>
      <c r="C33" s="504"/>
      <c r="D33" s="216" t="s">
        <v>90</v>
      </c>
      <c r="E33" s="529">
        <v>0</v>
      </c>
      <c r="F33" s="505"/>
      <c r="G33" s="506" t="s">
        <v>291</v>
      </c>
      <c r="H33" s="48">
        <v>866.7</v>
      </c>
      <c r="I33" s="48">
        <v>897.9</v>
      </c>
      <c r="J33" s="507">
        <v>46505</v>
      </c>
      <c r="K33" s="507">
        <v>47053</v>
      </c>
      <c r="L33" s="504"/>
      <c r="M33" s="48">
        <v>897.9</v>
      </c>
      <c r="N33" s="48">
        <v>897.9</v>
      </c>
      <c r="O33" s="504"/>
      <c r="P33" s="216" t="s">
        <v>88</v>
      </c>
      <c r="Q33" s="529">
        <v>-1</v>
      </c>
      <c r="R33" s="505"/>
      <c r="S33" s="523" t="s">
        <v>562</v>
      </c>
      <c r="T33" s="505"/>
      <c r="U33" s="49">
        <v>803.03225499999996</v>
      </c>
      <c r="V33" s="49">
        <v>889.66115429000001</v>
      </c>
      <c r="W33" s="49">
        <f>ROUND((V33-AZ33),1)</f>
        <v>1.8</v>
      </c>
      <c r="X33" s="50"/>
      <c r="Y33" s="507">
        <v>46505</v>
      </c>
      <c r="Z33" s="507">
        <v>47262</v>
      </c>
      <c r="AA33" s="51">
        <f>Z33-BA33</f>
        <v>99</v>
      </c>
      <c r="AB33" s="504"/>
      <c r="AC33" s="49">
        <v>799.49913741</v>
      </c>
      <c r="AD33" s="49">
        <v>786.2019510353</v>
      </c>
      <c r="AE33" s="52">
        <v>872.40327776000004</v>
      </c>
      <c r="AF33" s="508">
        <v>0.90119096417653055</v>
      </c>
      <c r="AG33" s="508">
        <v>0.98336810416359344</v>
      </c>
      <c r="AH33" s="544">
        <v>0.99560027935615114</v>
      </c>
      <c r="AI33" s="543">
        <v>0.97904155921520242</v>
      </c>
      <c r="AJ33" s="509"/>
      <c r="AK33" s="219" t="s">
        <v>91</v>
      </c>
      <c r="AM33" s="555">
        <v>41000</v>
      </c>
      <c r="AN33" s="568">
        <f>(V33-I33)/I33</f>
        <v>-9.1756829379663271E-3</v>
      </c>
      <c r="AO33" s="568">
        <f>((Z33-AM33)-(K33-AM33))/(K33-AM33)</f>
        <v>3.4528333057987776E-2</v>
      </c>
      <c r="AQ33" s="530">
        <f>V33-I33</f>
        <v>-8.2388457099999641</v>
      </c>
      <c r="AR33" s="531">
        <f>V33-M33</f>
        <v>-8.2388457099999641</v>
      </c>
      <c r="AS33" s="510"/>
      <c r="AT33" s="509">
        <f>Z33-K33</f>
        <v>209</v>
      </c>
      <c r="AU33" s="504"/>
      <c r="AV33" s="532">
        <f>V33-U33</f>
        <v>86.628899290000049</v>
      </c>
      <c r="AW33" s="510"/>
      <c r="AX33" s="511">
        <f>Z33-Y33</f>
        <v>757</v>
      </c>
      <c r="AZ33" s="53">
        <v>887.84724276999998</v>
      </c>
      <c r="BA33" s="521">
        <v>47163</v>
      </c>
      <c r="BC33" s="53">
        <v>803.03225499999996</v>
      </c>
      <c r="BD33" s="77">
        <f>U33-BC33</f>
        <v>0</v>
      </c>
      <c r="BE33" s="512">
        <v>46505</v>
      </c>
      <c r="BF33" s="513">
        <f>Y33-BE33</f>
        <v>0</v>
      </c>
    </row>
    <row r="34" spans="1:58" ht="96" customHeight="1" thickBot="1" x14ac:dyDescent="0.4">
      <c r="A34" s="467" t="str">
        <f>B33</f>
        <v>SEP Solid Waste Storage Retrievals</v>
      </c>
      <c r="B34" s="694" t="s">
        <v>581</v>
      </c>
      <c r="C34" s="697"/>
      <c r="D34" s="697"/>
      <c r="E34" s="697"/>
      <c r="F34" s="697"/>
      <c r="G34" s="697"/>
      <c r="H34" s="697"/>
      <c r="I34" s="697"/>
      <c r="J34" s="697"/>
      <c r="K34" s="697"/>
      <c r="L34" s="697"/>
      <c r="M34" s="697"/>
      <c r="N34" s="697"/>
      <c r="O34" s="697"/>
      <c r="P34" s="697"/>
      <c r="Q34" s="697"/>
      <c r="R34" s="697"/>
      <c r="S34" s="697"/>
      <c r="T34" s="697"/>
      <c r="U34" s="697"/>
      <c r="V34" s="697"/>
      <c r="W34" s="697"/>
      <c r="X34" s="697"/>
      <c r="Y34" s="697"/>
      <c r="Z34" s="697"/>
      <c r="AA34" s="697"/>
      <c r="AB34" s="697"/>
      <c r="AC34" s="697"/>
      <c r="AD34" s="697"/>
      <c r="AE34" s="697"/>
      <c r="AF34" s="697"/>
      <c r="AG34" s="697"/>
      <c r="AH34" s="697"/>
      <c r="AI34" s="697"/>
      <c r="AJ34" s="697"/>
      <c r="AK34" s="698"/>
      <c r="AQ34" s="533"/>
      <c r="AR34" s="534"/>
      <c r="AS34" s="514"/>
      <c r="AT34" s="514"/>
      <c r="AU34" s="515"/>
      <c r="AV34" s="535"/>
      <c r="AW34" s="514"/>
      <c r="AX34" s="517"/>
      <c r="AZ34" s="536"/>
      <c r="BA34" s="518"/>
      <c r="BC34" s="536"/>
      <c r="BD34" s="537"/>
      <c r="BE34" s="516"/>
      <c r="BF34" s="519"/>
    </row>
    <row r="35" spans="1:58" ht="5.25" customHeight="1" thickBot="1" x14ac:dyDescent="0.4">
      <c r="B35" s="471"/>
      <c r="E35" s="475"/>
      <c r="U35" s="623"/>
      <c r="V35" s="623"/>
      <c r="W35" s="623"/>
      <c r="X35" s="623"/>
      <c r="Y35" s="623"/>
      <c r="Z35" s="623"/>
      <c r="AA35" s="623"/>
    </row>
    <row r="36" spans="1:58" ht="28.5" customHeight="1" x14ac:dyDescent="0.35">
      <c r="B36" s="520" t="s">
        <v>5</v>
      </c>
      <c r="C36" s="504"/>
      <c r="D36" s="216" t="s">
        <v>91</v>
      </c>
      <c r="E36" s="529">
        <v>0</v>
      </c>
      <c r="F36" s="505"/>
      <c r="G36" s="506" t="s">
        <v>6</v>
      </c>
      <c r="H36" s="48">
        <v>305.90000000000003</v>
      </c>
      <c r="I36" s="48">
        <v>315.39999999999998</v>
      </c>
      <c r="J36" s="507">
        <v>46053</v>
      </c>
      <c r="K36" s="507">
        <v>46112</v>
      </c>
      <c r="L36" s="504"/>
      <c r="M36" s="48">
        <v>315.39999999999998</v>
      </c>
      <c r="N36" s="48">
        <v>315.39999999999998</v>
      </c>
      <c r="O36" s="504"/>
      <c r="P36" s="216" t="s">
        <v>88</v>
      </c>
      <c r="Q36" s="529">
        <v>0</v>
      </c>
      <c r="R36" s="505"/>
      <c r="S36" s="523" t="s">
        <v>563</v>
      </c>
      <c r="T36" s="505"/>
      <c r="U36" s="49">
        <v>297.38168000000002</v>
      </c>
      <c r="V36" s="49">
        <v>315.08837662000002</v>
      </c>
      <c r="W36" s="49">
        <f>ROUND((V36-AZ36),1)</f>
        <v>0</v>
      </c>
      <c r="X36" s="50"/>
      <c r="Y36" s="507">
        <v>46107</v>
      </c>
      <c r="Z36" s="507">
        <v>46107</v>
      </c>
      <c r="AA36" s="51">
        <f>Z36-BA36</f>
        <v>0</v>
      </c>
      <c r="AB36" s="504"/>
      <c r="AC36" s="49">
        <v>293.87326624000002</v>
      </c>
      <c r="AD36" s="49">
        <v>292.93551980010005</v>
      </c>
      <c r="AE36" s="52">
        <v>314.06940757999996</v>
      </c>
      <c r="AF36" s="508">
        <v>0.93270949901570166</v>
      </c>
      <c r="AG36" s="508">
        <v>0.9968090107279981</v>
      </c>
      <c r="AH36" s="544">
        <v>0.98820232046573953</v>
      </c>
      <c r="AI36" s="543">
        <v>0.98504897746256603</v>
      </c>
      <c r="AJ36" s="509"/>
      <c r="AK36" s="219" t="s">
        <v>90</v>
      </c>
      <c r="AM36" s="555">
        <v>41821</v>
      </c>
      <c r="AN36" s="568">
        <f>(V36-I36)/I36</f>
        <v>-9.8802593532009418E-4</v>
      </c>
      <c r="AO36" s="568">
        <f>((Z36-AM36)-(K36-AM36))/(K36-AM36)</f>
        <v>-1.1652295502213937E-3</v>
      </c>
      <c r="AQ36" s="530">
        <f>V36-I36</f>
        <v>-0.31162337999995771</v>
      </c>
      <c r="AR36" s="531">
        <f>V36-M36</f>
        <v>-0.31162337999995771</v>
      </c>
      <c r="AS36" s="510"/>
      <c r="AT36" s="509">
        <f>Z36-K36</f>
        <v>-5</v>
      </c>
      <c r="AU36" s="504"/>
      <c r="AV36" s="532">
        <f>V36-U36</f>
        <v>17.706696620000002</v>
      </c>
      <c r="AW36" s="510"/>
      <c r="AX36" s="511">
        <f>Z36-Y36</f>
        <v>0</v>
      </c>
      <c r="AZ36" s="53">
        <v>315.13482794999999</v>
      </c>
      <c r="BA36" s="521">
        <v>46107</v>
      </c>
      <c r="BC36" s="53">
        <v>297.38168000000002</v>
      </c>
      <c r="BD36" s="77">
        <f>U36-BC36</f>
        <v>0</v>
      </c>
      <c r="BE36" s="512">
        <v>46107</v>
      </c>
      <c r="BF36" s="513">
        <f>Y36-BE36</f>
        <v>0</v>
      </c>
    </row>
    <row r="37" spans="1:58" ht="81.75" customHeight="1" thickBot="1" x14ac:dyDescent="0.4">
      <c r="A37" s="467" t="str">
        <f>B36</f>
        <v>Security Systems Architecture Upgrade (SSAU)</v>
      </c>
      <c r="B37" s="694" t="s">
        <v>582</v>
      </c>
      <c r="C37" s="695"/>
      <c r="D37" s="695"/>
      <c r="E37" s="695"/>
      <c r="F37" s="695"/>
      <c r="G37" s="695"/>
      <c r="H37" s="695"/>
      <c r="I37" s="695"/>
      <c r="J37" s="695"/>
      <c r="K37" s="695"/>
      <c r="L37" s="695"/>
      <c r="M37" s="695"/>
      <c r="N37" s="695"/>
      <c r="O37" s="695"/>
      <c r="P37" s="695"/>
      <c r="Q37" s="695"/>
      <c r="R37" s="695"/>
      <c r="S37" s="695"/>
      <c r="T37" s="695"/>
      <c r="U37" s="695"/>
      <c r="V37" s="695"/>
      <c r="W37" s="695"/>
      <c r="X37" s="695"/>
      <c r="Y37" s="695"/>
      <c r="Z37" s="695"/>
      <c r="AA37" s="695"/>
      <c r="AB37" s="695"/>
      <c r="AC37" s="695"/>
      <c r="AD37" s="695"/>
      <c r="AE37" s="695"/>
      <c r="AF37" s="695"/>
      <c r="AG37" s="695"/>
      <c r="AH37" s="695"/>
      <c r="AI37" s="695"/>
      <c r="AJ37" s="695"/>
      <c r="AK37" s="696"/>
      <c r="AQ37" s="533"/>
      <c r="AR37" s="534"/>
      <c r="AS37" s="514"/>
      <c r="AT37" s="514"/>
      <c r="AU37" s="515"/>
      <c r="AV37" s="535"/>
      <c r="AW37" s="514"/>
      <c r="AX37" s="517"/>
      <c r="AZ37" s="536"/>
      <c r="BA37" s="518"/>
      <c r="BC37" s="536"/>
      <c r="BD37" s="537"/>
      <c r="BE37" s="516"/>
      <c r="BF37" s="519"/>
    </row>
    <row r="38" spans="1:58" ht="5.25" customHeight="1" thickBot="1" x14ac:dyDescent="0.4">
      <c r="B38" s="471"/>
      <c r="E38" s="475"/>
      <c r="U38" s="623"/>
      <c r="V38" s="623"/>
      <c r="W38" s="623"/>
      <c r="X38" s="623"/>
      <c r="Y38" s="623"/>
      <c r="Z38" s="623"/>
      <c r="AA38" s="623"/>
      <c r="AQ38" s="526"/>
      <c r="AR38" s="526"/>
      <c r="AV38" s="526"/>
      <c r="AZ38" s="526"/>
      <c r="BC38" s="526"/>
      <c r="BD38" s="539"/>
      <c r="BF38" s="496"/>
    </row>
    <row r="39" spans="1:58" ht="28.5" customHeight="1" x14ac:dyDescent="0.35">
      <c r="B39" s="503" t="s">
        <v>119</v>
      </c>
      <c r="C39" s="504"/>
      <c r="D39" s="216" t="s">
        <v>91</v>
      </c>
      <c r="E39" s="529">
        <v>0</v>
      </c>
      <c r="F39" s="505"/>
      <c r="G39" s="506" t="s">
        <v>368</v>
      </c>
      <c r="H39" s="48">
        <v>72.599999999999994</v>
      </c>
      <c r="I39" s="48">
        <v>79</v>
      </c>
      <c r="J39" s="507">
        <v>46106</v>
      </c>
      <c r="K39" s="507">
        <v>46234</v>
      </c>
      <c r="L39" s="504"/>
      <c r="M39" s="48">
        <v>72.599999999999994</v>
      </c>
      <c r="N39" s="48">
        <v>72.599999999999994</v>
      </c>
      <c r="O39" s="504"/>
      <c r="P39" s="216" t="s">
        <v>91</v>
      </c>
      <c r="Q39" s="529">
        <v>0</v>
      </c>
      <c r="R39" s="505"/>
      <c r="S39" s="523" t="s">
        <v>564</v>
      </c>
      <c r="T39" s="505"/>
      <c r="U39" s="49">
        <v>72.672543000000005</v>
      </c>
      <c r="V39" s="49">
        <v>71.943748249999999</v>
      </c>
      <c r="W39" s="49">
        <f>ROUND((V39-AZ39),1)</f>
        <v>0.6</v>
      </c>
      <c r="X39" s="50"/>
      <c r="Y39" s="507">
        <v>46106</v>
      </c>
      <c r="Z39" s="507">
        <v>46231</v>
      </c>
      <c r="AA39" s="51">
        <f>Z39-BA39</f>
        <v>99</v>
      </c>
      <c r="AB39" s="504"/>
      <c r="AC39" s="49">
        <v>72.642746889999998</v>
      </c>
      <c r="AD39" s="49">
        <v>65.985415277599998</v>
      </c>
      <c r="AE39" s="52">
        <v>70.043329650000004</v>
      </c>
      <c r="AF39" s="508">
        <v>0.94206565574941936</v>
      </c>
      <c r="AG39" s="508">
        <v>0.90835517794390497</v>
      </c>
      <c r="AH39" s="544">
        <v>0.99958999494485834</v>
      </c>
      <c r="AI39" s="543">
        <v>0.90798274772908383</v>
      </c>
      <c r="AJ39" s="509"/>
      <c r="AK39" s="219" t="s">
        <v>91</v>
      </c>
      <c r="AM39" s="555">
        <v>41821</v>
      </c>
      <c r="AN39" s="568">
        <f>(V39-I39)/I39</f>
        <v>-8.9319642405063307E-2</v>
      </c>
      <c r="AO39" s="568">
        <f>((Z39-AM39)-(K39-AM39))/(K39-AM39)</f>
        <v>-6.7980965329707678E-4</v>
      </c>
      <c r="AQ39" s="530">
        <f>V39-I39</f>
        <v>-7.0562517500000013</v>
      </c>
      <c r="AR39" s="531">
        <f>V39-M39</f>
        <v>-0.65625174999999558</v>
      </c>
      <c r="AS39" s="510"/>
      <c r="AT39" s="509">
        <f>Z39-K39</f>
        <v>-3</v>
      </c>
      <c r="AU39" s="504"/>
      <c r="AV39" s="532">
        <f>V39-U39</f>
        <v>-0.72879475000000582</v>
      </c>
      <c r="AW39" s="510"/>
      <c r="AX39" s="511">
        <f>Z39-Y39</f>
        <v>125</v>
      </c>
      <c r="AZ39" s="53">
        <v>71.339767129999998</v>
      </c>
      <c r="BA39" s="521">
        <v>46132</v>
      </c>
      <c r="BC39" s="53">
        <v>72.672543000000005</v>
      </c>
      <c r="BD39" s="77">
        <f>U39-BC39</f>
        <v>0</v>
      </c>
      <c r="BE39" s="512">
        <v>46106</v>
      </c>
      <c r="BF39" s="513">
        <f>Y39-BE39</f>
        <v>0</v>
      </c>
    </row>
    <row r="40" spans="1:58" ht="93.75" customHeight="1" thickBot="1" x14ac:dyDescent="0.4">
      <c r="A40" s="467" t="str">
        <f>B39</f>
        <v>CNC Operational Unit</v>
      </c>
      <c r="B40" s="694" t="s">
        <v>583</v>
      </c>
      <c r="C40" s="695"/>
      <c r="D40" s="695"/>
      <c r="E40" s="695"/>
      <c r="F40" s="695"/>
      <c r="G40" s="695"/>
      <c r="H40" s="695"/>
      <c r="I40" s="695"/>
      <c r="J40" s="695"/>
      <c r="K40" s="695"/>
      <c r="L40" s="695"/>
      <c r="M40" s="695"/>
      <c r="N40" s="695"/>
      <c r="O40" s="695"/>
      <c r="P40" s="695"/>
      <c r="Q40" s="695"/>
      <c r="R40" s="695"/>
      <c r="S40" s="695"/>
      <c r="T40" s="695"/>
      <c r="U40" s="695"/>
      <c r="V40" s="695"/>
      <c r="W40" s="695"/>
      <c r="X40" s="695"/>
      <c r="Y40" s="695"/>
      <c r="Z40" s="695"/>
      <c r="AA40" s="695"/>
      <c r="AB40" s="695"/>
      <c r="AC40" s="695"/>
      <c r="AD40" s="695"/>
      <c r="AE40" s="695"/>
      <c r="AF40" s="695"/>
      <c r="AG40" s="695"/>
      <c r="AH40" s="695"/>
      <c r="AI40" s="695"/>
      <c r="AJ40" s="695"/>
      <c r="AK40" s="696"/>
      <c r="AQ40" s="533"/>
      <c r="AR40" s="534"/>
      <c r="AS40" s="514"/>
      <c r="AT40" s="514"/>
      <c r="AU40" s="515"/>
      <c r="AV40" s="535"/>
      <c r="AW40" s="514"/>
      <c r="AX40" s="517"/>
      <c r="AZ40" s="536"/>
      <c r="BA40" s="518"/>
      <c r="BC40" s="536"/>
      <c r="BD40" s="537"/>
      <c r="BE40" s="516"/>
      <c r="BF40" s="519"/>
    </row>
    <row r="41" spans="1:58" ht="5.25" customHeight="1" thickBot="1" x14ac:dyDescent="0.4">
      <c r="B41" s="471"/>
      <c r="E41" s="475"/>
      <c r="U41" s="623"/>
      <c r="V41" s="623"/>
      <c r="W41" s="623"/>
      <c r="X41" s="623"/>
      <c r="Y41" s="623"/>
      <c r="Z41" s="623"/>
      <c r="AA41" s="623"/>
      <c r="AQ41" s="526"/>
      <c r="AR41" s="526"/>
      <c r="AV41" s="526"/>
      <c r="AZ41" s="526"/>
      <c r="BC41" s="526"/>
      <c r="BD41" s="539"/>
      <c r="BF41" s="496"/>
    </row>
    <row r="42" spans="1:58" ht="28.5" customHeight="1" x14ac:dyDescent="0.35">
      <c r="B42" s="503" t="s">
        <v>235</v>
      </c>
      <c r="C42" s="504"/>
      <c r="D42" s="216" t="s">
        <v>91</v>
      </c>
      <c r="E42" s="529">
        <v>0</v>
      </c>
      <c r="F42" s="505"/>
      <c r="G42" s="506" t="s">
        <v>570</v>
      </c>
      <c r="H42" s="48">
        <v>69.099999999999994</v>
      </c>
      <c r="I42" s="48">
        <v>75.8</v>
      </c>
      <c r="J42" s="507">
        <v>46295</v>
      </c>
      <c r="K42" s="507">
        <v>46446</v>
      </c>
      <c r="L42" s="504"/>
      <c r="M42" s="48" t="s">
        <v>164</v>
      </c>
      <c r="N42" s="48">
        <v>69.099999999999994</v>
      </c>
      <c r="O42" s="504"/>
      <c r="P42" s="216" t="s">
        <v>91</v>
      </c>
      <c r="Q42" s="529">
        <v>0</v>
      </c>
      <c r="R42" s="505"/>
      <c r="S42" s="523" t="s">
        <v>565</v>
      </c>
      <c r="T42" s="505"/>
      <c r="U42" s="49">
        <v>67.414677999999995</v>
      </c>
      <c r="V42" s="49">
        <v>35.886955310000005</v>
      </c>
      <c r="W42" s="49">
        <f>ROUND((V42-AZ42),1)</f>
        <v>0.4</v>
      </c>
      <c r="X42" s="50"/>
      <c r="Y42" s="507">
        <v>46266</v>
      </c>
      <c r="Z42" s="507">
        <v>46112</v>
      </c>
      <c r="AA42" s="51">
        <f>Z42-BA42</f>
        <v>0</v>
      </c>
      <c r="AB42" s="504"/>
      <c r="AC42" s="49">
        <v>63.664382700000004</v>
      </c>
      <c r="AD42" s="49">
        <v>62.738821667300002</v>
      </c>
      <c r="AE42" s="52">
        <v>35.506485310000002</v>
      </c>
      <c r="AF42" s="508">
        <v>1.7669679530243541</v>
      </c>
      <c r="AG42" s="508">
        <v>0.98546187061827906</v>
      </c>
      <c r="AH42" s="544">
        <v>0.94436975134702861</v>
      </c>
      <c r="AI42" s="543">
        <v>0.93064038171776187</v>
      </c>
      <c r="AJ42" s="509"/>
      <c r="AK42" s="219" t="s">
        <v>91</v>
      </c>
      <c r="AM42" s="555">
        <v>44280</v>
      </c>
      <c r="AN42" s="568">
        <f>(V42-I42)/I42</f>
        <v>-0.52655731781002635</v>
      </c>
      <c r="AO42" s="568">
        <f>((Z42-AM42)-(K42-AM42))/(K42-AM42)</f>
        <v>-0.15420129270544783</v>
      </c>
      <c r="AQ42" s="530">
        <f>V42-I42</f>
        <v>-39.913044689999992</v>
      </c>
      <c r="AR42" s="531" t="e">
        <f>V42-M42</f>
        <v>#VALUE!</v>
      </c>
      <c r="AS42" s="510"/>
      <c r="AT42" s="509">
        <f>Z42-K42</f>
        <v>-334</v>
      </c>
      <c r="AU42" s="504"/>
      <c r="AV42" s="532">
        <f>V42-U42</f>
        <v>-31.52772268999999</v>
      </c>
      <c r="AW42" s="510"/>
      <c r="AX42" s="511">
        <f>Z42-Y42</f>
        <v>-154</v>
      </c>
      <c r="AZ42" s="53">
        <v>35.500879740000002</v>
      </c>
      <c r="BA42" s="521">
        <v>46112</v>
      </c>
      <c r="BC42" s="53">
        <v>67.414677999999995</v>
      </c>
      <c r="BD42" s="77">
        <f>U42-BC42</f>
        <v>0</v>
      </c>
      <c r="BE42" s="512">
        <v>46266</v>
      </c>
      <c r="BF42" s="513">
        <f>Y42-BE42</f>
        <v>0</v>
      </c>
    </row>
    <row r="43" spans="1:58" ht="111" customHeight="1" thickBot="1" x14ac:dyDescent="0.4">
      <c r="A43" s="467" t="str">
        <f>B42</f>
        <v>ILW East Land Excavation</v>
      </c>
      <c r="B43" s="694" t="s">
        <v>549</v>
      </c>
      <c r="C43" s="695"/>
      <c r="D43" s="695"/>
      <c r="E43" s="695"/>
      <c r="F43" s="695"/>
      <c r="G43" s="695"/>
      <c r="H43" s="695"/>
      <c r="I43" s="695"/>
      <c r="J43" s="695"/>
      <c r="K43" s="695"/>
      <c r="L43" s="695"/>
      <c r="M43" s="695"/>
      <c r="N43" s="695"/>
      <c r="O43" s="695"/>
      <c r="P43" s="695"/>
      <c r="Q43" s="695"/>
      <c r="R43" s="695"/>
      <c r="S43" s="695"/>
      <c r="T43" s="695"/>
      <c r="U43" s="695"/>
      <c r="V43" s="695"/>
      <c r="W43" s="695"/>
      <c r="X43" s="695"/>
      <c r="Y43" s="695"/>
      <c r="Z43" s="695"/>
      <c r="AA43" s="695"/>
      <c r="AB43" s="695"/>
      <c r="AC43" s="695"/>
      <c r="AD43" s="695"/>
      <c r="AE43" s="695"/>
      <c r="AF43" s="695"/>
      <c r="AG43" s="695"/>
      <c r="AH43" s="695"/>
      <c r="AI43" s="695"/>
      <c r="AJ43" s="695"/>
      <c r="AK43" s="696"/>
      <c r="AQ43" s="533"/>
      <c r="AR43" s="534"/>
      <c r="AS43" s="514"/>
      <c r="AT43" s="514"/>
      <c r="AU43" s="515"/>
      <c r="AV43" s="535"/>
      <c r="AW43" s="514"/>
      <c r="AX43" s="517"/>
      <c r="AZ43" s="536"/>
      <c r="BA43" s="518"/>
      <c r="BC43" s="536"/>
      <c r="BD43" s="537"/>
      <c r="BE43" s="516"/>
      <c r="BF43" s="519"/>
    </row>
    <row r="44" spans="1:58" ht="5.25" customHeight="1" thickBot="1" x14ac:dyDescent="0.4">
      <c r="B44" s="471"/>
      <c r="E44" s="475"/>
      <c r="U44" s="623"/>
      <c r="V44" s="623"/>
      <c r="W44" s="623"/>
      <c r="X44" s="623"/>
      <c r="Y44" s="623"/>
      <c r="Z44" s="623"/>
      <c r="AA44" s="623"/>
      <c r="AQ44" s="526"/>
      <c r="AR44" s="526"/>
      <c r="AV44" s="526"/>
      <c r="AZ44" s="526"/>
      <c r="BC44" s="526"/>
      <c r="BD44" s="539"/>
      <c r="BF44" s="496"/>
    </row>
    <row r="45" spans="1:58" ht="28.5" customHeight="1" x14ac:dyDescent="0.35">
      <c r="B45" s="503" t="s">
        <v>295</v>
      </c>
      <c r="C45" s="504"/>
      <c r="D45" s="216" t="s">
        <v>91</v>
      </c>
      <c r="E45" s="529">
        <v>0</v>
      </c>
      <c r="F45" s="505"/>
      <c r="G45" s="506" t="s">
        <v>313</v>
      </c>
      <c r="H45" s="48">
        <v>54</v>
      </c>
      <c r="I45" s="48">
        <v>65</v>
      </c>
      <c r="J45" s="507">
        <v>47480</v>
      </c>
      <c r="K45" s="507">
        <v>47831</v>
      </c>
      <c r="L45" s="504"/>
      <c r="M45" s="48" t="s">
        <v>164</v>
      </c>
      <c r="N45" s="48">
        <v>11</v>
      </c>
      <c r="O45" s="504"/>
      <c r="P45" s="216" t="s">
        <v>91</v>
      </c>
      <c r="Q45" s="529">
        <v>0</v>
      </c>
      <c r="R45" s="505"/>
      <c r="S45" s="523" t="s">
        <v>566</v>
      </c>
      <c r="T45" s="505"/>
      <c r="U45" s="49">
        <v>53.217953000000001</v>
      </c>
      <c r="V45" s="49">
        <v>53.217743929999997</v>
      </c>
      <c r="W45" s="49">
        <f>ROUND((V45-AZ45),1)</f>
        <v>0</v>
      </c>
      <c r="X45" s="50"/>
      <c r="Y45" s="507">
        <v>47465</v>
      </c>
      <c r="Z45" s="507">
        <v>47528</v>
      </c>
      <c r="AA45" s="51">
        <f>Z45-BA45</f>
        <v>0</v>
      </c>
      <c r="AB45" s="504"/>
      <c r="AC45" s="49">
        <v>6.8649790800000003</v>
      </c>
      <c r="AD45" s="49">
        <v>4.1085646941</v>
      </c>
      <c r="AE45" s="52">
        <v>5.0076655700000003</v>
      </c>
      <c r="AF45" s="508">
        <v>0.82045508763876973</v>
      </c>
      <c r="AG45" s="508">
        <v>0.59848175008568272</v>
      </c>
      <c r="AH45" s="544">
        <v>0.12899742836782918</v>
      </c>
      <c r="AI45" s="543">
        <v>7.7202606686130895E-2</v>
      </c>
      <c r="AJ45" s="509"/>
      <c r="AK45" s="219" t="s">
        <v>91</v>
      </c>
      <c r="AM45" s="555">
        <v>44589</v>
      </c>
      <c r="AN45" s="568">
        <f>(V45-I45)/I45</f>
        <v>-0.18126547800000004</v>
      </c>
      <c r="AO45" s="568">
        <f>((Z45-AM45)-(K45-AM45))/(K45-AM45)</f>
        <v>-9.346082665021592E-2</v>
      </c>
      <c r="AQ45" s="530">
        <f>V45-I45</f>
        <v>-11.782256070000003</v>
      </c>
      <c r="AR45" s="531" t="e">
        <f>V45-M45</f>
        <v>#VALUE!</v>
      </c>
      <c r="AS45" s="510"/>
      <c r="AT45" s="509">
        <f>Z45-K45</f>
        <v>-303</v>
      </c>
      <c r="AU45" s="504"/>
      <c r="AV45" s="532">
        <f>V45-U45</f>
        <v>-2.0907000000391918E-4</v>
      </c>
      <c r="AW45" s="510"/>
      <c r="AX45" s="511">
        <f>Z45-Y45</f>
        <v>63</v>
      </c>
      <c r="AZ45" s="53">
        <v>53.196199560000004</v>
      </c>
      <c r="BA45" s="521">
        <v>47528</v>
      </c>
      <c r="BC45" s="53">
        <v>53.217953000000001</v>
      </c>
      <c r="BD45" s="77">
        <f>U45-BC45</f>
        <v>0</v>
      </c>
      <c r="BE45" s="512">
        <v>47465</v>
      </c>
      <c r="BF45" s="513">
        <f>Y45-BE45</f>
        <v>0</v>
      </c>
    </row>
    <row r="46" spans="1:58" ht="84.65" customHeight="1" thickBot="1" x14ac:dyDescent="0.4">
      <c r="A46" s="467" t="str">
        <f>B45</f>
        <v>Heat Exchanger Deplanting - Main Project</v>
      </c>
      <c r="B46" s="694" t="s">
        <v>587</v>
      </c>
      <c r="C46" s="695"/>
      <c r="D46" s="695"/>
      <c r="E46" s="695"/>
      <c r="F46" s="695"/>
      <c r="G46" s="695"/>
      <c r="H46" s="695"/>
      <c r="I46" s="695"/>
      <c r="J46" s="695"/>
      <c r="K46" s="695"/>
      <c r="L46" s="695"/>
      <c r="M46" s="695"/>
      <c r="N46" s="695"/>
      <c r="O46" s="695"/>
      <c r="P46" s="695"/>
      <c r="Q46" s="695"/>
      <c r="R46" s="695"/>
      <c r="S46" s="695"/>
      <c r="T46" s="695"/>
      <c r="U46" s="695"/>
      <c r="V46" s="695"/>
      <c r="W46" s="695"/>
      <c r="X46" s="695"/>
      <c r="Y46" s="695"/>
      <c r="Z46" s="695"/>
      <c r="AA46" s="695"/>
      <c r="AB46" s="695"/>
      <c r="AC46" s="695"/>
      <c r="AD46" s="695"/>
      <c r="AE46" s="695"/>
      <c r="AF46" s="695"/>
      <c r="AG46" s="695"/>
      <c r="AH46" s="695"/>
      <c r="AI46" s="695"/>
      <c r="AJ46" s="695"/>
      <c r="AK46" s="696"/>
      <c r="AQ46" s="533"/>
      <c r="AR46" s="534"/>
      <c r="AS46" s="514"/>
      <c r="AT46" s="514"/>
      <c r="AU46" s="515"/>
      <c r="AV46" s="535"/>
      <c r="AW46" s="514"/>
      <c r="AX46" s="517"/>
      <c r="AZ46" s="536"/>
      <c r="BA46" s="518"/>
      <c r="BC46" s="536"/>
      <c r="BD46" s="537"/>
      <c r="BE46" s="516"/>
      <c r="BF46" s="519"/>
    </row>
    <row r="47" spans="1:58" ht="5.25" customHeight="1" thickBot="1" x14ac:dyDescent="0.4">
      <c r="B47" s="471"/>
      <c r="E47" s="475"/>
      <c r="U47" s="623"/>
      <c r="V47" s="623"/>
      <c r="W47" s="623"/>
      <c r="X47" s="623"/>
      <c r="Y47" s="623"/>
      <c r="Z47" s="623"/>
      <c r="AA47" s="623"/>
      <c r="AQ47" s="526"/>
      <c r="AR47" s="526"/>
      <c r="AV47" s="526"/>
      <c r="AZ47" s="526"/>
      <c r="BC47" s="526"/>
      <c r="BD47" s="539"/>
      <c r="BF47" s="496"/>
    </row>
    <row r="48" spans="1:58" ht="32.25" customHeight="1" x14ac:dyDescent="0.35">
      <c r="B48" s="503" t="s">
        <v>113</v>
      </c>
      <c r="C48" s="504"/>
      <c r="D48" s="216" t="s">
        <v>91</v>
      </c>
      <c r="E48" s="529">
        <v>0</v>
      </c>
      <c r="F48" s="505"/>
      <c r="G48" s="506" t="s">
        <v>16</v>
      </c>
      <c r="H48" s="48">
        <v>1007</v>
      </c>
      <c r="I48" s="48">
        <v>1182</v>
      </c>
      <c r="J48" s="507">
        <v>47849</v>
      </c>
      <c r="K48" s="507">
        <v>48611</v>
      </c>
      <c r="L48" s="504"/>
      <c r="M48" s="48">
        <v>1182</v>
      </c>
      <c r="N48" s="48">
        <v>1150.7</v>
      </c>
      <c r="O48" s="504"/>
      <c r="P48" s="216" t="s">
        <v>91</v>
      </c>
      <c r="Q48" s="529">
        <v>0</v>
      </c>
      <c r="R48" s="505"/>
      <c r="S48" s="523" t="s">
        <v>567</v>
      </c>
      <c r="T48" s="505"/>
      <c r="U48" s="49">
        <v>1161.839471</v>
      </c>
      <c r="V48" s="49">
        <v>1121.70881876</v>
      </c>
      <c r="W48" s="49">
        <f>ROUND((V48-AZ48),1)</f>
        <v>0.8</v>
      </c>
      <c r="X48" s="50"/>
      <c r="Y48" s="507">
        <v>48142</v>
      </c>
      <c r="Z48" s="507">
        <v>48142</v>
      </c>
      <c r="AA48" s="51">
        <f>Z48-BA48</f>
        <v>0</v>
      </c>
      <c r="AB48" s="504"/>
      <c r="AC48" s="49">
        <v>780.42669770999998</v>
      </c>
      <c r="AD48" s="49">
        <v>733.71602588909991</v>
      </c>
      <c r="AE48" s="52">
        <v>764.57701873999997</v>
      </c>
      <c r="AF48" s="508">
        <v>0.95963651523065918</v>
      </c>
      <c r="AG48" s="508">
        <v>0.94014726564587969</v>
      </c>
      <c r="AH48" s="544">
        <v>0.6717164609998002</v>
      </c>
      <c r="AI48" s="543">
        <v>0.6315123940982893</v>
      </c>
      <c r="AJ48" s="509"/>
      <c r="AK48" s="219" t="s">
        <v>91</v>
      </c>
      <c r="AM48" s="555">
        <v>41778</v>
      </c>
      <c r="AN48" s="568">
        <f>(V48-I48)/I48</f>
        <v>-5.1007767546531316E-2</v>
      </c>
      <c r="AO48" s="568">
        <f>((Z48-AM48)-(K48-AM48))/(K48-AM48)</f>
        <v>-6.863749451192741E-2</v>
      </c>
      <c r="AQ48" s="530">
        <f>V48-I48</f>
        <v>-60.291181240000014</v>
      </c>
      <c r="AR48" s="531">
        <f>V48-M48</f>
        <v>-60.291181240000014</v>
      </c>
      <c r="AS48" s="510"/>
      <c r="AT48" s="509">
        <f>Z48-K48</f>
        <v>-469</v>
      </c>
      <c r="AU48" s="504"/>
      <c r="AV48" s="532">
        <f>V48-U48</f>
        <v>-40.130652240000018</v>
      </c>
      <c r="AW48" s="510"/>
      <c r="AX48" s="511">
        <f>Z48-Y48</f>
        <v>0</v>
      </c>
      <c r="AZ48" s="53">
        <v>1120.8916416900001</v>
      </c>
      <c r="BA48" s="521">
        <v>48142</v>
      </c>
      <c r="BC48" s="53">
        <v>1133.0636360000001</v>
      </c>
      <c r="BD48" s="77">
        <f>U48-BC48</f>
        <v>28.775834999999915</v>
      </c>
      <c r="BE48" s="512">
        <v>48142</v>
      </c>
      <c r="BF48" s="513">
        <f>Y48-BE48</f>
        <v>0</v>
      </c>
    </row>
    <row r="49" spans="1:58" ht="82.5" customHeight="1" thickBot="1" x14ac:dyDescent="0.4">
      <c r="A49" s="467" t="str">
        <f>B48</f>
        <v>SIXEP Continuity Plant</v>
      </c>
      <c r="B49" s="694" t="s">
        <v>584</v>
      </c>
      <c r="C49" s="697"/>
      <c r="D49" s="697"/>
      <c r="E49" s="697"/>
      <c r="F49" s="697"/>
      <c r="G49" s="697"/>
      <c r="H49" s="697"/>
      <c r="I49" s="697"/>
      <c r="J49" s="697"/>
      <c r="K49" s="697"/>
      <c r="L49" s="697"/>
      <c r="M49" s="697"/>
      <c r="N49" s="697"/>
      <c r="O49" s="697"/>
      <c r="P49" s="697"/>
      <c r="Q49" s="697"/>
      <c r="R49" s="697"/>
      <c r="S49" s="697"/>
      <c r="T49" s="697"/>
      <c r="U49" s="697"/>
      <c r="V49" s="697"/>
      <c r="W49" s="697"/>
      <c r="X49" s="697"/>
      <c r="Y49" s="697"/>
      <c r="Z49" s="697"/>
      <c r="AA49" s="697"/>
      <c r="AB49" s="697"/>
      <c r="AC49" s="697"/>
      <c r="AD49" s="697"/>
      <c r="AE49" s="697"/>
      <c r="AF49" s="697"/>
      <c r="AG49" s="697"/>
      <c r="AH49" s="697"/>
      <c r="AI49" s="697"/>
      <c r="AJ49" s="697"/>
      <c r="AK49" s="698"/>
      <c r="AQ49" s="533"/>
      <c r="AR49" s="534"/>
      <c r="AS49" s="514"/>
      <c r="AT49" s="514"/>
      <c r="AU49" s="515"/>
      <c r="AV49" s="535"/>
      <c r="AW49" s="514"/>
      <c r="AX49" s="517"/>
      <c r="AZ49" s="536"/>
      <c r="BA49" s="518"/>
      <c r="BC49" s="536"/>
      <c r="BD49" s="537"/>
      <c r="BE49" s="516"/>
      <c r="BF49" s="519"/>
    </row>
    <row r="50" spans="1:58" ht="5.25" customHeight="1" thickBot="1" x14ac:dyDescent="0.4">
      <c r="B50" s="471"/>
      <c r="E50" s="475"/>
      <c r="U50" s="623"/>
      <c r="V50" s="623"/>
      <c r="W50" s="623"/>
      <c r="X50" s="623"/>
      <c r="Y50" s="623"/>
      <c r="Z50" s="623"/>
      <c r="AA50" s="623"/>
      <c r="AQ50" s="526"/>
      <c r="AR50" s="526"/>
      <c r="AV50" s="526"/>
      <c r="AZ50" s="526"/>
      <c r="BC50" s="526"/>
      <c r="BD50" s="539"/>
      <c r="BF50" s="496"/>
    </row>
    <row r="51" spans="1:58" ht="28.5" customHeight="1" x14ac:dyDescent="0.35">
      <c r="B51" s="503" t="s">
        <v>96</v>
      </c>
      <c r="C51" s="504"/>
      <c r="D51" s="216" t="s">
        <v>90</v>
      </c>
      <c r="E51" s="529">
        <v>-1</v>
      </c>
      <c r="F51" s="505"/>
      <c r="G51" s="506" t="s">
        <v>286</v>
      </c>
      <c r="H51" s="48">
        <v>776</v>
      </c>
      <c r="I51" s="48">
        <v>837</v>
      </c>
      <c r="J51" s="507">
        <v>49490</v>
      </c>
      <c r="K51" s="507">
        <v>49795</v>
      </c>
      <c r="L51" s="504"/>
      <c r="M51" s="48">
        <v>382</v>
      </c>
      <c r="N51" s="48">
        <v>186</v>
      </c>
      <c r="O51" s="504"/>
      <c r="P51" s="216" t="s">
        <v>90</v>
      </c>
      <c r="Q51" s="529">
        <v>-1</v>
      </c>
      <c r="R51" s="505"/>
      <c r="S51" s="523" t="s">
        <v>568</v>
      </c>
      <c r="T51" s="505"/>
      <c r="U51" s="49">
        <v>751.17471699999999</v>
      </c>
      <c r="V51" s="49">
        <v>746.06353805999993</v>
      </c>
      <c r="W51" s="49">
        <f>ROUND((V51-AZ51),1)</f>
        <v>-3.1</v>
      </c>
      <c r="X51" s="50"/>
      <c r="Y51" s="507">
        <v>49490</v>
      </c>
      <c r="Z51" s="507">
        <v>49490</v>
      </c>
      <c r="AA51" s="51">
        <f>Z51-BA51</f>
        <v>0</v>
      </c>
      <c r="AB51" s="504"/>
      <c r="AC51" s="49">
        <v>130.87673981</v>
      </c>
      <c r="AD51" s="49">
        <v>122.09890768449999</v>
      </c>
      <c r="AE51" s="52">
        <v>109.74899343999999</v>
      </c>
      <c r="AF51" s="508">
        <v>1.1125287244775663</v>
      </c>
      <c r="AG51" s="508">
        <v>0.93293054107060436</v>
      </c>
      <c r="AH51" s="544">
        <v>0.17422942605508379</v>
      </c>
      <c r="AI51" s="543">
        <v>0.16254395271999017</v>
      </c>
      <c r="AJ51" s="509"/>
      <c r="AK51" s="219" t="s">
        <v>91</v>
      </c>
      <c r="AM51" s="555">
        <v>43636</v>
      </c>
      <c r="AN51" s="568">
        <f>(V51-I51)/I51</f>
        <v>-0.10864571318996424</v>
      </c>
      <c r="AO51" s="568">
        <f>((Z51-AM51)-(K51-AM51))/(K51-AM51)</f>
        <v>-4.9521026140607244E-2</v>
      </c>
      <c r="AQ51" s="530">
        <f>V51-I51</f>
        <v>-90.936461940000072</v>
      </c>
      <c r="AR51" s="531">
        <f>V51-M51</f>
        <v>364.06353805999993</v>
      </c>
      <c r="AS51" s="510"/>
      <c r="AT51" s="509">
        <f>Z51-K51</f>
        <v>-305</v>
      </c>
      <c r="AU51" s="504"/>
      <c r="AV51" s="532">
        <f>V51-U51</f>
        <v>-5.1111789400000589</v>
      </c>
      <c r="AW51" s="510"/>
      <c r="AX51" s="511">
        <f>Z51-Y51</f>
        <v>0</v>
      </c>
      <c r="AZ51" s="53">
        <v>749.16802827000004</v>
      </c>
      <c r="BA51" s="521">
        <v>49490</v>
      </c>
      <c r="BC51" s="53">
        <v>751.17471699999999</v>
      </c>
      <c r="BD51" s="77">
        <f>U51-BC51</f>
        <v>0</v>
      </c>
      <c r="BE51" s="512">
        <v>49490</v>
      </c>
      <c r="BF51" s="513">
        <f>Y51-BE51</f>
        <v>0</v>
      </c>
    </row>
    <row r="52" spans="1:58" ht="57" customHeight="1" thickBot="1" x14ac:dyDescent="0.4">
      <c r="A52" s="467" t="str">
        <f>B51</f>
        <v>BEPPS2</v>
      </c>
      <c r="B52" s="694" t="s">
        <v>585</v>
      </c>
      <c r="C52" s="695"/>
      <c r="D52" s="695"/>
      <c r="E52" s="695"/>
      <c r="F52" s="695"/>
      <c r="G52" s="695"/>
      <c r="H52" s="695"/>
      <c r="I52" s="695"/>
      <c r="J52" s="695"/>
      <c r="K52" s="695"/>
      <c r="L52" s="695"/>
      <c r="M52" s="695"/>
      <c r="N52" s="695"/>
      <c r="O52" s="695"/>
      <c r="P52" s="695"/>
      <c r="Q52" s="695"/>
      <c r="R52" s="695"/>
      <c r="S52" s="695"/>
      <c r="T52" s="695"/>
      <c r="U52" s="695"/>
      <c r="V52" s="695"/>
      <c r="W52" s="695"/>
      <c r="X52" s="695"/>
      <c r="Y52" s="695"/>
      <c r="Z52" s="695"/>
      <c r="AA52" s="695"/>
      <c r="AB52" s="695"/>
      <c r="AC52" s="695"/>
      <c r="AD52" s="695"/>
      <c r="AE52" s="695"/>
      <c r="AF52" s="695"/>
      <c r="AG52" s="695"/>
      <c r="AH52" s="695"/>
      <c r="AI52" s="695"/>
      <c r="AJ52" s="695"/>
      <c r="AK52" s="696"/>
      <c r="AQ52" s="533"/>
      <c r="AR52" s="534"/>
      <c r="AS52" s="514"/>
      <c r="AT52" s="514"/>
      <c r="AU52" s="515"/>
      <c r="AV52" s="535"/>
      <c r="AW52" s="514"/>
      <c r="AX52" s="517"/>
      <c r="AZ52" s="536"/>
      <c r="BA52" s="518"/>
      <c r="BC52" s="536"/>
      <c r="BD52" s="537"/>
      <c r="BE52" s="516"/>
      <c r="BF52" s="519"/>
    </row>
    <row r="53" spans="1:58" ht="5.25" customHeight="1" thickBot="1" x14ac:dyDescent="0.4">
      <c r="B53" s="471"/>
      <c r="E53" s="475"/>
      <c r="U53" s="623"/>
      <c r="V53" s="623"/>
      <c r="W53" s="623"/>
      <c r="X53" s="623"/>
      <c r="Y53" s="623"/>
      <c r="Z53" s="623"/>
      <c r="AA53" s="623"/>
      <c r="AQ53" s="526"/>
      <c r="AR53" s="526"/>
      <c r="AV53" s="526"/>
      <c r="AZ53" s="526"/>
      <c r="BC53" s="526"/>
      <c r="BD53" s="539"/>
      <c r="BF53" s="496"/>
    </row>
    <row r="54" spans="1:58" ht="28.5" customHeight="1" x14ac:dyDescent="0.35">
      <c r="B54" s="503" t="s">
        <v>299</v>
      </c>
      <c r="C54" s="504"/>
      <c r="D54" s="216" t="s">
        <v>91</v>
      </c>
      <c r="E54" s="529">
        <v>0</v>
      </c>
      <c r="F54" s="505"/>
      <c r="G54" s="506" t="s">
        <v>571</v>
      </c>
      <c r="H54" s="48">
        <v>904</v>
      </c>
      <c r="I54" s="48">
        <v>921.8</v>
      </c>
      <c r="J54" s="507">
        <v>46022</v>
      </c>
      <c r="K54" s="507">
        <v>46234</v>
      </c>
      <c r="L54" s="504"/>
      <c r="M54" s="48">
        <v>921.8</v>
      </c>
      <c r="N54" s="48">
        <v>921.8</v>
      </c>
      <c r="O54" s="504"/>
      <c r="P54" s="216" t="s">
        <v>95</v>
      </c>
      <c r="Q54" s="529">
        <v>0</v>
      </c>
      <c r="R54" s="505"/>
      <c r="S54" s="523" t="s">
        <v>569</v>
      </c>
      <c r="T54" s="505"/>
      <c r="U54" s="49" t="s">
        <v>319</v>
      </c>
      <c r="V54" s="49">
        <v>915.43623643000012</v>
      </c>
      <c r="W54" s="49">
        <f>ROUND((V54-AZ54),1)</f>
        <v>0.6</v>
      </c>
      <c r="X54" s="50"/>
      <c r="Y54" s="507" t="s">
        <v>319</v>
      </c>
      <c r="Z54" s="507">
        <v>46234</v>
      </c>
      <c r="AA54" s="51">
        <f>Z54-BA54</f>
        <v>0</v>
      </c>
      <c r="AB54" s="504"/>
      <c r="AC54" s="49">
        <v>0</v>
      </c>
      <c r="AD54" s="49">
        <v>0</v>
      </c>
      <c r="AE54" s="52">
        <v>910.61684878999995</v>
      </c>
      <c r="AF54" s="508">
        <v>0</v>
      </c>
      <c r="AG54" s="508">
        <v>0</v>
      </c>
      <c r="AH54" s="544">
        <v>0</v>
      </c>
      <c r="AI54" s="543">
        <v>0</v>
      </c>
      <c r="AJ54" s="509"/>
      <c r="AK54" s="219" t="s">
        <v>95</v>
      </c>
      <c r="AM54" s="555">
        <v>41821</v>
      </c>
      <c r="AN54" s="568">
        <f>(V54-I54)/I54</f>
        <v>-6.9036272184853902E-3</v>
      </c>
      <c r="AO54" s="568">
        <f>((Z54-AM54)-(K54-AM54))/(K54-AM54)</f>
        <v>0</v>
      </c>
      <c r="AQ54" s="530">
        <f>V54-I54</f>
        <v>-6.3637635699998327</v>
      </c>
      <c r="AR54" s="531">
        <f>V54-M54</f>
        <v>-6.3637635699998327</v>
      </c>
      <c r="AS54" s="510"/>
      <c r="AT54" s="509">
        <f>Z54-K54</f>
        <v>0</v>
      </c>
      <c r="AU54" s="504"/>
      <c r="AV54" s="532" t="e">
        <f>V54-U54</f>
        <v>#VALUE!</v>
      </c>
      <c r="AW54" s="510"/>
      <c r="AX54" s="511" t="e">
        <f>Z54-Y54</f>
        <v>#VALUE!</v>
      </c>
      <c r="AZ54" s="53">
        <v>914.87870664000002</v>
      </c>
      <c r="BA54" s="521">
        <v>46234</v>
      </c>
      <c r="BC54" s="53">
        <v>0</v>
      </c>
      <c r="BD54" s="77">
        <v>0</v>
      </c>
      <c r="BE54" s="617" t="s">
        <v>319</v>
      </c>
      <c r="BF54" s="513">
        <v>0</v>
      </c>
    </row>
    <row r="55" spans="1:58" ht="123.75" customHeight="1" thickBot="1" x14ac:dyDescent="0.4">
      <c r="A55" s="467" t="str">
        <f>B54</f>
        <v>Sellafield Security Enhancement Programme (SSEP)</v>
      </c>
      <c r="B55" s="694" t="s">
        <v>550</v>
      </c>
      <c r="C55" s="697"/>
      <c r="D55" s="697"/>
      <c r="E55" s="697"/>
      <c r="F55" s="697"/>
      <c r="G55" s="697"/>
      <c r="H55" s="697"/>
      <c r="I55" s="697"/>
      <c r="J55" s="697"/>
      <c r="K55" s="697"/>
      <c r="L55" s="697"/>
      <c r="M55" s="697"/>
      <c r="N55" s="697"/>
      <c r="O55" s="697"/>
      <c r="P55" s="697"/>
      <c r="Q55" s="697"/>
      <c r="R55" s="697"/>
      <c r="S55" s="697"/>
      <c r="T55" s="697"/>
      <c r="U55" s="697"/>
      <c r="V55" s="697"/>
      <c r="W55" s="697"/>
      <c r="X55" s="697"/>
      <c r="Y55" s="697"/>
      <c r="Z55" s="697"/>
      <c r="AA55" s="697"/>
      <c r="AB55" s="697"/>
      <c r="AC55" s="697"/>
      <c r="AD55" s="697"/>
      <c r="AE55" s="697"/>
      <c r="AF55" s="697"/>
      <c r="AG55" s="697"/>
      <c r="AH55" s="697"/>
      <c r="AI55" s="697"/>
      <c r="AJ55" s="697"/>
      <c r="AK55" s="698"/>
      <c r="AQ55" s="533"/>
      <c r="AR55" s="534"/>
      <c r="AS55" s="514"/>
      <c r="AT55" s="514"/>
      <c r="AU55" s="515"/>
      <c r="AV55" s="535"/>
      <c r="AW55" s="514"/>
      <c r="AX55" s="517"/>
      <c r="AZ55" s="536"/>
      <c r="BA55" s="518"/>
      <c r="BC55" s="536"/>
      <c r="BD55" s="537"/>
      <c r="BE55" s="516"/>
      <c r="BF55" s="519"/>
    </row>
    <row r="56" spans="1:58" ht="5.25" customHeight="1" x14ac:dyDescent="0.35">
      <c r="B56" s="492"/>
      <c r="C56" s="528"/>
      <c r="D56" s="528"/>
      <c r="E56" s="528"/>
      <c r="F56" s="528"/>
      <c r="G56" s="528"/>
      <c r="H56" s="528"/>
      <c r="I56" s="528"/>
      <c r="J56" s="528"/>
      <c r="K56" s="528"/>
      <c r="L56" s="528"/>
      <c r="M56" s="528"/>
      <c r="N56" s="528"/>
      <c r="O56" s="528"/>
      <c r="P56" s="528"/>
      <c r="Q56" s="528"/>
      <c r="R56" s="528"/>
      <c r="S56" s="528"/>
      <c r="T56" s="528"/>
      <c r="U56" s="528"/>
      <c r="V56" s="528"/>
      <c r="W56" s="528"/>
      <c r="X56" s="528"/>
      <c r="Y56" s="528"/>
      <c r="Z56" s="528"/>
      <c r="AA56" s="528"/>
      <c r="AB56" s="528"/>
      <c r="AC56" s="528"/>
      <c r="AD56" s="528"/>
      <c r="AE56" s="528"/>
      <c r="AF56" s="528"/>
      <c r="AG56" s="528"/>
      <c r="AH56" s="528"/>
      <c r="AI56" s="528"/>
      <c r="AJ56" s="528"/>
      <c r="AK56" s="528"/>
      <c r="BD56" s="125"/>
      <c r="BF56" s="496"/>
    </row>
    <row r="57" spans="1:58" ht="28.5" customHeight="1" x14ac:dyDescent="0.35">
      <c r="B57" s="806" t="s">
        <v>202</v>
      </c>
      <c r="C57" s="806"/>
      <c r="D57" s="806"/>
      <c r="E57" s="806"/>
      <c r="F57" s="806"/>
      <c r="G57" s="806"/>
      <c r="H57" s="806"/>
      <c r="I57" s="806"/>
      <c r="J57" s="806"/>
    </row>
    <row r="58" spans="1:58" ht="99.75" customHeight="1" x14ac:dyDescent="0.35">
      <c r="A58" s="467" t="str">
        <f>B57</f>
        <v>Table of Changes (vs Last Period)</v>
      </c>
      <c r="B58" s="807" t="s">
        <v>0</v>
      </c>
      <c r="C58" s="808"/>
      <c r="D58" s="808"/>
      <c r="E58" s="809"/>
      <c r="F58" s="498"/>
      <c r="G58" s="624" t="s">
        <v>203</v>
      </c>
      <c r="H58" s="624" t="s">
        <v>204</v>
      </c>
      <c r="I58" s="624" t="s">
        <v>205</v>
      </c>
      <c r="J58" s="624" t="s">
        <v>206</v>
      </c>
    </row>
    <row r="59" spans="1:58" ht="5.25" customHeight="1" x14ac:dyDescent="0.35">
      <c r="B59" s="782" t="str">
        <f>B33</f>
        <v>SEP Solid Waste Storage Retrievals</v>
      </c>
      <c r="C59" s="782"/>
      <c r="D59" s="782"/>
      <c r="E59" s="782"/>
      <c r="F59" s="499"/>
      <c r="G59" s="527">
        <f>W33</f>
        <v>1.8</v>
      </c>
      <c r="H59" s="502">
        <f>AA33</f>
        <v>99</v>
      </c>
      <c r="I59" s="527">
        <f>BD33</f>
        <v>0</v>
      </c>
      <c r="J59" s="502">
        <f>BF33</f>
        <v>0</v>
      </c>
    </row>
    <row r="60" spans="1:58" ht="28.5" customHeight="1" x14ac:dyDescent="0.35">
      <c r="B60" s="782" t="str">
        <f>B21</f>
        <v>Electrical Supply - New Construction</v>
      </c>
      <c r="C60" s="782"/>
      <c r="D60" s="782"/>
      <c r="E60" s="782"/>
      <c r="F60" s="499"/>
      <c r="G60" s="527">
        <f>W21</f>
        <v>0</v>
      </c>
      <c r="H60" s="502">
        <f>AA21</f>
        <v>0</v>
      </c>
      <c r="I60" s="527">
        <f>BD21</f>
        <v>0</v>
      </c>
      <c r="J60" s="502">
        <f>BF21</f>
        <v>0</v>
      </c>
    </row>
    <row r="61" spans="1:58" ht="132" customHeight="1" x14ac:dyDescent="0.35">
      <c r="A61" s="467" t="str">
        <f>B60</f>
        <v>Electrical Supply - New Construction</v>
      </c>
      <c r="B61" s="782" t="str">
        <f>B15</f>
        <v>Chimney Decommissioning Phase 2F</v>
      </c>
      <c r="C61" s="782"/>
      <c r="D61" s="782"/>
      <c r="E61" s="782"/>
      <c r="F61" s="500"/>
      <c r="G61" s="527">
        <f>W15</f>
        <v>-10.1</v>
      </c>
      <c r="H61" s="502">
        <f>AA15</f>
        <v>0</v>
      </c>
      <c r="I61" s="527">
        <f>BD15</f>
        <v>0</v>
      </c>
      <c r="J61" s="502">
        <f>BF15</f>
        <v>0</v>
      </c>
      <c r="K61" s="473"/>
      <c r="M61" s="547"/>
      <c r="N61" s="546"/>
      <c r="R61" s="474"/>
      <c r="S61" s="474"/>
      <c r="T61" s="474"/>
      <c r="U61" s="547"/>
      <c r="V61" s="547"/>
      <c r="W61" s="548"/>
      <c r="X61" s="549"/>
      <c r="Y61" s="473"/>
      <c r="Z61" s="473"/>
      <c r="AA61" s="546"/>
      <c r="AC61" s="547"/>
      <c r="AD61" s="547"/>
      <c r="AE61" s="547"/>
      <c r="AF61" s="489"/>
      <c r="AG61" s="489"/>
      <c r="AH61" s="486"/>
      <c r="AI61" s="486"/>
      <c r="AK61" s="487"/>
    </row>
    <row r="62" spans="1:58" ht="6" customHeight="1" x14ac:dyDescent="0.35">
      <c r="B62" s="782" t="str">
        <f>B36</f>
        <v>Security Systems Architecture Upgrade (SSAU)</v>
      </c>
      <c r="C62" s="782"/>
      <c r="D62" s="782"/>
      <c r="E62" s="782"/>
      <c r="F62" s="500"/>
      <c r="G62" s="527">
        <f>W36</f>
        <v>0</v>
      </c>
      <c r="H62" s="502">
        <f>AA36</f>
        <v>0</v>
      </c>
      <c r="I62" s="527">
        <f>BD36</f>
        <v>0</v>
      </c>
      <c r="J62" s="502">
        <f>BF36</f>
        <v>0</v>
      </c>
      <c r="K62" s="473"/>
      <c r="M62" s="547"/>
      <c r="N62" s="546"/>
      <c r="R62" s="474"/>
      <c r="S62" s="474"/>
      <c r="T62" s="474"/>
      <c r="U62" s="547"/>
      <c r="V62" s="547"/>
      <c r="W62" s="548"/>
      <c r="X62" s="549"/>
      <c r="Y62" s="473"/>
      <c r="Z62" s="473"/>
      <c r="AA62" s="546"/>
      <c r="AC62" s="547"/>
      <c r="AD62" s="547"/>
      <c r="AE62" s="547"/>
      <c r="AF62" s="489"/>
      <c r="AG62" s="489"/>
      <c r="AH62" s="486"/>
      <c r="AI62" s="486"/>
      <c r="AK62" s="487"/>
    </row>
    <row r="63" spans="1:58" ht="21" customHeight="1" x14ac:dyDescent="0.35">
      <c r="B63" s="782" t="str">
        <f>B27</f>
        <v>Box Encapsulation Plant Product Store Direct Import Facility</v>
      </c>
      <c r="C63" s="782"/>
      <c r="D63" s="782"/>
      <c r="E63" s="782"/>
      <c r="F63" s="500"/>
      <c r="G63" s="527">
        <f>W27</f>
        <v>0</v>
      </c>
      <c r="H63" s="502">
        <f>AA27</f>
        <v>0</v>
      </c>
      <c r="I63" s="527">
        <f>BD27</f>
        <v>0</v>
      </c>
      <c r="J63" s="502">
        <f>BF27</f>
        <v>0</v>
      </c>
      <c r="K63" s="473"/>
      <c r="M63" s="547"/>
      <c r="N63" s="546"/>
      <c r="R63" s="474"/>
      <c r="S63" s="474"/>
      <c r="T63" s="474"/>
      <c r="U63" s="547"/>
      <c r="V63" s="547"/>
      <c r="W63" s="548"/>
      <c r="X63" s="549"/>
      <c r="Y63" s="473"/>
      <c r="Z63" s="473"/>
      <c r="AA63" s="546"/>
      <c r="AC63" s="547"/>
      <c r="AD63" s="547"/>
      <c r="AE63" s="547"/>
      <c r="AF63" s="489"/>
      <c r="AG63" s="489"/>
      <c r="AH63" s="486"/>
      <c r="AI63" s="486"/>
      <c r="AK63" s="487"/>
    </row>
    <row r="64" spans="1:58" ht="11.9" customHeight="1" x14ac:dyDescent="0.35">
      <c r="B64" s="782" t="str">
        <f>B30</f>
        <v>Box Encapsulation Plant</v>
      </c>
      <c r="C64" s="782"/>
      <c r="D64" s="782"/>
      <c r="E64" s="782"/>
      <c r="F64" s="500"/>
      <c r="G64" s="527">
        <f>W30</f>
        <v>0</v>
      </c>
      <c r="H64" s="502">
        <f>AA30</f>
        <v>20</v>
      </c>
      <c r="I64" s="527">
        <f>BD30</f>
        <v>0</v>
      </c>
      <c r="J64" s="502">
        <f>BF30</f>
        <v>0</v>
      </c>
      <c r="K64" s="473"/>
      <c r="M64" s="547"/>
      <c r="N64" s="546"/>
      <c r="R64" s="474"/>
      <c r="S64" s="474"/>
      <c r="T64" s="474"/>
      <c r="U64" s="547"/>
      <c r="V64" s="547"/>
      <c r="W64" s="548"/>
      <c r="X64" s="549"/>
      <c r="Y64" s="473"/>
      <c r="Z64" s="473"/>
      <c r="AA64" s="546"/>
      <c r="AC64" s="547"/>
      <c r="AD64" s="547"/>
      <c r="AE64" s="547"/>
      <c r="AF64" s="489"/>
      <c r="AG64" s="489"/>
      <c r="AH64" s="486"/>
      <c r="AI64" s="486"/>
      <c r="AK64" s="487"/>
    </row>
    <row r="65" spans="2:37" ht="19.5" customHeight="1" x14ac:dyDescent="0.35">
      <c r="B65" s="782" t="str">
        <f>B24</f>
        <v>Sellafield Product &amp; Residue Store Retreatment Plant</v>
      </c>
      <c r="C65" s="782"/>
      <c r="D65" s="782"/>
      <c r="E65" s="782"/>
      <c r="F65" s="500"/>
      <c r="G65" s="527">
        <f>W24</f>
        <v>0</v>
      </c>
      <c r="H65" s="502">
        <f>AA24</f>
        <v>0</v>
      </c>
      <c r="I65" s="527">
        <f>BD24</f>
        <v>0</v>
      </c>
      <c r="J65" s="502">
        <f>BF24</f>
        <v>0</v>
      </c>
      <c r="K65" s="473"/>
      <c r="M65" s="547"/>
      <c r="N65" s="546"/>
      <c r="R65" s="474"/>
      <c r="S65" s="474"/>
      <c r="T65" s="474"/>
      <c r="U65" s="547"/>
      <c r="V65" s="547"/>
      <c r="W65" s="548"/>
      <c r="X65" s="549"/>
      <c r="Y65" s="473"/>
      <c r="Z65" s="473"/>
      <c r="AA65" s="546"/>
      <c r="AC65" s="547"/>
      <c r="AD65" s="547"/>
      <c r="AE65" s="547"/>
      <c r="AF65" s="489"/>
      <c r="AG65" s="489"/>
      <c r="AH65" s="486"/>
      <c r="AI65" s="486"/>
      <c r="AK65" s="487"/>
    </row>
    <row r="66" spans="2:37" ht="19.5" customHeight="1" x14ac:dyDescent="0.35">
      <c r="B66" s="782" t="str">
        <f>B48</f>
        <v>SIXEP Continuity Plant</v>
      </c>
      <c r="C66" s="782"/>
      <c r="D66" s="782"/>
      <c r="E66" s="782"/>
      <c r="F66" s="501"/>
      <c r="G66" s="527">
        <f>W48</f>
        <v>0.8</v>
      </c>
      <c r="H66" s="502">
        <f>AA48</f>
        <v>0</v>
      </c>
      <c r="I66" s="527">
        <f>BD48</f>
        <v>28.775834999999915</v>
      </c>
      <c r="J66" s="502">
        <f>BF48</f>
        <v>0</v>
      </c>
      <c r="K66" s="473"/>
      <c r="M66" s="547"/>
      <c r="N66" s="546"/>
      <c r="R66" s="474"/>
      <c r="S66" s="474"/>
      <c r="T66" s="474"/>
      <c r="U66" s="547"/>
      <c r="V66" s="547"/>
      <c r="W66" s="548"/>
      <c r="X66" s="549"/>
      <c r="Y66" s="473"/>
      <c r="Z66" s="473"/>
      <c r="AA66" s="546"/>
      <c r="AC66" s="547"/>
      <c r="AD66" s="547"/>
      <c r="AE66" s="547"/>
      <c r="AF66" s="489"/>
      <c r="AG66" s="489"/>
      <c r="AH66" s="486"/>
      <c r="AI66" s="486"/>
      <c r="AK66" s="487"/>
    </row>
    <row r="67" spans="2:37" ht="19.5" customHeight="1" x14ac:dyDescent="0.35">
      <c r="B67" s="782" t="str">
        <f>B12</f>
        <v>LAETP Floc Retrieval</v>
      </c>
      <c r="C67" s="782"/>
      <c r="D67" s="782"/>
      <c r="E67" s="782"/>
      <c r="F67" s="501"/>
      <c r="G67" s="527">
        <f>W12</f>
        <v>0.1</v>
      </c>
      <c r="H67" s="502">
        <f>AA12</f>
        <v>0</v>
      </c>
      <c r="I67" s="527">
        <f>BD12</f>
        <v>0</v>
      </c>
      <c r="J67" s="502">
        <f>BF12</f>
        <v>0</v>
      </c>
    </row>
    <row r="68" spans="2:37" ht="19.5" customHeight="1" x14ac:dyDescent="0.35">
      <c r="B68" s="782" t="s">
        <v>96</v>
      </c>
      <c r="C68" s="782"/>
      <c r="D68" s="782"/>
      <c r="E68" s="782"/>
      <c r="F68" s="501"/>
      <c r="G68" s="527">
        <f>W51</f>
        <v>-3.1</v>
      </c>
      <c r="H68" s="502">
        <f>AA51</f>
        <v>0</v>
      </c>
      <c r="I68" s="527">
        <f>BD51</f>
        <v>0</v>
      </c>
      <c r="J68" s="502">
        <f>BF51</f>
        <v>0</v>
      </c>
      <c r="K68" s="473"/>
      <c r="M68" s="547"/>
      <c r="N68" s="546"/>
      <c r="R68" s="474"/>
      <c r="S68" s="474"/>
      <c r="T68" s="474"/>
      <c r="U68" s="547"/>
      <c r="V68" s="547"/>
      <c r="W68" s="548"/>
      <c r="X68" s="549"/>
      <c r="Y68" s="473"/>
      <c r="Z68" s="473"/>
      <c r="AA68" s="546"/>
      <c r="AC68" s="547"/>
      <c r="AD68" s="547"/>
      <c r="AE68" s="547"/>
      <c r="AF68" s="489"/>
      <c r="AG68" s="489"/>
      <c r="AH68" s="486"/>
      <c r="AI68" s="486"/>
      <c r="AK68" s="487"/>
    </row>
    <row r="69" spans="2:37" ht="19.5" customHeight="1" x14ac:dyDescent="0.35">
      <c r="B69" s="782" t="s">
        <v>235</v>
      </c>
      <c r="C69" s="782"/>
      <c r="D69" s="782"/>
      <c r="E69" s="782"/>
      <c r="F69" s="501"/>
      <c r="G69" s="527">
        <f>W42</f>
        <v>0.4</v>
      </c>
      <c r="H69" s="502">
        <f>AA42</f>
        <v>0</v>
      </c>
      <c r="I69" s="527">
        <f>BD42</f>
        <v>0</v>
      </c>
      <c r="J69" s="502">
        <f>BF42</f>
        <v>0</v>
      </c>
      <c r="K69" s="473"/>
      <c r="M69" s="547"/>
      <c r="N69" s="546"/>
      <c r="R69" s="474"/>
      <c r="S69" s="474"/>
      <c r="T69" s="474"/>
      <c r="U69" s="547"/>
      <c r="V69" s="547"/>
      <c r="W69" s="548"/>
      <c r="X69" s="549"/>
      <c r="Y69" s="473"/>
      <c r="Z69" s="473"/>
      <c r="AA69" s="546"/>
      <c r="AC69" s="547"/>
      <c r="AD69" s="547"/>
      <c r="AE69" s="547"/>
      <c r="AF69" s="489"/>
      <c r="AG69" s="489"/>
      <c r="AH69" s="486"/>
      <c r="AI69" s="486"/>
      <c r="AK69" s="487"/>
    </row>
    <row r="70" spans="2:37" ht="19.5" customHeight="1" x14ac:dyDescent="0.35">
      <c r="B70" s="782" t="str">
        <f>B9</f>
        <v>Enhanced CNC Airwave System (Encrypted Comms)</v>
      </c>
      <c r="C70" s="782"/>
      <c r="D70" s="782"/>
      <c r="E70" s="782"/>
      <c r="F70" s="501"/>
      <c r="G70" s="527">
        <f>W9</f>
        <v>0</v>
      </c>
      <c r="H70" s="502">
        <f>AA9</f>
        <v>0</v>
      </c>
      <c r="I70" s="527">
        <f>BD9</f>
        <v>0</v>
      </c>
      <c r="J70" s="502">
        <f>BF9</f>
        <v>0</v>
      </c>
    </row>
    <row r="71" spans="2:37" ht="19.5" customHeight="1" x14ac:dyDescent="0.35">
      <c r="B71" s="782" t="str">
        <f>B39</f>
        <v>CNC Operational Unit</v>
      </c>
      <c r="C71" s="782"/>
      <c r="D71" s="782"/>
      <c r="E71" s="782"/>
      <c r="F71" s="501"/>
      <c r="G71" s="527">
        <f>W39</f>
        <v>0.6</v>
      </c>
      <c r="H71" s="502">
        <f>AA39</f>
        <v>99</v>
      </c>
      <c r="I71" s="527">
        <f>BD39</f>
        <v>0</v>
      </c>
      <c r="J71" s="502">
        <f>BF39</f>
        <v>0</v>
      </c>
    </row>
    <row r="72" spans="2:37" ht="19.5" customHeight="1" x14ac:dyDescent="0.35">
      <c r="B72" s="782" t="str">
        <f>B45</f>
        <v>Heat Exchanger Deplanting - Main Project</v>
      </c>
      <c r="C72" s="782"/>
      <c r="D72" s="782"/>
      <c r="E72" s="782"/>
      <c r="F72" s="501"/>
      <c r="G72" s="527">
        <f>W45</f>
        <v>0</v>
      </c>
      <c r="H72" s="502">
        <f>AA45</f>
        <v>0</v>
      </c>
      <c r="I72" s="527">
        <f>BD45</f>
        <v>0</v>
      </c>
      <c r="J72" s="502">
        <f>BF45</f>
        <v>0</v>
      </c>
    </row>
    <row r="73" spans="2:37" ht="19.5" customHeight="1" x14ac:dyDescent="0.35">
      <c r="B73" s="782" t="str">
        <f>B54</f>
        <v>Sellafield Security Enhancement Programme (SSEP)</v>
      </c>
      <c r="C73" s="782"/>
      <c r="D73" s="782"/>
      <c r="E73" s="782"/>
      <c r="F73" s="501"/>
      <c r="G73" s="527">
        <f>W54</f>
        <v>0.6</v>
      </c>
      <c r="H73" s="502">
        <f>AA54</f>
        <v>0</v>
      </c>
      <c r="I73" s="527">
        <f>BD54</f>
        <v>0</v>
      </c>
      <c r="J73" s="502">
        <f>BF54</f>
        <v>0</v>
      </c>
    </row>
    <row r="74" spans="2:37" ht="19.5" customHeight="1" x14ac:dyDescent="0.35">
      <c r="B74" s="782" t="str">
        <f>B18</f>
        <v>MSSS 2nd and 3rd Extension Sub-Programme</v>
      </c>
      <c r="C74" s="782"/>
      <c r="D74" s="782"/>
      <c r="E74" s="782"/>
      <c r="F74" s="501"/>
      <c r="G74" s="527">
        <f>W18</f>
        <v>0</v>
      </c>
      <c r="H74" s="502">
        <f>AA18</f>
        <v>0</v>
      </c>
      <c r="I74" s="527">
        <f>BD18</f>
        <v>0</v>
      </c>
      <c r="J74" s="502">
        <f>BF18</f>
        <v>0</v>
      </c>
    </row>
    <row r="75" spans="2:37" ht="19.5" customHeight="1" x14ac:dyDescent="0.35">
      <c r="E75" s="488"/>
    </row>
    <row r="76" spans="2:37" ht="19.5" customHeight="1" x14ac:dyDescent="0.35">
      <c r="E76" s="488"/>
    </row>
    <row r="77" spans="2:37" ht="20.25" customHeight="1" x14ac:dyDescent="0.35">
      <c r="E77" s="488"/>
    </row>
    <row r="78" spans="2:37" ht="20.25" customHeight="1" x14ac:dyDescent="0.35">
      <c r="E78" s="488"/>
    </row>
    <row r="79" spans="2:37" ht="20.25" customHeight="1" x14ac:dyDescent="0.35">
      <c r="E79" s="488"/>
    </row>
    <row r="80" spans="2:37" ht="20.25" customHeight="1" x14ac:dyDescent="0.35">
      <c r="E80" s="488"/>
    </row>
    <row r="81" spans="5:5" ht="20.25" customHeight="1" x14ac:dyDescent="0.35">
      <c r="E81" s="488"/>
    </row>
    <row r="82" spans="5:5" ht="20.25" customHeight="1" x14ac:dyDescent="0.35">
      <c r="E82" s="488"/>
    </row>
    <row r="83" spans="5:5" ht="11.9" customHeight="1" x14ac:dyDescent="0.35">
      <c r="E83" s="488"/>
    </row>
    <row r="84" spans="5:5" ht="14.9" customHeight="1" x14ac:dyDescent="0.35">
      <c r="E84" s="488"/>
    </row>
    <row r="85" spans="5:5" ht="14.9" customHeight="1" x14ac:dyDescent="0.35">
      <c r="E85" s="488"/>
    </row>
    <row r="86" spans="5:5" ht="14.9" customHeight="1" x14ac:dyDescent="0.35">
      <c r="E86" s="488"/>
    </row>
    <row r="87" spans="5:5" ht="14.9" customHeight="1" x14ac:dyDescent="0.35">
      <c r="E87" s="488"/>
    </row>
    <row r="88" spans="5:5" ht="14.9" customHeight="1" x14ac:dyDescent="0.35">
      <c r="E88" s="488"/>
    </row>
    <row r="89" spans="5:5" ht="14.9" customHeight="1" x14ac:dyDescent="0.35">
      <c r="E89" s="488"/>
    </row>
    <row r="90" spans="5:5" ht="14.9" customHeight="1" x14ac:dyDescent="0.35">
      <c r="E90" s="488"/>
    </row>
    <row r="91" spans="5:5" ht="14.9" customHeight="1" x14ac:dyDescent="0.35">
      <c r="E91" s="488"/>
    </row>
    <row r="92" spans="5:5" ht="14.9" customHeight="1" x14ac:dyDescent="0.35">
      <c r="E92" s="488"/>
    </row>
    <row r="93" spans="5:5" ht="14.9" customHeight="1" x14ac:dyDescent="0.35">
      <c r="E93" s="488"/>
    </row>
    <row r="94" spans="5:5" ht="14.9" customHeight="1" x14ac:dyDescent="0.35">
      <c r="E94" s="488"/>
    </row>
    <row r="95" spans="5:5" ht="14.9" customHeight="1" x14ac:dyDescent="0.35">
      <c r="E95" s="488"/>
    </row>
    <row r="96" spans="5:5" ht="14.9" customHeight="1" x14ac:dyDescent="0.35">
      <c r="E96" s="488"/>
    </row>
    <row r="97" spans="5:5" ht="14.9" customHeight="1" x14ac:dyDescent="0.35">
      <c r="E97" s="488"/>
    </row>
    <row r="98" spans="5:5" ht="14.9" customHeight="1" x14ac:dyDescent="0.35">
      <c r="E98" s="488"/>
    </row>
    <row r="99" spans="5:5" ht="14.9" customHeight="1" x14ac:dyDescent="0.35">
      <c r="E99" s="488"/>
    </row>
    <row r="100" spans="5:5" ht="14.9" customHeight="1" x14ac:dyDescent="0.35">
      <c r="E100" s="488"/>
    </row>
    <row r="101" spans="5:5" ht="14.9" customHeight="1" x14ac:dyDescent="0.35">
      <c r="E101" s="488"/>
    </row>
    <row r="102" spans="5:5" x14ac:dyDescent="0.35">
      <c r="E102" s="488"/>
    </row>
    <row r="103" spans="5:5" x14ac:dyDescent="0.35">
      <c r="E103" s="488"/>
    </row>
    <row r="104" spans="5:5" x14ac:dyDescent="0.35">
      <c r="E104" s="488"/>
    </row>
    <row r="105" spans="5:5" x14ac:dyDescent="0.35">
      <c r="E105" s="488"/>
    </row>
    <row r="106" spans="5:5" x14ac:dyDescent="0.35">
      <c r="E106" s="488"/>
    </row>
    <row r="107" spans="5:5" x14ac:dyDescent="0.35">
      <c r="E107" s="488"/>
    </row>
    <row r="108" spans="5:5" x14ac:dyDescent="0.35">
      <c r="E108" s="488"/>
    </row>
    <row r="109" spans="5:5" x14ac:dyDescent="0.35">
      <c r="E109" s="488"/>
    </row>
    <row r="110" spans="5:5" x14ac:dyDescent="0.35">
      <c r="E110" s="488"/>
    </row>
    <row r="111" spans="5:5" x14ac:dyDescent="0.35">
      <c r="E111" s="488"/>
    </row>
    <row r="112" spans="5:5" x14ac:dyDescent="0.35">
      <c r="E112" s="488"/>
    </row>
    <row r="113" spans="5:5" x14ac:dyDescent="0.35">
      <c r="E113" s="488"/>
    </row>
    <row r="114" spans="5:5" x14ac:dyDescent="0.35">
      <c r="E114" s="488"/>
    </row>
    <row r="115" spans="5:5" x14ac:dyDescent="0.35">
      <c r="E115" s="488"/>
    </row>
    <row r="116" spans="5:5" x14ac:dyDescent="0.35">
      <c r="E116" s="488"/>
    </row>
    <row r="117" spans="5:5" x14ac:dyDescent="0.35">
      <c r="E117" s="488"/>
    </row>
    <row r="118" spans="5:5" x14ac:dyDescent="0.35">
      <c r="E118" s="488"/>
    </row>
    <row r="119" spans="5:5" x14ac:dyDescent="0.35">
      <c r="E119" s="488"/>
    </row>
    <row r="120" spans="5:5" x14ac:dyDescent="0.35">
      <c r="E120" s="488"/>
    </row>
    <row r="121" spans="5:5" x14ac:dyDescent="0.35">
      <c r="E121" s="488"/>
    </row>
    <row r="122" spans="5:5" x14ac:dyDescent="0.35">
      <c r="E122" s="488"/>
    </row>
    <row r="123" spans="5:5" x14ac:dyDescent="0.35">
      <c r="E123" s="488"/>
    </row>
    <row r="124" spans="5:5" x14ac:dyDescent="0.35">
      <c r="E124" s="488"/>
    </row>
    <row r="125" spans="5:5" x14ac:dyDescent="0.35">
      <c r="E125" s="488"/>
    </row>
    <row r="126" spans="5:5" x14ac:dyDescent="0.35">
      <c r="E126" s="488"/>
    </row>
    <row r="127" spans="5:5" x14ac:dyDescent="0.35">
      <c r="E127" s="488"/>
    </row>
    <row r="128" spans="5:5" x14ac:dyDescent="0.35">
      <c r="E128" s="488"/>
    </row>
    <row r="129" spans="5:5" x14ac:dyDescent="0.35">
      <c r="E129" s="488"/>
    </row>
    <row r="130" spans="5:5" x14ac:dyDescent="0.35">
      <c r="E130" s="488"/>
    </row>
    <row r="131" spans="5:5" x14ac:dyDescent="0.35">
      <c r="E131" s="488"/>
    </row>
    <row r="132" spans="5:5" x14ac:dyDescent="0.35">
      <c r="E132" s="488"/>
    </row>
    <row r="133" spans="5:5" x14ac:dyDescent="0.35">
      <c r="E133" s="488"/>
    </row>
    <row r="134" spans="5:5" x14ac:dyDescent="0.35">
      <c r="E134" s="488"/>
    </row>
    <row r="135" spans="5:5" x14ac:dyDescent="0.35">
      <c r="E135" s="488"/>
    </row>
    <row r="136" spans="5:5" x14ac:dyDescent="0.35">
      <c r="E136" s="488"/>
    </row>
    <row r="137" spans="5:5" x14ac:dyDescent="0.35">
      <c r="E137" s="488"/>
    </row>
    <row r="138" spans="5:5" x14ac:dyDescent="0.35">
      <c r="E138" s="488"/>
    </row>
    <row r="139" spans="5:5" x14ac:dyDescent="0.35">
      <c r="E139" s="488"/>
    </row>
    <row r="140" spans="5:5" x14ac:dyDescent="0.35">
      <c r="E140" s="488"/>
    </row>
    <row r="141" spans="5:5" x14ac:dyDescent="0.35">
      <c r="E141" s="488"/>
    </row>
    <row r="142" spans="5:5" x14ac:dyDescent="0.35">
      <c r="E142" s="488"/>
    </row>
    <row r="143" spans="5:5" x14ac:dyDescent="0.35">
      <c r="E143" s="488"/>
    </row>
    <row r="144" spans="5:5" x14ac:dyDescent="0.35">
      <c r="E144" s="488"/>
    </row>
    <row r="145" spans="5:5" x14ac:dyDescent="0.35">
      <c r="E145" s="488"/>
    </row>
    <row r="146" spans="5:5" x14ac:dyDescent="0.35">
      <c r="E146" s="488"/>
    </row>
    <row r="147" spans="5:5" x14ac:dyDescent="0.35">
      <c r="E147" s="488"/>
    </row>
    <row r="148" spans="5:5" x14ac:dyDescent="0.35">
      <c r="E148" s="488"/>
    </row>
    <row r="149" spans="5:5" x14ac:dyDescent="0.35">
      <c r="E149" s="488"/>
    </row>
    <row r="150" spans="5:5" x14ac:dyDescent="0.35">
      <c r="E150" s="488"/>
    </row>
    <row r="151" spans="5:5" x14ac:dyDescent="0.35">
      <c r="E151" s="488"/>
    </row>
    <row r="152" spans="5:5" x14ac:dyDescent="0.35">
      <c r="E152" s="488"/>
    </row>
    <row r="153" spans="5:5" x14ac:dyDescent="0.35">
      <c r="E153" s="488"/>
    </row>
    <row r="154" spans="5:5" x14ac:dyDescent="0.35">
      <c r="E154" s="488"/>
    </row>
    <row r="155" spans="5:5" x14ac:dyDescent="0.35">
      <c r="E155" s="488"/>
    </row>
    <row r="156" spans="5:5" x14ac:dyDescent="0.35">
      <c r="E156" s="488"/>
    </row>
    <row r="157" spans="5:5" x14ac:dyDescent="0.35">
      <c r="E157" s="488"/>
    </row>
    <row r="158" spans="5:5" x14ac:dyDescent="0.35">
      <c r="E158" s="488"/>
    </row>
    <row r="159" spans="5:5" x14ac:dyDescent="0.35">
      <c r="E159" s="488"/>
    </row>
    <row r="160" spans="5:5" x14ac:dyDescent="0.35">
      <c r="E160" s="488"/>
    </row>
    <row r="161" spans="5:5" x14ac:dyDescent="0.35">
      <c r="E161" s="488"/>
    </row>
    <row r="162" spans="5:5" x14ac:dyDescent="0.35">
      <c r="E162" s="488"/>
    </row>
    <row r="163" spans="5:5" x14ac:dyDescent="0.35">
      <c r="E163" s="488"/>
    </row>
    <row r="164" spans="5:5" x14ac:dyDescent="0.35">
      <c r="E164" s="488"/>
    </row>
    <row r="165" spans="5:5" x14ac:dyDescent="0.35">
      <c r="E165" s="488"/>
    </row>
    <row r="166" spans="5:5" x14ac:dyDescent="0.35">
      <c r="E166" s="488"/>
    </row>
    <row r="167" spans="5:5" x14ac:dyDescent="0.35">
      <c r="E167" s="488"/>
    </row>
    <row r="168" spans="5:5" x14ac:dyDescent="0.35">
      <c r="E168" s="488"/>
    </row>
    <row r="169" spans="5:5" x14ac:dyDescent="0.35">
      <c r="E169" s="488"/>
    </row>
    <row r="170" spans="5:5" x14ac:dyDescent="0.35">
      <c r="E170" s="488"/>
    </row>
    <row r="171" spans="5:5" x14ac:dyDescent="0.35">
      <c r="E171" s="488"/>
    </row>
    <row r="172" spans="5:5" x14ac:dyDescent="0.35">
      <c r="E172" s="488"/>
    </row>
    <row r="173" spans="5:5" x14ac:dyDescent="0.35">
      <c r="E173" s="488"/>
    </row>
    <row r="174" spans="5:5" x14ac:dyDescent="0.35">
      <c r="E174" s="488"/>
    </row>
    <row r="175" spans="5:5" x14ac:dyDescent="0.35">
      <c r="E175" s="488"/>
    </row>
    <row r="176" spans="5:5" x14ac:dyDescent="0.35">
      <c r="E176" s="488"/>
    </row>
    <row r="177" spans="5:5" x14ac:dyDescent="0.35">
      <c r="E177" s="488"/>
    </row>
    <row r="178" spans="5:5" x14ac:dyDescent="0.35">
      <c r="E178" s="488"/>
    </row>
    <row r="179" spans="5:5" x14ac:dyDescent="0.35">
      <c r="E179" s="488"/>
    </row>
    <row r="180" spans="5:5" x14ac:dyDescent="0.35">
      <c r="E180" s="488"/>
    </row>
    <row r="181" spans="5:5" x14ac:dyDescent="0.35">
      <c r="E181" s="488"/>
    </row>
    <row r="182" spans="5:5" x14ac:dyDescent="0.35">
      <c r="E182" s="488"/>
    </row>
    <row r="183" spans="5:5" x14ac:dyDescent="0.35">
      <c r="E183" s="488"/>
    </row>
    <row r="184" spans="5:5" x14ac:dyDescent="0.35">
      <c r="E184" s="488"/>
    </row>
    <row r="185" spans="5:5" x14ac:dyDescent="0.35">
      <c r="E185" s="488"/>
    </row>
    <row r="186" spans="5:5" x14ac:dyDescent="0.35">
      <c r="E186" s="488"/>
    </row>
    <row r="187" spans="5:5" x14ac:dyDescent="0.35">
      <c r="E187" s="488"/>
    </row>
    <row r="188" spans="5:5" x14ac:dyDescent="0.35">
      <c r="E188" s="488"/>
    </row>
    <row r="189" spans="5:5" x14ac:dyDescent="0.35">
      <c r="E189" s="488"/>
    </row>
    <row r="190" spans="5:5" x14ac:dyDescent="0.35">
      <c r="E190" s="488"/>
    </row>
    <row r="191" spans="5:5" x14ac:dyDescent="0.35">
      <c r="E191" s="488"/>
    </row>
    <row r="192" spans="5:5" x14ac:dyDescent="0.35">
      <c r="E192" s="488"/>
    </row>
    <row r="193" spans="5:5" x14ac:dyDescent="0.35">
      <c r="E193" s="488"/>
    </row>
    <row r="194" spans="5:5" x14ac:dyDescent="0.35">
      <c r="E194" s="488"/>
    </row>
    <row r="195" spans="5:5" x14ac:dyDescent="0.35">
      <c r="E195" s="488"/>
    </row>
    <row r="196" spans="5:5" x14ac:dyDescent="0.35">
      <c r="E196" s="488"/>
    </row>
    <row r="197" spans="5:5" x14ac:dyDescent="0.35">
      <c r="E197" s="488"/>
    </row>
    <row r="198" spans="5:5" x14ac:dyDescent="0.35">
      <c r="E198" s="488"/>
    </row>
    <row r="199" spans="5:5" x14ac:dyDescent="0.35">
      <c r="E199" s="488"/>
    </row>
    <row r="200" spans="5:5" x14ac:dyDescent="0.35">
      <c r="E200" s="488"/>
    </row>
    <row r="201" spans="5:5" x14ac:dyDescent="0.35">
      <c r="E201" s="488"/>
    </row>
    <row r="202" spans="5:5" x14ac:dyDescent="0.35">
      <c r="E202" s="488"/>
    </row>
    <row r="203" spans="5:5" x14ac:dyDescent="0.35">
      <c r="E203" s="488"/>
    </row>
    <row r="204" spans="5:5" x14ac:dyDescent="0.35">
      <c r="E204" s="488"/>
    </row>
    <row r="205" spans="5:5" x14ac:dyDescent="0.35">
      <c r="E205" s="488"/>
    </row>
    <row r="206" spans="5:5" x14ac:dyDescent="0.35">
      <c r="E206" s="488"/>
    </row>
    <row r="207" spans="5:5" x14ac:dyDescent="0.35">
      <c r="E207" s="488"/>
    </row>
    <row r="208" spans="5:5" x14ac:dyDescent="0.35">
      <c r="E208" s="488"/>
    </row>
    <row r="209" spans="5:5" x14ac:dyDescent="0.35">
      <c r="E209" s="488"/>
    </row>
    <row r="210" spans="5:5" x14ac:dyDescent="0.35">
      <c r="E210" s="488"/>
    </row>
    <row r="211" spans="5:5" x14ac:dyDescent="0.35">
      <c r="E211" s="488"/>
    </row>
    <row r="212" spans="5:5" x14ac:dyDescent="0.35">
      <c r="E212" s="488"/>
    </row>
    <row r="213" spans="5:5" x14ac:dyDescent="0.35">
      <c r="E213" s="488"/>
    </row>
    <row r="214" spans="5:5" x14ac:dyDescent="0.35">
      <c r="E214" s="488"/>
    </row>
    <row r="215" spans="5:5" x14ac:dyDescent="0.35">
      <c r="E215" s="488"/>
    </row>
    <row r="216" spans="5:5" x14ac:dyDescent="0.35">
      <c r="E216" s="488"/>
    </row>
    <row r="217" spans="5:5" x14ac:dyDescent="0.35">
      <c r="E217" s="488"/>
    </row>
    <row r="218" spans="5:5" x14ac:dyDescent="0.35">
      <c r="E218" s="488"/>
    </row>
    <row r="219" spans="5:5" x14ac:dyDescent="0.35">
      <c r="E219" s="488"/>
    </row>
    <row r="220" spans="5:5" x14ac:dyDescent="0.35">
      <c r="E220" s="488"/>
    </row>
    <row r="221" spans="5:5" x14ac:dyDescent="0.35">
      <c r="E221" s="488"/>
    </row>
    <row r="222" spans="5:5" x14ac:dyDescent="0.35">
      <c r="E222" s="488"/>
    </row>
    <row r="223" spans="5:5" x14ac:dyDescent="0.35">
      <c r="E223" s="488"/>
    </row>
    <row r="224" spans="5:5" x14ac:dyDescent="0.35">
      <c r="E224" s="488"/>
    </row>
    <row r="225" spans="5:5" x14ac:dyDescent="0.35">
      <c r="E225" s="488"/>
    </row>
    <row r="226" spans="5:5" x14ac:dyDescent="0.35">
      <c r="E226" s="488"/>
    </row>
    <row r="227" spans="5:5" x14ac:dyDescent="0.35">
      <c r="E227" s="488"/>
    </row>
    <row r="228" spans="5:5" x14ac:dyDescent="0.35">
      <c r="E228" s="488"/>
    </row>
    <row r="229" spans="5:5" x14ac:dyDescent="0.35">
      <c r="E229" s="488"/>
    </row>
    <row r="230" spans="5:5" x14ac:dyDescent="0.35">
      <c r="E230" s="488"/>
    </row>
    <row r="231" spans="5:5" x14ac:dyDescent="0.35">
      <c r="E231" s="488"/>
    </row>
    <row r="232" spans="5:5" x14ac:dyDescent="0.35">
      <c r="E232" s="488"/>
    </row>
    <row r="233" spans="5:5" x14ac:dyDescent="0.35">
      <c r="E233" s="488"/>
    </row>
    <row r="234" spans="5:5" x14ac:dyDescent="0.35">
      <c r="E234" s="488"/>
    </row>
    <row r="235" spans="5:5" x14ac:dyDescent="0.35">
      <c r="E235" s="488"/>
    </row>
    <row r="236" spans="5:5" x14ac:dyDescent="0.35">
      <c r="E236" s="488"/>
    </row>
    <row r="237" spans="5:5" x14ac:dyDescent="0.35">
      <c r="E237" s="488"/>
    </row>
    <row r="238" spans="5:5" x14ac:dyDescent="0.35">
      <c r="E238" s="488"/>
    </row>
    <row r="239" spans="5:5" x14ac:dyDescent="0.35">
      <c r="E239" s="488"/>
    </row>
    <row r="240" spans="5:5" x14ac:dyDescent="0.35">
      <c r="E240" s="488"/>
    </row>
    <row r="241" spans="5:5" x14ac:dyDescent="0.35">
      <c r="E241" s="488"/>
    </row>
    <row r="242" spans="5:5" x14ac:dyDescent="0.35">
      <c r="E242" s="488"/>
    </row>
    <row r="243" spans="5:5" x14ac:dyDescent="0.35">
      <c r="E243" s="488"/>
    </row>
    <row r="244" spans="5:5" x14ac:dyDescent="0.35">
      <c r="E244" s="488"/>
    </row>
    <row r="245" spans="5:5" x14ac:dyDescent="0.35">
      <c r="E245" s="488"/>
    </row>
    <row r="246" spans="5:5" x14ac:dyDescent="0.35">
      <c r="E246" s="488"/>
    </row>
    <row r="247" spans="5:5" x14ac:dyDescent="0.35">
      <c r="E247" s="488"/>
    </row>
    <row r="248" spans="5:5" x14ac:dyDescent="0.35">
      <c r="E248" s="488"/>
    </row>
    <row r="249" spans="5:5" x14ac:dyDescent="0.35">
      <c r="E249" s="488"/>
    </row>
    <row r="250" spans="5:5" x14ac:dyDescent="0.35">
      <c r="E250" s="488"/>
    </row>
    <row r="251" spans="5:5" x14ac:dyDescent="0.35">
      <c r="E251" s="488"/>
    </row>
    <row r="252" spans="5:5" x14ac:dyDescent="0.35">
      <c r="E252" s="488"/>
    </row>
    <row r="253" spans="5:5" x14ac:dyDescent="0.35">
      <c r="E253" s="488"/>
    </row>
    <row r="254" spans="5:5" x14ac:dyDescent="0.35">
      <c r="E254" s="488"/>
    </row>
    <row r="255" spans="5:5" x14ac:dyDescent="0.35">
      <c r="E255" s="488"/>
    </row>
    <row r="256" spans="5:5" x14ac:dyDescent="0.35">
      <c r="E256" s="488"/>
    </row>
    <row r="257" spans="5:5" x14ac:dyDescent="0.35">
      <c r="E257" s="488"/>
    </row>
    <row r="258" spans="5:5" x14ac:dyDescent="0.35">
      <c r="E258" s="488"/>
    </row>
    <row r="259" spans="5:5" x14ac:dyDescent="0.35">
      <c r="E259" s="488"/>
    </row>
    <row r="260" spans="5:5" x14ac:dyDescent="0.35">
      <c r="E260" s="488"/>
    </row>
    <row r="261" spans="5:5" x14ac:dyDescent="0.35">
      <c r="E261" s="488"/>
    </row>
    <row r="262" spans="5:5" x14ac:dyDescent="0.35">
      <c r="E262" s="488"/>
    </row>
    <row r="263" spans="5:5" x14ac:dyDescent="0.35">
      <c r="E263" s="488"/>
    </row>
    <row r="264" spans="5:5" x14ac:dyDescent="0.35">
      <c r="E264" s="488"/>
    </row>
    <row r="265" spans="5:5" x14ac:dyDescent="0.35">
      <c r="E265" s="488"/>
    </row>
    <row r="266" spans="5:5" x14ac:dyDescent="0.35">
      <c r="E266" s="488"/>
    </row>
    <row r="267" spans="5:5" x14ac:dyDescent="0.35">
      <c r="E267" s="488"/>
    </row>
    <row r="268" spans="5:5" x14ac:dyDescent="0.35">
      <c r="E268" s="488"/>
    </row>
    <row r="269" spans="5:5" x14ac:dyDescent="0.35">
      <c r="E269" s="488"/>
    </row>
    <row r="270" spans="5:5" x14ac:dyDescent="0.35">
      <c r="E270" s="488"/>
    </row>
    <row r="271" spans="5:5" x14ac:dyDescent="0.35">
      <c r="E271" s="488"/>
    </row>
    <row r="272" spans="5:5" x14ac:dyDescent="0.35">
      <c r="E272" s="488"/>
    </row>
    <row r="273" spans="5:5" x14ac:dyDescent="0.35">
      <c r="E273" s="488"/>
    </row>
    <row r="274" spans="5:5" x14ac:dyDescent="0.35">
      <c r="E274" s="488"/>
    </row>
    <row r="275" spans="5:5" x14ac:dyDescent="0.35">
      <c r="E275" s="488"/>
    </row>
    <row r="276" spans="5:5" x14ac:dyDescent="0.35">
      <c r="E276" s="488"/>
    </row>
    <row r="277" spans="5:5" x14ac:dyDescent="0.35">
      <c r="E277" s="488"/>
    </row>
    <row r="278" spans="5:5" x14ac:dyDescent="0.35">
      <c r="E278" s="488"/>
    </row>
    <row r="279" spans="5:5" x14ac:dyDescent="0.35">
      <c r="E279" s="488"/>
    </row>
    <row r="280" spans="5:5" x14ac:dyDescent="0.35">
      <c r="E280" s="488"/>
    </row>
    <row r="281" spans="5:5" x14ac:dyDescent="0.35">
      <c r="E281" s="488"/>
    </row>
    <row r="282" spans="5:5" x14ac:dyDescent="0.35">
      <c r="E282" s="488"/>
    </row>
    <row r="283" spans="5:5" x14ac:dyDescent="0.35">
      <c r="E283" s="488"/>
    </row>
    <row r="284" spans="5:5" x14ac:dyDescent="0.35">
      <c r="E284" s="488"/>
    </row>
    <row r="285" spans="5:5" x14ac:dyDescent="0.35">
      <c r="E285" s="488"/>
    </row>
    <row r="286" spans="5:5" x14ac:dyDescent="0.35">
      <c r="E286" s="488"/>
    </row>
    <row r="287" spans="5:5" x14ac:dyDescent="0.35">
      <c r="E287" s="488"/>
    </row>
    <row r="288" spans="5:5" x14ac:dyDescent="0.35">
      <c r="E288" s="488"/>
    </row>
    <row r="289" spans="5:5" x14ac:dyDescent="0.35">
      <c r="E289" s="488"/>
    </row>
    <row r="290" spans="5:5" x14ac:dyDescent="0.35">
      <c r="E290" s="488"/>
    </row>
    <row r="291" spans="5:5" x14ac:dyDescent="0.35">
      <c r="E291" s="488"/>
    </row>
    <row r="292" spans="5:5" x14ac:dyDescent="0.35">
      <c r="E292" s="488"/>
    </row>
    <row r="293" spans="5:5" x14ac:dyDescent="0.35">
      <c r="E293" s="488"/>
    </row>
    <row r="294" spans="5:5" x14ac:dyDescent="0.35">
      <c r="E294" s="488"/>
    </row>
    <row r="295" spans="5:5" x14ac:dyDescent="0.35">
      <c r="E295" s="488"/>
    </row>
    <row r="296" spans="5:5" x14ac:dyDescent="0.35">
      <c r="E296" s="488"/>
    </row>
    <row r="297" spans="5:5" x14ac:dyDescent="0.35">
      <c r="E297" s="488"/>
    </row>
    <row r="298" spans="5:5" x14ac:dyDescent="0.35">
      <c r="E298" s="488"/>
    </row>
    <row r="299" spans="5:5" x14ac:dyDescent="0.35">
      <c r="E299" s="488"/>
    </row>
    <row r="300" spans="5:5" x14ac:dyDescent="0.35">
      <c r="E300" s="488"/>
    </row>
    <row r="301" spans="5:5" x14ac:dyDescent="0.35">
      <c r="E301" s="488"/>
    </row>
    <row r="302" spans="5:5" x14ac:dyDescent="0.35">
      <c r="E302" s="488"/>
    </row>
    <row r="303" spans="5:5" x14ac:dyDescent="0.35">
      <c r="E303" s="488"/>
    </row>
    <row r="304" spans="5:5" x14ac:dyDescent="0.35">
      <c r="E304" s="488"/>
    </row>
    <row r="305" spans="5:5" x14ac:dyDescent="0.35">
      <c r="E305" s="488"/>
    </row>
    <row r="306" spans="5:5" x14ac:dyDescent="0.35">
      <c r="E306" s="488"/>
    </row>
    <row r="307" spans="5:5" x14ac:dyDescent="0.35">
      <c r="E307" s="488"/>
    </row>
    <row r="308" spans="5:5" x14ac:dyDescent="0.35">
      <c r="E308" s="488"/>
    </row>
    <row r="309" spans="5:5" x14ac:dyDescent="0.35">
      <c r="E309" s="488"/>
    </row>
    <row r="310" spans="5:5" x14ac:dyDescent="0.35">
      <c r="E310" s="488"/>
    </row>
    <row r="311" spans="5:5" x14ac:dyDescent="0.35">
      <c r="E311" s="488"/>
    </row>
    <row r="312" spans="5:5" x14ac:dyDescent="0.35">
      <c r="E312" s="488"/>
    </row>
    <row r="313" spans="5:5" x14ac:dyDescent="0.35">
      <c r="E313" s="488"/>
    </row>
    <row r="314" spans="5:5" x14ac:dyDescent="0.35">
      <c r="E314" s="488"/>
    </row>
    <row r="315" spans="5:5" x14ac:dyDescent="0.35">
      <c r="E315" s="488"/>
    </row>
    <row r="316" spans="5:5" x14ac:dyDescent="0.35">
      <c r="E316" s="488"/>
    </row>
    <row r="317" spans="5:5" x14ac:dyDescent="0.35">
      <c r="E317" s="488"/>
    </row>
    <row r="318" spans="5:5" x14ac:dyDescent="0.35">
      <c r="E318" s="488"/>
    </row>
  </sheetData>
  <sheetProtection algorithmName="SHA-512" hashValue="b7iZxXv86RQ2qocibK1sMz4cLInb5NeJNguDnPlYsDnNXn/b25uZMNqWfxS2cwiMsC1OWyWhiU8oUUMuv7K/Vg==" saltValue="6WO+OU1xLZuCPe1L5A9SCw==" spinCount="100000" sheet="1" objects="1" scenarios="1"/>
  <protectedRanges>
    <protectedRange algorithmName="SHA-512" hashValue="cT0m3qEFplMypQbXArr/5LTUIvEkZhEqkCgj1B5n2RDvtZy7nWmUHUqg/l+OCnEFvEqVO8iZftO4YR8R4GCQoA==" saltValue="HR+wz+LuI/MriuN3WA8pzg==" spinCount="100000" sqref="P2:AI2" name="Full Report_1"/>
  </protectedRanges>
  <customSheetViews>
    <customSheetView guid="{7E571F1D-D438-4605-90D6-3F831F76D652}" scale="70" topLeftCell="A29">
      <selection activeCell="B34" sqref="B34:AK34"/>
      <pageMargins left="0.7" right="0.7" top="0.75" bottom="0.75" header="0.3" footer="0.3"/>
      <pageSetup paperSize="9" orientation="portrait" r:id="rId1"/>
    </customSheetView>
    <customSheetView guid="{466708C2-41CE-4656-AB81-E1E49DF5945D}" scale="70" topLeftCell="A29">
      <selection activeCell="B34" sqref="B34:AK34"/>
      <pageMargins left="0.7" right="0.7" top="0.75" bottom="0.75" header="0.3" footer="0.3"/>
      <pageSetup paperSize="9" orientation="portrait" r:id="rId2"/>
    </customSheetView>
    <customSheetView guid="{B84DA703-8C5B-4100-91A4-8807E303D379}" scale="90" topLeftCell="A56">
      <selection activeCell="AM16" sqref="AM16"/>
      <pageMargins left="0.7" right="0.7" top="0.75" bottom="0.75" header="0.3" footer="0.3"/>
      <pageSetup paperSize="9" orientation="portrait" r:id="rId3"/>
    </customSheetView>
    <customSheetView guid="{527A2BDE-37CE-4B02-9F2C-CD7E7AC81C63}" scale="70" topLeftCell="A4">
      <selection activeCell="AM16" sqref="AM16"/>
      <pageMargins left="0.7" right="0.7" top="0.75" bottom="0.75" header="0.3" footer="0.3"/>
      <pageSetup paperSize="9" orientation="portrait" r:id="rId4"/>
    </customSheetView>
    <customSheetView guid="{BDCD1595-C0B8-4F6C-B01C-3472C895B827}" scale="70" topLeftCell="A4">
      <selection activeCell="AM16" sqref="AM16"/>
      <pageMargins left="0.7" right="0.7" top="0.75" bottom="0.75" header="0.3" footer="0.3"/>
      <pageSetup paperSize="9" orientation="portrait" r:id="rId5"/>
    </customSheetView>
    <customSheetView guid="{C57A83F1-F5A3-470B-9579-6A222C54F4E8}" scale="80" topLeftCell="A58">
      <selection activeCell="B13" sqref="B13:AK13"/>
      <pageMargins left="0.7" right="0.7" top="0.75" bottom="0.75" header="0.3" footer="0.3"/>
      <pageSetup paperSize="9" orientation="portrait" r:id="rId6"/>
    </customSheetView>
    <customSheetView guid="{3827E543-57D2-48C8-B786-7077EA079DD2}" scale="80" topLeftCell="A58">
      <selection activeCell="B13" sqref="B13:AK13"/>
      <pageMargins left="0.7" right="0.7" top="0.75" bottom="0.75" header="0.3" footer="0.3"/>
      <pageSetup paperSize="9" orientation="portrait" r:id="rId7"/>
    </customSheetView>
    <customSheetView guid="{F5FA2A23-9E46-4C2F-B1EE-B71787F95C57}" scale="80" topLeftCell="A10">
      <selection activeCell="B13" sqref="B13:AK13"/>
      <pageMargins left="0.7" right="0.7" top="0.75" bottom="0.75" header="0.3" footer="0.3"/>
      <pageSetup paperSize="9" orientation="portrait" r:id="rId8"/>
    </customSheetView>
    <customSheetView guid="{42B0E8B1-ADFA-49AE-A83B-82D384737703}" scale="55" topLeftCell="A41">
      <selection activeCell="B43" sqref="B43:AK43"/>
      <pageMargins left="0.7" right="0.7" top="0.75" bottom="0.75" header="0.3" footer="0.3"/>
      <pageSetup paperSize="9" orientation="portrait" r:id="rId9"/>
    </customSheetView>
    <customSheetView guid="{602520CD-F98C-43A6-AA0D-88893E9CB6E8}" hiddenRows="1" topLeftCell="B1">
      <selection activeCell="B16" sqref="B16:AK16"/>
      <pageMargins left="0.7" right="0.7" top="0.75" bottom="0.75" header="0.3" footer="0.3"/>
      <pageSetup paperSize="9" orientation="portrait" r:id="rId10"/>
    </customSheetView>
    <customSheetView guid="{B8317A9A-0FFD-4A18-80F7-203DB2FC8CA5}" scale="55" hiddenRows="1" topLeftCell="A40">
      <selection activeCell="B40" sqref="B40:AK40"/>
      <pageMargins left="0.7" right="0.7" top="0.75" bottom="0.75" header="0.3" footer="0.3"/>
      <pageSetup paperSize="9" orientation="portrait" r:id="rId11"/>
    </customSheetView>
    <customSheetView guid="{2608BE9B-66AC-4D4C-8EE0-E88C94E88140}" scale="55" hiddenRows="1">
      <selection activeCell="B10" sqref="B10:AK10"/>
      <pageMargins left="0.7" right="0.7" top="0.75" bottom="0.75" header="0.3" footer="0.3"/>
      <pageSetup paperSize="9" orientation="portrait" r:id="rId12"/>
    </customSheetView>
    <customSheetView guid="{D850720D-4A1C-48F2-8E1D-8E09B7414A1A}" scale="55" hiddenRows="1">
      <selection activeCell="B10" sqref="B10:AK10"/>
      <pageMargins left="0.7" right="0.7" top="0.75" bottom="0.75" header="0.3" footer="0.3"/>
      <pageSetup paperSize="9" orientation="portrait" r:id="rId13"/>
    </customSheetView>
    <customSheetView guid="{A8E976B8-D767-4DB4-82BD-ABE90880F33F}" scale="55" hiddenRows="1">
      <selection activeCell="B10" sqref="B10:AK10"/>
      <pageMargins left="0.7" right="0.7" top="0.75" bottom="0.75" header="0.3" footer="0.3"/>
      <pageSetup paperSize="9" orientation="portrait" r:id="rId14"/>
    </customSheetView>
    <customSheetView guid="{B95D32C7-1418-4EF6-8936-849885C54A4A}" scale="70" hiddenRows="1">
      <selection activeCell="B16" sqref="B16:AK16"/>
      <pageMargins left="0.7" right="0.7" top="0.75" bottom="0.75" header="0.3" footer="0.3"/>
      <pageSetup paperSize="9" orientation="portrait" r:id="rId15"/>
    </customSheetView>
    <customSheetView guid="{9355C9F4-9C07-4A93-B7F2-69F1D1526716}" scale="40" hiddenRows="1">
      <pageMargins left="0.7" right="0.7" top="0.75" bottom="0.75" header="0.3" footer="0.3"/>
      <pageSetup paperSize="9" orientation="portrait" r:id="rId16"/>
    </customSheetView>
    <customSheetView guid="{1ECD6E30-299B-4354-A416-2DAFF33C7022}" scale="86" hiddenRows="1" topLeftCell="B1">
      <selection activeCell="I15" sqref="I15"/>
      <pageMargins left="0.7" right="0.7" top="0.75" bottom="0.75" header="0.3" footer="0.3"/>
      <pageSetup paperSize="9" orientation="portrait" r:id="rId17"/>
    </customSheetView>
    <customSheetView guid="{9AF6E233-883D-48B4-95AB-42B37199AB9E}" scale="80" hiddenRows="1" topLeftCell="B1">
      <pane xSplit="2" ySplit="6" topLeftCell="D31" activePane="bottomRight" state="frozen"/>
      <selection pane="bottomRight" activeCell="B34" sqref="B34:AK34"/>
      <pageMargins left="0.7" right="0.7" top="0.75" bottom="0.75" header="0.3" footer="0.3"/>
    </customSheetView>
    <customSheetView guid="{451730E2-FFE9-4FCE-B8B5-64952C26C672}" scale="55" hiddenRows="1" topLeftCell="A10">
      <selection activeCell="BK61" sqref="BK61"/>
      <pageMargins left="0.7" right="0.7" top="0.75" bottom="0.75" header="0.3" footer="0.3"/>
    </customSheetView>
    <customSheetView guid="{4EBEE699-7DEF-4A50-9CB7-490835CF0B98}" scale="55" hiddenRows="1" topLeftCell="A29">
      <selection activeCell="BK61" sqref="BK61"/>
      <pageMargins left="0.7" right="0.7" top="0.75" bottom="0.75" header="0.3" footer="0.3"/>
    </customSheetView>
    <customSheetView guid="{A03C6B09-6B58-4DDE-A3B2-41A27A7049D9}" scale="55" hiddenRows="1" topLeftCell="A54">
      <selection activeCell="B1" sqref="B1:B1048576"/>
      <pageMargins left="0.7" right="0.7" top="0.75" bottom="0.75" header="0.3" footer="0.3"/>
    </customSheetView>
    <customSheetView guid="{3C97F0B0-2F3C-4E03-96E0-0C4FEC2F24AC}" scale="110" hiddenRows="1" topLeftCell="A11">
      <selection activeCell="A19" sqref="A19"/>
      <pageMargins left="0.7" right="0.7" top="0.75" bottom="0.75" header="0.3" footer="0.3"/>
    </customSheetView>
    <customSheetView guid="{B0A28FD4-D7F6-428C-A7F7-92132DCD74BB}" scale="110" hiddenRows="1" topLeftCell="A11">
      <selection activeCell="A19" sqref="A19"/>
      <pageMargins left="0.7" right="0.7" top="0.75" bottom="0.75" header="0.3" footer="0.3"/>
    </customSheetView>
    <customSheetView guid="{3BB18945-69B5-4B22-8D55-989F8F233459}" scale="80" hiddenRows="1" topLeftCell="A48">
      <selection activeCell="B58" sqref="B58:AK58"/>
      <pageMargins left="0.7" right="0.7" top="0.75" bottom="0.75" header="0.3" footer="0.3"/>
    </customSheetView>
    <customSheetView guid="{D16D941B-FC89-4FEC-A49B-5FA2532584DE}" scale="62" hiddenRows="1" topLeftCell="A20">
      <selection activeCell="AO28" sqref="AO28"/>
      <pageMargins left="0.7" right="0.7" top="0.75" bottom="0.75" header="0.3" footer="0.3"/>
    </customSheetView>
    <customSheetView guid="{C39AE06A-FC0A-4D7D-B287-2FA9CA174191}" scale="55" hiddenRows="1" topLeftCell="A25">
      <selection activeCell="B34" sqref="B34:AK34"/>
      <pageMargins left="0.7" right="0.7" top="0.75" bottom="0.75" header="0.3" footer="0.3"/>
    </customSheetView>
    <customSheetView guid="{4E6F9C2D-76F2-4884-BBF6-E02A7BAE11EF}" scale="85" hiddenRows="1" state="hidden" topLeftCell="B47">
      <selection activeCell="V102" sqref="V102"/>
      <pageMargins left="0.7" right="0.7" top="0.75" bottom="0.75" header="0.3" footer="0.3"/>
    </customSheetView>
    <customSheetView guid="{008CCD98-7480-4C51-806A-4B55C801DDC2}" scale="115" hiddenRows="1" topLeftCell="B51">
      <selection activeCell="B55" sqref="B55:AK55"/>
      <pageMargins left="0.7" right="0.7" top="0.75" bottom="0.75" header="0.3" footer="0.3"/>
    </customSheetView>
    <customSheetView guid="{D27C51BB-BB54-4F37-8171-98067C39697C}" scale="70" hiddenRows="1">
      <selection activeCell="B13" sqref="B13:AK13"/>
      <pageMargins left="0.7" right="0.7" top="0.75" bottom="0.75" header="0.3" footer="0.3"/>
    </customSheetView>
    <customSheetView guid="{016CEBB2-C827-48F4-95E1-85D8C5129F41}" scale="85" hiddenRows="1" state="hidden" topLeftCell="B47">
      <selection activeCell="V102" sqref="V102"/>
      <pageMargins left="0.7" right="0.7" top="0.75" bottom="0.75" header="0.3" footer="0.3"/>
    </customSheetView>
    <customSheetView guid="{EB96DBE4-2D64-4388-853C-CB52A0CB79BA}" scale="90" hiddenRows="1" topLeftCell="A21">
      <selection activeCell="A10" sqref="A10"/>
      <pageMargins left="0.7" right="0.7" top="0.75" bottom="0.75" header="0.3" footer="0.3"/>
    </customSheetView>
    <customSheetView guid="{351EFD38-BF62-4E34-A37F-0EEB3E165043}" scale="62" hiddenRows="1" topLeftCell="A20">
      <selection activeCell="AO28" sqref="AO28"/>
      <pageMargins left="0.7" right="0.7" top="0.75" bottom="0.75" header="0.3" footer="0.3"/>
    </customSheetView>
    <customSheetView guid="{593284E7-E32C-4D6C-8C2F-3DEEF9DEE1DF}" scale="80" hiddenRows="1" topLeftCell="A48">
      <selection activeCell="B58" sqref="B58:AK58"/>
      <pageMargins left="0.7" right="0.7" top="0.75" bottom="0.75" header="0.3" footer="0.3"/>
    </customSheetView>
    <customSheetView guid="{E06B4FE8-6127-47B2-A6A5-4FAC9EEB4538}" scale="80" hiddenRows="1" topLeftCell="A48">
      <selection activeCell="B58" sqref="B58:AK58"/>
      <pageMargins left="0.7" right="0.7" top="0.75" bottom="0.75" header="0.3" footer="0.3"/>
    </customSheetView>
    <customSheetView guid="{51B3083F-A103-41AB-A137-63549C54B838}" scale="110" hiddenRows="1" topLeftCell="A3">
      <selection activeCell="H9" sqref="H9"/>
      <pageMargins left="0.7" right="0.7" top="0.75" bottom="0.75" header="0.3" footer="0.3"/>
    </customSheetView>
    <customSheetView guid="{8CB67476-3FD4-42E0-ACD6-62ACA9412843}" scale="55" hiddenRows="1" topLeftCell="A54">
      <selection activeCell="B1" sqref="B1:B1048576"/>
      <pageMargins left="0.7" right="0.7" top="0.75" bottom="0.75" header="0.3" footer="0.3"/>
    </customSheetView>
    <customSheetView guid="{151EB58C-4EFD-4330-8D1A-8AACF5F7C679}" scale="70" hiddenRows="1" topLeftCell="A11">
      <selection activeCell="BI66" sqref="BI66"/>
      <pageMargins left="0.7" right="0.7" top="0.75" bottom="0.75" header="0.3" footer="0.3"/>
    </customSheetView>
    <customSheetView guid="{8263C9D2-452D-46FA-AFA0-452B42DC0298}" scale="70" hiddenRows="1" topLeftCell="A11">
      <selection activeCell="BI66" sqref="BI66"/>
      <pageMargins left="0.7" right="0.7" top="0.75" bottom="0.75" header="0.3" footer="0.3"/>
    </customSheetView>
    <customSheetView guid="{DF265C7B-1EEB-47EB-982A-6938E81F7AC2}" scale="55" hiddenRows="1">
      <selection activeCell="E9" sqref="E9"/>
      <pageMargins left="0.7" right="0.7" top="0.75" bottom="0.75" header="0.3" footer="0.3"/>
    </customSheetView>
    <customSheetView guid="{9F91FBC4-6A13-42C2-A2D9-42A2AC814E28}" scale="55" hiddenRows="1" topLeftCell="A58">
      <selection activeCell="AA9" sqref="AA9"/>
      <pageMargins left="0.7" right="0.7" top="0.75" bottom="0.75" header="0.3" footer="0.3"/>
      <pageSetup paperSize="9" orientation="portrait" r:id="rId18"/>
    </customSheetView>
    <customSheetView guid="{F4A6298C-1A75-4FA9-A6A4-2BE13CCFE545}" scale="86" hiddenRows="1" topLeftCell="B1">
      <selection activeCell="I15" sqref="I15"/>
      <pageMargins left="0.7" right="0.7" top="0.75" bottom="0.75" header="0.3" footer="0.3"/>
      <pageSetup paperSize="9" orientation="portrait" r:id="rId19"/>
    </customSheetView>
    <customSheetView guid="{29AC9BE3-332A-4738-949C-1F8C0D32BAEE}" scale="70" hiddenRows="1">
      <selection activeCell="B55" sqref="B55:AK55"/>
      <pageMargins left="0.7" right="0.7" top="0.75" bottom="0.75" header="0.3" footer="0.3"/>
      <pageSetup paperSize="9" orientation="portrait" r:id="rId20"/>
    </customSheetView>
    <customSheetView guid="{75EE3B92-AF4D-4E93-A70E-6ADE60CC674F}" scale="70" hiddenRows="1" topLeftCell="A58">
      <selection activeCell="B1" sqref="B1:BF1048576"/>
      <pageMargins left="0.7" right="0.7" top="0.75" bottom="0.75" header="0.3" footer="0.3"/>
      <pageSetup paperSize="9" orientation="portrait" r:id="rId21"/>
    </customSheetView>
    <customSheetView guid="{CA7E8063-5145-49E1-8E00-2E1025705A81}" scale="70" hiddenRows="1" topLeftCell="A31">
      <selection activeCell="B58" sqref="B58:AK58"/>
      <pageMargins left="0.7" right="0.7" top="0.75" bottom="0.75" header="0.3" footer="0.3"/>
      <pageSetup paperSize="9" orientation="portrait" r:id="rId22"/>
    </customSheetView>
    <customSheetView guid="{51DFD3D6-BC25-47B4-B28F-D640534DB3A9}" scale="110" hiddenRows="1" topLeftCell="A39">
      <selection activeCell="B46" sqref="B46:AK46"/>
      <pageMargins left="0.7" right="0.7" top="0.75" bottom="0.75" header="0.3" footer="0.3"/>
      <pageSetup paperSize="9" orientation="portrait" r:id="rId23"/>
    </customSheetView>
    <customSheetView guid="{37F5A0AB-EB39-4832-9D67-F67D908BF486}" scale="55" hiddenRows="1">
      <pageMargins left="0.7" right="0.7" top="0.75" bottom="0.75" header="0.3" footer="0.3"/>
      <pageSetup paperSize="9" orientation="portrait" r:id="rId24"/>
    </customSheetView>
    <customSheetView guid="{70582C04-BB53-4A99-A3C1-673011D9AE1C}" scale="55" hiddenRows="1">
      <pageMargins left="0.7" right="0.7" top="0.75" bottom="0.75" header="0.3" footer="0.3"/>
      <pageSetup paperSize="9" orientation="portrait" r:id="rId25"/>
    </customSheetView>
    <customSheetView guid="{442F9A23-CA6E-4109-B10C-ACF5FD36B859}" scale="55" hiddenRows="1">
      <selection activeCell="B10" sqref="B10:AK10"/>
      <pageMargins left="0.7" right="0.7" top="0.75" bottom="0.75" header="0.3" footer="0.3"/>
      <pageSetup paperSize="9" orientation="portrait" r:id="rId26"/>
    </customSheetView>
    <customSheetView guid="{E4713981-DD11-40CE-BE52-873D93BDDE05}" scale="55" hiddenRows="1">
      <selection activeCell="B10" sqref="B10:AK10"/>
      <pageMargins left="0.7" right="0.7" top="0.75" bottom="0.75" header="0.3" footer="0.3"/>
      <pageSetup paperSize="9" orientation="portrait" r:id="rId27"/>
    </customSheetView>
    <customSheetView guid="{83044EFE-7F92-4F81-B034-85D9567158C2}" scale="55" hiddenRows="1">
      <selection activeCell="B10" sqref="B10:AK10"/>
      <pageMargins left="0.7" right="0.7" top="0.75" bottom="0.75" header="0.3" footer="0.3"/>
      <pageSetup paperSize="9" orientation="portrait" r:id="rId28"/>
    </customSheetView>
    <customSheetView guid="{E3A3AE56-8881-4A6F-9299-803C489AD1B4}" scale="55" hiddenRows="1">
      <selection activeCell="B10" sqref="B10:AK10"/>
      <pageMargins left="0.7" right="0.7" top="0.75" bottom="0.75" header="0.3" footer="0.3"/>
      <pageSetup paperSize="9" orientation="portrait" r:id="rId29"/>
    </customSheetView>
    <customSheetView guid="{FBC63E8F-69FE-4648-B709-FA1212EFFB29}" scale="55" hiddenRows="1">
      <selection activeCell="Z9" sqref="Z9"/>
      <pageMargins left="0.7" right="0.7" top="0.75" bottom="0.75" header="0.3" footer="0.3"/>
      <pageSetup paperSize="9" orientation="portrait" r:id="rId30"/>
    </customSheetView>
    <customSheetView guid="{0EDA65D2-43FB-421C-9D8C-D8082C64B09A}" hiddenRows="1" topLeftCell="B1">
      <selection activeCell="B13" sqref="B13:AK13"/>
      <pageMargins left="0.7" right="0.7" top="0.75" bottom="0.75" header="0.3" footer="0.3"/>
      <pageSetup paperSize="9" orientation="portrait" r:id="rId31"/>
    </customSheetView>
    <customSheetView guid="{B434A8A8-5A4C-48C0-82E7-2458B9D2EEEF}" hiddenRows="1" topLeftCell="B1">
      <selection activeCell="Q110" sqref="Q110"/>
      <pageMargins left="0.7" right="0.7" top="0.75" bottom="0.75" header="0.3" footer="0.3"/>
      <pageSetup paperSize="9" orientation="portrait" r:id="rId32"/>
    </customSheetView>
    <customSheetView guid="{EDD5A64E-02C0-4DD6-80BA-449123FCDAA2}" hiddenRows="1" topLeftCell="B1">
      <selection activeCell="B14" sqref="B14"/>
      <pageMargins left="0.7" right="0.7" top="0.75" bottom="0.75" header="0.3" footer="0.3"/>
      <pageSetup paperSize="9" orientation="portrait" r:id="rId33"/>
    </customSheetView>
    <customSheetView guid="{97D58294-343B-4B62-A826-0DDDE29B5F0D}" scale="55" hiddenRows="1" topLeftCell="A58">
      <selection activeCell="B58" sqref="B58:AK58"/>
      <pageMargins left="0.7" right="0.7" top="0.75" bottom="0.75" header="0.3" footer="0.3"/>
      <pageSetup paperSize="9" orientation="portrait" r:id="rId34"/>
    </customSheetView>
    <customSheetView guid="{800416AC-1374-44AC-811C-612C85EF24E6}" scale="55" topLeftCell="A28">
      <selection activeCell="B34" sqref="B34:AK34"/>
      <pageMargins left="0.7" right="0.7" top="0.75" bottom="0.75" header="0.3" footer="0.3"/>
      <pageSetup paperSize="9" orientation="portrait" r:id="rId35"/>
    </customSheetView>
    <customSheetView guid="{2EA8DBF7-9763-457C-AA9F-1EEB2F136D1F}" scale="55" topLeftCell="A28">
      <selection activeCell="B34" sqref="B34:AK34"/>
      <pageMargins left="0.7" right="0.7" top="0.75" bottom="0.75" header="0.3" footer="0.3"/>
      <pageSetup paperSize="9" orientation="portrait" r:id="rId36"/>
    </customSheetView>
    <customSheetView guid="{78AA4A71-CE17-4C4D-849E-E3E1A44EA907}" scale="80" topLeftCell="A10">
      <selection activeCell="B13" sqref="B13:AK13"/>
      <pageMargins left="0.7" right="0.7" top="0.75" bottom="0.75" header="0.3" footer="0.3"/>
      <pageSetup paperSize="9" orientation="portrait" r:id="rId37"/>
    </customSheetView>
    <customSheetView guid="{C7C13768-4A8D-4CBA-978C-F4A7B5550C00}" scale="80" topLeftCell="A13">
      <selection activeCell="B13" sqref="B13:AK13"/>
      <pageMargins left="0.7" right="0.7" top="0.75" bottom="0.75" header="0.3" footer="0.3"/>
      <pageSetup paperSize="9" orientation="portrait" r:id="rId38"/>
    </customSheetView>
    <customSheetView guid="{D59DDBAA-620D-43B7-A6D9-759808D3397A}" scale="70" topLeftCell="A29">
      <selection activeCell="B34" sqref="B34:AK34"/>
      <pageMargins left="0.7" right="0.7" top="0.75" bottom="0.75" header="0.3" footer="0.3"/>
      <pageSetup paperSize="9" orientation="portrait" r:id="rId39"/>
    </customSheetView>
  </customSheetViews>
  <mergeCells count="72">
    <mergeCell ref="B57:J57"/>
    <mergeCell ref="B58:E58"/>
    <mergeCell ref="B59:E59"/>
    <mergeCell ref="B60:E60"/>
    <mergeCell ref="B69:E69"/>
    <mergeCell ref="B66:E66"/>
    <mergeCell ref="B67:E67"/>
    <mergeCell ref="B68:E68"/>
    <mergeCell ref="B65:E65"/>
    <mergeCell ref="B70:E70"/>
    <mergeCell ref="B71:E71"/>
    <mergeCell ref="B72:E72"/>
    <mergeCell ref="B73:E73"/>
    <mergeCell ref="B74:E74"/>
    <mergeCell ref="AQ2:AT3"/>
    <mergeCell ref="B64:E64"/>
    <mergeCell ref="B2:B5"/>
    <mergeCell ref="D2:N2"/>
    <mergeCell ref="P2:AI2"/>
    <mergeCell ref="H4:I4"/>
    <mergeCell ref="B10:AK10"/>
    <mergeCell ref="B13:AK13"/>
    <mergeCell ref="B16:AK16"/>
    <mergeCell ref="B19:AK19"/>
    <mergeCell ref="B22:AK22"/>
    <mergeCell ref="AO3:AO5"/>
    <mergeCell ref="B25:AK25"/>
    <mergeCell ref="B28:AK28"/>
    <mergeCell ref="J4:K4"/>
    <mergeCell ref="M4:M5"/>
    <mergeCell ref="AZ2:BA3"/>
    <mergeCell ref="BC2:BF3"/>
    <mergeCell ref="D3:E5"/>
    <mergeCell ref="G3:K3"/>
    <mergeCell ref="M3:N3"/>
    <mergeCell ref="P3:Q5"/>
    <mergeCell ref="S3:S5"/>
    <mergeCell ref="U3:AA3"/>
    <mergeCell ref="AC3:AI3"/>
    <mergeCell ref="G4:G5"/>
    <mergeCell ref="BC4:BD4"/>
    <mergeCell ref="BE4:BF4"/>
    <mergeCell ref="AQ4:AQ5"/>
    <mergeCell ref="AR4:AR5"/>
    <mergeCell ref="AT4:AT5"/>
    <mergeCell ref="AX4:AX5"/>
    <mergeCell ref="N4:N5"/>
    <mergeCell ref="U4:W4"/>
    <mergeCell ref="Y4:AA4"/>
    <mergeCell ref="AC4:AC5"/>
    <mergeCell ref="AD4:AD5"/>
    <mergeCell ref="AE4:AE5"/>
    <mergeCell ref="AF4:AF5"/>
    <mergeCell ref="AG4:AG5"/>
    <mergeCell ref="AH4:AI4"/>
    <mergeCell ref="AM3:AM5"/>
    <mergeCell ref="AN3:AN5"/>
    <mergeCell ref="B63:E63"/>
    <mergeCell ref="AV4:AV5"/>
    <mergeCell ref="B49:AK49"/>
    <mergeCell ref="B52:AK52"/>
    <mergeCell ref="B55:AK55"/>
    <mergeCell ref="B31:AK31"/>
    <mergeCell ref="B34:AK34"/>
    <mergeCell ref="B37:AK37"/>
    <mergeCell ref="B40:AK40"/>
    <mergeCell ref="B43:AK43"/>
    <mergeCell ref="B46:AK46"/>
    <mergeCell ref="AK2:AK5"/>
    <mergeCell ref="AV2:AX3"/>
    <mergeCell ref="B61:E61"/>
    <mergeCell ref="B62:E62"/>
  </mergeCells>
  <conditionalFormatting sqref="D9">
    <cfRule type="cellIs" dxfId="474" priority="327" operator="equal">
      <formula>"G"</formula>
    </cfRule>
    <cfRule type="cellIs" dxfId="473" priority="329" operator="equal">
      <formula>"R"</formula>
    </cfRule>
    <cfRule type="cellIs" dxfId="472" priority="326" operator="equal">
      <formula>"n/a"</formula>
    </cfRule>
    <cfRule type="cellIs" dxfId="471" priority="328" operator="equal">
      <formula>"A"</formula>
    </cfRule>
  </conditionalFormatting>
  <conditionalFormatting sqref="D12">
    <cfRule type="cellIs" dxfId="470" priority="75" operator="equal">
      <formula>"R"</formula>
    </cfRule>
    <cfRule type="cellIs" dxfId="469" priority="72" operator="equal">
      <formula>"n/a"</formula>
    </cfRule>
    <cfRule type="cellIs" dxfId="468" priority="73" operator="equal">
      <formula>"G"</formula>
    </cfRule>
    <cfRule type="cellIs" dxfId="467" priority="74" operator="equal">
      <formula>"A"</formula>
    </cfRule>
  </conditionalFormatting>
  <conditionalFormatting sqref="D15">
    <cfRule type="cellIs" dxfId="466" priority="67" operator="equal">
      <formula>"n/a"</formula>
    </cfRule>
    <cfRule type="cellIs" dxfId="465" priority="68" operator="equal">
      <formula>"G"</formula>
    </cfRule>
    <cfRule type="cellIs" dxfId="464" priority="70" operator="equal">
      <formula>"R"</formula>
    </cfRule>
    <cfRule type="cellIs" dxfId="463" priority="69" operator="equal">
      <formula>"A"</formula>
    </cfRule>
  </conditionalFormatting>
  <conditionalFormatting sqref="D18">
    <cfRule type="cellIs" dxfId="462" priority="7" operator="equal">
      <formula>"n/a"</formula>
    </cfRule>
    <cfRule type="cellIs" dxfId="461" priority="8" operator="equal">
      <formula>"G"</formula>
    </cfRule>
    <cfRule type="cellIs" dxfId="460" priority="9" operator="equal">
      <formula>"A"</formula>
    </cfRule>
    <cfRule type="cellIs" dxfId="459" priority="10" operator="equal">
      <formula>"R"</formula>
    </cfRule>
  </conditionalFormatting>
  <conditionalFormatting sqref="D21">
    <cfRule type="cellIs" dxfId="458" priority="48" operator="equal">
      <formula>"G"</formula>
    </cfRule>
    <cfRule type="cellIs" dxfId="457" priority="47" operator="equal">
      <formula>"n/a"</formula>
    </cfRule>
    <cfRule type="cellIs" dxfId="456" priority="49" operator="equal">
      <formula>"A"</formula>
    </cfRule>
    <cfRule type="cellIs" dxfId="455" priority="50" operator="equal">
      <formula>"R"</formula>
    </cfRule>
  </conditionalFormatting>
  <conditionalFormatting sqref="D24">
    <cfRule type="cellIs" dxfId="454" priority="32" operator="equal">
      <formula>"n/a"</formula>
    </cfRule>
    <cfRule type="cellIs" dxfId="453" priority="33" operator="equal">
      <formula>"G"</formula>
    </cfRule>
    <cfRule type="cellIs" dxfId="452" priority="34" operator="equal">
      <formula>"A"</formula>
    </cfRule>
    <cfRule type="cellIs" dxfId="451" priority="35" operator="equal">
      <formula>"R"</formula>
    </cfRule>
  </conditionalFormatting>
  <conditionalFormatting sqref="D27">
    <cfRule type="cellIs" dxfId="450" priority="65" operator="equal">
      <formula>"R"</formula>
    </cfRule>
    <cfRule type="cellIs" dxfId="449" priority="64" operator="equal">
      <formula>"A"</formula>
    </cfRule>
    <cfRule type="cellIs" dxfId="448" priority="63" operator="equal">
      <formula>"G"</formula>
    </cfRule>
    <cfRule type="cellIs" dxfId="447" priority="62" operator="equal">
      <formula>"n/a"</formula>
    </cfRule>
  </conditionalFormatting>
  <conditionalFormatting sqref="D30">
    <cfRule type="cellIs" dxfId="446" priority="43" operator="equal">
      <formula>"G"</formula>
    </cfRule>
    <cfRule type="cellIs" dxfId="445" priority="42" operator="equal">
      <formula>"n/a"</formula>
    </cfRule>
    <cfRule type="cellIs" dxfId="444" priority="44" operator="equal">
      <formula>"A"</formula>
    </cfRule>
    <cfRule type="cellIs" dxfId="443" priority="45" operator="equal">
      <formula>"R"</formula>
    </cfRule>
  </conditionalFormatting>
  <conditionalFormatting sqref="D33">
    <cfRule type="cellIs" dxfId="442" priority="40" operator="equal">
      <formula>"R"</formula>
    </cfRule>
    <cfRule type="cellIs" dxfId="441" priority="39" operator="equal">
      <formula>"A"</formula>
    </cfRule>
    <cfRule type="cellIs" dxfId="440" priority="38" operator="equal">
      <formula>"G"</formula>
    </cfRule>
    <cfRule type="cellIs" dxfId="439" priority="37" operator="equal">
      <formula>"n/a"</formula>
    </cfRule>
  </conditionalFormatting>
  <conditionalFormatting sqref="D36">
    <cfRule type="cellIs" dxfId="438" priority="60" operator="equal">
      <formula>"R"</formula>
    </cfRule>
    <cfRule type="cellIs" dxfId="437" priority="57" operator="equal">
      <formula>"n/a"</formula>
    </cfRule>
    <cfRule type="cellIs" dxfId="436" priority="58" operator="equal">
      <formula>"G"</formula>
    </cfRule>
    <cfRule type="cellIs" dxfId="435" priority="59" operator="equal">
      <formula>"A"</formula>
    </cfRule>
  </conditionalFormatting>
  <conditionalFormatting sqref="D39">
    <cfRule type="cellIs" dxfId="434" priority="30" operator="equal">
      <formula>"R"</formula>
    </cfRule>
    <cfRule type="cellIs" dxfId="433" priority="29" operator="equal">
      <formula>"A"</formula>
    </cfRule>
    <cfRule type="cellIs" dxfId="432" priority="28" operator="equal">
      <formula>"G"</formula>
    </cfRule>
    <cfRule type="cellIs" dxfId="431" priority="27" operator="equal">
      <formula>"n/a"</formula>
    </cfRule>
  </conditionalFormatting>
  <conditionalFormatting sqref="D42">
    <cfRule type="cellIs" dxfId="430" priority="23" operator="equal">
      <formula>"G"</formula>
    </cfRule>
    <cfRule type="cellIs" dxfId="429" priority="24" operator="equal">
      <formula>"A"</formula>
    </cfRule>
    <cfRule type="cellIs" dxfId="428" priority="22" operator="equal">
      <formula>"n/a"</formula>
    </cfRule>
    <cfRule type="cellIs" dxfId="427" priority="25" operator="equal">
      <formula>"R"</formula>
    </cfRule>
  </conditionalFormatting>
  <conditionalFormatting sqref="D45">
    <cfRule type="cellIs" dxfId="426" priority="53" operator="equal">
      <formula>"G"</formula>
    </cfRule>
    <cfRule type="cellIs" dxfId="425" priority="52" operator="equal">
      <formula>"n/a"</formula>
    </cfRule>
    <cfRule type="cellIs" dxfId="424" priority="54" operator="equal">
      <formula>"A"</formula>
    </cfRule>
    <cfRule type="cellIs" dxfId="423" priority="55" operator="equal">
      <formula>"R"</formula>
    </cfRule>
  </conditionalFormatting>
  <conditionalFormatting sqref="D48">
    <cfRule type="cellIs" dxfId="422" priority="18" operator="equal">
      <formula>"G"</formula>
    </cfRule>
    <cfRule type="cellIs" dxfId="421" priority="19" operator="equal">
      <formula>"A"</formula>
    </cfRule>
    <cfRule type="cellIs" dxfId="420" priority="20" operator="equal">
      <formula>"R"</formula>
    </cfRule>
    <cfRule type="cellIs" dxfId="419" priority="17" operator="equal">
      <formula>"n/a"</formula>
    </cfRule>
  </conditionalFormatting>
  <conditionalFormatting sqref="D51">
    <cfRule type="cellIs" dxfId="418" priority="13" operator="equal">
      <formula>"G"</formula>
    </cfRule>
    <cfRule type="cellIs" dxfId="417" priority="14" operator="equal">
      <formula>"A"</formula>
    </cfRule>
    <cfRule type="cellIs" dxfId="416" priority="15" operator="equal">
      <formula>"R"</formula>
    </cfRule>
    <cfRule type="cellIs" dxfId="415" priority="12" operator="equal">
      <formula>"n/a"</formula>
    </cfRule>
  </conditionalFormatting>
  <conditionalFormatting sqref="D54">
    <cfRule type="cellIs" dxfId="414" priority="3" operator="equal">
      <formula>"G"</formula>
    </cfRule>
    <cfRule type="cellIs" dxfId="413" priority="4" operator="equal">
      <formula>"A"</formula>
    </cfRule>
    <cfRule type="cellIs" dxfId="412" priority="5" operator="equal">
      <formula>"R"</formula>
    </cfRule>
    <cfRule type="cellIs" dxfId="411" priority="2" operator="equal">
      <formula>"n/a"</formula>
    </cfRule>
  </conditionalFormatting>
  <conditionalFormatting sqref="E9">
    <cfRule type="iconSet" priority="315">
      <iconSet iconSet="3ArrowsGray" showValue="0">
        <cfvo type="percent" val="0"/>
        <cfvo type="num" val="0"/>
        <cfvo type="num" val="1"/>
      </iconSet>
    </cfRule>
  </conditionalFormatting>
  <conditionalFormatting sqref="E12">
    <cfRule type="iconSet" priority="71">
      <iconSet iconSet="3ArrowsGray" showValue="0">
        <cfvo type="percent" val="0"/>
        <cfvo type="num" val="0"/>
        <cfvo type="num" val="1"/>
      </iconSet>
    </cfRule>
  </conditionalFormatting>
  <conditionalFormatting sqref="E15">
    <cfRule type="iconSet" priority="66">
      <iconSet iconSet="3ArrowsGray" showValue="0">
        <cfvo type="percent" val="0"/>
        <cfvo type="num" val="0"/>
        <cfvo type="num" val="1"/>
      </iconSet>
    </cfRule>
  </conditionalFormatting>
  <conditionalFormatting sqref="E18">
    <cfRule type="iconSet" priority="6">
      <iconSet iconSet="3ArrowsGray" showValue="0">
        <cfvo type="percent" val="0"/>
        <cfvo type="num" val="0"/>
        <cfvo type="num" val="1"/>
      </iconSet>
    </cfRule>
  </conditionalFormatting>
  <conditionalFormatting sqref="E21">
    <cfRule type="iconSet" priority="46">
      <iconSet iconSet="3ArrowsGray" showValue="0">
        <cfvo type="percent" val="0"/>
        <cfvo type="num" val="0"/>
        <cfvo type="num" val="1"/>
      </iconSet>
    </cfRule>
  </conditionalFormatting>
  <conditionalFormatting sqref="E24">
    <cfRule type="iconSet" priority="31">
      <iconSet iconSet="3ArrowsGray" showValue="0">
        <cfvo type="percent" val="0"/>
        <cfvo type="num" val="0"/>
        <cfvo type="num" val="1"/>
      </iconSet>
    </cfRule>
  </conditionalFormatting>
  <conditionalFormatting sqref="E27">
    <cfRule type="iconSet" priority="61">
      <iconSet iconSet="3ArrowsGray" showValue="0">
        <cfvo type="percent" val="0"/>
        <cfvo type="num" val="0"/>
        <cfvo type="num" val="1"/>
      </iconSet>
    </cfRule>
  </conditionalFormatting>
  <conditionalFormatting sqref="E30">
    <cfRule type="iconSet" priority="41">
      <iconSet iconSet="3ArrowsGray" showValue="0">
        <cfvo type="percent" val="0"/>
        <cfvo type="num" val="0"/>
        <cfvo type="num" val="1"/>
      </iconSet>
    </cfRule>
  </conditionalFormatting>
  <conditionalFormatting sqref="E33">
    <cfRule type="iconSet" priority="36">
      <iconSet iconSet="3ArrowsGray" showValue="0">
        <cfvo type="percent" val="0"/>
        <cfvo type="num" val="0"/>
        <cfvo type="num" val="1"/>
      </iconSet>
    </cfRule>
  </conditionalFormatting>
  <conditionalFormatting sqref="E36">
    <cfRule type="iconSet" priority="56">
      <iconSet iconSet="3ArrowsGray" showValue="0">
        <cfvo type="percent" val="0"/>
        <cfvo type="num" val="0"/>
        <cfvo type="num" val="1"/>
      </iconSet>
    </cfRule>
  </conditionalFormatting>
  <conditionalFormatting sqref="E39">
    <cfRule type="iconSet" priority="26">
      <iconSet iconSet="3ArrowsGray" showValue="0">
        <cfvo type="percent" val="0"/>
        <cfvo type="num" val="0"/>
        <cfvo type="num" val="1"/>
      </iconSet>
    </cfRule>
  </conditionalFormatting>
  <conditionalFormatting sqref="E42">
    <cfRule type="iconSet" priority="21">
      <iconSet iconSet="3ArrowsGray" showValue="0">
        <cfvo type="percent" val="0"/>
        <cfvo type="num" val="0"/>
        <cfvo type="num" val="1"/>
      </iconSet>
    </cfRule>
  </conditionalFormatting>
  <conditionalFormatting sqref="E45">
    <cfRule type="iconSet" priority="51">
      <iconSet iconSet="3ArrowsGray" showValue="0">
        <cfvo type="percent" val="0"/>
        <cfvo type="num" val="0"/>
        <cfvo type="num" val="1"/>
      </iconSet>
    </cfRule>
  </conditionalFormatting>
  <conditionalFormatting sqref="E48">
    <cfRule type="iconSet" priority="16">
      <iconSet iconSet="3ArrowsGray" showValue="0">
        <cfvo type="percent" val="0"/>
        <cfvo type="num" val="0"/>
        <cfvo type="num" val="1"/>
      </iconSet>
    </cfRule>
  </conditionalFormatting>
  <conditionalFormatting sqref="E51">
    <cfRule type="iconSet" priority="11">
      <iconSet iconSet="3ArrowsGray" showValue="0">
        <cfvo type="percent" val="0"/>
        <cfvo type="num" val="0"/>
        <cfvo type="num" val="1"/>
      </iconSet>
    </cfRule>
  </conditionalFormatting>
  <conditionalFormatting sqref="E54">
    <cfRule type="iconSet" priority="1">
      <iconSet iconSet="3ArrowsGray" showValue="0">
        <cfvo type="percent" val="0"/>
        <cfvo type="num" val="0"/>
        <cfvo type="num" val="1"/>
      </iconSet>
    </cfRule>
  </conditionalFormatting>
  <conditionalFormatting sqref="G59:J74">
    <cfRule type="cellIs" dxfId="410" priority="305" operator="notEqual">
      <formula>0</formula>
    </cfRule>
  </conditionalFormatting>
  <conditionalFormatting sqref="P9">
    <cfRule type="cellIs" dxfId="409" priority="325" operator="equal">
      <formula>"R"</formula>
    </cfRule>
    <cfRule type="cellIs" dxfId="408" priority="324" operator="equal">
      <formula>"A"</formula>
    </cfRule>
    <cfRule type="cellIs" dxfId="407" priority="323" operator="equal">
      <formula>"G"</formula>
    </cfRule>
    <cfRule type="cellIs" dxfId="406" priority="321" operator="equal">
      <formula>""""""</formula>
    </cfRule>
    <cfRule type="cellIs" dxfId="405" priority="322" operator="equal">
      <formula>"n/a"</formula>
    </cfRule>
  </conditionalFormatting>
  <conditionalFormatting sqref="P12">
    <cfRule type="cellIs" dxfId="404" priority="285" operator="equal">
      <formula>"R"</formula>
    </cfRule>
    <cfRule type="cellIs" dxfId="403" priority="283" operator="equal">
      <formula>"G"</formula>
    </cfRule>
    <cfRule type="cellIs" dxfId="402" priority="282" operator="equal">
      <formula>"n/a"</formula>
    </cfRule>
    <cfRule type="cellIs" dxfId="401" priority="281" operator="equal">
      <formula>""""""</formula>
    </cfRule>
    <cfRule type="cellIs" dxfId="400" priority="284" operator="equal">
      <formula>"A"</formula>
    </cfRule>
  </conditionalFormatting>
  <conditionalFormatting sqref="P15">
    <cfRule type="cellIs" dxfId="399" priority="267" operator="equal">
      <formula>""""""</formula>
    </cfRule>
    <cfRule type="cellIs" dxfId="398" priority="268" operator="equal">
      <formula>"n/a"</formula>
    </cfRule>
    <cfRule type="cellIs" dxfId="397" priority="270" operator="equal">
      <formula>"A"</formula>
    </cfRule>
    <cfRule type="cellIs" dxfId="396" priority="271" operator="equal">
      <formula>"R"</formula>
    </cfRule>
    <cfRule type="cellIs" dxfId="395" priority="269" operator="equal">
      <formula>"G"</formula>
    </cfRule>
  </conditionalFormatting>
  <conditionalFormatting sqref="P18">
    <cfRule type="cellIs" dxfId="394" priority="99" operator="equal">
      <formula>""""""</formula>
    </cfRule>
    <cfRule type="cellIs" dxfId="393" priority="103" operator="equal">
      <formula>"R"</formula>
    </cfRule>
    <cfRule type="cellIs" dxfId="392" priority="102" operator="equal">
      <formula>"A"</formula>
    </cfRule>
    <cfRule type="cellIs" dxfId="391" priority="101" operator="equal">
      <formula>"G"</formula>
    </cfRule>
    <cfRule type="cellIs" dxfId="390" priority="100" operator="equal">
      <formula>"n/a"</formula>
    </cfRule>
  </conditionalFormatting>
  <conditionalFormatting sqref="P21">
    <cfRule type="cellIs" dxfId="389" priority="214" operator="equal">
      <formula>"A"</formula>
    </cfRule>
    <cfRule type="cellIs" dxfId="388" priority="213" operator="equal">
      <formula>"G"</formula>
    </cfRule>
    <cfRule type="cellIs" dxfId="387" priority="215" operator="equal">
      <formula>"R"</formula>
    </cfRule>
    <cfRule type="cellIs" dxfId="386" priority="211" operator="equal">
      <formula>""""""</formula>
    </cfRule>
    <cfRule type="cellIs" dxfId="385" priority="212" operator="equal">
      <formula>"n/a"</formula>
    </cfRule>
  </conditionalFormatting>
  <conditionalFormatting sqref="P24">
    <cfRule type="cellIs" dxfId="384" priority="171" operator="equal">
      <formula>"G"</formula>
    </cfRule>
    <cfRule type="cellIs" dxfId="383" priority="172" operator="equal">
      <formula>"A"</formula>
    </cfRule>
    <cfRule type="cellIs" dxfId="382" priority="173" operator="equal">
      <formula>"R"</formula>
    </cfRule>
    <cfRule type="cellIs" dxfId="381" priority="170" operator="equal">
      <formula>"n/a"</formula>
    </cfRule>
    <cfRule type="cellIs" dxfId="380" priority="169" operator="equal">
      <formula>""""""</formula>
    </cfRule>
  </conditionalFormatting>
  <conditionalFormatting sqref="P27">
    <cfRule type="cellIs" dxfId="379" priority="254" operator="equal">
      <formula>"n/a"</formula>
    </cfRule>
    <cfRule type="cellIs" dxfId="378" priority="253" operator="equal">
      <formula>""""""</formula>
    </cfRule>
    <cfRule type="cellIs" dxfId="377" priority="255" operator="equal">
      <formula>"G"</formula>
    </cfRule>
    <cfRule type="cellIs" dxfId="376" priority="256" operator="equal">
      <formula>"A"</formula>
    </cfRule>
    <cfRule type="cellIs" dxfId="375" priority="257" operator="equal">
      <formula>"R"</formula>
    </cfRule>
  </conditionalFormatting>
  <conditionalFormatting sqref="P30">
    <cfRule type="cellIs" dxfId="374" priority="197" operator="equal">
      <formula>""""""</formula>
    </cfRule>
    <cfRule type="cellIs" dxfId="373" priority="201" operator="equal">
      <formula>"R"</formula>
    </cfRule>
    <cfRule type="cellIs" dxfId="372" priority="200" operator="equal">
      <formula>"A"</formula>
    </cfRule>
    <cfRule type="cellIs" dxfId="371" priority="199" operator="equal">
      <formula>"G"</formula>
    </cfRule>
    <cfRule type="cellIs" dxfId="370" priority="198" operator="equal">
      <formula>"n/a"</formula>
    </cfRule>
  </conditionalFormatting>
  <conditionalFormatting sqref="P33">
    <cfRule type="cellIs" dxfId="369" priority="184" operator="equal">
      <formula>"n/a"</formula>
    </cfRule>
    <cfRule type="cellIs" dxfId="368" priority="183" operator="equal">
      <formula>""""""</formula>
    </cfRule>
    <cfRule type="cellIs" dxfId="367" priority="187" operator="equal">
      <formula>"R"</formula>
    </cfRule>
    <cfRule type="cellIs" dxfId="366" priority="185" operator="equal">
      <formula>"G"</formula>
    </cfRule>
    <cfRule type="cellIs" dxfId="365" priority="186" operator="equal">
      <formula>"A"</formula>
    </cfRule>
  </conditionalFormatting>
  <conditionalFormatting sqref="P36">
    <cfRule type="cellIs" dxfId="364" priority="242" operator="equal">
      <formula>"A"</formula>
    </cfRule>
    <cfRule type="cellIs" dxfId="363" priority="243" operator="equal">
      <formula>"R"</formula>
    </cfRule>
    <cfRule type="cellIs" dxfId="362" priority="239" operator="equal">
      <formula>""""""</formula>
    </cfRule>
    <cfRule type="cellIs" dxfId="361" priority="240" operator="equal">
      <formula>"n/a"</formula>
    </cfRule>
    <cfRule type="cellIs" dxfId="360" priority="241" operator="equal">
      <formula>"G"</formula>
    </cfRule>
  </conditionalFormatting>
  <conditionalFormatting sqref="P39">
    <cfRule type="cellIs" dxfId="359" priority="158" operator="equal">
      <formula>"A"</formula>
    </cfRule>
    <cfRule type="cellIs" dxfId="358" priority="155" operator="equal">
      <formula>""""""</formula>
    </cfRule>
    <cfRule type="cellIs" dxfId="357" priority="156" operator="equal">
      <formula>"n/a"</formula>
    </cfRule>
    <cfRule type="cellIs" dxfId="356" priority="157" operator="equal">
      <formula>"G"</formula>
    </cfRule>
    <cfRule type="cellIs" dxfId="355" priority="159" operator="equal">
      <formula>"R"</formula>
    </cfRule>
  </conditionalFormatting>
  <conditionalFormatting sqref="P42">
    <cfRule type="cellIs" dxfId="354" priority="145" operator="equal">
      <formula>"R"</formula>
    </cfRule>
    <cfRule type="cellIs" dxfId="353" priority="144" operator="equal">
      <formula>"A"</formula>
    </cfRule>
    <cfRule type="cellIs" dxfId="352" priority="143" operator="equal">
      <formula>"G"</formula>
    </cfRule>
    <cfRule type="cellIs" dxfId="351" priority="142" operator="equal">
      <formula>"n/a"</formula>
    </cfRule>
    <cfRule type="cellIs" dxfId="350" priority="141" operator="equal">
      <formula>""""""</formula>
    </cfRule>
  </conditionalFormatting>
  <conditionalFormatting sqref="P45">
    <cfRule type="cellIs" dxfId="349" priority="228" operator="equal">
      <formula>"A"</formula>
    </cfRule>
    <cfRule type="cellIs" dxfId="348" priority="227" operator="equal">
      <formula>"G"</formula>
    </cfRule>
    <cfRule type="cellIs" dxfId="347" priority="229" operator="equal">
      <formula>"R"</formula>
    </cfRule>
    <cfRule type="cellIs" dxfId="346" priority="226" operator="equal">
      <formula>"n/a"</formula>
    </cfRule>
    <cfRule type="cellIs" dxfId="345" priority="225" operator="equal">
      <formula>""""""</formula>
    </cfRule>
  </conditionalFormatting>
  <conditionalFormatting sqref="P48">
    <cfRule type="cellIs" dxfId="344" priority="131" operator="equal">
      <formula>"R"</formula>
    </cfRule>
    <cfRule type="cellIs" dxfId="343" priority="127" operator="equal">
      <formula>""""""</formula>
    </cfRule>
    <cfRule type="cellIs" dxfId="342" priority="130" operator="equal">
      <formula>"A"</formula>
    </cfRule>
    <cfRule type="cellIs" dxfId="341" priority="129" operator="equal">
      <formula>"G"</formula>
    </cfRule>
    <cfRule type="cellIs" dxfId="340" priority="128" operator="equal">
      <formula>"n/a"</formula>
    </cfRule>
  </conditionalFormatting>
  <conditionalFormatting sqref="P51">
    <cfRule type="cellIs" dxfId="339" priority="113" operator="equal">
      <formula>""""""</formula>
    </cfRule>
    <cfRule type="cellIs" dxfId="338" priority="114" operator="equal">
      <formula>"n/a"</formula>
    </cfRule>
    <cfRule type="cellIs" dxfId="337" priority="115" operator="equal">
      <formula>"G"</formula>
    </cfRule>
    <cfRule type="cellIs" dxfId="336" priority="116" operator="equal">
      <formula>"A"</formula>
    </cfRule>
    <cfRule type="cellIs" dxfId="335" priority="117" operator="equal">
      <formula>"R"</formula>
    </cfRule>
  </conditionalFormatting>
  <conditionalFormatting sqref="P54">
    <cfRule type="cellIs" dxfId="334" priority="89" operator="equal">
      <formula>"R"</formula>
    </cfRule>
    <cfRule type="cellIs" dxfId="333" priority="85" operator="equal">
      <formula>""""""</formula>
    </cfRule>
    <cfRule type="cellIs" dxfId="332" priority="86" operator="equal">
      <formula>"n/a"</formula>
    </cfRule>
    <cfRule type="cellIs" dxfId="331" priority="87" operator="equal">
      <formula>"G"</formula>
    </cfRule>
    <cfRule type="cellIs" dxfId="330" priority="88" operator="equal">
      <formula>"A"</formula>
    </cfRule>
  </conditionalFormatting>
  <conditionalFormatting sqref="Q9">
    <cfRule type="iconSet" priority="314">
      <iconSet iconSet="3ArrowsGray" showValue="0">
        <cfvo type="percent" val="0"/>
        <cfvo type="num" val="0"/>
        <cfvo type="num" val="1"/>
      </iconSet>
    </cfRule>
  </conditionalFormatting>
  <conditionalFormatting sqref="Q12">
    <cfRule type="iconSet" priority="275">
      <iconSet iconSet="3ArrowsGray" showValue="0">
        <cfvo type="percent" val="0"/>
        <cfvo type="num" val="0"/>
        <cfvo type="num" val="1"/>
      </iconSet>
    </cfRule>
  </conditionalFormatting>
  <conditionalFormatting sqref="Q15">
    <cfRule type="iconSet" priority="261">
      <iconSet iconSet="3ArrowsGray" showValue="0">
        <cfvo type="percent" val="0"/>
        <cfvo type="num" val="0"/>
        <cfvo type="num" val="1"/>
      </iconSet>
    </cfRule>
  </conditionalFormatting>
  <conditionalFormatting sqref="Q18">
    <cfRule type="iconSet" priority="93">
      <iconSet iconSet="3ArrowsGray" showValue="0">
        <cfvo type="percent" val="0"/>
        <cfvo type="num" val="0"/>
        <cfvo type="num" val="1"/>
      </iconSet>
    </cfRule>
  </conditionalFormatting>
  <conditionalFormatting sqref="Q21">
    <cfRule type="iconSet" priority="205">
      <iconSet iconSet="3ArrowsGray" showValue="0">
        <cfvo type="percent" val="0"/>
        <cfvo type="num" val="0"/>
        <cfvo type="num" val="1"/>
      </iconSet>
    </cfRule>
  </conditionalFormatting>
  <conditionalFormatting sqref="Q24">
    <cfRule type="iconSet" priority="163">
      <iconSet iconSet="3ArrowsGray" showValue="0">
        <cfvo type="percent" val="0"/>
        <cfvo type="num" val="0"/>
        <cfvo type="num" val="1"/>
      </iconSet>
    </cfRule>
  </conditionalFormatting>
  <conditionalFormatting sqref="Q27">
    <cfRule type="iconSet" priority="247">
      <iconSet iconSet="3ArrowsGray" showValue="0">
        <cfvo type="percent" val="0"/>
        <cfvo type="num" val="0"/>
        <cfvo type="num" val="1"/>
      </iconSet>
    </cfRule>
  </conditionalFormatting>
  <conditionalFormatting sqref="Q30">
    <cfRule type="iconSet" priority="191">
      <iconSet iconSet="3ArrowsGray" showValue="0">
        <cfvo type="percent" val="0"/>
        <cfvo type="num" val="0"/>
        <cfvo type="num" val="1"/>
      </iconSet>
    </cfRule>
  </conditionalFormatting>
  <conditionalFormatting sqref="Q33">
    <cfRule type="iconSet" priority="177">
      <iconSet iconSet="3ArrowsGray" showValue="0">
        <cfvo type="percent" val="0"/>
        <cfvo type="num" val="0"/>
        <cfvo type="num" val="1"/>
      </iconSet>
    </cfRule>
  </conditionalFormatting>
  <conditionalFormatting sqref="Q36">
    <cfRule type="iconSet" priority="233">
      <iconSet iconSet="3ArrowsGray" showValue="0">
        <cfvo type="percent" val="0"/>
        <cfvo type="num" val="0"/>
        <cfvo type="num" val="1"/>
      </iconSet>
    </cfRule>
  </conditionalFormatting>
  <conditionalFormatting sqref="Q39">
    <cfRule type="iconSet" priority="149">
      <iconSet iconSet="3ArrowsGray" showValue="0">
        <cfvo type="percent" val="0"/>
        <cfvo type="num" val="0"/>
        <cfvo type="num" val="1"/>
      </iconSet>
    </cfRule>
  </conditionalFormatting>
  <conditionalFormatting sqref="Q42">
    <cfRule type="iconSet" priority="135">
      <iconSet iconSet="3ArrowsGray" showValue="0">
        <cfvo type="percent" val="0"/>
        <cfvo type="num" val="0"/>
        <cfvo type="num" val="1"/>
      </iconSet>
    </cfRule>
  </conditionalFormatting>
  <conditionalFormatting sqref="Q45">
    <cfRule type="iconSet" priority="219">
      <iconSet iconSet="3ArrowsGray" showValue="0">
        <cfvo type="percent" val="0"/>
        <cfvo type="num" val="0"/>
        <cfvo type="num" val="1"/>
      </iconSet>
    </cfRule>
  </conditionalFormatting>
  <conditionalFormatting sqref="Q48">
    <cfRule type="iconSet" priority="121">
      <iconSet iconSet="3ArrowsGray" showValue="0">
        <cfvo type="percent" val="0"/>
        <cfvo type="num" val="0"/>
        <cfvo type="num" val="1"/>
      </iconSet>
    </cfRule>
  </conditionalFormatting>
  <conditionalFormatting sqref="Q51">
    <cfRule type="iconSet" priority="107">
      <iconSet iconSet="3ArrowsGray" showValue="0">
        <cfvo type="percent" val="0"/>
        <cfvo type="num" val="0"/>
        <cfvo type="num" val="1"/>
      </iconSet>
    </cfRule>
  </conditionalFormatting>
  <conditionalFormatting sqref="Q54">
    <cfRule type="iconSet" priority="79">
      <iconSet iconSet="3ArrowsGray" showValue="0">
        <cfvo type="percent" val="0"/>
        <cfvo type="num" val="0"/>
        <cfvo type="num" val="1"/>
      </iconSet>
    </cfRule>
  </conditionalFormatting>
  <conditionalFormatting sqref="AF9:AG9">
    <cfRule type="cellIs" dxfId="329" priority="304" stopIfTrue="1" operator="lessThan">
      <formula>0.95</formula>
    </cfRule>
    <cfRule type="cellIs" dxfId="328" priority="302" operator="greaterThanOrEqual">
      <formula>0.95</formula>
    </cfRule>
    <cfRule type="cellIs" dxfId="327" priority="303" stopIfTrue="1" operator="lessThan">
      <formula>0.9</formula>
    </cfRule>
  </conditionalFormatting>
  <conditionalFormatting sqref="AF12:AG12">
    <cfRule type="cellIs" dxfId="326" priority="274" stopIfTrue="1" operator="lessThan">
      <formula>0.95</formula>
    </cfRule>
    <cfRule type="cellIs" dxfId="325" priority="273" stopIfTrue="1" operator="lessThan">
      <formula>0.9</formula>
    </cfRule>
    <cfRule type="cellIs" dxfId="324" priority="272" operator="greaterThanOrEqual">
      <formula>0.95</formula>
    </cfRule>
  </conditionalFormatting>
  <conditionalFormatting sqref="AF15:AG15">
    <cfRule type="cellIs" dxfId="323" priority="260" stopIfTrue="1" operator="lessThan">
      <formula>0.95</formula>
    </cfRule>
    <cfRule type="cellIs" dxfId="322" priority="258" operator="greaterThanOrEqual">
      <formula>0.95</formula>
    </cfRule>
    <cfRule type="cellIs" dxfId="321" priority="259" stopIfTrue="1" operator="lessThan">
      <formula>0.9</formula>
    </cfRule>
  </conditionalFormatting>
  <conditionalFormatting sqref="AF18:AG18">
    <cfRule type="cellIs" dxfId="320" priority="92" stopIfTrue="1" operator="lessThan">
      <formula>0.95</formula>
    </cfRule>
    <cfRule type="cellIs" dxfId="319" priority="91" stopIfTrue="1" operator="lessThan">
      <formula>0.9</formula>
    </cfRule>
    <cfRule type="cellIs" dxfId="318" priority="90" operator="greaterThanOrEqual">
      <formula>0.95</formula>
    </cfRule>
  </conditionalFormatting>
  <conditionalFormatting sqref="AF21:AG21">
    <cfRule type="cellIs" dxfId="317" priority="203" stopIfTrue="1" operator="lessThan">
      <formula>0.9</formula>
    </cfRule>
    <cfRule type="cellIs" dxfId="316" priority="204" stopIfTrue="1" operator="lessThan">
      <formula>0.95</formula>
    </cfRule>
    <cfRule type="cellIs" dxfId="315" priority="202" operator="greaterThanOrEqual">
      <formula>0.95</formula>
    </cfRule>
  </conditionalFormatting>
  <conditionalFormatting sqref="AF24:AG24">
    <cfRule type="cellIs" dxfId="314" priority="160" operator="greaterThanOrEqual">
      <formula>0.95</formula>
    </cfRule>
    <cfRule type="cellIs" dxfId="313" priority="161" stopIfTrue="1" operator="lessThan">
      <formula>0.9</formula>
    </cfRule>
    <cfRule type="cellIs" dxfId="312" priority="162" stopIfTrue="1" operator="lessThan">
      <formula>0.95</formula>
    </cfRule>
  </conditionalFormatting>
  <conditionalFormatting sqref="AF27:AG27">
    <cfRule type="cellIs" dxfId="311" priority="245" stopIfTrue="1" operator="lessThan">
      <formula>0.9</formula>
    </cfRule>
    <cfRule type="cellIs" dxfId="310" priority="244" operator="greaterThanOrEqual">
      <formula>0.95</formula>
    </cfRule>
    <cfRule type="cellIs" dxfId="309" priority="246" stopIfTrue="1" operator="lessThan">
      <formula>0.95</formula>
    </cfRule>
  </conditionalFormatting>
  <conditionalFormatting sqref="AF30:AG30">
    <cfRule type="cellIs" dxfId="308" priority="189" stopIfTrue="1" operator="lessThan">
      <formula>0.9</formula>
    </cfRule>
    <cfRule type="cellIs" dxfId="307" priority="190" stopIfTrue="1" operator="lessThan">
      <formula>0.95</formula>
    </cfRule>
    <cfRule type="cellIs" dxfId="306" priority="188" operator="greaterThanOrEqual">
      <formula>0.95</formula>
    </cfRule>
  </conditionalFormatting>
  <conditionalFormatting sqref="AF33:AG33">
    <cfRule type="cellIs" dxfId="305" priority="174" operator="greaterThanOrEqual">
      <formula>0.95</formula>
    </cfRule>
    <cfRule type="cellIs" dxfId="304" priority="175" stopIfTrue="1" operator="lessThan">
      <formula>0.9</formula>
    </cfRule>
    <cfRule type="cellIs" dxfId="303" priority="176" stopIfTrue="1" operator="lessThan">
      <formula>0.95</formula>
    </cfRule>
  </conditionalFormatting>
  <conditionalFormatting sqref="AF36:AG36">
    <cfRule type="cellIs" dxfId="302" priority="230" operator="greaterThanOrEqual">
      <formula>0.95</formula>
    </cfRule>
    <cfRule type="cellIs" dxfId="301" priority="232" stopIfTrue="1" operator="lessThan">
      <formula>0.95</formula>
    </cfRule>
    <cfRule type="cellIs" dxfId="300" priority="231" stopIfTrue="1" operator="lessThan">
      <formula>0.9</formula>
    </cfRule>
  </conditionalFormatting>
  <conditionalFormatting sqref="AF39:AG39">
    <cfRule type="cellIs" dxfId="299" priority="146" operator="greaterThanOrEqual">
      <formula>0.95</formula>
    </cfRule>
    <cfRule type="cellIs" dxfId="298" priority="147" stopIfTrue="1" operator="lessThan">
      <formula>0.9</formula>
    </cfRule>
    <cfRule type="cellIs" dxfId="297" priority="148" stopIfTrue="1" operator="lessThan">
      <formula>0.95</formula>
    </cfRule>
  </conditionalFormatting>
  <conditionalFormatting sqref="AF42:AG42">
    <cfRule type="cellIs" dxfId="296" priority="132" operator="greaterThanOrEqual">
      <formula>0.95</formula>
    </cfRule>
    <cfRule type="cellIs" dxfId="295" priority="134" stopIfTrue="1" operator="lessThan">
      <formula>0.95</formula>
    </cfRule>
    <cfRule type="cellIs" dxfId="294" priority="133" stopIfTrue="1" operator="lessThan">
      <formula>0.9</formula>
    </cfRule>
  </conditionalFormatting>
  <conditionalFormatting sqref="AF45:AG45">
    <cfRule type="cellIs" dxfId="293" priority="216" operator="greaterThanOrEqual">
      <formula>0.95</formula>
    </cfRule>
    <cfRule type="cellIs" dxfId="292" priority="217" stopIfTrue="1" operator="lessThan">
      <formula>0.9</formula>
    </cfRule>
    <cfRule type="cellIs" dxfId="291" priority="218" stopIfTrue="1" operator="lessThan">
      <formula>0.95</formula>
    </cfRule>
  </conditionalFormatting>
  <conditionalFormatting sqref="AF48:AG48">
    <cfRule type="cellIs" dxfId="290" priority="119" stopIfTrue="1" operator="lessThan">
      <formula>0.9</formula>
    </cfRule>
    <cfRule type="cellIs" dxfId="289" priority="118" operator="greaterThanOrEqual">
      <formula>0.95</formula>
    </cfRule>
    <cfRule type="cellIs" dxfId="288" priority="120" stopIfTrue="1" operator="lessThan">
      <formula>0.95</formula>
    </cfRule>
  </conditionalFormatting>
  <conditionalFormatting sqref="AF51:AG51">
    <cfRule type="cellIs" dxfId="287" priority="106" stopIfTrue="1" operator="lessThan">
      <formula>0.95</formula>
    </cfRule>
    <cfRule type="cellIs" dxfId="286" priority="105" stopIfTrue="1" operator="lessThan">
      <formula>0.9</formula>
    </cfRule>
    <cfRule type="cellIs" dxfId="285" priority="104" operator="greaterThanOrEqual">
      <formula>0.95</formula>
    </cfRule>
  </conditionalFormatting>
  <conditionalFormatting sqref="AF54:AG54">
    <cfRule type="cellIs" dxfId="284" priority="76" operator="greaterThanOrEqual">
      <formula>0.95</formula>
    </cfRule>
    <cfRule type="cellIs" dxfId="283" priority="78" stopIfTrue="1" operator="lessThan">
      <formula>0.95</formula>
    </cfRule>
    <cfRule type="cellIs" dxfId="282" priority="77" stopIfTrue="1" operator="lessThan">
      <formula>0.9</formula>
    </cfRule>
  </conditionalFormatting>
  <conditionalFormatting sqref="AK9">
    <cfRule type="cellIs" dxfId="281" priority="317" operator="equal">
      <formula>"n/a"</formula>
    </cfRule>
    <cfRule type="cellIs" dxfId="280" priority="316" operator="equal">
      <formula>""""""</formula>
    </cfRule>
    <cfRule type="cellIs" dxfId="279" priority="320" operator="equal">
      <formula>"R"</formula>
    </cfRule>
    <cfRule type="cellIs" dxfId="278" priority="319" operator="equal">
      <formula>"A"</formula>
    </cfRule>
    <cfRule type="cellIs" dxfId="277" priority="318" operator="equal">
      <formula>"G"</formula>
    </cfRule>
  </conditionalFormatting>
  <conditionalFormatting sqref="AK12">
    <cfRule type="cellIs" dxfId="276" priority="279" operator="equal">
      <formula>"A"</formula>
    </cfRule>
    <cfRule type="cellIs" dxfId="275" priority="280" operator="equal">
      <formula>"R"</formula>
    </cfRule>
    <cfRule type="cellIs" dxfId="274" priority="276" operator="equal">
      <formula>""""""</formula>
    </cfRule>
    <cfRule type="cellIs" dxfId="273" priority="277" operator="equal">
      <formula>"n/a"</formula>
    </cfRule>
    <cfRule type="cellIs" dxfId="272" priority="278" operator="equal">
      <formula>"G"</formula>
    </cfRule>
  </conditionalFormatting>
  <conditionalFormatting sqref="AK15">
    <cfRule type="cellIs" dxfId="271" priority="262" operator="equal">
      <formula>""""""</formula>
    </cfRule>
    <cfRule type="cellIs" dxfId="270" priority="263" operator="equal">
      <formula>"n/a"</formula>
    </cfRule>
    <cfRule type="cellIs" dxfId="269" priority="264" operator="equal">
      <formula>"G"</formula>
    </cfRule>
    <cfRule type="cellIs" dxfId="268" priority="265" operator="equal">
      <formula>"A"</formula>
    </cfRule>
    <cfRule type="cellIs" dxfId="267" priority="266" operator="equal">
      <formula>"R"</formula>
    </cfRule>
  </conditionalFormatting>
  <conditionalFormatting sqref="AK18">
    <cfRule type="cellIs" dxfId="266" priority="96" operator="equal">
      <formula>"G"</formula>
    </cfRule>
    <cfRule type="cellIs" dxfId="265" priority="95" operator="equal">
      <formula>"n/a"</formula>
    </cfRule>
    <cfRule type="cellIs" dxfId="264" priority="94" operator="equal">
      <formula>""""""</formula>
    </cfRule>
    <cfRule type="cellIs" dxfId="263" priority="97" operator="equal">
      <formula>"A"</formula>
    </cfRule>
    <cfRule type="cellIs" dxfId="262" priority="98" operator="equal">
      <formula>"R"</formula>
    </cfRule>
  </conditionalFormatting>
  <conditionalFormatting sqref="AK21">
    <cfRule type="cellIs" dxfId="261" priority="208" operator="equal">
      <formula>"G"</formula>
    </cfRule>
    <cfRule type="cellIs" dxfId="260" priority="209" operator="equal">
      <formula>"A"</formula>
    </cfRule>
    <cfRule type="cellIs" dxfId="259" priority="210" operator="equal">
      <formula>"R"</formula>
    </cfRule>
    <cfRule type="cellIs" dxfId="258" priority="206" operator="equal">
      <formula>""""""</formula>
    </cfRule>
    <cfRule type="cellIs" dxfId="257" priority="207" operator="equal">
      <formula>"n/a"</formula>
    </cfRule>
  </conditionalFormatting>
  <conditionalFormatting sqref="AK24">
    <cfRule type="cellIs" dxfId="256" priority="165" operator="equal">
      <formula>"n/a"</formula>
    </cfRule>
    <cfRule type="cellIs" dxfId="255" priority="168" operator="equal">
      <formula>"R"</formula>
    </cfRule>
    <cfRule type="cellIs" dxfId="254" priority="166" operator="equal">
      <formula>"G"</formula>
    </cfRule>
    <cfRule type="cellIs" dxfId="253" priority="164" operator="equal">
      <formula>""""""</formula>
    </cfRule>
    <cfRule type="cellIs" dxfId="252" priority="167" operator="equal">
      <formula>"A"</formula>
    </cfRule>
  </conditionalFormatting>
  <conditionalFormatting sqref="AK27">
    <cfRule type="cellIs" dxfId="251" priority="248" operator="equal">
      <formula>""""""</formula>
    </cfRule>
    <cfRule type="cellIs" dxfId="250" priority="249" operator="equal">
      <formula>"n/a"</formula>
    </cfRule>
    <cfRule type="cellIs" dxfId="249" priority="250" operator="equal">
      <formula>"G"</formula>
    </cfRule>
    <cfRule type="cellIs" dxfId="248" priority="251" operator="equal">
      <formula>"A"</formula>
    </cfRule>
    <cfRule type="cellIs" dxfId="247" priority="252" operator="equal">
      <formula>"R"</formula>
    </cfRule>
  </conditionalFormatting>
  <conditionalFormatting sqref="AK30">
    <cfRule type="cellIs" dxfId="246" priority="194" operator="equal">
      <formula>"G"</formula>
    </cfRule>
    <cfRule type="cellIs" dxfId="245" priority="195" operator="equal">
      <formula>"A"</formula>
    </cfRule>
    <cfRule type="cellIs" dxfId="244" priority="196" operator="equal">
      <formula>"R"</formula>
    </cfRule>
    <cfRule type="cellIs" dxfId="243" priority="192" operator="equal">
      <formula>""""""</formula>
    </cfRule>
    <cfRule type="cellIs" dxfId="242" priority="193" operator="equal">
      <formula>"n/a"</formula>
    </cfRule>
  </conditionalFormatting>
  <conditionalFormatting sqref="AK33">
    <cfRule type="cellIs" dxfId="241" priority="179" operator="equal">
      <formula>"n/a"</formula>
    </cfRule>
    <cfRule type="cellIs" dxfId="240" priority="180" operator="equal">
      <formula>"G"</formula>
    </cfRule>
    <cfRule type="cellIs" dxfId="239" priority="181" operator="equal">
      <formula>"A"</formula>
    </cfRule>
    <cfRule type="cellIs" dxfId="238" priority="182" operator="equal">
      <formula>"R"</formula>
    </cfRule>
    <cfRule type="cellIs" dxfId="237" priority="178" operator="equal">
      <formula>""""""</formula>
    </cfRule>
  </conditionalFormatting>
  <conditionalFormatting sqref="AK36">
    <cfRule type="cellIs" dxfId="236" priority="237" operator="equal">
      <formula>"A"</formula>
    </cfRule>
    <cfRule type="cellIs" dxfId="235" priority="236" operator="equal">
      <formula>"G"</formula>
    </cfRule>
    <cfRule type="cellIs" dxfId="234" priority="238" operator="equal">
      <formula>"R"</formula>
    </cfRule>
    <cfRule type="cellIs" dxfId="233" priority="235" operator="equal">
      <formula>"n/a"</formula>
    </cfRule>
    <cfRule type="cellIs" dxfId="232" priority="234" operator="equal">
      <formula>""""""</formula>
    </cfRule>
  </conditionalFormatting>
  <conditionalFormatting sqref="AK39">
    <cfRule type="cellIs" dxfId="231" priority="153" operator="equal">
      <formula>"A"</formula>
    </cfRule>
    <cfRule type="cellIs" dxfId="230" priority="152" operator="equal">
      <formula>"G"</formula>
    </cfRule>
    <cfRule type="cellIs" dxfId="229" priority="151" operator="equal">
      <formula>"n/a"</formula>
    </cfRule>
    <cfRule type="cellIs" dxfId="228" priority="150" operator="equal">
      <formula>""""""</formula>
    </cfRule>
    <cfRule type="cellIs" dxfId="227" priority="154" operator="equal">
      <formula>"R"</formula>
    </cfRule>
  </conditionalFormatting>
  <conditionalFormatting sqref="AK42">
    <cfRule type="cellIs" dxfId="226" priority="140" operator="equal">
      <formula>"R"</formula>
    </cfRule>
    <cfRule type="cellIs" dxfId="225" priority="139" operator="equal">
      <formula>"A"</formula>
    </cfRule>
    <cfRule type="cellIs" dxfId="224" priority="136" operator="equal">
      <formula>""""""</formula>
    </cfRule>
    <cfRule type="cellIs" dxfId="223" priority="137" operator="equal">
      <formula>"n/a"</formula>
    </cfRule>
    <cfRule type="cellIs" dxfId="222" priority="138" operator="equal">
      <formula>"G"</formula>
    </cfRule>
  </conditionalFormatting>
  <conditionalFormatting sqref="AK45">
    <cfRule type="cellIs" dxfId="221" priority="224" operator="equal">
      <formula>"R"</formula>
    </cfRule>
    <cfRule type="cellIs" dxfId="220" priority="220" operator="equal">
      <formula>""""""</formula>
    </cfRule>
    <cfRule type="cellIs" dxfId="219" priority="221" operator="equal">
      <formula>"n/a"</formula>
    </cfRule>
    <cfRule type="cellIs" dxfId="218" priority="222" operator="equal">
      <formula>"G"</formula>
    </cfRule>
    <cfRule type="cellIs" dxfId="217" priority="223" operator="equal">
      <formula>"A"</formula>
    </cfRule>
  </conditionalFormatting>
  <conditionalFormatting sqref="AK48">
    <cfRule type="cellIs" dxfId="216" priority="123" operator="equal">
      <formula>"n/a"</formula>
    </cfRule>
    <cfRule type="cellIs" dxfId="215" priority="124" operator="equal">
      <formula>"G"</formula>
    </cfRule>
    <cfRule type="cellIs" dxfId="214" priority="122" operator="equal">
      <formula>""""""</formula>
    </cfRule>
    <cfRule type="cellIs" dxfId="213" priority="125" operator="equal">
      <formula>"A"</formula>
    </cfRule>
    <cfRule type="cellIs" dxfId="212" priority="126" operator="equal">
      <formula>"R"</formula>
    </cfRule>
  </conditionalFormatting>
  <conditionalFormatting sqref="AK51">
    <cfRule type="cellIs" dxfId="211" priority="110" operator="equal">
      <formula>"G"</formula>
    </cfRule>
    <cfRule type="cellIs" dxfId="210" priority="109" operator="equal">
      <formula>"n/a"</formula>
    </cfRule>
    <cfRule type="cellIs" dxfId="209" priority="108" operator="equal">
      <formula>""""""</formula>
    </cfRule>
    <cfRule type="cellIs" dxfId="208" priority="111" operator="equal">
      <formula>"A"</formula>
    </cfRule>
    <cfRule type="cellIs" dxfId="207" priority="112" operator="equal">
      <formula>"R"</formula>
    </cfRule>
  </conditionalFormatting>
  <conditionalFormatting sqref="AK54">
    <cfRule type="cellIs" dxfId="206" priority="81" operator="equal">
      <formula>"n/a"</formula>
    </cfRule>
    <cfRule type="cellIs" dxfId="205" priority="80" operator="equal">
      <formula>""""""</formula>
    </cfRule>
    <cfRule type="cellIs" dxfId="204" priority="84" operator="equal">
      <formula>"R"</formula>
    </cfRule>
    <cfRule type="cellIs" dxfId="203" priority="83" operator="equal">
      <formula>"A"</formula>
    </cfRule>
    <cfRule type="cellIs" dxfId="202" priority="82" operator="equal">
      <formula>"G"</formula>
    </cfRule>
  </conditionalFormatting>
  <conditionalFormatting sqref="AN9:AO9">
    <cfRule type="cellIs" dxfId="201" priority="287" operator="greaterThanOrEqual">
      <formula>0.5</formula>
    </cfRule>
  </conditionalFormatting>
  <conditionalFormatting sqref="AN12:AO12">
    <cfRule type="cellIs" dxfId="200" priority="286" operator="greaterThanOrEqual">
      <formula>0.5</formula>
    </cfRule>
  </conditionalFormatting>
  <conditionalFormatting sqref="AN15:AO15">
    <cfRule type="cellIs" dxfId="199" priority="301" operator="greaterThanOrEqual">
      <formula>0.5</formula>
    </cfRule>
  </conditionalFormatting>
  <conditionalFormatting sqref="AN18:AO18">
    <cfRule type="cellIs" dxfId="198" priority="289" operator="greaterThanOrEqual">
      <formula>0.5</formula>
    </cfRule>
  </conditionalFormatting>
  <conditionalFormatting sqref="AN21:AO21">
    <cfRule type="cellIs" dxfId="197" priority="297" operator="greaterThanOrEqual">
      <formula>0.5</formula>
    </cfRule>
  </conditionalFormatting>
  <conditionalFormatting sqref="AN24:AO24">
    <cfRule type="cellIs" dxfId="196" priority="294" operator="greaterThanOrEqual">
      <formula>0.5</formula>
    </cfRule>
  </conditionalFormatting>
  <conditionalFormatting sqref="AN27:AO27">
    <cfRule type="cellIs" dxfId="195" priority="300" operator="greaterThanOrEqual">
      <formula>0.5</formula>
    </cfRule>
  </conditionalFormatting>
  <conditionalFormatting sqref="AN30:AO30">
    <cfRule type="cellIs" dxfId="194" priority="296" operator="greaterThanOrEqual">
      <formula>0.5</formula>
    </cfRule>
  </conditionalFormatting>
  <conditionalFormatting sqref="AN33:AO33">
    <cfRule type="cellIs" dxfId="193" priority="295" operator="greaterThanOrEqual">
      <formula>0.5</formula>
    </cfRule>
  </conditionalFormatting>
  <conditionalFormatting sqref="AN36:AO36">
    <cfRule type="cellIs" dxfId="192" priority="299" operator="greaterThanOrEqual">
      <formula>0.5</formula>
    </cfRule>
  </conditionalFormatting>
  <conditionalFormatting sqref="AN39:AO39">
    <cfRule type="cellIs" dxfId="191" priority="293" operator="greaterThanOrEqual">
      <formula>0.5</formula>
    </cfRule>
  </conditionalFormatting>
  <conditionalFormatting sqref="AN42:AO42">
    <cfRule type="cellIs" dxfId="190" priority="292" operator="greaterThanOrEqual">
      <formula>0.5</formula>
    </cfRule>
  </conditionalFormatting>
  <conditionalFormatting sqref="AN45:AO45">
    <cfRule type="cellIs" dxfId="189" priority="298" operator="greaterThanOrEqual">
      <formula>0.5</formula>
    </cfRule>
  </conditionalFormatting>
  <conditionalFormatting sqref="AN48:AO48">
    <cfRule type="cellIs" dxfId="188" priority="291" operator="greaterThanOrEqual">
      <formula>0.5</formula>
    </cfRule>
  </conditionalFormatting>
  <conditionalFormatting sqref="AN51:AO51">
    <cfRule type="cellIs" dxfId="187" priority="290" operator="greaterThanOrEqual">
      <formula>0.5</formula>
    </cfRule>
  </conditionalFormatting>
  <conditionalFormatting sqref="AN54:AO54">
    <cfRule type="cellIs" dxfId="186" priority="288" operator="greaterThanOrEqual">
      <formula>0.5</formula>
    </cfRule>
  </conditionalFormatting>
  <conditionalFormatting sqref="AQ9:AX9">
    <cfRule type="cellIs" dxfId="185" priority="330" stopIfTrue="1" operator="lessThan">
      <formula>0</formula>
    </cfRule>
    <cfRule type="cellIs" dxfId="184" priority="331" operator="greaterThan">
      <formula>0</formula>
    </cfRule>
  </conditionalFormatting>
  <conditionalFormatting sqref="AQ12:AX12">
    <cfRule type="cellIs" dxfId="183" priority="337" operator="greaterThan">
      <formula>0</formula>
    </cfRule>
    <cfRule type="cellIs" dxfId="182" priority="336" stopIfTrue="1" operator="lessThan">
      <formula>0</formula>
    </cfRule>
  </conditionalFormatting>
  <conditionalFormatting sqref="AQ15:AX15">
    <cfRule type="cellIs" dxfId="181" priority="343" operator="greaterThan">
      <formula>0</formula>
    </cfRule>
    <cfRule type="cellIs" dxfId="180" priority="342" stopIfTrue="1" operator="lessThan">
      <formula>0</formula>
    </cfRule>
  </conditionalFormatting>
  <conditionalFormatting sqref="AQ18:AX18">
    <cfRule type="cellIs" dxfId="179" priority="307" operator="greaterThan">
      <formula>0</formula>
    </cfRule>
    <cfRule type="cellIs" dxfId="178" priority="306" stopIfTrue="1" operator="lessThan">
      <formula>0</formula>
    </cfRule>
  </conditionalFormatting>
  <conditionalFormatting sqref="AQ21:AX21">
    <cfRule type="cellIs" dxfId="177" priority="350" stopIfTrue="1" operator="lessThan">
      <formula>0</formula>
    </cfRule>
    <cfRule type="cellIs" dxfId="176" priority="351" operator="greaterThan">
      <formula>0</formula>
    </cfRule>
  </conditionalFormatting>
  <conditionalFormatting sqref="AQ24:AX24">
    <cfRule type="cellIs" dxfId="175" priority="341" operator="greaterThan">
      <formula>0</formula>
    </cfRule>
    <cfRule type="cellIs" dxfId="174" priority="340" stopIfTrue="1" operator="lessThan">
      <formula>0</formula>
    </cfRule>
  </conditionalFormatting>
  <conditionalFormatting sqref="AQ27:AX27">
    <cfRule type="cellIs" dxfId="173" priority="348" stopIfTrue="1" operator="lessThan">
      <formula>0</formula>
    </cfRule>
    <cfRule type="cellIs" dxfId="172" priority="349" operator="greaterThan">
      <formula>0</formula>
    </cfRule>
  </conditionalFormatting>
  <conditionalFormatting sqref="AQ30:AX30">
    <cfRule type="cellIs" dxfId="171" priority="339" operator="greaterThan">
      <formula>0</formula>
    </cfRule>
    <cfRule type="cellIs" dxfId="170" priority="338" stopIfTrue="1" operator="lessThan">
      <formula>0</formula>
    </cfRule>
  </conditionalFormatting>
  <conditionalFormatting sqref="AQ33:AX33">
    <cfRule type="cellIs" dxfId="169" priority="353" operator="greaterThan">
      <formula>0</formula>
    </cfRule>
    <cfRule type="cellIs" dxfId="168" priority="352" stopIfTrue="1" operator="lessThan">
      <formula>0</formula>
    </cfRule>
  </conditionalFormatting>
  <conditionalFormatting sqref="AQ36:AX36">
    <cfRule type="cellIs" dxfId="167" priority="345" operator="greaterThan">
      <formula>0</formula>
    </cfRule>
    <cfRule type="cellIs" dxfId="166" priority="344" stopIfTrue="1" operator="lessThan">
      <formula>0</formula>
    </cfRule>
  </conditionalFormatting>
  <conditionalFormatting sqref="AQ39:AX39">
    <cfRule type="cellIs" dxfId="165" priority="312" stopIfTrue="1" operator="lessThan">
      <formula>0</formula>
    </cfRule>
    <cfRule type="cellIs" dxfId="164" priority="313" operator="greaterThan">
      <formula>0</formula>
    </cfRule>
  </conditionalFormatting>
  <conditionalFormatting sqref="AQ42:AX42">
    <cfRule type="cellIs" dxfId="163" priority="333" operator="greaterThan">
      <formula>0</formula>
    </cfRule>
    <cfRule type="cellIs" dxfId="162" priority="332" stopIfTrue="1" operator="lessThan">
      <formula>0</formula>
    </cfRule>
  </conditionalFormatting>
  <conditionalFormatting sqref="AQ45:AX45">
    <cfRule type="cellIs" dxfId="161" priority="310" stopIfTrue="1" operator="lessThan">
      <formula>0</formula>
    </cfRule>
    <cfRule type="cellIs" dxfId="160" priority="311" operator="greaterThan">
      <formula>0</formula>
    </cfRule>
  </conditionalFormatting>
  <conditionalFormatting sqref="AQ48:AX48">
    <cfRule type="cellIs" dxfId="159" priority="346" stopIfTrue="1" operator="lessThan">
      <formula>0</formula>
    </cfRule>
    <cfRule type="cellIs" dxfId="158" priority="347" operator="greaterThan">
      <formula>0</formula>
    </cfRule>
  </conditionalFormatting>
  <conditionalFormatting sqref="AQ51:AX51">
    <cfRule type="cellIs" dxfId="157" priority="335" operator="greaterThan">
      <formula>0</formula>
    </cfRule>
    <cfRule type="cellIs" dxfId="156" priority="334" stopIfTrue="1" operator="lessThan">
      <formula>0</formula>
    </cfRule>
  </conditionalFormatting>
  <conditionalFormatting sqref="AQ54:AX54">
    <cfRule type="cellIs" dxfId="155" priority="308" stopIfTrue="1" operator="lessThan">
      <formula>0</formula>
    </cfRule>
    <cfRule type="cellIs" dxfId="154" priority="309" operator="greaterThan">
      <formula>0</formula>
    </cfRule>
  </conditionalFormatting>
  <dataValidations count="1">
    <dataValidation type="list" allowBlank="1" showInputMessage="1" showErrorMessage="1" sqref="AN42:AO42 AN9:AO9 AN12:AO12 AN15:AO15 AN27:AO27 AN36:AO36 AN45:AO45 AN21:AO21 AN30:AO30 AN33:AO33 AN48:AO48 AN51:AO51 AN18:AO18 AN54:AO54 AN24:AO24 AN39:AO39" xr:uid="{2BA0645C-C7E7-4EE8-873C-7BFAE1FD0645}">
      <formula1>"Yes, No"</formula1>
    </dataValidation>
  </dataValidations>
  <pageMargins left="0.7" right="0.7" top="0.75" bottom="0.75" header="0.3" footer="0.3"/>
  <pageSetup paperSize="9" orientation="portrait" r:id="rId4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7759B-556A-4A60-AACD-FA35D11C4D3A}">
  <sheetPr codeName="Sheet11">
    <pageSetUpPr fitToPage="1"/>
  </sheetPr>
  <dimension ref="B1:AK98"/>
  <sheetViews>
    <sheetView showGridLines="0" topLeftCell="A84" zoomScaleNormal="100" workbookViewId="0">
      <selection activeCell="H128" sqref="H128"/>
    </sheetView>
  </sheetViews>
  <sheetFormatPr defaultColWidth="8.54296875" defaultRowHeight="14.5" outlineLevelCol="2" x14ac:dyDescent="0.35"/>
  <cols>
    <col min="1" max="1" width="1.453125" style="91" customWidth="1"/>
    <col min="2" max="2" width="11.54296875" style="91" customWidth="1" outlineLevel="1"/>
    <col min="3" max="3" width="60.54296875" style="91" customWidth="1" outlineLevel="1"/>
    <col min="4" max="4" width="0.54296875" style="91" customWidth="1" outlineLevel="1"/>
    <col min="5" max="11" width="6.54296875" style="91" customWidth="1" outlineLevel="2"/>
    <col min="12" max="12" width="0.54296875" style="91" customWidth="1" outlineLevel="2"/>
    <col min="13" max="19" width="6.54296875" style="91" customWidth="1" outlineLevel="2"/>
    <col min="20" max="20" width="0.54296875" style="91" customWidth="1" outlineLevel="2"/>
    <col min="21" max="27" width="6.54296875" style="91" customWidth="1" outlineLevel="2"/>
    <col min="28" max="28" width="8.54296875" style="91" customWidth="1"/>
    <col min="29" max="29" width="23.54296875" style="91" hidden="1" customWidth="1"/>
    <col min="30" max="30" width="22.453125" style="91" customWidth="1"/>
    <col min="31" max="31" width="3.453125" style="91" customWidth="1"/>
    <col min="32" max="16384" width="8.54296875" style="91"/>
  </cols>
  <sheetData>
    <row r="1" spans="2:29" ht="15" customHeight="1" thickBot="1" x14ac:dyDescent="0.4">
      <c r="B1" s="124"/>
      <c r="C1" s="124"/>
      <c r="D1" s="125"/>
      <c r="E1" s="125"/>
      <c r="F1" s="126"/>
      <c r="G1" s="126"/>
      <c r="H1" s="126"/>
      <c r="I1" s="126"/>
      <c r="J1" s="126"/>
      <c r="K1" s="127"/>
      <c r="L1" s="128"/>
      <c r="M1" s="126"/>
      <c r="N1" s="126"/>
      <c r="O1" s="126"/>
      <c r="P1" s="126"/>
      <c r="Q1" s="126"/>
      <c r="R1" s="126"/>
      <c r="S1" s="127"/>
      <c r="T1" s="128"/>
      <c r="U1" s="129"/>
      <c r="V1" s="129"/>
      <c r="W1" s="129"/>
      <c r="X1" s="130"/>
      <c r="Y1" s="126"/>
      <c r="Z1" s="126"/>
      <c r="AA1" s="126"/>
    </row>
    <row r="2" spans="2:29" ht="22.5" customHeight="1" thickBot="1" x14ac:dyDescent="0.4">
      <c r="B2" s="124"/>
      <c r="C2" s="124"/>
      <c r="D2" s="122"/>
      <c r="E2" s="813" t="s">
        <v>236</v>
      </c>
      <c r="F2" s="814"/>
      <c r="G2" s="814"/>
      <c r="H2" s="814"/>
      <c r="I2" s="814"/>
      <c r="J2" s="814"/>
      <c r="K2" s="815"/>
      <c r="L2" s="131"/>
      <c r="M2" s="813" t="s">
        <v>68</v>
      </c>
      <c r="N2" s="814"/>
      <c r="O2" s="814"/>
      <c r="P2" s="814"/>
      <c r="Q2" s="814"/>
      <c r="R2" s="814"/>
      <c r="S2" s="815"/>
      <c r="T2" s="131"/>
      <c r="U2" s="813" t="s">
        <v>70</v>
      </c>
      <c r="V2" s="814"/>
      <c r="W2" s="814"/>
      <c r="X2" s="814"/>
      <c r="Y2" s="814"/>
      <c r="Z2" s="814"/>
      <c r="AA2" s="815"/>
    </row>
    <row r="3" spans="2:29" ht="3" customHeight="1" x14ac:dyDescent="0.35">
      <c r="B3" s="132"/>
      <c r="C3" s="132"/>
      <c r="D3" s="132"/>
      <c r="E3" s="132"/>
      <c r="F3" s="132"/>
      <c r="G3" s="132"/>
      <c r="H3" s="132"/>
      <c r="I3" s="132"/>
      <c r="J3" s="132"/>
      <c r="K3" s="132"/>
      <c r="L3" s="132"/>
      <c r="M3" s="132"/>
      <c r="N3" s="132"/>
      <c r="O3" s="132"/>
      <c r="P3" s="132"/>
      <c r="Q3" s="132"/>
      <c r="R3" s="132"/>
      <c r="S3" s="132"/>
      <c r="T3" s="132"/>
      <c r="U3" s="132"/>
      <c r="V3" s="132"/>
      <c r="W3" s="132"/>
      <c r="X3" s="132"/>
      <c r="Y3" s="132"/>
      <c r="Z3" s="132"/>
      <c r="AA3" s="132"/>
    </row>
    <row r="4" spans="2:29" ht="36" customHeight="1" x14ac:dyDescent="0.35">
      <c r="B4" s="192" t="s">
        <v>172</v>
      </c>
      <c r="C4" s="133" t="s">
        <v>0</v>
      </c>
      <c r="D4" s="134"/>
      <c r="E4" s="635" t="s">
        <v>509</v>
      </c>
      <c r="F4" s="635" t="s">
        <v>510</v>
      </c>
      <c r="G4" s="635" t="s">
        <v>511</v>
      </c>
      <c r="H4" s="635" t="s">
        <v>512</v>
      </c>
      <c r="I4" s="635" t="s">
        <v>525</v>
      </c>
      <c r="J4" s="625" t="s">
        <v>531</v>
      </c>
      <c r="K4" s="135" t="s">
        <v>532</v>
      </c>
      <c r="L4" s="136"/>
      <c r="M4" s="635" t="s">
        <v>509</v>
      </c>
      <c r="N4" s="635" t="s">
        <v>510</v>
      </c>
      <c r="O4" s="635" t="s">
        <v>511</v>
      </c>
      <c r="P4" s="635" t="s">
        <v>512</v>
      </c>
      <c r="Q4" s="635" t="s">
        <v>525</v>
      </c>
      <c r="R4" s="635" t="s">
        <v>531</v>
      </c>
      <c r="S4" s="625" t="s">
        <v>532</v>
      </c>
      <c r="T4" s="137"/>
      <c r="U4" s="635" t="s">
        <v>509</v>
      </c>
      <c r="V4" s="635" t="s">
        <v>510</v>
      </c>
      <c r="W4" s="635" t="s">
        <v>511</v>
      </c>
      <c r="X4" s="635" t="s">
        <v>512</v>
      </c>
      <c r="Y4" s="635" t="s">
        <v>525</v>
      </c>
      <c r="Z4" s="635" t="s">
        <v>531</v>
      </c>
      <c r="AA4" s="635" t="s">
        <v>532</v>
      </c>
      <c r="AC4" s="263" t="s">
        <v>357</v>
      </c>
    </row>
    <row r="5" spans="2:29" s="180" customFormat="1" ht="3" customHeight="1" thickBot="1" x14ac:dyDescent="0.4">
      <c r="B5" s="181"/>
      <c r="C5" s="181"/>
      <c r="D5" s="182"/>
      <c r="E5" s="183"/>
      <c r="F5" s="183"/>
      <c r="G5" s="183"/>
      <c r="H5" s="183"/>
      <c r="I5" s="183"/>
      <c r="J5" s="183"/>
      <c r="K5" s="183"/>
      <c r="L5" s="184"/>
      <c r="M5" s="183"/>
      <c r="N5" s="183"/>
      <c r="O5" s="183"/>
      <c r="P5" s="183"/>
      <c r="Q5" s="183"/>
      <c r="R5" s="183"/>
      <c r="S5" s="183"/>
      <c r="T5" s="182"/>
      <c r="U5" s="183"/>
      <c r="V5" s="183"/>
      <c r="W5" s="183"/>
      <c r="X5" s="183"/>
      <c r="Y5" s="183"/>
      <c r="Z5" s="183"/>
      <c r="AA5" s="183"/>
    </row>
    <row r="6" spans="2:29" ht="15" customHeight="1" thickBot="1" x14ac:dyDescent="0.4">
      <c r="B6" s="810" t="s">
        <v>192</v>
      </c>
      <c r="C6" s="811"/>
      <c r="D6" s="811"/>
      <c r="E6" s="811"/>
      <c r="F6" s="811"/>
      <c r="G6" s="811"/>
      <c r="H6" s="811"/>
      <c r="I6" s="811"/>
      <c r="J6" s="811"/>
      <c r="K6" s="811"/>
      <c r="L6" s="811"/>
      <c r="M6" s="811"/>
      <c r="N6" s="811"/>
      <c r="O6" s="811"/>
      <c r="P6" s="811"/>
      <c r="Q6" s="811"/>
      <c r="R6" s="811"/>
      <c r="S6" s="811"/>
      <c r="T6" s="811"/>
      <c r="U6" s="811"/>
      <c r="V6" s="811"/>
      <c r="W6" s="811"/>
      <c r="X6" s="811"/>
      <c r="Y6" s="811"/>
      <c r="Z6" s="811"/>
      <c r="AA6" s="812"/>
      <c r="AC6" s="91" t="s">
        <v>356</v>
      </c>
    </row>
    <row r="7" spans="2:29" s="180" customFormat="1" ht="3" customHeight="1" x14ac:dyDescent="0.35">
      <c r="B7" s="185"/>
      <c r="C7" s="185"/>
      <c r="D7" s="185"/>
      <c r="E7" s="185"/>
      <c r="F7" s="185"/>
      <c r="G7" s="185"/>
      <c r="H7" s="185"/>
      <c r="I7" s="185"/>
      <c r="J7" s="185"/>
      <c r="K7" s="185"/>
      <c r="L7" s="185"/>
      <c r="M7" s="185"/>
      <c r="N7" s="185"/>
      <c r="O7" s="185"/>
      <c r="P7" s="185"/>
      <c r="Q7" s="185"/>
      <c r="R7" s="185"/>
      <c r="S7" s="185"/>
      <c r="T7" s="185"/>
      <c r="U7" s="185"/>
      <c r="V7" s="185"/>
      <c r="W7" s="185"/>
      <c r="X7" s="185"/>
      <c r="Y7" s="185"/>
      <c r="Z7" s="185"/>
      <c r="AA7" s="185"/>
    </row>
    <row r="8" spans="2:29" ht="16.5" customHeight="1" x14ac:dyDescent="0.35">
      <c r="B8" s="138" t="s">
        <v>122</v>
      </c>
      <c r="C8" s="139" t="s">
        <v>168</v>
      </c>
      <c r="D8" s="140"/>
      <c r="E8" s="142" t="s">
        <v>88</v>
      </c>
      <c r="F8" s="142" t="s">
        <v>88</v>
      </c>
      <c r="G8" s="142" t="s">
        <v>88</v>
      </c>
      <c r="H8" s="142" t="s">
        <v>88</v>
      </c>
      <c r="I8" s="142" t="s">
        <v>88</v>
      </c>
      <c r="J8" s="142" t="str">
        <f>VLOOKUP(B8,'1) Report'!$B$11:$AM$138,5,FALSE)</f>
        <v>R</v>
      </c>
      <c r="K8" s="143" t="s">
        <v>89</v>
      </c>
      <c r="L8" s="13"/>
      <c r="M8" s="194" t="s">
        <v>88</v>
      </c>
      <c r="N8" s="142" t="s">
        <v>88</v>
      </c>
      <c r="O8" s="142" t="s">
        <v>88</v>
      </c>
      <c r="P8" s="142" t="s">
        <v>88</v>
      </c>
      <c r="Q8" s="142" t="s">
        <v>88</v>
      </c>
      <c r="R8" s="142" t="str">
        <f>VLOOKUP(B8,'1) Report'!$B$11:$AM$138,17,FALSE)</f>
        <v>R</v>
      </c>
      <c r="S8" s="143" t="s">
        <v>89</v>
      </c>
      <c r="T8" s="145"/>
      <c r="U8" s="141" t="s">
        <v>91</v>
      </c>
      <c r="V8" s="141" t="s">
        <v>91</v>
      </c>
      <c r="W8" s="142" t="s">
        <v>91</v>
      </c>
      <c r="X8" s="142" t="s">
        <v>91</v>
      </c>
      <c r="Y8" s="142" t="s">
        <v>91</v>
      </c>
      <c r="Z8" s="142" t="str">
        <f>VLOOKUP(B8,'1) Report'!$B$11:$AM$138,38,FALSE)</f>
        <v>G</v>
      </c>
      <c r="AA8" s="143" t="s">
        <v>89</v>
      </c>
      <c r="AC8" s="264" t="s">
        <v>354</v>
      </c>
    </row>
    <row r="9" spans="2:29" ht="16.5" customHeight="1" x14ac:dyDescent="0.35">
      <c r="B9" s="138" t="s">
        <v>99</v>
      </c>
      <c r="C9" s="148" t="s">
        <v>98</v>
      </c>
      <c r="D9" s="140"/>
      <c r="E9" s="142" t="s">
        <v>91</v>
      </c>
      <c r="F9" s="142" t="s">
        <v>91</v>
      </c>
      <c r="G9" s="142" t="s">
        <v>91</v>
      </c>
      <c r="H9" s="142" t="s">
        <v>90</v>
      </c>
      <c r="I9" s="142" t="s">
        <v>90</v>
      </c>
      <c r="J9" s="142" t="str">
        <f>VLOOKUP(B9,'1) Report'!$B$11:$AM$138,5,FALSE)</f>
        <v>A</v>
      </c>
      <c r="K9" s="143" t="s">
        <v>89</v>
      </c>
      <c r="L9" s="13"/>
      <c r="M9" s="141" t="s">
        <v>90</v>
      </c>
      <c r="N9" s="141" t="s">
        <v>90</v>
      </c>
      <c r="O9" s="142" t="s">
        <v>90</v>
      </c>
      <c r="P9" s="142" t="s">
        <v>90</v>
      </c>
      <c r="Q9" s="142" t="s">
        <v>90</v>
      </c>
      <c r="R9" s="142" t="str">
        <f>VLOOKUP(B9,'1) Report'!$B$11:$AM$138,17,FALSE)</f>
        <v>A</v>
      </c>
      <c r="S9" s="143" t="s">
        <v>89</v>
      </c>
      <c r="T9" s="145"/>
      <c r="U9" s="141" t="s">
        <v>91</v>
      </c>
      <c r="V9" s="141" t="s">
        <v>91</v>
      </c>
      <c r="W9" s="142" t="s">
        <v>91</v>
      </c>
      <c r="X9" s="142" t="s">
        <v>91</v>
      </c>
      <c r="Y9" s="142" t="s">
        <v>91</v>
      </c>
      <c r="Z9" s="142" t="str">
        <f>VLOOKUP(B9,'1) Report'!$B$11:$AM$138,38,FALSE)</f>
        <v>G</v>
      </c>
      <c r="AA9" s="143" t="s">
        <v>89</v>
      </c>
      <c r="AC9" s="264" t="s">
        <v>354</v>
      </c>
    </row>
    <row r="10" spans="2:29" ht="16.5" customHeight="1" x14ac:dyDescent="0.35">
      <c r="B10" s="138" t="s">
        <v>112</v>
      </c>
      <c r="C10" s="147" t="s">
        <v>239</v>
      </c>
      <c r="D10" s="140"/>
      <c r="E10" s="142" t="s">
        <v>91</v>
      </c>
      <c r="F10" s="142" t="s">
        <v>91</v>
      </c>
      <c r="G10" s="142" t="s">
        <v>91</v>
      </c>
      <c r="H10" s="142" t="s">
        <v>90</v>
      </c>
      <c r="I10" s="142" t="s">
        <v>90</v>
      </c>
      <c r="J10" s="142" t="str">
        <f>VLOOKUP(B10,'1) Report'!$B$11:$AM$138,5,FALSE)</f>
        <v>A</v>
      </c>
      <c r="K10" s="143" t="s">
        <v>89</v>
      </c>
      <c r="L10" s="13"/>
      <c r="M10" s="141" t="s">
        <v>91</v>
      </c>
      <c r="N10" s="141" t="s">
        <v>91</v>
      </c>
      <c r="O10" s="142" t="s">
        <v>91</v>
      </c>
      <c r="P10" s="142" t="s">
        <v>90</v>
      </c>
      <c r="Q10" s="142" t="s">
        <v>90</v>
      </c>
      <c r="R10" s="142" t="str">
        <f>VLOOKUP(B10,'1) Report'!$B$11:$AM$138,17,FALSE)</f>
        <v>A</v>
      </c>
      <c r="S10" s="143" t="s">
        <v>89</v>
      </c>
      <c r="T10" s="145"/>
      <c r="U10" s="141" t="s">
        <v>90</v>
      </c>
      <c r="V10" s="141" t="s">
        <v>90</v>
      </c>
      <c r="W10" s="142" t="s">
        <v>90</v>
      </c>
      <c r="X10" s="142" t="s">
        <v>90</v>
      </c>
      <c r="Y10" s="142" t="s">
        <v>90</v>
      </c>
      <c r="Z10" s="142" t="str">
        <f>VLOOKUP(B10,'1) Report'!$B$11:$AM$138,38,FALSE)</f>
        <v>A</v>
      </c>
      <c r="AA10" s="143" t="s">
        <v>89</v>
      </c>
      <c r="AC10" s="264" t="s">
        <v>354</v>
      </c>
    </row>
    <row r="11" spans="2:29" ht="16.5" customHeight="1" x14ac:dyDescent="0.35">
      <c r="B11" s="138" t="s">
        <v>97</v>
      </c>
      <c r="C11" s="139" t="s">
        <v>96</v>
      </c>
      <c r="D11" s="140"/>
      <c r="E11" s="142" t="s">
        <v>91</v>
      </c>
      <c r="F11" s="142" t="s">
        <v>91</v>
      </c>
      <c r="G11" s="142" t="s">
        <v>91</v>
      </c>
      <c r="H11" s="142" t="s">
        <v>91</v>
      </c>
      <c r="I11" s="142" t="s">
        <v>91</v>
      </c>
      <c r="J11" s="142" t="str">
        <f>VLOOKUP(B11,'1) Report'!$B$11:$AM$138,5,FALSE)</f>
        <v>A</v>
      </c>
      <c r="K11" s="143" t="s">
        <v>551</v>
      </c>
      <c r="L11" s="13"/>
      <c r="M11" s="142" t="s">
        <v>91</v>
      </c>
      <c r="N11" s="142" t="s">
        <v>91</v>
      </c>
      <c r="O11" s="142" t="s">
        <v>91</v>
      </c>
      <c r="P11" s="142" t="s">
        <v>91</v>
      </c>
      <c r="Q11" s="142" t="s">
        <v>91</v>
      </c>
      <c r="R11" s="142" t="str">
        <f>VLOOKUP(B11,'1) Report'!$B$11:$AM$138,17,FALSE)</f>
        <v>A</v>
      </c>
      <c r="S11" s="143" t="s">
        <v>551</v>
      </c>
      <c r="T11" s="145"/>
      <c r="U11" s="142" t="s">
        <v>91</v>
      </c>
      <c r="V11" s="142" t="s">
        <v>91</v>
      </c>
      <c r="W11" s="142" t="s">
        <v>91</v>
      </c>
      <c r="X11" s="142" t="s">
        <v>91</v>
      </c>
      <c r="Y11" s="142" t="s">
        <v>91</v>
      </c>
      <c r="Z11" s="142" t="str">
        <f>VLOOKUP(B11,'1) Report'!$B$11:$AM$138,38,FALSE)</f>
        <v>G</v>
      </c>
      <c r="AA11" s="143" t="s">
        <v>89</v>
      </c>
      <c r="AC11" s="264" t="s">
        <v>354</v>
      </c>
    </row>
    <row r="12" spans="2:29" ht="16.5" customHeight="1" x14ac:dyDescent="0.35">
      <c r="B12" s="138" t="s">
        <v>123</v>
      </c>
      <c r="C12" s="148" t="s">
        <v>5</v>
      </c>
      <c r="D12" s="140"/>
      <c r="E12" s="142" t="s">
        <v>91</v>
      </c>
      <c r="F12" s="142" t="s">
        <v>91</v>
      </c>
      <c r="G12" s="142" t="s">
        <v>91</v>
      </c>
      <c r="H12" s="142" t="s">
        <v>91</v>
      </c>
      <c r="I12" s="142" t="s">
        <v>91</v>
      </c>
      <c r="J12" s="142" t="str">
        <f>VLOOKUP(B12,'1) Report'!$B$11:$AM$138,5,FALSE)</f>
        <v>G</v>
      </c>
      <c r="K12" s="143" t="s">
        <v>89</v>
      </c>
      <c r="L12" s="13"/>
      <c r="M12" s="141" t="s">
        <v>88</v>
      </c>
      <c r="N12" s="141" t="s">
        <v>88</v>
      </c>
      <c r="O12" s="142" t="s">
        <v>88</v>
      </c>
      <c r="P12" s="142" t="s">
        <v>88</v>
      </c>
      <c r="Q12" s="142" t="s">
        <v>88</v>
      </c>
      <c r="R12" s="142" t="str">
        <f>VLOOKUP(B12,'1) Report'!$B$11:$AM$138,17,FALSE)</f>
        <v>R</v>
      </c>
      <c r="S12" s="143" t="s">
        <v>89</v>
      </c>
      <c r="T12" s="145"/>
      <c r="U12" s="141" t="s">
        <v>90</v>
      </c>
      <c r="V12" s="141" t="s">
        <v>90</v>
      </c>
      <c r="W12" s="142" t="s">
        <v>90</v>
      </c>
      <c r="X12" s="142" t="s">
        <v>90</v>
      </c>
      <c r="Y12" s="142" t="s">
        <v>90</v>
      </c>
      <c r="Z12" s="142" t="str">
        <f>VLOOKUP(B12,'1) Report'!$B$11:$AM$138,38,FALSE)</f>
        <v>A</v>
      </c>
      <c r="AA12" s="143" t="s">
        <v>89</v>
      </c>
      <c r="AC12" s="264" t="s">
        <v>354</v>
      </c>
    </row>
    <row r="13" spans="2:29" ht="16.5" customHeight="1" x14ac:dyDescent="0.35">
      <c r="B13" s="138" t="s">
        <v>120</v>
      </c>
      <c r="C13" s="139" t="s">
        <v>119</v>
      </c>
      <c r="D13" s="140"/>
      <c r="E13" s="142" t="s">
        <v>91</v>
      </c>
      <c r="F13" s="142" t="s">
        <v>91</v>
      </c>
      <c r="G13" s="142" t="s">
        <v>91</v>
      </c>
      <c r="H13" s="142" t="s">
        <v>91</v>
      </c>
      <c r="I13" s="142" t="s">
        <v>91</v>
      </c>
      <c r="J13" s="142" t="str">
        <f>VLOOKUP(B13,'1) Report'!$B$11:$AM$138,5,FALSE)</f>
        <v>G</v>
      </c>
      <c r="K13" s="143" t="s">
        <v>89</v>
      </c>
      <c r="L13" s="13"/>
      <c r="M13" s="142" t="s">
        <v>91</v>
      </c>
      <c r="N13" s="142" t="s">
        <v>91</v>
      </c>
      <c r="O13" s="142" t="s">
        <v>91</v>
      </c>
      <c r="P13" s="142" t="s">
        <v>91</v>
      </c>
      <c r="Q13" s="142" t="s">
        <v>91</v>
      </c>
      <c r="R13" s="142" t="str">
        <f>VLOOKUP(B13,'1) Report'!$B$11:$AM$138,17,FALSE)</f>
        <v>G</v>
      </c>
      <c r="S13" s="143" t="s">
        <v>89</v>
      </c>
      <c r="T13" s="145"/>
      <c r="U13" s="142" t="s">
        <v>91</v>
      </c>
      <c r="V13" s="142" t="s">
        <v>91</v>
      </c>
      <c r="W13" s="142" t="s">
        <v>91</v>
      </c>
      <c r="X13" s="142" t="s">
        <v>91</v>
      </c>
      <c r="Y13" s="142" t="s">
        <v>91</v>
      </c>
      <c r="Z13" s="142" t="str">
        <f>VLOOKUP(B13,'1) Report'!$B$11:$AM$138,38,FALSE)</f>
        <v>G</v>
      </c>
      <c r="AA13" s="143" t="s">
        <v>89</v>
      </c>
      <c r="AC13" s="91" t="s">
        <v>354</v>
      </c>
    </row>
    <row r="14" spans="2:29" ht="16.5" customHeight="1" x14ac:dyDescent="0.35">
      <c r="B14" s="138" t="s">
        <v>114</v>
      </c>
      <c r="C14" s="147" t="s">
        <v>113</v>
      </c>
      <c r="D14" s="140"/>
      <c r="E14" s="142" t="s">
        <v>91</v>
      </c>
      <c r="F14" s="142" t="s">
        <v>91</v>
      </c>
      <c r="G14" s="142" t="s">
        <v>91</v>
      </c>
      <c r="H14" s="142" t="s">
        <v>91</v>
      </c>
      <c r="I14" s="142" t="s">
        <v>91</v>
      </c>
      <c r="J14" s="142" t="str">
        <f>VLOOKUP(B14,'1) Report'!$B$11:$AM$138,5,FALSE)</f>
        <v>G</v>
      </c>
      <c r="K14" s="143" t="s">
        <v>89</v>
      </c>
      <c r="L14" s="13"/>
      <c r="M14" s="141" t="s">
        <v>91</v>
      </c>
      <c r="N14" s="141" t="s">
        <v>91</v>
      </c>
      <c r="O14" s="142" t="s">
        <v>91</v>
      </c>
      <c r="P14" s="142" t="s">
        <v>91</v>
      </c>
      <c r="Q14" s="142" t="s">
        <v>91</v>
      </c>
      <c r="R14" s="142" t="str">
        <f>VLOOKUP(B14,'1) Report'!$B$11:$AM$138,17,FALSE)</f>
        <v>G</v>
      </c>
      <c r="S14" s="143" t="s">
        <v>89</v>
      </c>
      <c r="T14" s="145"/>
      <c r="U14" s="141" t="s">
        <v>91</v>
      </c>
      <c r="V14" s="141" t="s">
        <v>91</v>
      </c>
      <c r="W14" s="142" t="s">
        <v>91</v>
      </c>
      <c r="X14" s="142" t="s">
        <v>91</v>
      </c>
      <c r="Y14" s="142" t="s">
        <v>91</v>
      </c>
      <c r="Z14" s="142" t="str">
        <f>VLOOKUP(B14,'1) Report'!$B$11:$AM$138,38,FALSE)</f>
        <v>G</v>
      </c>
      <c r="AA14" s="143" t="s">
        <v>89</v>
      </c>
      <c r="AC14" s="264" t="s">
        <v>354</v>
      </c>
    </row>
    <row r="15" spans="2:29" s="156" customFormat="1" ht="16.5" customHeight="1" x14ac:dyDescent="0.35">
      <c r="B15" s="138" t="s">
        <v>171</v>
      </c>
      <c r="C15" s="139" t="s">
        <v>167</v>
      </c>
      <c r="D15" s="151"/>
      <c r="E15" s="141" t="s">
        <v>91</v>
      </c>
      <c r="F15" s="142" t="s">
        <v>91</v>
      </c>
      <c r="G15" s="142" t="s">
        <v>91</v>
      </c>
      <c r="H15" s="142" t="s">
        <v>91</v>
      </c>
      <c r="I15" s="142" t="s">
        <v>91</v>
      </c>
      <c r="J15" s="142" t="str">
        <f>VLOOKUP(B15,'1) Report'!$B$11:$AM$138,5,FALSE)</f>
        <v>G</v>
      </c>
      <c r="K15" s="143" t="s">
        <v>89</v>
      </c>
      <c r="L15" s="145"/>
      <c r="M15" s="141" t="s">
        <v>91</v>
      </c>
      <c r="N15" s="141" t="s">
        <v>91</v>
      </c>
      <c r="O15" s="142" t="s">
        <v>91</v>
      </c>
      <c r="P15" s="142" t="s">
        <v>91</v>
      </c>
      <c r="Q15" s="142" t="s">
        <v>91</v>
      </c>
      <c r="R15" s="142" t="str">
        <f>VLOOKUP(B15,'1) Report'!$B$11:$AM$138,17,FALSE)</f>
        <v>G</v>
      </c>
      <c r="S15" s="143" t="s">
        <v>89</v>
      </c>
      <c r="T15" s="13"/>
      <c r="U15" s="141" t="s">
        <v>91</v>
      </c>
      <c r="V15" s="141" t="s">
        <v>91</v>
      </c>
      <c r="W15" s="142" t="s">
        <v>91</v>
      </c>
      <c r="X15" s="142" t="s">
        <v>91</v>
      </c>
      <c r="Y15" s="142" t="s">
        <v>91</v>
      </c>
      <c r="Z15" s="142" t="str">
        <f>VLOOKUP(B15,'1) Report'!$B$11:$AM$138,38,FALSE)</f>
        <v>G</v>
      </c>
      <c r="AA15" s="143" t="s">
        <v>89</v>
      </c>
      <c r="AC15" s="264" t="s">
        <v>354</v>
      </c>
    </row>
    <row r="16" spans="2:29" ht="16.5" customHeight="1" x14ac:dyDescent="0.35">
      <c r="B16" s="138" t="s">
        <v>110</v>
      </c>
      <c r="C16" s="139" t="s">
        <v>240</v>
      </c>
      <c r="D16" s="140"/>
      <c r="E16" s="142" t="s">
        <v>95</v>
      </c>
      <c r="F16" s="142" t="s">
        <v>95</v>
      </c>
      <c r="G16" s="142" t="s">
        <v>95</v>
      </c>
      <c r="H16" s="142" t="s">
        <v>95</v>
      </c>
      <c r="I16" s="142" t="s">
        <v>95</v>
      </c>
      <c r="J16" s="142" t="str">
        <f>VLOOKUP(B16,'1) Report'!$B$11:$AM$138,5,FALSE)</f>
        <v>N/A</v>
      </c>
      <c r="K16" s="143" t="s">
        <v>89</v>
      </c>
      <c r="L16" s="13"/>
      <c r="M16" s="141" t="s">
        <v>95</v>
      </c>
      <c r="N16" s="141" t="s">
        <v>95</v>
      </c>
      <c r="O16" s="141" t="s">
        <v>95</v>
      </c>
      <c r="P16" s="142" t="s">
        <v>95</v>
      </c>
      <c r="Q16" s="142" t="s">
        <v>95</v>
      </c>
      <c r="R16" s="142" t="str">
        <f>VLOOKUP(B16,'1) Report'!$B$11:$AM$138,17,FALSE)</f>
        <v>N/A</v>
      </c>
      <c r="S16" s="143" t="s">
        <v>89</v>
      </c>
      <c r="T16" s="145"/>
      <c r="U16" s="141" t="s">
        <v>91</v>
      </c>
      <c r="V16" s="141" t="s">
        <v>91</v>
      </c>
      <c r="W16" s="142" t="s">
        <v>91</v>
      </c>
      <c r="X16" s="142" t="s">
        <v>91</v>
      </c>
      <c r="Y16" s="142" t="s">
        <v>91</v>
      </c>
      <c r="Z16" s="142" t="str">
        <f>VLOOKUP(B16,'1) Report'!$B$11:$AM$138,38,FALSE)</f>
        <v>G</v>
      </c>
      <c r="AA16" s="143" t="s">
        <v>89</v>
      </c>
      <c r="AC16" s="264" t="s">
        <v>355</v>
      </c>
    </row>
    <row r="17" spans="2:29" s="180" customFormat="1" ht="3" customHeight="1" thickBot="1" x14ac:dyDescent="0.4">
      <c r="B17" s="186"/>
      <c r="C17" s="187"/>
      <c r="D17" s="188"/>
      <c r="E17" s="149"/>
      <c r="F17" s="149"/>
      <c r="G17" s="149"/>
      <c r="H17" s="149"/>
      <c r="I17" s="149"/>
      <c r="J17" s="149"/>
      <c r="K17" s="189"/>
      <c r="L17" s="190"/>
      <c r="M17" s="149"/>
      <c r="N17" s="149"/>
      <c r="O17" s="149"/>
      <c r="P17" s="149"/>
      <c r="Q17" s="149"/>
      <c r="R17" s="142" t="e">
        <f>VLOOKUP(B17,'1) Report'!$B$11:$AM$138,17,FALSE)</f>
        <v>#N/A</v>
      </c>
      <c r="S17" s="189"/>
      <c r="T17" s="191"/>
      <c r="U17" s="149"/>
      <c r="V17" s="149"/>
      <c r="W17" s="149"/>
      <c r="X17" s="149"/>
      <c r="Y17" s="149"/>
      <c r="Z17" s="149"/>
      <c r="AA17" s="189"/>
    </row>
    <row r="18" spans="2:29" ht="16.5" customHeight="1" thickBot="1" x14ac:dyDescent="0.4">
      <c r="B18" s="810" t="s">
        <v>193</v>
      </c>
      <c r="C18" s="811"/>
      <c r="D18" s="811"/>
      <c r="E18" s="811"/>
      <c r="F18" s="811"/>
      <c r="G18" s="811"/>
      <c r="H18" s="811"/>
      <c r="I18" s="811"/>
      <c r="J18" s="811"/>
      <c r="K18" s="811"/>
      <c r="L18" s="811"/>
      <c r="M18" s="811"/>
      <c r="N18" s="811"/>
      <c r="O18" s="811"/>
      <c r="P18" s="811"/>
      <c r="Q18" s="811"/>
      <c r="R18" s="811"/>
      <c r="S18" s="811"/>
      <c r="T18" s="811"/>
      <c r="U18" s="811"/>
      <c r="V18" s="811"/>
      <c r="W18" s="811"/>
      <c r="X18" s="811"/>
      <c r="Y18" s="811"/>
      <c r="Z18" s="811"/>
      <c r="AA18" s="812"/>
      <c r="AC18" s="180" t="s">
        <v>356</v>
      </c>
    </row>
    <row r="19" spans="2:29" ht="3" customHeight="1" x14ac:dyDescent="0.35">
      <c r="B19" s="150"/>
      <c r="C19" s="150"/>
      <c r="D19" s="150"/>
      <c r="E19" s="150"/>
      <c r="F19" s="150"/>
      <c r="G19" s="150"/>
      <c r="H19" s="150"/>
      <c r="I19" s="150"/>
      <c r="J19" s="150"/>
      <c r="K19" s="150"/>
      <c r="L19" s="150"/>
      <c r="M19" s="150"/>
      <c r="N19" s="150"/>
      <c r="O19" s="150"/>
      <c r="P19" s="150"/>
      <c r="Q19" s="150"/>
      <c r="R19" s="150"/>
      <c r="S19" s="150"/>
      <c r="T19" s="150"/>
      <c r="U19" s="150"/>
      <c r="V19" s="150"/>
      <c r="W19" s="150"/>
      <c r="X19" s="150"/>
      <c r="Y19" s="150"/>
      <c r="Z19" s="150"/>
      <c r="AA19" s="150"/>
    </row>
    <row r="20" spans="2:29" ht="16.5" customHeight="1" x14ac:dyDescent="0.35">
      <c r="B20" s="138" t="s">
        <v>284</v>
      </c>
      <c r="C20" s="139" t="s">
        <v>279</v>
      </c>
      <c r="D20" s="151"/>
      <c r="E20" s="142" t="s">
        <v>95</v>
      </c>
      <c r="F20" s="142" t="s">
        <v>95</v>
      </c>
      <c r="G20" s="142" t="s">
        <v>95</v>
      </c>
      <c r="H20" s="142" t="s">
        <v>95</v>
      </c>
      <c r="I20" s="142" t="s">
        <v>95</v>
      </c>
      <c r="J20" s="142" t="str">
        <f>VLOOKUP(B20,'1) Report'!$B$17:$AM$138,5,FALSE)</f>
        <v>N/A</v>
      </c>
      <c r="K20" s="143" t="s">
        <v>89</v>
      </c>
      <c r="L20" s="145"/>
      <c r="M20" s="142" t="s">
        <v>91</v>
      </c>
      <c r="N20" s="142" t="s">
        <v>91</v>
      </c>
      <c r="O20" s="142" t="s">
        <v>91</v>
      </c>
      <c r="P20" s="142" t="s">
        <v>91</v>
      </c>
      <c r="Q20" s="142" t="s">
        <v>95</v>
      </c>
      <c r="R20" s="142" t="str">
        <f>VLOOKUP(B20,'1) Report'!$B$11:$AM$138,17,FALSE)</f>
        <v>N/A</v>
      </c>
      <c r="S20" s="143" t="s">
        <v>89</v>
      </c>
      <c r="T20" s="13"/>
      <c r="U20" s="142" t="s">
        <v>91</v>
      </c>
      <c r="V20" s="142" t="s">
        <v>91</v>
      </c>
      <c r="W20" s="142" t="s">
        <v>91</v>
      </c>
      <c r="X20" s="142" t="s">
        <v>91</v>
      </c>
      <c r="Y20" s="142" t="s">
        <v>91</v>
      </c>
      <c r="Z20" s="142" t="str">
        <f>VLOOKUP(B20,'1) Report'!$B$11:$AM$138,38,FALSE)</f>
        <v>G</v>
      </c>
      <c r="AA20" s="143" t="s">
        <v>89</v>
      </c>
      <c r="AC20" s="264" t="s">
        <v>355</v>
      </c>
    </row>
    <row r="21" spans="2:29" ht="3" customHeight="1" thickBot="1" x14ac:dyDescent="0.4">
      <c r="C21" s="123"/>
      <c r="K21" s="15"/>
      <c r="M21" s="152"/>
      <c r="N21" s="152"/>
      <c r="O21" s="152"/>
      <c r="P21" s="152"/>
      <c r="Q21" s="152"/>
      <c r="R21" s="152"/>
      <c r="S21" s="152"/>
    </row>
    <row r="22" spans="2:29" ht="16.5" customHeight="1" thickBot="1" x14ac:dyDescent="0.4">
      <c r="B22" s="810" t="s">
        <v>481</v>
      </c>
      <c r="C22" s="811"/>
      <c r="D22" s="811"/>
      <c r="E22" s="811"/>
      <c r="F22" s="811"/>
      <c r="G22" s="811"/>
      <c r="H22" s="811"/>
      <c r="I22" s="811"/>
      <c r="J22" s="811"/>
      <c r="K22" s="811"/>
      <c r="L22" s="811"/>
      <c r="M22" s="811"/>
      <c r="N22" s="811"/>
      <c r="O22" s="811"/>
      <c r="P22" s="811"/>
      <c r="Q22" s="811"/>
      <c r="R22" s="811"/>
      <c r="S22" s="811"/>
      <c r="T22" s="811"/>
      <c r="U22" s="811"/>
      <c r="V22" s="811"/>
      <c r="W22" s="811"/>
      <c r="X22" s="811"/>
      <c r="Y22" s="811"/>
      <c r="Z22" s="811"/>
      <c r="AA22" s="812"/>
      <c r="AC22" s="91" t="s">
        <v>356</v>
      </c>
    </row>
    <row r="23" spans="2:29" ht="3" customHeight="1" x14ac:dyDescent="0.35">
      <c r="C23" s="123"/>
      <c r="K23" s="15"/>
    </row>
    <row r="24" spans="2:29" ht="16.5" customHeight="1" x14ac:dyDescent="0.35">
      <c r="B24" s="138" t="str">
        <f>'1) Report'!B54</f>
        <v>35/10188</v>
      </c>
      <c r="C24" s="139" t="s">
        <v>317</v>
      </c>
      <c r="D24" s="151"/>
      <c r="E24" s="142" t="s">
        <v>88</v>
      </c>
      <c r="F24" s="142" t="s">
        <v>88</v>
      </c>
      <c r="G24" s="142" t="s">
        <v>88</v>
      </c>
      <c r="H24" s="142" t="s">
        <v>88</v>
      </c>
      <c r="I24" s="142" t="s">
        <v>88</v>
      </c>
      <c r="J24" s="142" t="str">
        <f>VLOOKUP(B24,'1) Report'!$B$11:$AM$138,5,FALSE)</f>
        <v>R</v>
      </c>
      <c r="K24" s="143" t="s">
        <v>89</v>
      </c>
      <c r="L24" s="145"/>
      <c r="M24" s="142" t="s">
        <v>88</v>
      </c>
      <c r="N24" s="142" t="s">
        <v>88</v>
      </c>
      <c r="O24" s="142" t="s">
        <v>88</v>
      </c>
      <c r="P24" s="142" t="s">
        <v>88</v>
      </c>
      <c r="Q24" s="142" t="s">
        <v>90</v>
      </c>
      <c r="R24" s="142" t="str">
        <f>VLOOKUP(B24,'1) Report'!$B$11:$AM$138,17,FALSE)</f>
        <v>A</v>
      </c>
      <c r="S24" s="143" t="s">
        <v>89</v>
      </c>
      <c r="T24" s="13"/>
      <c r="U24" s="142" t="s">
        <v>91</v>
      </c>
      <c r="V24" s="142" t="s">
        <v>91</v>
      </c>
      <c r="W24" s="142" t="s">
        <v>91</v>
      </c>
      <c r="X24" s="142" t="s">
        <v>91</v>
      </c>
      <c r="Y24" s="142" t="s">
        <v>91</v>
      </c>
      <c r="Z24" s="142" t="str">
        <f>VLOOKUP(B24,'1) Report'!$B$11:$AM$138,38,FALSE)</f>
        <v>G</v>
      </c>
      <c r="AA24" s="143" t="s">
        <v>89</v>
      </c>
      <c r="AC24" s="264" t="s">
        <v>355</v>
      </c>
    </row>
    <row r="25" spans="2:29" s="206" customFormat="1" ht="16.5" customHeight="1" x14ac:dyDescent="0.35">
      <c r="B25" s="138" t="s">
        <v>116</v>
      </c>
      <c r="C25" s="148" t="s">
        <v>115</v>
      </c>
      <c r="D25" s="151"/>
      <c r="E25" s="142" t="s">
        <v>90</v>
      </c>
      <c r="F25" s="142" t="s">
        <v>90</v>
      </c>
      <c r="G25" s="142" t="s">
        <v>90</v>
      </c>
      <c r="H25" s="142" t="s">
        <v>90</v>
      </c>
      <c r="I25" s="142" t="s">
        <v>90</v>
      </c>
      <c r="J25" s="142" t="str">
        <f>VLOOKUP(B25,'1) Report'!$B$11:$AM$138,5,FALSE)</f>
        <v>A</v>
      </c>
      <c r="K25" s="143" t="s">
        <v>89</v>
      </c>
      <c r="L25" s="145"/>
      <c r="M25" s="142" t="s">
        <v>90</v>
      </c>
      <c r="N25" s="142" t="s">
        <v>90</v>
      </c>
      <c r="O25" s="142" t="s">
        <v>90</v>
      </c>
      <c r="P25" s="142" t="s">
        <v>90</v>
      </c>
      <c r="Q25" s="142" t="s">
        <v>90</v>
      </c>
      <c r="R25" s="142" t="str">
        <f>VLOOKUP(B25,'1) Report'!$B$11:$AM$138,17,FALSE)</f>
        <v>A</v>
      </c>
      <c r="S25" s="143" t="s">
        <v>89</v>
      </c>
      <c r="T25" s="13"/>
      <c r="U25" s="142" t="s">
        <v>90</v>
      </c>
      <c r="V25" s="142" t="s">
        <v>90</v>
      </c>
      <c r="W25" s="142" t="s">
        <v>90</v>
      </c>
      <c r="X25" s="142" t="s">
        <v>90</v>
      </c>
      <c r="Y25" s="142" t="s">
        <v>90</v>
      </c>
      <c r="Z25" s="142" t="str">
        <f>VLOOKUP(B25,'1) Report'!$B$11:$AM$138,38,FALSE)</f>
        <v>A</v>
      </c>
      <c r="AA25" s="143" t="s">
        <v>89</v>
      </c>
      <c r="AC25" s="264" t="s">
        <v>354</v>
      </c>
    </row>
    <row r="26" spans="2:29" s="265" customFormat="1" ht="16.5" customHeight="1" x14ac:dyDescent="0.35">
      <c r="B26" s="138" t="s">
        <v>341</v>
      </c>
      <c r="C26" s="139" t="s">
        <v>342</v>
      </c>
      <c r="D26" s="140"/>
      <c r="E26" s="142" t="s">
        <v>91</v>
      </c>
      <c r="F26" s="142" t="s">
        <v>91</v>
      </c>
      <c r="G26" s="142" t="s">
        <v>90</v>
      </c>
      <c r="H26" s="142" t="s">
        <v>90</v>
      </c>
      <c r="I26" s="142" t="s">
        <v>90</v>
      </c>
      <c r="J26" s="142" t="str">
        <f>VLOOKUP(B26,'1) Report'!$B$11:$AM$138,5,FALSE)</f>
        <v>A</v>
      </c>
      <c r="K26" s="143" t="s">
        <v>89</v>
      </c>
      <c r="L26" s="238"/>
      <c r="M26" s="142" t="s">
        <v>91</v>
      </c>
      <c r="N26" s="142" t="s">
        <v>91</v>
      </c>
      <c r="O26" s="142" t="s">
        <v>91</v>
      </c>
      <c r="P26" s="142" t="s">
        <v>90</v>
      </c>
      <c r="Q26" s="142" t="s">
        <v>90</v>
      </c>
      <c r="R26" s="142" t="str">
        <f>VLOOKUP(B26,'1) Report'!$B$11:$AM$138,17,FALSE)</f>
        <v>A</v>
      </c>
      <c r="S26" s="143" t="s">
        <v>89</v>
      </c>
      <c r="T26" s="145"/>
      <c r="U26" s="142" t="s">
        <v>91</v>
      </c>
      <c r="V26" s="142" t="s">
        <v>91</v>
      </c>
      <c r="W26" s="142" t="s">
        <v>90</v>
      </c>
      <c r="X26" s="142" t="s">
        <v>90</v>
      </c>
      <c r="Y26" s="142" t="s">
        <v>90</v>
      </c>
      <c r="Z26" s="142" t="str">
        <f>VLOOKUP(B26,'1) Report'!$B$11:$AM$138,38,FALSE)</f>
        <v>A</v>
      </c>
      <c r="AA26" s="143" t="s">
        <v>89</v>
      </c>
      <c r="AC26" s="266" t="s">
        <v>355</v>
      </c>
    </row>
    <row r="27" spans="2:29" s="265" customFormat="1" ht="16.5" customHeight="1" x14ac:dyDescent="0.35">
      <c r="B27" s="138" t="s">
        <v>331</v>
      </c>
      <c r="C27" s="139" t="s">
        <v>332</v>
      </c>
      <c r="D27" s="140"/>
      <c r="E27" s="142" t="s">
        <v>91</v>
      </c>
      <c r="F27" s="142" t="s">
        <v>91</v>
      </c>
      <c r="G27" s="142" t="s">
        <v>91</v>
      </c>
      <c r="H27" s="142" t="s">
        <v>91</v>
      </c>
      <c r="I27" s="142" t="s">
        <v>91</v>
      </c>
      <c r="J27" s="142" t="str">
        <f>VLOOKUP(B27,'1) Report'!$B$11:$AM$138,5,FALSE)</f>
        <v>G</v>
      </c>
      <c r="K27" s="143" t="s">
        <v>89</v>
      </c>
      <c r="L27" s="238"/>
      <c r="M27" s="142" t="s">
        <v>90</v>
      </c>
      <c r="N27" s="142" t="s">
        <v>90</v>
      </c>
      <c r="O27" s="142" t="s">
        <v>90</v>
      </c>
      <c r="P27" s="142" t="s">
        <v>90</v>
      </c>
      <c r="Q27" s="142" t="s">
        <v>90</v>
      </c>
      <c r="R27" s="142" t="str">
        <f>VLOOKUP(B27,'1) Report'!$B$11:$AM$138,17,FALSE)</f>
        <v>G</v>
      </c>
      <c r="S27" s="143" t="s">
        <v>530</v>
      </c>
      <c r="T27" s="145"/>
      <c r="U27" s="142" t="s">
        <v>90</v>
      </c>
      <c r="V27" s="142" t="s">
        <v>90</v>
      </c>
      <c r="W27" s="142" t="s">
        <v>90</v>
      </c>
      <c r="X27" s="142" t="s">
        <v>90</v>
      </c>
      <c r="Y27" s="142" t="s">
        <v>90</v>
      </c>
      <c r="Z27" s="142" t="str">
        <f>VLOOKUP(B27,'1) Report'!$B$11:$AM$138,38,FALSE)</f>
        <v>A</v>
      </c>
      <c r="AA27" s="143" t="s">
        <v>89</v>
      </c>
      <c r="AC27" s="266" t="s">
        <v>355</v>
      </c>
    </row>
    <row r="28" spans="2:29" s="265" customFormat="1" ht="16.5" customHeight="1" x14ac:dyDescent="0.35">
      <c r="B28" s="138" t="s">
        <v>333</v>
      </c>
      <c r="C28" s="139" t="s">
        <v>334</v>
      </c>
      <c r="D28" s="140"/>
      <c r="E28" s="142" t="s">
        <v>90</v>
      </c>
      <c r="F28" s="142" t="s">
        <v>90</v>
      </c>
      <c r="G28" s="142" t="s">
        <v>90</v>
      </c>
      <c r="H28" s="142" t="s">
        <v>91</v>
      </c>
      <c r="I28" s="142" t="s">
        <v>91</v>
      </c>
      <c r="J28" s="142" t="str">
        <f>VLOOKUP(B28,'1) Report'!$B$11:$AM$138,5,FALSE)</f>
        <v>G</v>
      </c>
      <c r="K28" s="143" t="s">
        <v>89</v>
      </c>
      <c r="L28" s="238"/>
      <c r="M28" s="142" t="s">
        <v>90</v>
      </c>
      <c r="N28" s="142" t="s">
        <v>90</v>
      </c>
      <c r="O28" s="142" t="s">
        <v>90</v>
      </c>
      <c r="P28" s="142" t="s">
        <v>91</v>
      </c>
      <c r="Q28" s="142" t="s">
        <v>91</v>
      </c>
      <c r="R28" s="142" t="str">
        <f>VLOOKUP(B28,'1) Report'!$B$11:$AM$138,17,FALSE)</f>
        <v>G</v>
      </c>
      <c r="S28" s="143" t="s">
        <v>89</v>
      </c>
      <c r="T28" s="145"/>
      <c r="U28" s="142" t="s">
        <v>91</v>
      </c>
      <c r="V28" s="142" t="s">
        <v>91</v>
      </c>
      <c r="W28" s="142" t="s">
        <v>91</v>
      </c>
      <c r="X28" s="142" t="s">
        <v>91</v>
      </c>
      <c r="Y28" s="142" t="s">
        <v>91</v>
      </c>
      <c r="Z28" s="142" t="str">
        <f>VLOOKUP(B28,'1) Report'!$B$11:$AM$138,38,FALSE)</f>
        <v>G</v>
      </c>
      <c r="AA28" s="143" t="s">
        <v>89</v>
      </c>
      <c r="AC28" s="266" t="s">
        <v>355</v>
      </c>
    </row>
    <row r="29" spans="2:29" s="265" customFormat="1" ht="16.5" customHeight="1" x14ac:dyDescent="0.35">
      <c r="B29" s="138" t="s">
        <v>335</v>
      </c>
      <c r="C29" s="139" t="s">
        <v>336</v>
      </c>
      <c r="D29" s="140"/>
      <c r="E29" s="142" t="s">
        <v>91</v>
      </c>
      <c r="F29" s="142" t="s">
        <v>91</v>
      </c>
      <c r="G29" s="142" t="s">
        <v>91</v>
      </c>
      <c r="H29" s="142" t="s">
        <v>91</v>
      </c>
      <c r="I29" s="142" t="s">
        <v>91</v>
      </c>
      <c r="J29" s="142" t="str">
        <f>VLOOKUP(B29,'1) Report'!$B$11:$AM$138,5,FALSE)</f>
        <v>G</v>
      </c>
      <c r="K29" s="143" t="s">
        <v>89</v>
      </c>
      <c r="L29" s="238"/>
      <c r="M29" s="142" t="s">
        <v>91</v>
      </c>
      <c r="N29" s="142" t="s">
        <v>91</v>
      </c>
      <c r="O29" s="142" t="s">
        <v>91</v>
      </c>
      <c r="P29" s="142" t="s">
        <v>91</v>
      </c>
      <c r="Q29" s="142" t="s">
        <v>91</v>
      </c>
      <c r="R29" s="142" t="str">
        <f>VLOOKUP(B29,'1) Report'!$B$11:$AM$138,17,FALSE)</f>
        <v>G</v>
      </c>
      <c r="S29" s="143" t="s">
        <v>89</v>
      </c>
      <c r="T29" s="145"/>
      <c r="U29" s="142" t="s">
        <v>90</v>
      </c>
      <c r="V29" s="142" t="s">
        <v>88</v>
      </c>
      <c r="W29" s="142" t="s">
        <v>90</v>
      </c>
      <c r="X29" s="142" t="s">
        <v>90</v>
      </c>
      <c r="Y29" s="142" t="s">
        <v>90</v>
      </c>
      <c r="Z29" s="142" t="str">
        <f>VLOOKUP(B29,'1) Report'!$B$11:$AM$138,38,FALSE)</f>
        <v>A</v>
      </c>
      <c r="AA29" s="143" t="s">
        <v>89</v>
      </c>
      <c r="AC29" s="266" t="s">
        <v>355</v>
      </c>
    </row>
    <row r="30" spans="2:29" s="265" customFormat="1" ht="16.5" customHeight="1" x14ac:dyDescent="0.35">
      <c r="B30" s="138" t="s">
        <v>349</v>
      </c>
      <c r="C30" s="139" t="s">
        <v>350</v>
      </c>
      <c r="D30" s="140"/>
      <c r="E30" s="142" t="s">
        <v>91</v>
      </c>
      <c r="F30" s="142" t="s">
        <v>91</v>
      </c>
      <c r="G30" s="142" t="s">
        <v>91</v>
      </c>
      <c r="H30" s="142" t="s">
        <v>91</v>
      </c>
      <c r="I30" s="142" t="s">
        <v>91</v>
      </c>
      <c r="J30" s="142" t="str">
        <f>VLOOKUP(B30,'1) Report'!$B$11:$AM$138,5,FALSE)</f>
        <v>G</v>
      </c>
      <c r="K30" s="143" t="s">
        <v>89</v>
      </c>
      <c r="L30" s="238"/>
      <c r="M30" s="142" t="s">
        <v>91</v>
      </c>
      <c r="N30" s="142" t="s">
        <v>91</v>
      </c>
      <c r="O30" s="142" t="s">
        <v>91</v>
      </c>
      <c r="P30" s="142" t="s">
        <v>91</v>
      </c>
      <c r="Q30" s="142" t="s">
        <v>91</v>
      </c>
      <c r="R30" s="142" t="str">
        <f>VLOOKUP(B30,'1) Report'!$B$11:$AM$138,17,FALSE)</f>
        <v>G</v>
      </c>
      <c r="S30" s="143" t="s">
        <v>89</v>
      </c>
      <c r="T30" s="145"/>
      <c r="U30" s="142" t="s">
        <v>90</v>
      </c>
      <c r="V30" s="142" t="s">
        <v>91</v>
      </c>
      <c r="W30" s="142" t="s">
        <v>91</v>
      </c>
      <c r="X30" s="142" t="s">
        <v>91</v>
      </c>
      <c r="Y30" s="142" t="s">
        <v>91</v>
      </c>
      <c r="Z30" s="142" t="str">
        <f>VLOOKUP(B30,'1) Report'!$B$11:$AM$138,38,FALSE)</f>
        <v>A</v>
      </c>
      <c r="AA30" s="143" t="s">
        <v>551</v>
      </c>
      <c r="AC30" s="266" t="s">
        <v>355</v>
      </c>
    </row>
    <row r="31" spans="2:29" s="265" customFormat="1" ht="16.5" customHeight="1" x14ac:dyDescent="0.35">
      <c r="B31" s="138" t="s">
        <v>329</v>
      </c>
      <c r="C31" s="139" t="s">
        <v>330</v>
      </c>
      <c r="D31" s="140"/>
      <c r="E31" s="142" t="s">
        <v>91</v>
      </c>
      <c r="F31" s="142" t="s">
        <v>91</v>
      </c>
      <c r="G31" s="142" t="s">
        <v>91</v>
      </c>
      <c r="H31" s="142" t="s">
        <v>91</v>
      </c>
      <c r="I31" s="142" t="s">
        <v>91</v>
      </c>
      <c r="J31" s="142" t="str">
        <f>VLOOKUP(B31,'1) Report'!$B$11:$AM$138,5,FALSE)</f>
        <v>G</v>
      </c>
      <c r="K31" s="143" t="s">
        <v>89</v>
      </c>
      <c r="L31" s="238"/>
      <c r="M31" s="142" t="s">
        <v>91</v>
      </c>
      <c r="N31" s="142" t="s">
        <v>90</v>
      </c>
      <c r="O31" s="142" t="s">
        <v>90</v>
      </c>
      <c r="P31" s="142" t="s">
        <v>91</v>
      </c>
      <c r="Q31" s="142" t="s">
        <v>91</v>
      </c>
      <c r="R31" s="142" t="str">
        <f>VLOOKUP(B31,'1) Report'!$B$11:$AM$138,17,FALSE)</f>
        <v>G</v>
      </c>
      <c r="S31" s="143" t="s">
        <v>89</v>
      </c>
      <c r="T31" s="145"/>
      <c r="U31" s="142" t="s">
        <v>91</v>
      </c>
      <c r="V31" s="142" t="s">
        <v>91</v>
      </c>
      <c r="W31" s="142" t="s">
        <v>91</v>
      </c>
      <c r="X31" s="142" t="s">
        <v>91</v>
      </c>
      <c r="Y31" s="142" t="s">
        <v>91</v>
      </c>
      <c r="Z31" s="142" t="str">
        <f>VLOOKUP(B31,'1) Report'!$B$11:$AM$138,38,FALSE)</f>
        <v>G</v>
      </c>
      <c r="AA31" s="143" t="s">
        <v>89</v>
      </c>
      <c r="AC31" s="266" t="s">
        <v>355</v>
      </c>
    </row>
    <row r="32" spans="2:29" s="265" customFormat="1" ht="16.5" customHeight="1" x14ac:dyDescent="0.35">
      <c r="B32" s="138" t="s">
        <v>345</v>
      </c>
      <c r="C32" s="139" t="s">
        <v>346</v>
      </c>
      <c r="D32" s="140"/>
      <c r="E32" s="142" t="s">
        <v>91</v>
      </c>
      <c r="F32" s="142" t="s">
        <v>91</v>
      </c>
      <c r="G32" s="142" t="s">
        <v>91</v>
      </c>
      <c r="H32" s="142" t="s">
        <v>91</v>
      </c>
      <c r="I32" s="142" t="s">
        <v>91</v>
      </c>
      <c r="J32" s="142" t="str">
        <f>VLOOKUP(B32,'1) Report'!$B$11:$AM$138,5,FALSE)</f>
        <v>G</v>
      </c>
      <c r="K32" s="143" t="s">
        <v>89</v>
      </c>
      <c r="L32" s="238"/>
      <c r="M32" s="142" t="s">
        <v>91</v>
      </c>
      <c r="N32" s="142" t="s">
        <v>91</v>
      </c>
      <c r="O32" s="142" t="s">
        <v>91</v>
      </c>
      <c r="P32" s="142" t="s">
        <v>91</v>
      </c>
      <c r="Q32" s="142" t="s">
        <v>91</v>
      </c>
      <c r="R32" s="142" t="str">
        <f>VLOOKUP(B32,'1) Report'!$B$11:$AM$138,17,FALSE)</f>
        <v>G</v>
      </c>
      <c r="S32" s="143" t="s">
        <v>89</v>
      </c>
      <c r="T32" s="145"/>
      <c r="U32" s="142" t="s">
        <v>91</v>
      </c>
      <c r="V32" s="142" t="s">
        <v>91</v>
      </c>
      <c r="W32" s="142" t="s">
        <v>91</v>
      </c>
      <c r="X32" s="142" t="s">
        <v>91</v>
      </c>
      <c r="Y32" s="142" t="s">
        <v>91</v>
      </c>
      <c r="Z32" s="142" t="str">
        <f>VLOOKUP(B32,'1) Report'!$B$11:$AM$138,38,FALSE)</f>
        <v>G</v>
      </c>
      <c r="AA32" s="143" t="s">
        <v>89</v>
      </c>
      <c r="AC32" s="266" t="s">
        <v>355</v>
      </c>
    </row>
    <row r="33" spans="2:29" s="265" customFormat="1" ht="16.5" customHeight="1" x14ac:dyDescent="0.35">
      <c r="B33" s="138" t="s">
        <v>347</v>
      </c>
      <c r="C33" s="139" t="s">
        <v>348</v>
      </c>
      <c r="D33" s="140"/>
      <c r="E33" s="142" t="s">
        <v>91</v>
      </c>
      <c r="F33" s="142" t="s">
        <v>91</v>
      </c>
      <c r="G33" s="142" t="s">
        <v>91</v>
      </c>
      <c r="H33" s="142" t="s">
        <v>91</v>
      </c>
      <c r="I33" s="142" t="s">
        <v>91</v>
      </c>
      <c r="J33" s="142" t="str">
        <f>VLOOKUP(B33,'1) Report'!$B$11:$AM$138,5,FALSE)</f>
        <v>G</v>
      </c>
      <c r="K33" s="143" t="s">
        <v>89</v>
      </c>
      <c r="L33" s="238"/>
      <c r="M33" s="142" t="s">
        <v>91</v>
      </c>
      <c r="N33" s="142" t="s">
        <v>91</v>
      </c>
      <c r="O33" s="142" t="s">
        <v>91</v>
      </c>
      <c r="P33" s="142" t="s">
        <v>91</v>
      </c>
      <c r="Q33" s="142" t="s">
        <v>91</v>
      </c>
      <c r="R33" s="142" t="str">
        <f>VLOOKUP(B33,'1) Report'!$B$11:$AM$138,17,FALSE)</f>
        <v>G</v>
      </c>
      <c r="S33" s="143" t="s">
        <v>89</v>
      </c>
      <c r="T33" s="145"/>
      <c r="U33" s="142" t="s">
        <v>91</v>
      </c>
      <c r="V33" s="142" t="s">
        <v>91</v>
      </c>
      <c r="W33" s="142" t="s">
        <v>91</v>
      </c>
      <c r="X33" s="142" t="s">
        <v>91</v>
      </c>
      <c r="Y33" s="142" t="s">
        <v>91</v>
      </c>
      <c r="Z33" s="142" t="str">
        <f>VLOOKUP(B33,'1) Report'!$B$11:$AM$138,38,FALSE)</f>
        <v>G</v>
      </c>
      <c r="AA33" s="143" t="s">
        <v>89</v>
      </c>
      <c r="AC33" s="266" t="s">
        <v>355</v>
      </c>
    </row>
    <row r="34" spans="2:29" s="636" customFormat="1" ht="16.5" customHeight="1" x14ac:dyDescent="0.35">
      <c r="B34" s="138" t="s">
        <v>521</v>
      </c>
      <c r="C34" s="139" t="s">
        <v>522</v>
      </c>
      <c r="D34" s="140"/>
      <c r="E34" s="142" t="s">
        <v>95</v>
      </c>
      <c r="F34" s="142" t="s">
        <v>95</v>
      </c>
      <c r="G34" s="142" t="s">
        <v>95</v>
      </c>
      <c r="H34" s="142" t="s">
        <v>95</v>
      </c>
      <c r="I34" s="142" t="s">
        <v>91</v>
      </c>
      <c r="J34" s="142" t="str">
        <f>VLOOKUP(B34,'1) Report'!$B$11:$AM$138,5,FALSE)</f>
        <v>G</v>
      </c>
      <c r="K34" s="143" t="s">
        <v>89</v>
      </c>
      <c r="L34" s="474"/>
      <c r="M34" s="142" t="s">
        <v>95</v>
      </c>
      <c r="N34" s="142" t="s">
        <v>95</v>
      </c>
      <c r="O34" s="142" t="s">
        <v>95</v>
      </c>
      <c r="P34" s="142" t="s">
        <v>95</v>
      </c>
      <c r="Q34" s="142" t="s">
        <v>91</v>
      </c>
      <c r="R34" s="142" t="str">
        <f>VLOOKUP(B34,'1) Report'!$B$11:$AM$138,17,FALSE)</f>
        <v>G</v>
      </c>
      <c r="S34" s="143" t="s">
        <v>89</v>
      </c>
      <c r="T34" s="145"/>
      <c r="U34" s="142" t="s">
        <v>95</v>
      </c>
      <c r="V34" s="142" t="s">
        <v>95</v>
      </c>
      <c r="W34" s="142" t="s">
        <v>95</v>
      </c>
      <c r="X34" s="142" t="s">
        <v>95</v>
      </c>
      <c r="Y34" s="142" t="s">
        <v>91</v>
      </c>
      <c r="Z34" s="142" t="str">
        <f>VLOOKUP(B34,'1) Report'!$B$11:$AM$138,38,FALSE)</f>
        <v>G</v>
      </c>
      <c r="AA34" s="143" t="s">
        <v>89</v>
      </c>
      <c r="AC34" s="636" t="s">
        <v>355</v>
      </c>
    </row>
    <row r="35" spans="2:29" s="265" customFormat="1" ht="16.5" customHeight="1" x14ac:dyDescent="0.35">
      <c r="B35" s="138" t="s">
        <v>351</v>
      </c>
      <c r="C35" s="139" t="s">
        <v>352</v>
      </c>
      <c r="D35" s="140"/>
      <c r="E35" s="142" t="s">
        <v>95</v>
      </c>
      <c r="F35" s="142" t="s">
        <v>95</v>
      </c>
      <c r="G35" s="142" t="s">
        <v>95</v>
      </c>
      <c r="H35" s="142" t="s">
        <v>95</v>
      </c>
      <c r="I35" s="142" t="s">
        <v>95</v>
      </c>
      <c r="J35" s="142" t="str">
        <f>VLOOKUP(B35,'1) Report'!$B$11:$AM$138,5,FALSE)</f>
        <v>N/A</v>
      </c>
      <c r="K35" s="143" t="s">
        <v>89</v>
      </c>
      <c r="L35" s="238"/>
      <c r="M35" s="142" t="s">
        <v>90</v>
      </c>
      <c r="N35" s="142" t="s">
        <v>90</v>
      </c>
      <c r="O35" s="142" t="s">
        <v>90</v>
      </c>
      <c r="P35" s="142" t="s">
        <v>91</v>
      </c>
      <c r="Q35" s="142" t="s">
        <v>91</v>
      </c>
      <c r="R35" s="142" t="str">
        <f>VLOOKUP(B35,'1) Report'!$B$11:$AM$138,17,FALSE)</f>
        <v>G</v>
      </c>
      <c r="S35" s="143" t="s">
        <v>89</v>
      </c>
      <c r="T35" s="145"/>
      <c r="U35" s="142" t="s">
        <v>91</v>
      </c>
      <c r="V35" s="142" t="s">
        <v>91</v>
      </c>
      <c r="W35" s="142" t="s">
        <v>91</v>
      </c>
      <c r="X35" s="142" t="s">
        <v>91</v>
      </c>
      <c r="Y35" s="142" t="s">
        <v>91</v>
      </c>
      <c r="Z35" s="142" t="str">
        <f>VLOOKUP(B35,'1) Report'!$B$11:$AM$138,38,FALSE)</f>
        <v>G</v>
      </c>
      <c r="AA35" s="143" t="s">
        <v>89</v>
      </c>
      <c r="AC35" s="266" t="s">
        <v>355</v>
      </c>
    </row>
    <row r="36" spans="2:29" ht="3" customHeight="1" thickBot="1" x14ac:dyDescent="0.4">
      <c r="B36" s="123"/>
      <c r="C36" s="123"/>
      <c r="D36" s="123"/>
      <c r="E36" s="123"/>
      <c r="F36" s="123"/>
      <c r="G36" s="123"/>
      <c r="H36" s="123"/>
      <c r="I36" s="123"/>
      <c r="J36" s="123"/>
      <c r="K36" s="123"/>
      <c r="L36" s="123"/>
      <c r="M36" s="123"/>
      <c r="N36" s="123"/>
      <c r="O36" s="123"/>
      <c r="P36" s="123"/>
      <c r="Q36" s="123"/>
      <c r="R36" s="123"/>
      <c r="S36" s="123"/>
      <c r="T36" s="123"/>
      <c r="U36" s="123"/>
      <c r="V36" s="123"/>
      <c r="W36" s="123"/>
      <c r="X36" s="123"/>
      <c r="Y36" s="123"/>
      <c r="Z36" s="123"/>
      <c r="AA36" s="123"/>
    </row>
    <row r="37" spans="2:29" ht="16.5" customHeight="1" thickBot="1" x14ac:dyDescent="0.4">
      <c r="B37" s="810" t="s">
        <v>194</v>
      </c>
      <c r="C37" s="811"/>
      <c r="D37" s="811"/>
      <c r="E37" s="811"/>
      <c r="F37" s="811"/>
      <c r="G37" s="811"/>
      <c r="H37" s="811"/>
      <c r="I37" s="811"/>
      <c r="J37" s="811"/>
      <c r="K37" s="811"/>
      <c r="L37" s="811"/>
      <c r="M37" s="811"/>
      <c r="N37" s="811"/>
      <c r="O37" s="811"/>
      <c r="P37" s="811"/>
      <c r="Q37" s="811"/>
      <c r="R37" s="811"/>
      <c r="S37" s="811"/>
      <c r="T37" s="811"/>
      <c r="U37" s="811"/>
      <c r="V37" s="811"/>
      <c r="W37" s="811"/>
      <c r="X37" s="811"/>
      <c r="Y37" s="811"/>
      <c r="Z37" s="811"/>
      <c r="AA37" s="812"/>
      <c r="AC37" s="91" t="s">
        <v>356</v>
      </c>
    </row>
    <row r="38" spans="2:29" ht="3" customHeight="1" x14ac:dyDescent="0.35">
      <c r="C38" s="123"/>
      <c r="K38" s="15"/>
    </row>
    <row r="39" spans="2:29" ht="16.5" customHeight="1" x14ac:dyDescent="0.35">
      <c r="B39" s="138" t="s">
        <v>302</v>
      </c>
      <c r="C39" s="139" t="s">
        <v>305</v>
      </c>
      <c r="D39" s="140"/>
      <c r="E39" s="142" t="s">
        <v>90</v>
      </c>
      <c r="F39" s="142" t="s">
        <v>90</v>
      </c>
      <c r="G39" s="142" t="s">
        <v>90</v>
      </c>
      <c r="H39" s="142" t="s">
        <v>90</v>
      </c>
      <c r="I39" s="142" t="s">
        <v>90</v>
      </c>
      <c r="J39" s="142" t="str">
        <f>VLOOKUP(B39,'1) Report'!$B$11:$AM$138,5,FALSE)</f>
        <v>A</v>
      </c>
      <c r="K39" s="143" t="s">
        <v>89</v>
      </c>
      <c r="L39" s="13"/>
      <c r="M39" s="142" t="s">
        <v>90</v>
      </c>
      <c r="N39" s="142" t="s">
        <v>90</v>
      </c>
      <c r="O39" s="142" t="s">
        <v>90</v>
      </c>
      <c r="P39" s="142" t="s">
        <v>90</v>
      </c>
      <c r="Q39" s="142" t="s">
        <v>90</v>
      </c>
      <c r="R39" s="142" t="str">
        <f>VLOOKUP(B39,'1) Report'!$B$11:$AM$138,17,FALSE)</f>
        <v>R</v>
      </c>
      <c r="S39" s="143" t="s">
        <v>551</v>
      </c>
      <c r="T39" s="145"/>
      <c r="U39" s="142" t="s">
        <v>90</v>
      </c>
      <c r="V39" s="142" t="s">
        <v>90</v>
      </c>
      <c r="W39" s="142" t="s">
        <v>90</v>
      </c>
      <c r="X39" s="142" t="s">
        <v>90</v>
      </c>
      <c r="Y39" s="142" t="s">
        <v>90</v>
      </c>
      <c r="Z39" s="142" t="str">
        <f>VLOOKUP(B39,'1) Report'!$B$11:$AM$138,38,FALSE)</f>
        <v>A</v>
      </c>
      <c r="AA39" s="143" t="s">
        <v>89</v>
      </c>
      <c r="AC39" s="91" t="s">
        <v>355</v>
      </c>
    </row>
    <row r="40" spans="2:29" s="265" customFormat="1" ht="16.5" customHeight="1" x14ac:dyDescent="0.35">
      <c r="B40" s="138" t="s">
        <v>359</v>
      </c>
      <c r="C40" s="139" t="s">
        <v>360</v>
      </c>
      <c r="D40" s="140"/>
      <c r="E40" s="142" t="s">
        <v>90</v>
      </c>
      <c r="F40" s="142" t="s">
        <v>90</v>
      </c>
      <c r="G40" s="142" t="s">
        <v>90</v>
      </c>
      <c r="H40" s="142" t="s">
        <v>90</v>
      </c>
      <c r="I40" s="142" t="s">
        <v>90</v>
      </c>
      <c r="J40" s="142" t="str">
        <f>VLOOKUP(B40,'1) Report'!$B$11:$AM$138,5,FALSE)</f>
        <v>A</v>
      </c>
      <c r="K40" s="143" t="s">
        <v>89</v>
      </c>
      <c r="L40" s="238"/>
      <c r="M40" s="142" t="s">
        <v>90</v>
      </c>
      <c r="N40" s="142" t="s">
        <v>90</v>
      </c>
      <c r="O40" s="142" t="s">
        <v>90</v>
      </c>
      <c r="P40" s="142" t="s">
        <v>90</v>
      </c>
      <c r="Q40" s="142" t="s">
        <v>90</v>
      </c>
      <c r="R40" s="142" t="str">
        <f>VLOOKUP(B40,'1) Report'!$B$11:$AM$138,17,FALSE)</f>
        <v>R</v>
      </c>
      <c r="S40" s="143" t="s">
        <v>551</v>
      </c>
      <c r="T40" s="145"/>
      <c r="U40" s="142" t="s">
        <v>91</v>
      </c>
      <c r="V40" s="142" t="s">
        <v>91</v>
      </c>
      <c r="W40" s="142" t="s">
        <v>91</v>
      </c>
      <c r="X40" s="142" t="s">
        <v>91</v>
      </c>
      <c r="Y40" s="142" t="s">
        <v>91</v>
      </c>
      <c r="Z40" s="142" t="str">
        <f>VLOOKUP(B40,'1) Report'!$B$11:$AM$138,38,FALSE)</f>
        <v>G</v>
      </c>
      <c r="AA40" s="143" t="s">
        <v>89</v>
      </c>
      <c r="AC40" s="266" t="s">
        <v>355</v>
      </c>
    </row>
    <row r="41" spans="2:29" ht="16.5" customHeight="1" x14ac:dyDescent="0.35">
      <c r="B41" s="138" t="s">
        <v>100</v>
      </c>
      <c r="C41" s="148" t="s">
        <v>7</v>
      </c>
      <c r="D41" s="151"/>
      <c r="E41" s="142" t="s">
        <v>90</v>
      </c>
      <c r="F41" s="142" t="s">
        <v>90</v>
      </c>
      <c r="G41" s="142" t="s">
        <v>90</v>
      </c>
      <c r="H41" s="142" t="s">
        <v>90</v>
      </c>
      <c r="I41" s="142" t="s">
        <v>90</v>
      </c>
      <c r="J41" s="142" t="str">
        <f>VLOOKUP(B41,'1) Report'!$B$11:$AM$138,5,FALSE)</f>
        <v>A</v>
      </c>
      <c r="K41" s="143" t="s">
        <v>89</v>
      </c>
      <c r="L41" s="145"/>
      <c r="M41" s="142" t="s">
        <v>90</v>
      </c>
      <c r="N41" s="142" t="s">
        <v>90</v>
      </c>
      <c r="O41" s="142" t="s">
        <v>90</v>
      </c>
      <c r="P41" s="142" t="s">
        <v>90</v>
      </c>
      <c r="Q41" s="142" t="s">
        <v>90</v>
      </c>
      <c r="R41" s="142" t="str">
        <f>VLOOKUP(B41,'1) Report'!$B$11:$AM$138,17,FALSE)</f>
        <v>R</v>
      </c>
      <c r="S41" s="143" t="s">
        <v>551</v>
      </c>
      <c r="T41" s="13"/>
      <c r="U41" s="144" t="s">
        <v>91</v>
      </c>
      <c r="V41" s="142" t="s">
        <v>91</v>
      </c>
      <c r="W41" s="142" t="s">
        <v>91</v>
      </c>
      <c r="X41" s="142" t="s">
        <v>91</v>
      </c>
      <c r="Y41" s="142" t="s">
        <v>91</v>
      </c>
      <c r="Z41" s="142" t="str">
        <f>VLOOKUP(B41,'1) Report'!$B$11:$AM$138,38,FALSE)</f>
        <v>G</v>
      </c>
      <c r="AA41" s="143" t="s">
        <v>89</v>
      </c>
      <c r="AC41" s="264" t="s">
        <v>354</v>
      </c>
    </row>
    <row r="42" spans="2:29" s="212" customFormat="1" ht="16.5" customHeight="1" x14ac:dyDescent="0.35">
      <c r="B42" s="138" t="s">
        <v>491</v>
      </c>
      <c r="C42" s="139" t="s">
        <v>320</v>
      </c>
      <c r="D42" s="140"/>
      <c r="E42" s="142" t="s">
        <v>90</v>
      </c>
      <c r="F42" s="142" t="s">
        <v>90</v>
      </c>
      <c r="G42" s="142" t="s">
        <v>90</v>
      </c>
      <c r="H42" s="142" t="s">
        <v>90</v>
      </c>
      <c r="I42" s="142" t="s">
        <v>90</v>
      </c>
      <c r="J42" s="142" t="str">
        <f>VLOOKUP(B42,'1) Report'!$B$11:$AM$138,5,FALSE)</f>
        <v>A</v>
      </c>
      <c r="K42" s="143" t="s">
        <v>89</v>
      </c>
      <c r="L42" s="13"/>
      <c r="M42" s="142" t="s">
        <v>90</v>
      </c>
      <c r="N42" s="142" t="s">
        <v>90</v>
      </c>
      <c r="O42" s="142" t="s">
        <v>90</v>
      </c>
      <c r="P42" s="142" t="s">
        <v>90</v>
      </c>
      <c r="Q42" s="142" t="s">
        <v>90</v>
      </c>
      <c r="R42" s="142" t="str">
        <f>VLOOKUP(B42,'1) Report'!$B$11:$AM$138,17,FALSE)</f>
        <v>A</v>
      </c>
      <c r="S42" s="143" t="s">
        <v>89</v>
      </c>
      <c r="T42" s="145"/>
      <c r="U42" s="142" t="s">
        <v>88</v>
      </c>
      <c r="V42" s="142" t="s">
        <v>88</v>
      </c>
      <c r="W42" s="142" t="s">
        <v>88</v>
      </c>
      <c r="X42" s="142" t="s">
        <v>88</v>
      </c>
      <c r="Y42" s="142" t="s">
        <v>88</v>
      </c>
      <c r="Z42" s="142" t="str">
        <f>VLOOKUP(B42,'1) Report'!$B$11:$AM$138,38,FALSE)</f>
        <v>R</v>
      </c>
      <c r="AA42" s="143" t="s">
        <v>89</v>
      </c>
      <c r="AC42" s="264" t="s">
        <v>354</v>
      </c>
    </row>
    <row r="43" spans="2:29" s="265" customFormat="1" ht="16.5" customHeight="1" x14ac:dyDescent="0.35">
      <c r="B43" s="138" t="s">
        <v>327</v>
      </c>
      <c r="C43" s="139" t="s">
        <v>328</v>
      </c>
      <c r="D43" s="140"/>
      <c r="E43" s="142" t="s">
        <v>90</v>
      </c>
      <c r="F43" s="142" t="s">
        <v>90</v>
      </c>
      <c r="G43" s="142" t="s">
        <v>90</v>
      </c>
      <c r="H43" s="142" t="s">
        <v>90</v>
      </c>
      <c r="I43" s="142" t="s">
        <v>90</v>
      </c>
      <c r="J43" s="142" t="str">
        <f>VLOOKUP(B43,'1) Report'!$B$11:$AM$138,5,FALSE)</f>
        <v>A</v>
      </c>
      <c r="K43" s="143" t="s">
        <v>89</v>
      </c>
      <c r="L43" s="238"/>
      <c r="M43" s="142" t="s">
        <v>90</v>
      </c>
      <c r="N43" s="142" t="s">
        <v>90</v>
      </c>
      <c r="O43" s="142" t="s">
        <v>90</v>
      </c>
      <c r="P43" s="142" t="s">
        <v>90</v>
      </c>
      <c r="Q43" s="142" t="s">
        <v>90</v>
      </c>
      <c r="R43" s="142" t="str">
        <f>VLOOKUP(B43,'1) Report'!$B$11:$AM$138,17,FALSE)</f>
        <v>A</v>
      </c>
      <c r="S43" s="143" t="s">
        <v>89</v>
      </c>
      <c r="T43" s="145"/>
      <c r="U43" s="142" t="s">
        <v>90</v>
      </c>
      <c r="V43" s="142" t="s">
        <v>90</v>
      </c>
      <c r="W43" s="142" t="s">
        <v>90</v>
      </c>
      <c r="X43" s="142" t="s">
        <v>90</v>
      </c>
      <c r="Y43" s="142" t="s">
        <v>90</v>
      </c>
      <c r="Z43" s="142" t="str">
        <f>VLOOKUP(B43,'1) Report'!$B$11:$AM$138,38,FALSE)</f>
        <v>A</v>
      </c>
      <c r="AA43" s="143" t="s">
        <v>89</v>
      </c>
      <c r="AC43" s="266" t="s">
        <v>355</v>
      </c>
    </row>
    <row r="44" spans="2:29" s="195" customFormat="1" ht="16.5" customHeight="1" x14ac:dyDescent="0.35">
      <c r="B44" s="138" t="s">
        <v>102</v>
      </c>
      <c r="C44" s="148" t="s">
        <v>238</v>
      </c>
      <c r="D44" s="140"/>
      <c r="E44" s="142" t="s">
        <v>90</v>
      </c>
      <c r="F44" s="142" t="s">
        <v>90</v>
      </c>
      <c r="G44" s="142" t="s">
        <v>90</v>
      </c>
      <c r="H44" s="142" t="s">
        <v>90</v>
      </c>
      <c r="I44" s="142" t="s">
        <v>90</v>
      </c>
      <c r="J44" s="142" t="str">
        <f>VLOOKUP(B44,'1) Report'!$B$11:$AM$138,5,FALSE)</f>
        <v>A</v>
      </c>
      <c r="K44" s="143" t="s">
        <v>89</v>
      </c>
      <c r="L44" s="13"/>
      <c r="M44" s="142" t="s">
        <v>90</v>
      </c>
      <c r="N44" s="142" t="s">
        <v>90</v>
      </c>
      <c r="O44" s="142" t="s">
        <v>90</v>
      </c>
      <c r="P44" s="142" t="s">
        <v>90</v>
      </c>
      <c r="Q44" s="142" t="s">
        <v>90</v>
      </c>
      <c r="R44" s="142" t="str">
        <f>VLOOKUP(B44,'1) Report'!$B$11:$AM$138,17,FALSE)</f>
        <v>A</v>
      </c>
      <c r="S44" s="143" t="s">
        <v>89</v>
      </c>
      <c r="T44" s="145"/>
      <c r="U44" s="196" t="s">
        <v>91</v>
      </c>
      <c r="V44" s="142" t="s">
        <v>91</v>
      </c>
      <c r="W44" s="142" t="s">
        <v>91</v>
      </c>
      <c r="X44" s="142" t="s">
        <v>91</v>
      </c>
      <c r="Y44" s="142" t="s">
        <v>91</v>
      </c>
      <c r="Z44" s="142" t="str">
        <f>VLOOKUP(B44,'1) Report'!$B$11:$AM$138,38,FALSE)</f>
        <v>G</v>
      </c>
      <c r="AA44" s="143" t="s">
        <v>89</v>
      </c>
      <c r="AC44" s="264" t="s">
        <v>354</v>
      </c>
    </row>
    <row r="45" spans="2:29" s="206" customFormat="1" ht="16.5" customHeight="1" x14ac:dyDescent="0.35">
      <c r="B45" s="138" t="s">
        <v>300</v>
      </c>
      <c r="C45" s="139" t="s">
        <v>304</v>
      </c>
      <c r="D45" s="140"/>
      <c r="E45" s="142" t="s">
        <v>91</v>
      </c>
      <c r="F45" s="142" t="s">
        <v>91</v>
      </c>
      <c r="G45" s="142" t="s">
        <v>91</v>
      </c>
      <c r="H45" s="142" t="s">
        <v>91</v>
      </c>
      <c r="I45" s="142" t="s">
        <v>91</v>
      </c>
      <c r="J45" s="142" t="str">
        <f>VLOOKUP(B45,'1) Report'!$B$11:$AM$138,5,FALSE)</f>
        <v>G</v>
      </c>
      <c r="K45" s="143" t="s">
        <v>89</v>
      </c>
      <c r="L45" s="13"/>
      <c r="M45" s="142" t="s">
        <v>90</v>
      </c>
      <c r="N45" s="142" t="s">
        <v>90</v>
      </c>
      <c r="O45" s="142" t="s">
        <v>90</v>
      </c>
      <c r="P45" s="142" t="s">
        <v>90</v>
      </c>
      <c r="Q45" s="142" t="s">
        <v>90</v>
      </c>
      <c r="R45" s="142" t="str">
        <f>VLOOKUP(B45,'1) Report'!$B$11:$AM$138,17,FALSE)</f>
        <v>R</v>
      </c>
      <c r="S45" s="143" t="s">
        <v>551</v>
      </c>
      <c r="T45" s="145"/>
      <c r="U45" s="142" t="s">
        <v>91</v>
      </c>
      <c r="V45" s="142" t="s">
        <v>91</v>
      </c>
      <c r="W45" s="142" t="s">
        <v>91</v>
      </c>
      <c r="X45" s="142" t="s">
        <v>91</v>
      </c>
      <c r="Y45" s="142" t="s">
        <v>91</v>
      </c>
      <c r="Z45" s="142" t="str">
        <f>VLOOKUP(B45,'1) Report'!$B$11:$AM$138,38,FALSE)</f>
        <v>G</v>
      </c>
      <c r="AA45" s="143" t="s">
        <v>89</v>
      </c>
      <c r="AC45" s="264" t="s">
        <v>355</v>
      </c>
    </row>
    <row r="46" spans="2:29" s="636" customFormat="1" ht="16.5" customHeight="1" x14ac:dyDescent="0.35">
      <c r="B46" s="138" t="s">
        <v>524</v>
      </c>
      <c r="C46" s="139" t="s">
        <v>523</v>
      </c>
      <c r="D46" s="151"/>
      <c r="E46" s="142" t="s">
        <v>95</v>
      </c>
      <c r="F46" s="142" t="s">
        <v>95</v>
      </c>
      <c r="G46" s="142" t="s">
        <v>95</v>
      </c>
      <c r="H46" s="142" t="s">
        <v>95</v>
      </c>
      <c r="I46" s="142" t="s">
        <v>91</v>
      </c>
      <c r="J46" s="142" t="str">
        <f>VLOOKUP(B46,'1) Report'!$B$11:$AM$138,5,FALSE)</f>
        <v>G</v>
      </c>
      <c r="K46" s="143" t="s">
        <v>89</v>
      </c>
      <c r="L46" s="145"/>
      <c r="M46" s="142" t="s">
        <v>95</v>
      </c>
      <c r="N46" s="142" t="s">
        <v>95</v>
      </c>
      <c r="O46" s="142" t="s">
        <v>95</v>
      </c>
      <c r="P46" s="142" t="s">
        <v>95</v>
      </c>
      <c r="Q46" s="142" t="s">
        <v>90</v>
      </c>
      <c r="R46" s="142" t="str">
        <f>VLOOKUP(B46,'1) Report'!$B$11:$AM$138,17,FALSE)</f>
        <v>A</v>
      </c>
      <c r="S46" s="143" t="s">
        <v>89</v>
      </c>
      <c r="T46" s="474"/>
      <c r="U46" s="142" t="s">
        <v>95</v>
      </c>
      <c r="V46" s="142" t="s">
        <v>95</v>
      </c>
      <c r="W46" s="142" t="s">
        <v>95</v>
      </c>
      <c r="X46" s="142" t="s">
        <v>95</v>
      </c>
      <c r="Y46" s="142" t="s">
        <v>90</v>
      </c>
      <c r="Z46" s="142" t="str">
        <f>VLOOKUP(B46,'1) Report'!$B$11:$AM$138,38,FALSE)</f>
        <v>A</v>
      </c>
      <c r="AA46" s="143" t="s">
        <v>89</v>
      </c>
      <c r="AC46" s="636" t="s">
        <v>355</v>
      </c>
    </row>
    <row r="47" spans="2:29" ht="3" customHeight="1" thickBot="1" x14ac:dyDescent="0.4">
      <c r="B47" s="123"/>
      <c r="C47" s="123"/>
      <c r="D47" s="123"/>
      <c r="E47" s="237"/>
      <c r="F47" s="237"/>
      <c r="G47" s="237"/>
      <c r="H47" s="237"/>
      <c r="I47" s="237"/>
      <c r="J47" s="123"/>
      <c r="K47" s="123"/>
      <c r="L47" s="123"/>
      <c r="M47" s="237"/>
      <c r="N47" s="237"/>
      <c r="O47" s="237"/>
      <c r="P47" s="237"/>
      <c r="Q47" s="237"/>
      <c r="R47" s="123"/>
      <c r="S47" s="123"/>
      <c r="T47" s="123"/>
      <c r="U47" s="237"/>
      <c r="V47" s="237"/>
      <c r="W47" s="237"/>
      <c r="X47" s="237"/>
      <c r="Y47" s="237"/>
      <c r="Z47" s="123"/>
      <c r="AA47" s="123"/>
    </row>
    <row r="48" spans="2:29" ht="16.5" customHeight="1" thickBot="1" x14ac:dyDescent="0.4">
      <c r="B48" s="810" t="s">
        <v>195</v>
      </c>
      <c r="C48" s="811"/>
      <c r="D48" s="811"/>
      <c r="E48" s="811"/>
      <c r="F48" s="811"/>
      <c r="G48" s="811"/>
      <c r="H48" s="811"/>
      <c r="I48" s="811"/>
      <c r="J48" s="811"/>
      <c r="K48" s="811"/>
      <c r="L48" s="811"/>
      <c r="M48" s="811"/>
      <c r="N48" s="811"/>
      <c r="O48" s="811"/>
      <c r="P48" s="811"/>
      <c r="Q48" s="811"/>
      <c r="R48" s="811"/>
      <c r="S48" s="811"/>
      <c r="T48" s="811"/>
      <c r="U48" s="811"/>
      <c r="V48" s="811"/>
      <c r="W48" s="811"/>
      <c r="X48" s="811"/>
      <c r="Y48" s="811"/>
      <c r="Z48" s="811"/>
      <c r="AA48" s="812"/>
      <c r="AC48" s="91" t="s">
        <v>356</v>
      </c>
    </row>
    <row r="49" spans="2:29" ht="3" customHeight="1" x14ac:dyDescent="0.35">
      <c r="B49" s="123"/>
      <c r="C49" s="123"/>
      <c r="D49" s="123"/>
      <c r="E49" s="123"/>
      <c r="F49" s="123"/>
      <c r="G49" s="123"/>
      <c r="H49" s="123"/>
      <c r="I49" s="123"/>
      <c r="J49" s="123"/>
      <c r="K49" s="123"/>
      <c r="L49" s="123"/>
      <c r="M49" s="123"/>
      <c r="N49" s="123"/>
      <c r="O49" s="123"/>
      <c r="P49" s="123"/>
      <c r="Q49" s="123"/>
      <c r="R49" s="123"/>
      <c r="S49" s="123"/>
      <c r="T49" s="123"/>
      <c r="U49" s="123"/>
      <c r="V49" s="123"/>
      <c r="W49" s="123"/>
      <c r="X49" s="123"/>
      <c r="Y49" s="123"/>
      <c r="Z49" s="123"/>
      <c r="AA49" s="123"/>
    </row>
    <row r="50" spans="2:29" ht="16.5" customHeight="1" x14ac:dyDescent="0.35">
      <c r="B50" s="138" t="s">
        <v>170</v>
      </c>
      <c r="C50" s="148" t="s">
        <v>165</v>
      </c>
      <c r="D50" s="151"/>
      <c r="E50" s="141" t="s">
        <v>88</v>
      </c>
      <c r="F50" s="141" t="s">
        <v>88</v>
      </c>
      <c r="G50" s="141" t="s">
        <v>88</v>
      </c>
      <c r="H50" s="142" t="s">
        <v>88</v>
      </c>
      <c r="I50" s="142" t="s">
        <v>88</v>
      </c>
      <c r="J50" s="142" t="str">
        <f>VLOOKUP(B50,'1) Report'!$B$17:$AM$138,5,FALSE)</f>
        <v>R</v>
      </c>
      <c r="K50" s="143" t="s">
        <v>89</v>
      </c>
      <c r="L50" s="145"/>
      <c r="M50" s="141" t="s">
        <v>88</v>
      </c>
      <c r="N50" s="141" t="s">
        <v>88</v>
      </c>
      <c r="O50" s="141" t="s">
        <v>88</v>
      </c>
      <c r="P50" s="141" t="s">
        <v>88</v>
      </c>
      <c r="Q50" s="142" t="s">
        <v>88</v>
      </c>
      <c r="R50" s="142" t="str">
        <f>VLOOKUP(B50,'1) Report'!$B$11:$AM$138,17,FALSE)</f>
        <v>R</v>
      </c>
      <c r="S50" s="143" t="s">
        <v>89</v>
      </c>
      <c r="T50" s="13"/>
      <c r="U50" s="144" t="s">
        <v>91</v>
      </c>
      <c r="V50" s="144" t="s">
        <v>91</v>
      </c>
      <c r="W50" s="142" t="s">
        <v>91</v>
      </c>
      <c r="X50" s="142" t="s">
        <v>90</v>
      </c>
      <c r="Y50" s="142" t="s">
        <v>90</v>
      </c>
      <c r="Z50" s="142" t="str">
        <f>VLOOKUP(B50,'1) Report'!$B$11:$AM$138,38,FALSE)</f>
        <v>A</v>
      </c>
      <c r="AA50" s="143" t="s">
        <v>89</v>
      </c>
      <c r="AC50" s="91" t="s">
        <v>355</v>
      </c>
    </row>
    <row r="51" spans="2:29" ht="16.5" customHeight="1" x14ac:dyDescent="0.35">
      <c r="B51" s="138" t="s">
        <v>107</v>
      </c>
      <c r="C51" s="139" t="s">
        <v>166</v>
      </c>
      <c r="D51" s="151"/>
      <c r="E51" s="141" t="s">
        <v>90</v>
      </c>
      <c r="F51" s="141" t="s">
        <v>90</v>
      </c>
      <c r="G51" s="141" t="s">
        <v>90</v>
      </c>
      <c r="H51" s="142" t="s">
        <v>90</v>
      </c>
      <c r="I51" s="142" t="s">
        <v>90</v>
      </c>
      <c r="J51" s="142" t="str">
        <f>VLOOKUP(B51,'1) Report'!$B$17:$AM$138,5,FALSE)</f>
        <v>A</v>
      </c>
      <c r="K51" s="143" t="s">
        <v>89</v>
      </c>
      <c r="L51" s="145"/>
      <c r="M51" s="141" t="s">
        <v>88</v>
      </c>
      <c r="N51" s="141" t="s">
        <v>88</v>
      </c>
      <c r="O51" s="141" t="s">
        <v>88</v>
      </c>
      <c r="P51" s="141" t="s">
        <v>88</v>
      </c>
      <c r="Q51" s="142" t="s">
        <v>88</v>
      </c>
      <c r="R51" s="142" t="str">
        <f>VLOOKUP(B51,'1) Report'!$B$11:$AM$138,17,FALSE)</f>
        <v>R</v>
      </c>
      <c r="S51" s="143" t="s">
        <v>89</v>
      </c>
      <c r="T51" s="13"/>
      <c r="U51" s="144" t="s">
        <v>88</v>
      </c>
      <c r="V51" s="144" t="s">
        <v>88</v>
      </c>
      <c r="W51" s="142" t="s">
        <v>88</v>
      </c>
      <c r="X51" s="142" t="s">
        <v>90</v>
      </c>
      <c r="Y51" s="142" t="s">
        <v>90</v>
      </c>
      <c r="Z51" s="142" t="str">
        <f>VLOOKUP(B51,'1) Report'!$B$11:$AM$138,38,FALSE)</f>
        <v>A</v>
      </c>
      <c r="AA51" s="143" t="s">
        <v>89</v>
      </c>
      <c r="AC51" s="264" t="s">
        <v>354</v>
      </c>
    </row>
    <row r="52" spans="2:29" ht="16.5" customHeight="1" x14ac:dyDescent="0.35">
      <c r="B52" s="138" t="s">
        <v>108</v>
      </c>
      <c r="C52" s="148" t="s">
        <v>13</v>
      </c>
      <c r="D52" s="151"/>
      <c r="E52" s="141" t="s">
        <v>90</v>
      </c>
      <c r="F52" s="141" t="s">
        <v>90</v>
      </c>
      <c r="G52" s="141" t="s">
        <v>90</v>
      </c>
      <c r="H52" s="142" t="s">
        <v>90</v>
      </c>
      <c r="I52" s="142" t="s">
        <v>90</v>
      </c>
      <c r="J52" s="142" t="str">
        <f>VLOOKUP(B52,'1) Report'!$B$17:$AM$138,5,FALSE)</f>
        <v>A</v>
      </c>
      <c r="K52" s="143" t="s">
        <v>89</v>
      </c>
      <c r="L52" s="145"/>
      <c r="M52" s="141" t="s">
        <v>88</v>
      </c>
      <c r="N52" s="141" t="s">
        <v>88</v>
      </c>
      <c r="O52" s="141" t="s">
        <v>88</v>
      </c>
      <c r="P52" s="141" t="s">
        <v>88</v>
      </c>
      <c r="Q52" s="142" t="s">
        <v>88</v>
      </c>
      <c r="R52" s="142" t="str">
        <f>VLOOKUP(B52,'1) Report'!$B$11:$AM$138,17,FALSE)</f>
        <v>R</v>
      </c>
      <c r="S52" s="143" t="s">
        <v>89</v>
      </c>
      <c r="T52" s="13"/>
      <c r="U52" s="144" t="s">
        <v>91</v>
      </c>
      <c r="V52" s="144" t="s">
        <v>91</v>
      </c>
      <c r="W52" s="142" t="s">
        <v>91</v>
      </c>
      <c r="X52" s="142" t="s">
        <v>91</v>
      </c>
      <c r="Y52" s="142" t="s">
        <v>91</v>
      </c>
      <c r="Z52" s="142" t="str">
        <f>VLOOKUP(B52,'1) Report'!$B$11:$AM$138,38,FALSE)</f>
        <v>G</v>
      </c>
      <c r="AA52" s="143" t="s">
        <v>89</v>
      </c>
      <c r="AC52" s="264" t="s">
        <v>354</v>
      </c>
    </row>
    <row r="53" spans="2:29" s="206" customFormat="1" ht="16.5" customHeight="1" x14ac:dyDescent="0.35">
      <c r="B53" s="138" t="s">
        <v>290</v>
      </c>
      <c r="C53" s="148" t="s">
        <v>295</v>
      </c>
      <c r="D53" s="81"/>
      <c r="E53" s="141" t="s">
        <v>91</v>
      </c>
      <c r="F53" s="141" t="s">
        <v>91</v>
      </c>
      <c r="G53" s="141" t="s">
        <v>91</v>
      </c>
      <c r="H53" s="142" t="s">
        <v>91</v>
      </c>
      <c r="I53" s="142" t="s">
        <v>91</v>
      </c>
      <c r="J53" s="142" t="str">
        <f>VLOOKUP(B53,'1) Report'!$B$17:$AM$138,5,FALSE)</f>
        <v>G</v>
      </c>
      <c r="K53" s="143" t="s">
        <v>89</v>
      </c>
      <c r="L53" s="208"/>
      <c r="M53" s="141" t="s">
        <v>88</v>
      </c>
      <c r="N53" s="141" t="s">
        <v>88</v>
      </c>
      <c r="O53" s="141" t="s">
        <v>88</v>
      </c>
      <c r="P53" s="141" t="s">
        <v>91</v>
      </c>
      <c r="Q53" s="142" t="s">
        <v>91</v>
      </c>
      <c r="R53" s="142" t="str">
        <f>VLOOKUP(B53,'1) Report'!$B$11:$AM$138,17,FALSE)</f>
        <v>G</v>
      </c>
      <c r="S53" s="143" t="s">
        <v>89</v>
      </c>
      <c r="T53" s="13"/>
      <c r="U53" s="141" t="s">
        <v>90</v>
      </c>
      <c r="V53" s="141" t="s">
        <v>90</v>
      </c>
      <c r="W53" s="142" t="s">
        <v>90</v>
      </c>
      <c r="X53" s="142" t="s">
        <v>91</v>
      </c>
      <c r="Y53" s="142" t="s">
        <v>91</v>
      </c>
      <c r="Z53" s="142" t="str">
        <f>VLOOKUP(B53,'1) Report'!$B$11:$AM$138,38,FALSE)</f>
        <v>G</v>
      </c>
      <c r="AA53" s="143" t="s">
        <v>89</v>
      </c>
      <c r="AC53" s="206" t="s">
        <v>354</v>
      </c>
    </row>
    <row r="54" spans="2:29" s="206" customFormat="1" ht="3" customHeight="1" thickBot="1" x14ac:dyDescent="0.4">
      <c r="B54" s="205"/>
      <c r="C54" s="205"/>
      <c r="D54" s="205"/>
      <c r="E54" s="237"/>
      <c r="F54" s="237"/>
      <c r="G54" s="237"/>
      <c r="H54" s="237"/>
      <c r="I54" s="237"/>
      <c r="J54" s="205"/>
      <c r="K54" s="205"/>
      <c r="L54" s="205"/>
      <c r="M54" s="237"/>
      <c r="N54" s="237"/>
      <c r="O54" s="237"/>
      <c r="P54" s="237"/>
      <c r="Q54" s="237"/>
      <c r="R54" s="205"/>
      <c r="S54" s="205"/>
      <c r="T54" s="205"/>
      <c r="U54" s="205"/>
      <c r="V54" s="205"/>
      <c r="W54" s="205"/>
      <c r="X54" s="205"/>
      <c r="Y54" s="205"/>
      <c r="Z54" s="205"/>
      <c r="AA54" s="205"/>
    </row>
    <row r="55" spans="2:29" s="206" customFormat="1" ht="16.5" customHeight="1" thickBot="1" x14ac:dyDescent="0.4">
      <c r="B55" s="810" t="s">
        <v>307</v>
      </c>
      <c r="C55" s="811"/>
      <c r="D55" s="811"/>
      <c r="E55" s="811"/>
      <c r="F55" s="811"/>
      <c r="G55" s="811"/>
      <c r="H55" s="811"/>
      <c r="I55" s="811"/>
      <c r="J55" s="811"/>
      <c r="K55" s="811"/>
      <c r="L55" s="811"/>
      <c r="M55" s="811"/>
      <c r="N55" s="811"/>
      <c r="O55" s="811"/>
      <c r="P55" s="811"/>
      <c r="Q55" s="811"/>
      <c r="R55" s="811"/>
      <c r="S55" s="811"/>
      <c r="T55" s="811"/>
      <c r="U55" s="811"/>
      <c r="V55" s="811"/>
      <c r="W55" s="811"/>
      <c r="X55" s="811"/>
      <c r="Y55" s="811"/>
      <c r="Z55" s="811"/>
      <c r="AA55" s="812"/>
      <c r="AC55" s="206" t="s">
        <v>356</v>
      </c>
    </row>
    <row r="56" spans="2:29" s="206" customFormat="1" ht="3" customHeight="1" x14ac:dyDescent="0.35">
      <c r="B56" s="205"/>
      <c r="C56" s="205"/>
      <c r="D56" s="205"/>
      <c r="E56" s="205"/>
      <c r="F56" s="205"/>
      <c r="G56" s="205"/>
      <c r="H56" s="205"/>
      <c r="I56" s="205"/>
      <c r="J56" s="205"/>
      <c r="K56" s="205"/>
      <c r="L56" s="205"/>
      <c r="M56" s="205"/>
      <c r="N56" s="205"/>
      <c r="O56" s="205"/>
      <c r="P56" s="205"/>
      <c r="Q56" s="205"/>
      <c r="R56" s="205"/>
      <c r="S56" s="205"/>
      <c r="T56" s="205"/>
      <c r="U56" s="205"/>
      <c r="V56" s="205"/>
      <c r="W56" s="205"/>
      <c r="X56" s="205"/>
      <c r="Y56" s="205"/>
      <c r="Z56" s="205"/>
      <c r="AA56" s="205"/>
    </row>
    <row r="57" spans="2:29" s="267" customFormat="1" ht="16.5" customHeight="1" x14ac:dyDescent="0.35">
      <c r="B57" s="138" t="s">
        <v>303</v>
      </c>
      <c r="C57" s="139" t="s">
        <v>306</v>
      </c>
      <c r="D57" s="81"/>
      <c r="E57" s="142" t="s">
        <v>88</v>
      </c>
      <c r="F57" s="142" t="s">
        <v>88</v>
      </c>
      <c r="G57" s="142" t="s">
        <v>88</v>
      </c>
      <c r="H57" s="142" t="s">
        <v>88</v>
      </c>
      <c r="I57" s="142" t="s">
        <v>88</v>
      </c>
      <c r="J57" s="142" t="s">
        <v>88</v>
      </c>
      <c r="K57" s="143" t="s">
        <v>89</v>
      </c>
      <c r="L57" s="208"/>
      <c r="M57" s="142" t="s">
        <v>91</v>
      </c>
      <c r="N57" s="142" t="s">
        <v>91</v>
      </c>
      <c r="O57" s="142" t="s">
        <v>91</v>
      </c>
      <c r="P57" s="142" t="s">
        <v>91</v>
      </c>
      <c r="Q57" s="142" t="s">
        <v>91</v>
      </c>
      <c r="R57" s="142" t="s">
        <v>91</v>
      </c>
      <c r="S57" s="143" t="s">
        <v>89</v>
      </c>
      <c r="T57" s="238"/>
      <c r="U57" s="142" t="s">
        <v>91</v>
      </c>
      <c r="V57" s="142" t="s">
        <v>91</v>
      </c>
      <c r="W57" s="142" t="s">
        <v>91</v>
      </c>
      <c r="X57" s="142" t="s">
        <v>91</v>
      </c>
      <c r="Y57" s="142" t="s">
        <v>91</v>
      </c>
      <c r="Z57" s="142" t="str">
        <f>VLOOKUP(B57,'1) Report'!$B$11:$AM$138,38,FALSE)</f>
        <v>G</v>
      </c>
      <c r="AA57" s="143" t="s">
        <v>89</v>
      </c>
      <c r="AC57" s="267" t="s">
        <v>355</v>
      </c>
    </row>
    <row r="58" spans="2:29" s="206" customFormat="1" ht="3" customHeight="1" thickBot="1" x14ac:dyDescent="0.4">
      <c r="B58" s="205"/>
      <c r="C58" s="205"/>
      <c r="D58" s="205"/>
      <c r="E58" s="237"/>
      <c r="F58" s="237"/>
      <c r="G58" s="237"/>
      <c r="H58" s="237"/>
      <c r="I58" s="237"/>
      <c r="J58" s="205"/>
      <c r="K58" s="205"/>
      <c r="L58" s="205"/>
      <c r="M58" s="205"/>
      <c r="N58" s="205"/>
      <c r="O58" s="205"/>
      <c r="P58" s="205"/>
      <c r="Q58" s="205"/>
      <c r="R58" s="205"/>
      <c r="S58" s="205"/>
      <c r="T58" s="205"/>
      <c r="U58" s="205"/>
      <c r="V58" s="205"/>
      <c r="W58" s="205"/>
      <c r="X58" s="205"/>
      <c r="Y58" s="205"/>
      <c r="Z58" s="205"/>
      <c r="AA58" s="205"/>
    </row>
    <row r="59" spans="2:29" s="206" customFormat="1" ht="16.5" customHeight="1" thickBot="1" x14ac:dyDescent="0.4">
      <c r="B59" s="810" t="s">
        <v>308</v>
      </c>
      <c r="C59" s="811"/>
      <c r="D59" s="811"/>
      <c r="E59" s="811"/>
      <c r="F59" s="811"/>
      <c r="G59" s="811"/>
      <c r="H59" s="811"/>
      <c r="I59" s="811"/>
      <c r="J59" s="811"/>
      <c r="K59" s="811"/>
      <c r="L59" s="811"/>
      <c r="M59" s="811"/>
      <c r="N59" s="811"/>
      <c r="O59" s="811"/>
      <c r="P59" s="811"/>
      <c r="Q59" s="811"/>
      <c r="R59" s="811"/>
      <c r="S59" s="811"/>
      <c r="T59" s="811"/>
      <c r="U59" s="811"/>
      <c r="V59" s="811"/>
      <c r="W59" s="811"/>
      <c r="X59" s="811"/>
      <c r="Y59" s="811"/>
      <c r="Z59" s="811"/>
      <c r="AA59" s="812"/>
      <c r="AC59" s="206" t="s">
        <v>356</v>
      </c>
    </row>
    <row r="60" spans="2:29" s="206" customFormat="1" ht="3" customHeight="1" x14ac:dyDescent="0.35">
      <c r="B60" s="205"/>
      <c r="C60" s="205"/>
      <c r="D60" s="205"/>
      <c r="E60" s="205"/>
      <c r="F60" s="205"/>
      <c r="G60" s="205"/>
      <c r="H60" s="205"/>
      <c r="I60" s="205"/>
      <c r="J60" s="205"/>
      <c r="K60" s="205"/>
      <c r="L60" s="205"/>
      <c r="M60" s="205"/>
      <c r="N60" s="205"/>
      <c r="O60" s="205"/>
      <c r="P60" s="205"/>
      <c r="Q60" s="205"/>
      <c r="R60" s="205"/>
      <c r="S60" s="205"/>
      <c r="T60" s="205"/>
      <c r="U60" s="205"/>
      <c r="V60" s="205"/>
      <c r="W60" s="205"/>
      <c r="X60" s="205"/>
      <c r="Y60" s="205"/>
      <c r="Z60" s="205"/>
      <c r="AA60" s="205"/>
    </row>
    <row r="61" spans="2:29" s="206" customFormat="1" ht="16.5" customHeight="1" x14ac:dyDescent="0.35">
      <c r="B61" s="138" t="s">
        <v>164</v>
      </c>
      <c r="C61" s="139" t="s">
        <v>299</v>
      </c>
      <c r="D61" s="81"/>
      <c r="E61" s="142" t="s">
        <v>91</v>
      </c>
      <c r="F61" s="142" t="s">
        <v>91</v>
      </c>
      <c r="G61" s="142" t="s">
        <v>91</v>
      </c>
      <c r="H61" s="142" t="s">
        <v>91</v>
      </c>
      <c r="I61" s="142" t="s">
        <v>91</v>
      </c>
      <c r="J61" s="142" t="str">
        <f>VLOOKUP(B61,'1) Report'!$B$11:$AM$138,5,FALSE)</f>
        <v>G</v>
      </c>
      <c r="K61" s="143" t="s">
        <v>89</v>
      </c>
      <c r="L61" s="208"/>
      <c r="M61" s="142" t="s">
        <v>95</v>
      </c>
      <c r="N61" s="142" t="s">
        <v>95</v>
      </c>
      <c r="O61" s="142" t="s">
        <v>95</v>
      </c>
      <c r="P61" s="142" t="s">
        <v>95</v>
      </c>
      <c r="Q61" s="142" t="s">
        <v>95</v>
      </c>
      <c r="R61" s="142" t="str">
        <f>VLOOKUP(B61,'1) Report'!$B$11:$AM$138,17,FALSE)</f>
        <v>N/A</v>
      </c>
      <c r="S61" s="143" t="s">
        <v>89</v>
      </c>
      <c r="T61" s="13"/>
      <c r="U61" s="142" t="s">
        <v>95</v>
      </c>
      <c r="V61" s="142" t="s">
        <v>95</v>
      </c>
      <c r="W61" s="142" t="s">
        <v>95</v>
      </c>
      <c r="X61" s="142" t="s">
        <v>95</v>
      </c>
      <c r="Y61" s="142" t="s">
        <v>95</v>
      </c>
      <c r="Z61" s="142" t="str">
        <f>VLOOKUP(B61,'1) Report'!$B$11:$AM$138,38,FALSE)</f>
        <v>N/A</v>
      </c>
      <c r="AA61" s="143" t="s">
        <v>89</v>
      </c>
      <c r="AC61" s="264" t="s">
        <v>354</v>
      </c>
    </row>
    <row r="72" spans="37:37" ht="15" hidden="1" customHeight="1" x14ac:dyDescent="0.35"/>
    <row r="73" spans="37:37" ht="15" hidden="1" customHeight="1" x14ac:dyDescent="0.35"/>
    <row r="74" spans="37:37" ht="15" hidden="1" customHeight="1" x14ac:dyDescent="0.35"/>
    <row r="75" spans="37:37" ht="15" hidden="1" customHeight="1" x14ac:dyDescent="0.35"/>
    <row r="76" spans="37:37" ht="15" hidden="1" customHeight="1" x14ac:dyDescent="0.35"/>
    <row r="77" spans="37:37" ht="15" hidden="1" customHeight="1" x14ac:dyDescent="0.35"/>
    <row r="78" spans="37:37" x14ac:dyDescent="0.35">
      <c r="AK78" s="598"/>
    </row>
    <row r="81" ht="15" customHeight="1" x14ac:dyDescent="0.35"/>
    <row r="82" ht="15" customHeight="1" x14ac:dyDescent="0.35"/>
    <row r="83" ht="15" customHeight="1" x14ac:dyDescent="0.35"/>
    <row r="84" ht="15" customHeight="1" x14ac:dyDescent="0.35"/>
    <row r="85" ht="15" customHeight="1" x14ac:dyDescent="0.35"/>
    <row r="86" ht="15" customHeight="1" x14ac:dyDescent="0.35"/>
    <row r="87" ht="15" customHeight="1" x14ac:dyDescent="0.35"/>
    <row r="88" ht="15" customHeight="1" x14ac:dyDescent="0.35"/>
    <row r="89" ht="15" customHeight="1" x14ac:dyDescent="0.35"/>
    <row r="90" ht="15" customHeight="1" x14ac:dyDescent="0.35"/>
    <row r="91" ht="15" customHeight="1" x14ac:dyDescent="0.35"/>
    <row r="92" ht="15" customHeight="1" x14ac:dyDescent="0.35"/>
    <row r="93" ht="15" customHeight="1" x14ac:dyDescent="0.35"/>
    <row r="94" ht="15" customHeight="1" x14ac:dyDescent="0.35"/>
    <row r="95" ht="15" customHeight="1" x14ac:dyDescent="0.35"/>
    <row r="96" ht="15" customHeight="1" x14ac:dyDescent="0.35"/>
    <row r="97" ht="15" customHeight="1" x14ac:dyDescent="0.35"/>
    <row r="98" ht="15" customHeight="1" x14ac:dyDescent="0.35"/>
  </sheetData>
  <sheetProtection algorithmName="SHA-512" hashValue="qEQQt6V/LsVSktUPmd/uN1K/6ZBRoVo6479nwikrwHNdhh90YwzXmnHj+MgK8FaoOKc5wZxWKWldU5As11mC2A==" saltValue="ZNOKWSeBP+X2O6EWSswDRg==" spinCount="100000" sheet="1" objects="1" scenarios="1"/>
  <autoFilter ref="AC4:AC61" xr:uid="{25B7759B-556A-4A60-AACD-FA35D11C4D3A}"/>
  <dataConsolidate/>
  <customSheetViews>
    <customSheetView guid="{7E571F1D-D438-4605-90D6-3F831F76D652}" scale="55" showGridLines="0" fitToPage="1" showAutoFilter="1" hiddenRows="1" hiddenColumns="1" topLeftCell="A29">
      <selection activeCell="AE52" sqref="AE52"/>
      <pageMargins left="0.70866141732283461" right="0.19685039370078741" top="0.74803149606299213" bottom="0.74803149606299213" header="0.31496062992125984" footer="0.31496062992125984"/>
      <pageSetup paperSize="8" scale="49" orientation="landscape" r:id="rId1"/>
      <autoFilter ref="AC4:AC61" xr:uid="{BDA7B0F8-4772-4A7F-A726-66D3AC3A6A33}"/>
    </customSheetView>
    <customSheetView guid="{466708C2-41CE-4656-AB81-E1E49DF5945D}" scale="70" showGridLines="0" fitToPage="1" showAutoFilter="1" hiddenRows="1" hiddenColumns="1">
      <selection activeCell="Z43" sqref="Z43"/>
      <pageMargins left="0.70866141732283461" right="0.19685039370078741" top="0.74803149606299213" bottom="0.74803149606299213" header="0.31496062992125984" footer="0.31496062992125984"/>
      <pageSetup paperSize="8" scale="49" orientation="landscape" r:id="rId2"/>
      <autoFilter ref="AC4:AC61" xr:uid="{8972720D-70CD-4CCD-BD75-41CFEA7AB063}"/>
    </customSheetView>
    <customSheetView guid="{B84DA703-8C5B-4100-91A4-8807E303D379}" scale="70" showGridLines="0" fitToPage="1" showAutoFilter="1" hiddenRows="1" hiddenColumns="1">
      <selection activeCell="U30" sqref="U30"/>
      <pageMargins left="0.70866141732283461" right="0.19685039370078741" top="0.74803149606299213" bottom="0.74803149606299213" header="0.31496062992125984" footer="0.31496062992125984"/>
      <pageSetup paperSize="8" scale="49" orientation="landscape" r:id="rId3"/>
      <autoFilter ref="AC4:AC61" xr:uid="{2A734FDE-F743-4E60-A225-18B7533C0D28}"/>
    </customSheetView>
    <customSheetView guid="{527A2BDE-37CE-4B02-9F2C-CD7E7AC81C63}" scale="70" showGridLines="0" fitToPage="1" showAutoFilter="1" hiddenRows="1" hiddenColumns="1">
      <selection activeCell="U30" sqref="U30"/>
      <pageMargins left="0.70866141732283461" right="0.19685039370078741" top="0.74803149606299213" bottom="0.74803149606299213" header="0.31496062992125984" footer="0.31496062992125984"/>
      <pageSetup paperSize="8" scale="49" orientation="landscape" r:id="rId4"/>
      <autoFilter ref="AC4:AC61" xr:uid="{AEA486AB-F53C-43BA-BFD5-3D70268E7701}"/>
    </customSheetView>
    <customSheetView guid="{BDCD1595-C0B8-4F6C-B01C-3472C895B827}" scale="70" showGridLines="0" fitToPage="1" showAutoFilter="1" hiddenRows="1" hiddenColumns="1">
      <selection activeCell="U30" sqref="U30"/>
      <pageMargins left="0.70866141732283461" right="0.19685039370078741" top="0.74803149606299213" bottom="0.74803149606299213" header="0.31496062992125984" footer="0.31496062992125984"/>
      <pageSetup paperSize="8" scale="49" orientation="landscape" r:id="rId5"/>
      <autoFilter ref="AC4:AC61" xr:uid="{BC62693C-F0DC-4E96-AD27-C965F860BC11}"/>
    </customSheetView>
    <customSheetView guid="{C57A83F1-F5A3-470B-9579-6A222C54F4E8}" scale="70" showGridLines="0" fitToPage="1" showAutoFilter="1" hiddenRows="1" hiddenColumns="1">
      <selection activeCell="U30" sqref="U30"/>
      <pageMargins left="0.70866141732283461" right="0.19685039370078741" top="0.74803149606299213" bottom="0.74803149606299213" header="0.31496062992125984" footer="0.31496062992125984"/>
      <pageSetup paperSize="8" scale="49" orientation="landscape" r:id="rId6"/>
      <autoFilter ref="AC4:AC61" xr:uid="{5B797B3A-74FD-4A81-9A84-F30723151CE3}"/>
    </customSheetView>
    <customSheetView guid="{3827E543-57D2-48C8-B786-7077EA079DD2}" scale="70" showGridLines="0" fitToPage="1" showAutoFilter="1" hiddenRows="1" hiddenColumns="1">
      <selection activeCell="U30" sqref="U30"/>
      <pageMargins left="0.70866141732283461" right="0.19685039370078741" top="0.74803149606299213" bottom="0.74803149606299213" header="0.31496062992125984" footer="0.31496062992125984"/>
      <pageSetup paperSize="8" scale="49" orientation="landscape" r:id="rId7"/>
      <autoFilter ref="AC4:AC61" xr:uid="{1B32CF0F-41B7-4828-887C-772F81CB69A6}"/>
    </customSheetView>
    <customSheetView guid="{F5FA2A23-9E46-4C2F-B1EE-B71787F95C57}" scale="70" showGridLines="0" fitToPage="1" showAutoFilter="1" hiddenRows="1" hiddenColumns="1" topLeftCell="A7">
      <selection activeCell="C31" sqref="C31"/>
      <pageMargins left="0.70866141732283461" right="0.19685039370078741" top="0.74803149606299213" bottom="0.74803149606299213" header="0.31496062992125984" footer="0.31496062992125984"/>
      <pageSetup paperSize="8" scale="49" orientation="landscape" r:id="rId8"/>
      <autoFilter ref="AC4:AC61" xr:uid="{CC09AE10-78B6-4D3B-B07A-578D384051D1}"/>
    </customSheetView>
    <customSheetView guid="{42B0E8B1-ADFA-49AE-A83B-82D384737703}" scale="70" showGridLines="0" fitToPage="1" showAutoFilter="1" hiddenRows="1" hiddenColumns="1" topLeftCell="A7">
      <selection activeCell="C31" sqref="C31"/>
      <pageMargins left="0.70866141732283461" right="0.19685039370078741" top="0.74803149606299213" bottom="0.74803149606299213" header="0.31496062992125984" footer="0.31496062992125984"/>
      <pageSetup paperSize="8" scale="49" orientation="landscape" r:id="rId9"/>
      <autoFilter ref="AC4:AC61" xr:uid="{B4398BED-75C3-42A2-B818-CC9C79791310}"/>
    </customSheetView>
    <customSheetView guid="{602520CD-F98C-43A6-AA0D-88893E9CB6E8}" scale="85" showGridLines="0" fitToPage="1" showAutoFilter="1" hiddenRows="1" hiddenColumns="1">
      <selection activeCell="R24" sqref="R24"/>
      <pageMargins left="0.70866141732283461" right="0.19685039370078741" top="0.74803149606299213" bottom="0.74803149606299213" header="0.31496062992125984" footer="0.31496062992125984"/>
      <pageSetup paperSize="8" scale="49" orientation="landscape" r:id="rId10"/>
      <autoFilter ref="AC4:AC63" xr:uid="{8388FAD9-C56A-4770-AB93-F665D73B01DA}"/>
    </customSheetView>
    <customSheetView guid="{B8317A9A-0FFD-4A18-80F7-203DB2FC8CA5}" scale="55" showGridLines="0" fitToPage="1" showAutoFilter="1" hiddenRows="1" hiddenColumns="1" topLeftCell="A51">
      <selection activeCell="P30" sqref="P30"/>
      <pageMargins left="0.70866141732283461" right="0.19685039370078741" top="0.74803149606299213" bottom="0.74803149606299213" header="0.31496062992125984" footer="0.31496062992125984"/>
      <pageSetup paperSize="8" scale="56" orientation="landscape" r:id="rId11"/>
      <autoFilter ref="BD4:BD62" xr:uid="{03C9F747-0E4B-4566-8A10-CD5E73AB5796}"/>
    </customSheetView>
    <customSheetView guid="{2608BE9B-66AC-4D4C-8EE0-E88C94E88140}" showGridLines="0" fitToPage="1" showAutoFilter="1" hiddenRows="1" hiddenColumns="1" topLeftCell="C1">
      <selection activeCell="BG63" sqref="BG63"/>
      <pageMargins left="0.70866141732283461" right="0.19685039370078741" top="0.74803149606299213" bottom="0.74803149606299213" header="0.31496062992125984" footer="0.31496062992125984"/>
      <pageSetup paperSize="8" scale="56" orientation="landscape" r:id="rId12"/>
      <autoFilter ref="BD4:BD63" xr:uid="{D784EDA5-D1A8-47EF-8198-E95936319047}"/>
    </customSheetView>
    <customSheetView guid="{D850720D-4A1C-48F2-8E1D-8E09B7414A1A}" showGridLines="0" fitToPage="1" showAutoFilter="1" hiddenRows="1" hiddenColumns="1" topLeftCell="C1">
      <selection activeCell="BG63" sqref="BG63"/>
      <pageMargins left="0.70866141732283461" right="0.19685039370078741" top="0.74803149606299213" bottom="0.74803149606299213" header="0.31496062992125984" footer="0.31496062992125984"/>
      <pageSetup paperSize="8" scale="56" orientation="landscape" r:id="rId13"/>
      <autoFilter ref="BD4:BD63" xr:uid="{35D14940-A4DD-4711-9ACD-D24CE99963A3}"/>
    </customSheetView>
    <customSheetView guid="{A8E976B8-D767-4DB4-82BD-ABE90880F33F}" showGridLines="0" fitToPage="1" showAutoFilter="1" hiddenRows="1" hiddenColumns="1" topLeftCell="C1">
      <selection activeCell="BG63" sqref="BG63"/>
      <pageMargins left="0.70866141732283461" right="0.19685039370078741" top="0.74803149606299213" bottom="0.74803149606299213" header="0.31496062992125984" footer="0.31496062992125984"/>
      <pageSetup paperSize="8" scale="56" orientation="landscape" r:id="rId14"/>
      <autoFilter ref="BD4:BD63" xr:uid="{D37AA6F4-1A38-46A1-884C-E269999ADEAC}"/>
    </customSheetView>
    <customSheetView guid="{B95D32C7-1418-4EF6-8936-849885C54A4A}" scale="55" showGridLines="0" fitToPage="1" showAutoFilter="1" hiddenRows="1" hiddenColumns="1">
      <pane xSplit="1" ySplit="5" topLeftCell="B6" activePane="bottomRight" state="frozen"/>
      <selection pane="bottomRight" activeCell="BI13" sqref="BI13"/>
      <pageMargins left="0.70866141732283461" right="0.19685039370078741" top="0.74803149606299213" bottom="0.74803149606299213" header="0.31496062992125984" footer="0.31496062992125984"/>
      <pageSetup paperSize="8" scale="56" orientation="landscape" r:id="rId15"/>
      <autoFilter ref="BD4:BD63" xr:uid="{27747110-177B-428E-AE98-7A59B7559C08}"/>
    </customSheetView>
    <customSheetView guid="{9355C9F4-9C07-4A93-B7F2-69F1D1526716}" scale="55" showGridLines="0" fitToPage="1" showAutoFilter="1" hiddenRows="1" hiddenColumns="1">
      <pane xSplit="1" ySplit="5" topLeftCell="B6" activePane="bottomRight" state="frozen"/>
      <selection pane="bottomRight" activeCell="BI47" sqref="BI47"/>
      <pageMargins left="0.70866141732283461" right="0.19685039370078741" top="0.74803149606299213" bottom="0.74803149606299213" header="0.31496062992125984" footer="0.31496062992125984"/>
      <pageSetup paperSize="8" scale="56" orientation="landscape" r:id="rId16"/>
      <autoFilter ref="BD4:BD63" xr:uid="{F9DD2197-A787-461E-B04D-046C21BCF49E}"/>
    </customSheetView>
    <customSheetView guid="{1ECD6E30-299B-4354-A416-2DAFF33C7022}" scale="55" showGridLines="0" fitToPage="1" showAutoFilter="1" hiddenRows="1" hiddenColumns="1">
      <pane xSplit="1" ySplit="5" topLeftCell="B6" activePane="bottomRight" state="frozen"/>
      <selection pane="bottomRight" activeCell="BJ16" sqref="BJ16"/>
      <pageMargins left="0.70866141732283461" right="0.19685039370078741" top="0.74803149606299213" bottom="0.74803149606299213" header="0.31496062992125984" footer="0.31496062992125984"/>
      <pageSetup paperSize="8" scale="52" orientation="landscape" r:id="rId17"/>
      <autoFilter ref="BD4:BD63" xr:uid="{AE78BF12-A9D0-48C5-B5A8-8FD3BFD964EC}"/>
    </customSheetView>
    <customSheetView guid="{9AF6E233-883D-48B4-95AB-42B37199AB9E}" scale="70" showGridLines="0" fitToPage="1" showAutoFilter="1" hiddenRows="1" hiddenColumns="1">
      <pane xSplit="1" ySplit="5" topLeftCell="B17" activePane="bottomRight" state="frozen"/>
      <selection pane="bottomRight" activeCell="B6" sqref="B6:AA6"/>
      <pageMargins left="0.70866141732283461" right="0.19685039370078741" top="0.74803149606299213" bottom="0.74803149606299213" header="0.31496062992125984" footer="0.31496062992125984"/>
      <pageSetup paperSize="8" scale="65" orientation="landscape" r:id="rId18"/>
      <autoFilter ref="BD4:BD63" xr:uid="{5854FBAF-5A9A-4096-8FF5-14AA682390BD}"/>
    </customSheetView>
    <customSheetView guid="{451730E2-FFE9-4FCE-B8B5-64952C26C672}" showGridLines="0" fitToPage="1" showAutoFilter="1" hiddenRows="1" hiddenColumns="1" topLeftCell="A19">
      <selection activeCell="BJ47" sqref="BJ47"/>
      <pageMargins left="0.70866141732283461" right="0.19685039370078741" top="0.74803149606299213" bottom="0.74803149606299213" header="0.31496062992125984" footer="0.31496062992125984"/>
      <pageSetup paperSize="8" scale="60" orientation="landscape" r:id="rId19"/>
      <autoFilter ref="BD4:BD68" xr:uid="{636C9696-ACE2-488A-99C0-7D8B6FB7BC9F}"/>
    </customSheetView>
    <customSheetView guid="{4EBEE699-7DEF-4A50-9CB7-490835CF0B98}" showGridLines="0" fitToPage="1" showAutoFilter="1" hiddenRows="1" hiddenColumns="1" topLeftCell="A19">
      <selection activeCell="BJ47" sqref="BJ47"/>
      <pageMargins left="0.70866141732283461" right="0.19685039370078741" top="0.74803149606299213" bottom="0.74803149606299213" header="0.31496062992125984" footer="0.31496062992125984"/>
      <pageSetup paperSize="8" scale="60" orientation="landscape" r:id="rId20"/>
      <autoFilter ref="BD4:BD68" xr:uid="{ED8CED64-2682-4895-9753-6ED194BBEFBA}"/>
    </customSheetView>
    <customSheetView guid="{A03C6B09-6B58-4DDE-A3B2-41A27A7049D9}" showGridLines="0" fitToPage="1" showAutoFilter="1" hiddenRows="1" hiddenColumns="1" topLeftCell="A19">
      <selection activeCell="BJ47" sqref="BJ47"/>
      <pageMargins left="0.70866141732283461" right="0.19685039370078741" top="0.74803149606299213" bottom="0.74803149606299213" header="0.31496062992125984" footer="0.31496062992125984"/>
      <pageSetup paperSize="8" scale="60" orientation="landscape" r:id="rId21"/>
      <autoFilter ref="BD4:BD68" xr:uid="{79A71B8D-3615-465C-BE49-87167C50B9DF}"/>
    </customSheetView>
    <customSheetView guid="{3C97F0B0-2F3C-4E03-96E0-0C4FEC2F24AC}" showGridLines="0" fitToPage="1" showAutoFilter="1" hiddenRows="1" hiddenColumns="1" topLeftCell="A8">
      <selection activeCell="AA63" sqref="AA63"/>
      <pageMargins left="0.70866141732283461" right="0.19685039370078741" top="0.74803149606299213" bottom="0.74803149606299213" header="0.31496062992125984" footer="0.31496062992125984"/>
      <pageSetup paperSize="8" scale="60" orientation="landscape" r:id="rId22"/>
      <autoFilter ref="BD4:BD68" xr:uid="{B81D7BC0-BA7F-4990-A36A-43B14700A049}"/>
    </customSheetView>
    <customSheetView guid="{B0A28FD4-D7F6-428C-A7F7-92132DCD74BB}" showGridLines="0" fitToPage="1" showAutoFilter="1" hiddenRows="1" hiddenColumns="1" topLeftCell="A8">
      <selection activeCell="AA63" sqref="AA63"/>
      <pageMargins left="0.70866141732283461" right="0.19685039370078741" top="0.74803149606299213" bottom="0.74803149606299213" header="0.31496062992125984" footer="0.31496062992125984"/>
      <pageSetup paperSize="8" scale="60" orientation="landscape" r:id="rId23"/>
      <autoFilter ref="BD4:BD68" xr:uid="{423BF384-1F7F-4812-838A-E07F58B15CA6}"/>
    </customSheetView>
    <customSheetView guid="{3BB18945-69B5-4B22-8D55-989F8F233459}" showGridLines="0" fitToPage="1" showAutoFilter="1" hiddenRows="1" hiddenColumns="1" topLeftCell="A8">
      <selection activeCell="AA63" sqref="AA63"/>
      <pageMargins left="0.70866141732283461" right="0.19685039370078741" top="0.74803149606299213" bottom="0.74803149606299213" header="0.31496062992125984" footer="0.31496062992125984"/>
      <pageSetup paperSize="8" scale="60" orientation="landscape" r:id="rId24"/>
      <autoFilter ref="BD4:BD68" xr:uid="{968167C6-987C-4287-B494-A5BE205F0C22}"/>
    </customSheetView>
    <customSheetView guid="{D16D941B-FC89-4FEC-A49B-5FA2532584DE}" scale="77" showGridLines="0" fitToPage="1" showAutoFilter="1" hiddenRows="1" hiddenColumns="1" topLeftCell="A17">
      <selection activeCell="BL31" sqref="BL31"/>
      <pageMargins left="0.70866141732283461" right="0.19685039370078741" top="0.74803149606299213" bottom="0.74803149606299213" header="0.31496062992125984" footer="0.31496062992125984"/>
      <pageSetup paperSize="8" scale="60" orientation="landscape" r:id="rId25"/>
      <autoFilter ref="BD4:BD68" xr:uid="{F1B40BC4-F833-4FD2-ADFF-0260EB080F79}"/>
    </customSheetView>
    <customSheetView guid="{C39AE06A-FC0A-4D7D-B287-2FA9CA174191}" scale="55" showGridLines="0" fitToPage="1" showAutoFilter="1" hiddenRows="1" hiddenColumns="1">
      <selection activeCell="BK59" sqref="BK59"/>
      <pageMargins left="0.70866141732283461" right="0.19685039370078741" top="0.74803149606299213" bottom="0.74803149606299213" header="0.31496062992125984" footer="0.31496062992125984"/>
      <pageSetup paperSize="8" scale="60" orientation="landscape" r:id="rId26"/>
      <autoFilter ref="BD4:BD68" xr:uid="{F3B65B1D-8A9A-4426-9FCE-515D4B03C4F2}"/>
    </customSheetView>
    <customSheetView guid="{4E6F9C2D-76F2-4884-BBF6-E02A7BAE11EF}" showGridLines="0" fitToPage="1" showAutoFilter="1" hiddenRows="1" hiddenColumns="1" topLeftCell="A33">
      <selection activeCell="BF85" sqref="BF85"/>
      <pageMargins left="0.70866141732283461" right="0.19685039370078741" top="0.74803149606299213" bottom="0.74803149606299213" header="0.31496062992125984" footer="0.31496062992125984"/>
      <pageSetup paperSize="8" scale="60" orientation="landscape" r:id="rId27"/>
      <autoFilter ref="BD4:BD68" xr:uid="{98AFD492-BE61-4BC1-AE5C-5AA6ED50D9FC}"/>
    </customSheetView>
    <customSheetView guid="{008CCD98-7480-4C51-806A-4B55C801DDC2}" scale="85" showGridLines="0" fitToPage="1" showAutoFilter="1" hiddenRows="1" hiddenColumns="1">
      <selection activeCell="Z31" sqref="Z31"/>
      <pageMargins left="0.70866141732283461" right="0.19685039370078741" top="0.74803149606299213" bottom="0.74803149606299213" header="0.31496062992125984" footer="0.31496062992125984"/>
      <pageSetup paperSize="8" scale="60" orientation="landscape" r:id="rId28"/>
      <autoFilter ref="BD4:BD68" xr:uid="{EB8E71D6-A4A6-48F9-A51F-95EADDBD87C9}"/>
    </customSheetView>
    <customSheetView guid="{D27C51BB-BB54-4F37-8171-98067C39697C}" scale="70" showGridLines="0" fitToPage="1" showAutoFilter="1" hiddenRows="1" hiddenColumns="1" topLeftCell="A53">
      <selection activeCell="J64" sqref="J64"/>
      <pageMargins left="0.7" right="0.7" top="0.75" bottom="0.75" header="0.3" footer="0.3"/>
      <pageSetup paperSize="8" scale="60" orientation="landscape" r:id="rId29"/>
      <autoFilter ref="BD4:BD68" xr:uid="{ECB266F7-D1A6-430A-A971-B77967AF5444}"/>
    </customSheetView>
    <customSheetView guid="{6702457D-A9A8-4F46-8E1C-BC7255F4BA77}" scale="70" showGridLines="0" fitToPage="1" showAutoFilter="1" hiddenRows="1" hiddenColumns="1" topLeftCell="A39">
      <selection activeCell="J64" sqref="J64"/>
      <pageMargins left="0.7" right="0.7" top="0.75" bottom="0.75" header="0.3" footer="0.3"/>
      <pageSetup paperSize="9" scale="52" orientation="landscape" r:id="rId30"/>
      <autoFilter ref="BD4:BD68" xr:uid="{52EA5A19-27A3-4DAA-911F-4AEDBBF233B1}"/>
    </customSheetView>
    <customSheetView guid="{016CEBB2-C827-48F4-95E1-85D8C5129F41}" showGridLines="0" fitToPage="1" showAutoFilter="1" hiddenRows="1" hiddenColumns="1" topLeftCell="B32">
      <selection activeCell="C38" sqref="C38"/>
      <pageMargins left="0.70866141732283461" right="0.19685039370078741" top="0.74803149606299213" bottom="0.74803149606299213" header="0.31496062992125984" footer="0.31496062992125984"/>
      <pageSetup paperSize="8" scale="60" orientation="landscape" r:id="rId31"/>
      <autoFilter ref="BD4:BD68" xr:uid="{E4E5D362-EC43-4996-8C2C-327710BCB131}"/>
    </customSheetView>
    <customSheetView guid="{EB96DBE4-2D64-4388-853C-CB52A0CB79BA}" scale="77" showGridLines="0" fitToPage="1" showAutoFilter="1" hiddenRows="1" hiddenColumns="1" topLeftCell="A15">
      <selection activeCell="BL31" sqref="BL31"/>
      <pageMargins left="0.70866141732283461" right="0.19685039370078741" top="0.74803149606299213" bottom="0.74803149606299213" header="0.31496062992125984" footer="0.31496062992125984"/>
      <pageSetup paperSize="8" scale="60" orientation="landscape" r:id="rId32"/>
      <autoFilter ref="BD4:BD68" xr:uid="{B29A5C53-145D-48E5-BC45-C80F4E52FCEB}"/>
    </customSheetView>
    <customSheetView guid="{351EFD38-BF62-4E34-A37F-0EEB3E165043}" scale="77" showGridLines="0" fitToPage="1" showAutoFilter="1" hiddenRows="1" hiddenColumns="1" topLeftCell="A17">
      <selection activeCell="BL31" sqref="BL31"/>
      <pageMargins left="0.70866141732283461" right="0.19685039370078741" top="0.74803149606299213" bottom="0.74803149606299213" header="0.31496062992125984" footer="0.31496062992125984"/>
      <pageSetup paperSize="8" scale="60" orientation="landscape" r:id="rId33"/>
      <autoFilter ref="BD4:BD68" xr:uid="{D4152776-E0E3-4292-A552-1AA3E9D1E4ED}"/>
    </customSheetView>
    <customSheetView guid="{593284E7-E32C-4D6C-8C2F-3DEEF9DEE1DF}" showGridLines="0" fitToPage="1" showAutoFilter="1" hiddenRows="1" hiddenColumns="1" topLeftCell="A8">
      <selection activeCell="AA63" sqref="AA63"/>
      <pageMargins left="0.70866141732283461" right="0.19685039370078741" top="0.74803149606299213" bottom="0.74803149606299213" header="0.31496062992125984" footer="0.31496062992125984"/>
      <pageSetup paperSize="8" scale="60" orientation="landscape" r:id="rId34"/>
      <autoFilter ref="BD4:BD68" xr:uid="{63B3E46F-60E2-4166-9F02-FA21469C560A}"/>
    </customSheetView>
    <customSheetView guid="{E06B4FE8-6127-47B2-A6A5-4FAC9EEB4538}" showGridLines="0" fitToPage="1" showAutoFilter="1" hiddenRows="1" hiddenColumns="1" topLeftCell="A8">
      <selection activeCell="AA63" sqref="AA63"/>
      <pageMargins left="0.70866141732283461" right="0.19685039370078741" top="0.74803149606299213" bottom="0.74803149606299213" header="0.31496062992125984" footer="0.31496062992125984"/>
      <pageSetup paperSize="8" scale="60" orientation="landscape" r:id="rId35"/>
      <autoFilter ref="BD4:BD68" xr:uid="{A13F9D67-ACC9-428F-A7E7-7C915A237EB3}"/>
    </customSheetView>
    <customSheetView guid="{51B3083F-A103-41AB-A137-63549C54B838}" showGridLines="0" fitToPage="1" showAutoFilter="1" hiddenRows="1" hiddenColumns="1" topLeftCell="D1">
      <selection activeCell="BI6" sqref="BI6"/>
      <pageMargins left="0.70866141732283461" right="0.19685039370078741" top="0.74803149606299213" bottom="0.74803149606299213" header="0.31496062992125984" footer="0.31496062992125984"/>
      <pageSetup paperSize="8" scale="60" orientation="landscape" r:id="rId36"/>
      <autoFilter ref="BD4:BD68" xr:uid="{A7B49FC1-CE67-4181-9D00-BAE7C2E62940}"/>
    </customSheetView>
    <customSheetView guid="{8CB67476-3FD4-42E0-ACD6-62ACA9412843}" showGridLines="0" fitToPage="1" showAutoFilter="1" hiddenRows="1" hiddenColumns="1" topLeftCell="A19">
      <selection activeCell="BJ47" sqref="BJ47"/>
      <pageMargins left="0.70866141732283461" right="0.19685039370078741" top="0.74803149606299213" bottom="0.74803149606299213" header="0.31496062992125984" footer="0.31496062992125984"/>
      <pageSetup paperSize="8" scale="60" orientation="landscape" r:id="rId37"/>
      <autoFilter ref="BD4:BD68" xr:uid="{162B28A6-A737-486B-863D-0F0881EAA6B6}"/>
    </customSheetView>
    <customSheetView guid="{151EB58C-4EFD-4330-8D1A-8AACF5F7C679}" showGridLines="0" fitToPage="1" showAutoFilter="1" hiddenRows="1" hiddenColumns="1">
      <selection activeCell="BI71" sqref="BI71"/>
      <pageMargins left="0.70866141732283461" right="0.19685039370078741" top="0.74803149606299213" bottom="0.74803149606299213" header="0.31496062992125984" footer="0.31496062992125984"/>
      <pageSetup paperSize="8" scale="65" orientation="landscape" r:id="rId38"/>
      <autoFilter ref="BD4:BD63" xr:uid="{1C712CF0-706C-4989-B8E7-24EB5E056607}"/>
    </customSheetView>
    <customSheetView guid="{8263C9D2-452D-46FA-AFA0-452B42DC0298}" showGridLines="0" fitToPage="1" showAutoFilter="1" hiddenRows="1" hiddenColumns="1">
      <selection activeCell="BI71" sqref="BI71"/>
      <pageMargins left="0.70866141732283461" right="0.19685039370078741" top="0.74803149606299213" bottom="0.74803149606299213" header="0.31496062992125984" footer="0.31496062992125984"/>
      <pageSetup paperSize="8" scale="65" orientation="landscape" r:id="rId39"/>
      <autoFilter ref="BD4:BD63" xr:uid="{90DCDEC3-5717-48F4-A9D2-70E9A9800AAA}"/>
    </customSheetView>
    <customSheetView guid="{DF265C7B-1EEB-47EB-982A-6938E81F7AC2}" scale="70" showGridLines="0" fitToPage="1" showAutoFilter="1" hiddenRows="1" hiddenColumns="1">
      <pane xSplit="1" ySplit="5" topLeftCell="B17" activePane="bottomRight" state="frozen"/>
      <selection pane="bottomRight" activeCell="B6" sqref="B6:AA6"/>
      <pageMargins left="0.70866141732283461" right="0.19685039370078741" top="0.74803149606299213" bottom="0.74803149606299213" header="0.31496062992125984" footer="0.31496062992125984"/>
      <pageSetup paperSize="8" scale="65" orientation="landscape" r:id="rId40"/>
      <autoFilter ref="BD4:BD63" xr:uid="{7DD9585A-1B45-4D97-B1F6-F1F7B1EFF46D}"/>
    </customSheetView>
    <customSheetView guid="{9F91FBC4-6A13-42C2-A2D9-42A2AC814E28}" scale="55" showGridLines="0" fitToPage="1" showAutoFilter="1" hiddenRows="1" hiddenColumns="1">
      <pane xSplit="1" ySplit="5" topLeftCell="B6" activePane="bottomRight" state="frozen"/>
      <selection pane="bottomRight" activeCell="BJ16" sqref="BJ16"/>
      <pageMargins left="0.70866141732283461" right="0.19685039370078741" top="0.74803149606299213" bottom="0.74803149606299213" header="0.31496062992125984" footer="0.31496062992125984"/>
      <pageSetup paperSize="8" scale="52" orientation="landscape" r:id="rId41"/>
      <autoFilter ref="BD4:BD63" xr:uid="{7EA909F6-9FE6-4C5D-B229-1ABEE482F8E6}"/>
    </customSheetView>
    <customSheetView guid="{F4A6298C-1A75-4FA9-A6A4-2BE13CCFE545}" scale="55" showGridLines="0" fitToPage="1" showAutoFilter="1" hiddenRows="1" hiddenColumns="1">
      <pane xSplit="1" ySplit="5" topLeftCell="B6" activePane="bottomRight" state="frozen"/>
      <selection pane="bottomRight" activeCell="BJ16" sqref="BJ16"/>
      <pageMargins left="0.70866141732283461" right="0.19685039370078741" top="0.74803149606299213" bottom="0.74803149606299213" header="0.31496062992125984" footer="0.31496062992125984"/>
      <pageSetup paperSize="8" scale="52" orientation="landscape" r:id="rId42"/>
      <autoFilter ref="BD4:BD63" xr:uid="{5C6C659B-CB2F-40E8-B46D-61300522E21A}"/>
    </customSheetView>
    <customSheetView guid="{29AC9BE3-332A-4738-949C-1F8C0D32BAEE}" scale="55" showGridLines="0" fitToPage="1" showAutoFilter="1" hiddenRows="1" hiddenColumns="1">
      <pane xSplit="1" ySplit="5" topLeftCell="B6" activePane="bottomRight" state="frozen"/>
      <selection pane="bottomRight" activeCell="BI47" sqref="BI47"/>
      <pageMargins left="0.70866141732283461" right="0.19685039370078741" top="0.74803149606299213" bottom="0.74803149606299213" header="0.31496062992125984" footer="0.31496062992125984"/>
      <pageSetup paperSize="8" scale="56" orientation="landscape" r:id="rId43"/>
      <autoFilter ref="BD4:BD63" xr:uid="{8C7B219D-C822-428E-9F34-AD0F298E1079}"/>
    </customSheetView>
    <customSheetView guid="{75EE3B92-AF4D-4E93-A70E-6ADE60CC674F}" scale="55" showGridLines="0" fitToPage="1" showAutoFilter="1" hiddenRows="1" hiddenColumns="1">
      <pane xSplit="0.66666666666666663" ySplit="4" topLeftCell="B6" activePane="bottomRight" state="frozen"/>
      <selection pane="bottomRight" activeCell="BI47" sqref="BI47"/>
      <pageMargins left="0.70866141732283461" right="0.19685039370078741" top="0.74803149606299213" bottom="0.74803149606299213" header="0.31496062992125984" footer="0.31496062992125984"/>
      <pageSetup paperSize="8" scale="56" orientation="landscape" r:id="rId44"/>
      <autoFilter ref="BD4:BD63" xr:uid="{F9E458AC-CEE0-4325-9BB0-75D3835D6C16}"/>
    </customSheetView>
    <customSheetView guid="{CA7E8063-5145-49E1-8E00-2E1025705A81}" scale="55" showGridLines="0" fitToPage="1" showAutoFilter="1" hiddenRows="1" hiddenColumns="1">
      <pane xSplit="1" ySplit="5" topLeftCell="B6" activePane="bottomRight" state="frozen"/>
      <selection pane="bottomRight" activeCell="BI47" sqref="BI47"/>
      <pageMargins left="0.70866141732283461" right="0.19685039370078741" top="0.74803149606299213" bottom="0.74803149606299213" header="0.31496062992125984" footer="0.31496062992125984"/>
      <pageSetup paperSize="8" scale="56" orientation="landscape" r:id="rId45"/>
      <autoFilter ref="BD4:BD63" xr:uid="{5FD8EAE3-73BD-45C8-8B32-A62372AFCF47}"/>
    </customSheetView>
    <customSheetView guid="{51DFD3D6-BC25-47B4-B28F-D640534DB3A9}" showGridLines="0" fitToPage="1" showAutoFilter="1" hiddenRows="1" hiddenColumns="1">
      <selection activeCell="U63" sqref="U63:Y63"/>
      <pageMargins left="0.70866141732283461" right="0.19685039370078741" top="0.74803149606299213" bottom="0.74803149606299213" header="0.31496062992125984" footer="0.31496062992125984"/>
      <pageSetup paperSize="8" scale="56" orientation="landscape" r:id="rId46"/>
      <autoFilter ref="BD4:BD63" xr:uid="{529A7EA5-3933-498A-BECE-38BCF978C47F}"/>
    </customSheetView>
    <customSheetView guid="{37F5A0AB-EB39-4832-9D67-F67D908BF486}" showGridLines="0" fitToPage="1" showAutoFilter="1" hiddenRows="1" hiddenColumns="1">
      <selection activeCell="B63" activeCellId="6" sqref="B8:B17 B21 B25:B36 B40:B48 B52:B55 B59 B63"/>
      <pageMargins left="0.70866141732283461" right="0.19685039370078741" top="0.74803149606299213" bottom="0.74803149606299213" header="0.31496062992125984" footer="0.31496062992125984"/>
      <pageSetup paperSize="8" scale="56" orientation="landscape" r:id="rId47"/>
      <autoFilter ref="BD4:BD63" xr:uid="{CE5ADCAE-E015-4468-A98C-500A5A29BA5D}"/>
    </customSheetView>
    <customSheetView guid="{70582C04-BB53-4A99-A3C1-673011D9AE1C}" showGridLines="0" fitToPage="1" showAutoFilter="1" hiddenRows="1" hiddenColumns="1" topLeftCell="A4">
      <selection activeCell="S32" sqref="S32"/>
      <pageMargins left="0.70866141732283461" right="0.19685039370078741" top="0.74803149606299213" bottom="0.74803149606299213" header="0.31496062992125984" footer="0.31496062992125984"/>
      <pageSetup paperSize="8" scale="56" orientation="landscape" r:id="rId48"/>
      <autoFilter ref="BD4:BD63" xr:uid="{3BD2C222-889B-4191-B1E9-0B595CC72B45}"/>
    </customSheetView>
    <customSheetView guid="{442F9A23-CA6E-4109-B10C-ACF5FD36B859}" showGridLines="0" fitToPage="1" showAutoFilter="1" hiddenRows="1" hiddenColumns="1" topLeftCell="C1">
      <selection activeCell="BG63" sqref="BG63"/>
      <pageMargins left="0.70866141732283461" right="0.19685039370078741" top="0.74803149606299213" bottom="0.74803149606299213" header="0.31496062992125984" footer="0.31496062992125984"/>
      <pageSetup paperSize="8" scale="56" orientation="landscape" r:id="rId49"/>
      <autoFilter ref="BD4:BD63" xr:uid="{6A910964-2E5C-4D00-AAE3-889FE328493C}"/>
    </customSheetView>
    <customSheetView guid="{E4713981-DD11-40CE-BE52-873D93BDDE05}" showGridLines="0" fitToPage="1" showAutoFilter="1" hiddenRows="1" hiddenColumns="1" topLeftCell="C1">
      <selection activeCell="BG63" sqref="BG63"/>
      <pageMargins left="0.70866141732283461" right="0.19685039370078741" top="0.74803149606299213" bottom="0.74803149606299213" header="0.31496062992125984" footer="0.31496062992125984"/>
      <pageSetup paperSize="8" scale="56" orientation="landscape" r:id="rId50"/>
      <autoFilter ref="BD4:BD63" xr:uid="{E2FB4215-295F-4715-8AB2-5F34D54C89C8}"/>
    </customSheetView>
    <customSheetView guid="{83044EFE-7F92-4F81-B034-85D9567158C2}" scale="55" showGridLines="0" fitToPage="1" showAutoFilter="1" hiddenRows="1" hiddenColumns="1" topLeftCell="A7">
      <selection activeCell="BG63" sqref="BG63"/>
      <pageMargins left="0.70866141732283461" right="0.19685039370078741" top="0.74803149606299213" bottom="0.74803149606299213" header="0.31496062992125984" footer="0.31496062992125984"/>
      <pageSetup paperSize="8" scale="56" orientation="landscape" r:id="rId51"/>
      <autoFilter ref="BD4:BD63" xr:uid="{7C9EBEAE-4C81-4AFA-AF34-4C157FD9B44A}"/>
    </customSheetView>
    <customSheetView guid="{E3A3AE56-8881-4A6F-9299-803C489AD1B4}" scale="55" showGridLines="0" fitToPage="1" showAutoFilter="1" hiddenRows="1" hiddenColumns="1" topLeftCell="A7">
      <selection activeCell="BG63" sqref="BG63"/>
      <pageMargins left="0.70866141732283461" right="0.19685039370078741" top="0.74803149606299213" bottom="0.74803149606299213" header="0.31496062992125984" footer="0.31496062992125984"/>
      <pageSetup paperSize="8" scale="56" orientation="landscape" r:id="rId52"/>
      <autoFilter ref="BD4:BD63" xr:uid="{0B5882CB-2DA9-4E6A-B377-1B510F522771}"/>
    </customSheetView>
    <customSheetView guid="{FBC63E8F-69FE-4648-B709-FA1212EFFB29}" scale="55" showGridLines="0" fitToPage="1" showAutoFilter="1" hiddenRows="1" hiddenColumns="1">
      <selection activeCell="BH11" sqref="BH11"/>
      <pageMargins left="0.70866141732283461" right="0.19685039370078741" top="0.74803149606299213" bottom="0.74803149606299213" header="0.31496062992125984" footer="0.31496062992125984"/>
      <pageSetup paperSize="8" scale="56" orientation="landscape" r:id="rId53"/>
      <autoFilter ref="BD4:BD62" xr:uid="{EEF4A8EE-7306-4084-A25E-9F5B0AC367F2}"/>
    </customSheetView>
    <customSheetView guid="{0EDA65D2-43FB-421C-9D8C-D8082C64B09A}" scale="85" showGridLines="0" fitToPage="1" showAutoFilter="1" hiddenRows="1" hiddenColumns="1" topLeftCell="A4">
      <selection activeCell="R24" sqref="R24"/>
      <pageMargins left="0.70866141732283461" right="0.19685039370078741" top="0.74803149606299213" bottom="0.74803149606299213" header="0.31496062992125984" footer="0.31496062992125984"/>
      <pageSetup paperSize="8" scale="49" orientation="landscape" r:id="rId54"/>
      <autoFilter ref="AC4:AC63" xr:uid="{CDB3640E-4FE8-46DD-BB49-A3E71218DE07}"/>
    </customSheetView>
    <customSheetView guid="{B434A8A8-5A4C-48C0-82E7-2458B9D2EEEF}" scale="85" showGridLines="0" fitToPage="1" showAutoFilter="1" hiddenRows="1" hiddenColumns="1">
      <selection activeCell="AD45" sqref="AD45"/>
      <pageMargins left="0.70866141732283461" right="0.19685039370078741" top="0.74803149606299213" bottom="0.74803149606299213" header="0.31496062992125984" footer="0.31496062992125984"/>
      <pageSetup paperSize="8" scale="49" orientation="landscape" r:id="rId55"/>
      <autoFilter ref="AC4:AC63" xr:uid="{BA14D9BA-397E-4471-B7A3-32ED33AC23C2}"/>
    </customSheetView>
    <customSheetView guid="{EDD5A64E-02C0-4DD6-80BA-449123FCDAA2}" scale="66" showGridLines="0" fitToPage="1" showAutoFilter="1" hiddenRows="1" hiddenColumns="1" topLeftCell="A4">
      <selection activeCell="C44" sqref="C44"/>
      <pageMargins left="0.70866141732283461" right="0.19685039370078741" top="0.74803149606299213" bottom="0.74803149606299213" header="0.31496062992125984" footer="0.31496062992125984"/>
      <pageSetup paperSize="8" scale="49" orientation="landscape" r:id="rId56"/>
      <autoFilter ref="AC4:AC63" xr:uid="{58291CC0-165D-4C5F-9F24-BE48C15CE53F}"/>
    </customSheetView>
    <customSheetView guid="{97D58294-343B-4B62-A826-0DDDE29B5F0D}" scale="55" showGridLines="0" fitToPage="1" showAutoFilter="1" hiddenRows="1" hiddenColumns="1">
      <selection activeCell="AD45" sqref="AD45"/>
      <pageMargins left="0.70866141732283461" right="0.19685039370078741" top="0.74803149606299213" bottom="0.74803149606299213" header="0.31496062992125984" footer="0.31496062992125984"/>
      <pageSetup paperSize="8" scale="49" orientation="landscape" r:id="rId57"/>
      <autoFilter ref="AC4:AC63" xr:uid="{97D0D40A-4FA1-4D9B-856A-7BBF2C106BE5}"/>
    </customSheetView>
    <customSheetView guid="{800416AC-1374-44AC-811C-612C85EF24E6}" scale="70" showGridLines="0" fitToPage="1" showAutoFilter="1" hiddenRows="1" hiddenColumns="1" topLeftCell="A7">
      <selection activeCell="C31" sqref="C31"/>
      <pageMargins left="0.70866141732283461" right="0.19685039370078741" top="0.74803149606299213" bottom="0.74803149606299213" header="0.31496062992125984" footer="0.31496062992125984"/>
      <pageSetup paperSize="8" scale="49" orientation="landscape" r:id="rId58"/>
      <autoFilter ref="AC4:AC61" xr:uid="{6D14F6F8-345E-4883-B747-497EC007C255}"/>
    </customSheetView>
    <customSheetView guid="{2EA8DBF7-9763-457C-AA9F-1EEB2F136D1F}" scale="70" showGridLines="0" fitToPage="1" showAutoFilter="1" hiddenRows="1" hiddenColumns="1" topLeftCell="A7">
      <selection activeCell="C31" sqref="C31"/>
      <pageMargins left="0.70866141732283461" right="0.19685039370078741" top="0.74803149606299213" bottom="0.74803149606299213" header="0.31496062992125984" footer="0.31496062992125984"/>
      <pageSetup paperSize="8" scale="49" orientation="landscape" r:id="rId59"/>
      <autoFilter ref="AC4:AC61" xr:uid="{C2CE36D2-BBB3-4498-8197-A3536244B1EA}"/>
    </customSheetView>
    <customSheetView guid="{78AA4A71-CE17-4C4D-849E-E3E1A44EA907}" scale="70" showGridLines="0" fitToPage="1" showAutoFilter="1" hiddenRows="1" hiddenColumns="1" topLeftCell="A7">
      <selection activeCell="C31" sqref="C31"/>
      <pageMargins left="0.70866141732283461" right="0.19685039370078741" top="0.74803149606299213" bottom="0.74803149606299213" header="0.31496062992125984" footer="0.31496062992125984"/>
      <pageSetup paperSize="8" scale="49" orientation="landscape" r:id="rId60"/>
      <autoFilter ref="AC4:AC61" xr:uid="{708A09EF-8FB8-46B1-AF9E-B0B19E0E661B}"/>
    </customSheetView>
    <customSheetView guid="{C7C13768-4A8D-4CBA-978C-F4A7B5550C00}" scale="70" showGridLines="0" fitToPage="1" showAutoFilter="1" hiddenRows="1" hiddenColumns="1">
      <selection activeCell="U30" sqref="U30"/>
      <pageMargins left="0.70866141732283461" right="0.19685039370078741" top="0.74803149606299213" bottom="0.74803149606299213" header="0.31496062992125984" footer="0.31496062992125984"/>
      <pageSetup paperSize="8" scale="49" orientation="landscape" r:id="rId61"/>
      <autoFilter ref="AC4:AC61" xr:uid="{71E2B296-42EC-457E-BD5B-C42F413B5399}"/>
    </customSheetView>
    <customSheetView guid="{D59DDBAA-620D-43B7-A6D9-759808D3397A}" scale="70" showGridLines="0" fitToPage="1" showAutoFilter="1" hiddenRows="1" hiddenColumns="1">
      <selection activeCell="Z43" sqref="Z43"/>
      <pageMargins left="0.70866141732283461" right="0.19685039370078741" top="0.74803149606299213" bottom="0.74803149606299213" header="0.31496062992125984" footer="0.31496062992125984"/>
      <pageSetup paperSize="8" scale="49" orientation="landscape" r:id="rId62"/>
      <autoFilter ref="AC4:AC61" xr:uid="{C0959351-E457-406B-8BD9-762248C725B2}"/>
    </customSheetView>
  </customSheetViews>
  <mergeCells count="10">
    <mergeCell ref="B6:AA6"/>
    <mergeCell ref="E2:K2"/>
    <mergeCell ref="M2:S2"/>
    <mergeCell ref="U2:AA2"/>
    <mergeCell ref="B18:AA18"/>
    <mergeCell ref="B55:AA55"/>
    <mergeCell ref="B59:AA59"/>
    <mergeCell ref="B48:AA48"/>
    <mergeCell ref="B22:AA22"/>
    <mergeCell ref="B37:AA37"/>
  </mergeCells>
  <phoneticPr fontId="47" type="noConversion"/>
  <conditionalFormatting sqref="E45:H45">
    <cfRule type="cellIs" dxfId="153" priority="56843" operator="equal">
      <formula>"n/a"</formula>
    </cfRule>
    <cfRule type="cellIs" dxfId="152" priority="56845" operator="equal">
      <formula>"A"</formula>
    </cfRule>
    <cfRule type="cellIs" dxfId="151" priority="56844" operator="equal">
      <formula>"G"</formula>
    </cfRule>
    <cfRule type="cellIs" dxfId="150" priority="56846" operator="equal">
      <formula>"R"</formula>
    </cfRule>
  </conditionalFormatting>
  <conditionalFormatting sqref="E8:J17 M8:R17 U8:Z17 E39:J46 M39:R46 U39:Z46">
    <cfRule type="cellIs" dxfId="149" priority="17" operator="equal">
      <formula>"n/a"</formula>
    </cfRule>
    <cfRule type="cellIs" dxfId="148" priority="18" operator="equal">
      <formula>"G"</formula>
    </cfRule>
    <cfRule type="cellIs" dxfId="147" priority="19" operator="equal">
      <formula>"A"</formula>
    </cfRule>
    <cfRule type="cellIs" dxfId="146" priority="20" operator="equal">
      <formula>"R"</formula>
    </cfRule>
  </conditionalFormatting>
  <conditionalFormatting sqref="E20:J20">
    <cfRule type="cellIs" dxfId="145" priority="641" operator="equal">
      <formula>"G"</formula>
    </cfRule>
    <cfRule type="cellIs" dxfId="144" priority="643" operator="equal">
      <formula>"R"</formula>
    </cfRule>
    <cfRule type="cellIs" dxfId="143" priority="640" operator="equal">
      <formula>"n/a"</formula>
    </cfRule>
    <cfRule type="cellIs" dxfId="142" priority="642" operator="equal">
      <formula>"A"</formula>
    </cfRule>
  </conditionalFormatting>
  <conditionalFormatting sqref="E24:J35 M24:R35 U24:Z35 E51:G52">
    <cfRule type="cellIs" dxfId="141" priority="15201" operator="equal">
      <formula>"n/a"</formula>
    </cfRule>
    <cfRule type="cellIs" dxfId="140" priority="15202" operator="equal">
      <formula>"G"</formula>
    </cfRule>
    <cfRule type="cellIs" dxfId="139" priority="15203" operator="equal">
      <formula>"A"</formula>
    </cfRule>
    <cfRule type="cellIs" dxfId="138" priority="15204" operator="equal">
      <formula>"R"</formula>
    </cfRule>
  </conditionalFormatting>
  <conditionalFormatting sqref="E50:J53">
    <cfRule type="cellIs" dxfId="137" priority="509" operator="equal">
      <formula>"G"</formula>
    </cfRule>
    <cfRule type="cellIs" dxfId="136" priority="508" operator="equal">
      <formula>"n/a"</formula>
    </cfRule>
    <cfRule type="cellIs" dxfId="135" priority="510" operator="equal">
      <formula>"A"</formula>
    </cfRule>
    <cfRule type="cellIs" dxfId="134" priority="511" operator="equal">
      <formula>"R"</formula>
    </cfRule>
  </conditionalFormatting>
  <conditionalFormatting sqref="E57:J57">
    <cfRule type="cellIs" dxfId="133" priority="497" operator="equal">
      <formula>"G"</formula>
    </cfRule>
    <cfRule type="cellIs" dxfId="132" priority="498" operator="equal">
      <formula>"A"</formula>
    </cfRule>
    <cfRule type="cellIs" dxfId="131" priority="499" operator="equal">
      <formula>"R"</formula>
    </cfRule>
    <cfRule type="cellIs" dxfId="130" priority="496" operator="equal">
      <formula>"n/a"</formula>
    </cfRule>
  </conditionalFormatting>
  <conditionalFormatting sqref="E61:J61">
    <cfRule type="cellIs" dxfId="129" priority="51" operator="equal">
      <formula>"R"</formula>
    </cfRule>
    <cfRule type="cellIs" dxfId="128" priority="50" operator="equal">
      <formula>"A"</formula>
    </cfRule>
    <cfRule type="cellIs" dxfId="127" priority="48" operator="equal">
      <formula>"n/a"</formula>
    </cfRule>
    <cfRule type="cellIs" dxfId="126" priority="49" operator="equal">
      <formula>"G"</formula>
    </cfRule>
  </conditionalFormatting>
  <conditionalFormatting sqref="F17:G17">
    <cfRule type="cellIs" dxfId="125" priority="51749" operator="equal">
      <formula>"R"</formula>
    </cfRule>
    <cfRule type="cellIs" dxfId="124" priority="51748" operator="equal">
      <formula>"A"</formula>
    </cfRule>
    <cfRule type="cellIs" dxfId="123" priority="51747" operator="equal">
      <formula>"G"</formula>
    </cfRule>
    <cfRule type="cellIs" dxfId="122" priority="51746" operator="equal">
      <formula>"n/a"</formula>
    </cfRule>
  </conditionalFormatting>
  <conditionalFormatting sqref="G51:H53">
    <cfRule type="cellIs" dxfId="121" priority="50594" operator="equal">
      <formula>"R"</formula>
    </cfRule>
    <cfRule type="cellIs" dxfId="120" priority="50591" operator="equal">
      <formula>"n/a"</formula>
    </cfRule>
    <cfRule type="cellIs" dxfId="119" priority="50592" operator="equal">
      <formula>"G"</formula>
    </cfRule>
    <cfRule type="cellIs" dxfId="118" priority="50593" operator="equal">
      <formula>"A"</formula>
    </cfRule>
  </conditionalFormatting>
  <conditionalFormatting sqref="M11:O11 U11 U14:U17 M51:N53">
    <cfRule type="cellIs" dxfId="117" priority="11640" operator="equal">
      <formula>"n/a"</formula>
    </cfRule>
    <cfRule type="cellIs" dxfId="116" priority="11641" operator="equal">
      <formula>"G"</formula>
    </cfRule>
    <cfRule type="cellIs" dxfId="115" priority="11642" operator="equal">
      <formula>"A"</formula>
    </cfRule>
    <cfRule type="cellIs" dxfId="114" priority="11643" operator="equal">
      <formula>"R"</formula>
    </cfRule>
  </conditionalFormatting>
  <conditionalFormatting sqref="M34:O34">
    <cfRule type="cellIs" dxfId="113" priority="25" operator="equal">
      <formula>"n/a"</formula>
    </cfRule>
    <cfRule type="cellIs" dxfId="112" priority="26" operator="equal">
      <formula>"G"</formula>
    </cfRule>
    <cfRule type="cellIs" dxfId="111" priority="28" operator="equal">
      <formula>"R"</formula>
    </cfRule>
    <cfRule type="cellIs" dxfId="110" priority="27" operator="equal">
      <formula>"A"</formula>
    </cfRule>
  </conditionalFormatting>
  <conditionalFormatting sqref="M51:O52">
    <cfRule type="cellIs" dxfId="109" priority="14882" operator="equal">
      <formula>"G"</formula>
    </cfRule>
    <cfRule type="cellIs" dxfId="108" priority="14881" operator="equal">
      <formula>"n/a"</formula>
    </cfRule>
    <cfRule type="cellIs" dxfId="107" priority="14880" operator="equal">
      <formula>""""""</formula>
    </cfRule>
    <cfRule type="cellIs" dxfId="106" priority="14884" operator="equal">
      <formula>"R"</formula>
    </cfRule>
    <cfRule type="cellIs" dxfId="105" priority="14883" operator="equal">
      <formula>"A"</formula>
    </cfRule>
  </conditionalFormatting>
  <conditionalFormatting sqref="M8:P16 M34:P35 U34:X35">
    <cfRule type="cellIs" dxfId="104" priority="425" operator="equal">
      <formula>""""""</formula>
    </cfRule>
  </conditionalFormatting>
  <conditionalFormatting sqref="M12:P12">
    <cfRule type="cellIs" dxfId="103" priority="19600" operator="equal">
      <formula>"R"</formula>
    </cfRule>
    <cfRule type="cellIs" dxfId="102" priority="19599" operator="equal">
      <formula>"A"</formula>
    </cfRule>
    <cfRule type="cellIs" dxfId="101" priority="19598" operator="equal">
      <formula>"G"</formula>
    </cfRule>
    <cfRule type="cellIs" dxfId="100" priority="19597" operator="equal">
      <formula>"n/a"</formula>
    </cfRule>
  </conditionalFormatting>
  <conditionalFormatting sqref="M14:P16">
    <cfRule type="cellIs" dxfId="99" priority="426" operator="equal">
      <formula>"n/a"</formula>
    </cfRule>
    <cfRule type="cellIs" dxfId="98" priority="427" operator="equal">
      <formula>"G"</formula>
    </cfRule>
    <cfRule type="cellIs" dxfId="97" priority="429" operator="equal">
      <formula>"R"</formula>
    </cfRule>
    <cfRule type="cellIs" dxfId="96" priority="428" operator="equal">
      <formula>"A"</formula>
    </cfRule>
  </conditionalFormatting>
  <conditionalFormatting sqref="M57:P57">
    <cfRule type="cellIs" dxfId="95" priority="8185" operator="equal">
      <formula>""""""</formula>
    </cfRule>
  </conditionalFormatting>
  <conditionalFormatting sqref="M20:Q20">
    <cfRule type="cellIs" dxfId="94" priority="7923" operator="equal">
      <formula>""""""</formula>
    </cfRule>
  </conditionalFormatting>
  <conditionalFormatting sqref="M50:Q53">
    <cfRule type="cellIs" dxfId="93" priority="14950" operator="equal">
      <formula>""""""</formula>
    </cfRule>
  </conditionalFormatting>
  <conditionalFormatting sqref="M61:Q61">
    <cfRule type="cellIs" dxfId="92" priority="47694" operator="equal">
      <formula>""""""</formula>
    </cfRule>
  </conditionalFormatting>
  <conditionalFormatting sqref="M17:R17">
    <cfRule type="cellIs" dxfId="91" priority="51364" operator="equal">
      <formula>""""""</formula>
    </cfRule>
  </conditionalFormatting>
  <conditionalFormatting sqref="M20:R20">
    <cfRule type="cellIs" dxfId="90" priority="488" operator="equal">
      <formula>"n/a"</formula>
    </cfRule>
    <cfRule type="cellIs" dxfId="89" priority="491" operator="equal">
      <formula>"R"</formula>
    </cfRule>
    <cfRule type="cellIs" dxfId="88" priority="490" operator="equal">
      <formula>"A"</formula>
    </cfRule>
    <cfRule type="cellIs" dxfId="87" priority="489" operator="equal">
      <formula>"G"</formula>
    </cfRule>
  </conditionalFormatting>
  <conditionalFormatting sqref="M50:R53">
    <cfRule type="cellIs" dxfId="86" priority="70" operator="equal">
      <formula>"n/a"</formula>
    </cfRule>
    <cfRule type="cellIs" dxfId="85" priority="72" operator="equal">
      <formula>"A"</formula>
    </cfRule>
    <cfRule type="cellIs" dxfId="84" priority="71" operator="equal">
      <formula>"G"</formula>
    </cfRule>
    <cfRule type="cellIs" dxfId="83" priority="73" operator="equal">
      <formula>"R"</formula>
    </cfRule>
  </conditionalFormatting>
  <conditionalFormatting sqref="M57:R57">
    <cfRule type="cellIs" dxfId="82" priority="233" operator="equal">
      <formula>"A"</formula>
    </cfRule>
    <cfRule type="cellIs" dxfId="81" priority="231" operator="equal">
      <formula>"n/a"</formula>
    </cfRule>
    <cfRule type="cellIs" dxfId="80" priority="234" operator="equal">
      <formula>"R"</formula>
    </cfRule>
    <cfRule type="cellIs" dxfId="79" priority="232" operator="equal">
      <formula>"G"</formula>
    </cfRule>
  </conditionalFormatting>
  <conditionalFormatting sqref="M61:R61">
    <cfRule type="cellIs" dxfId="78" priority="42" operator="equal">
      <formula>"A"</formula>
    </cfRule>
    <cfRule type="cellIs" dxfId="77" priority="41" operator="equal">
      <formula>"G"</formula>
    </cfRule>
    <cfRule type="cellIs" dxfId="76" priority="40" operator="equal">
      <formula>"n/a"</formula>
    </cfRule>
    <cfRule type="cellIs" dxfId="75" priority="43" operator="equal">
      <formula>"R"</formula>
    </cfRule>
  </conditionalFormatting>
  <conditionalFormatting sqref="N14:N15">
    <cfRule type="cellIs" dxfId="74" priority="52" operator="equal">
      <formula>""""""</formula>
    </cfRule>
    <cfRule type="cellIs" dxfId="73" priority="53" operator="equal">
      <formula>"n/a"</formula>
    </cfRule>
    <cfRule type="cellIs" dxfId="72" priority="54" operator="equal">
      <formula>"G"</formula>
    </cfRule>
    <cfRule type="cellIs" dxfId="71" priority="55" operator="equal">
      <formula>"A"</formula>
    </cfRule>
    <cfRule type="cellIs" dxfId="70" priority="56" operator="equal">
      <formula>"R"</formula>
    </cfRule>
  </conditionalFormatting>
  <conditionalFormatting sqref="N15:O15 O15:P16">
    <cfRule type="cellIs" dxfId="69" priority="52216" operator="equal">
      <formula>"A"</formula>
    </cfRule>
    <cfRule type="cellIs" dxfId="68" priority="52215" operator="equal">
      <formula>"G"</formula>
    </cfRule>
    <cfRule type="cellIs" dxfId="67" priority="52214" operator="equal">
      <formula>"n/a"</formula>
    </cfRule>
    <cfRule type="cellIs" dxfId="66" priority="52213" operator="equal">
      <formula>""""""</formula>
    </cfRule>
    <cfRule type="cellIs" dxfId="65" priority="52217" operator="equal">
      <formula>"R"</formula>
    </cfRule>
  </conditionalFormatting>
  <conditionalFormatting sqref="N8:P12">
    <cfRule type="cellIs" dxfId="64" priority="219" operator="equal">
      <formula>"n/a"</formula>
    </cfRule>
    <cfRule type="cellIs" dxfId="63" priority="221" operator="equal">
      <formula>"A"</formula>
    </cfRule>
    <cfRule type="cellIs" dxfId="62" priority="222" operator="equal">
      <formula>"R"</formula>
    </cfRule>
    <cfRule type="cellIs" dxfId="61" priority="220" operator="equal">
      <formula>"G"</formula>
    </cfRule>
  </conditionalFormatting>
  <conditionalFormatting sqref="O14:O17">
    <cfRule type="cellIs" dxfId="60" priority="58" operator="equal">
      <formula>"n/a"</formula>
    </cfRule>
    <cfRule type="cellIs" dxfId="59" priority="57" operator="equal">
      <formula>""""""</formula>
    </cfRule>
    <cfRule type="cellIs" dxfId="58" priority="59" operator="equal">
      <formula>"G"</formula>
    </cfRule>
    <cfRule type="cellIs" dxfId="57" priority="61" operator="equal">
      <formula>"R"</formula>
    </cfRule>
    <cfRule type="cellIs" dxfId="56" priority="60" operator="equal">
      <formula>"A"</formula>
    </cfRule>
  </conditionalFormatting>
  <conditionalFormatting sqref="P51:Q53">
    <cfRule type="cellIs" dxfId="55" priority="50532" operator="equal">
      <formula>"n/a"</formula>
    </cfRule>
    <cfRule type="cellIs" dxfId="54" priority="50531" operator="equal">
      <formula>""""""</formula>
    </cfRule>
    <cfRule type="cellIs" dxfId="53" priority="50535" operator="equal">
      <formula>"R"</formula>
    </cfRule>
    <cfRule type="cellIs" dxfId="52" priority="50533" operator="equal">
      <formula>"G"</formula>
    </cfRule>
    <cfRule type="cellIs" dxfId="51" priority="50534" operator="equal">
      <formula>"A"</formula>
    </cfRule>
  </conditionalFormatting>
  <conditionalFormatting sqref="Q16">
    <cfRule type="cellIs" dxfId="50" priority="29" operator="equal">
      <formula>""""""</formula>
    </cfRule>
    <cfRule type="cellIs" dxfId="49" priority="30" operator="equal">
      <formula>"n/a"</formula>
    </cfRule>
    <cfRule type="cellIs" dxfId="48" priority="33" operator="equal">
      <formula>"R"</formula>
    </cfRule>
    <cfRule type="cellIs" dxfId="47" priority="32" operator="equal">
      <formula>"A"</formula>
    </cfRule>
    <cfRule type="cellIs" dxfId="46" priority="31" operator="equal">
      <formula>"G"</formula>
    </cfRule>
  </conditionalFormatting>
  <conditionalFormatting sqref="U11 U14:U17 M51:N53">
    <cfRule type="cellIs" dxfId="45" priority="11639" operator="equal">
      <formula>""""""</formula>
    </cfRule>
  </conditionalFormatting>
  <conditionalFormatting sqref="U20">
    <cfRule type="cellIs" dxfId="44" priority="55263" operator="equal">
      <formula>""""""</formula>
    </cfRule>
  </conditionalFormatting>
  <conditionalFormatting sqref="U11:V12">
    <cfRule type="cellIs" dxfId="43" priority="18390" operator="equal">
      <formula>"R"</formula>
    </cfRule>
    <cfRule type="cellIs" dxfId="42" priority="18387" operator="equal">
      <formula>"n/a"</formula>
    </cfRule>
    <cfRule type="cellIs" dxfId="41" priority="18386" operator="equal">
      <formula>""""""</formula>
    </cfRule>
    <cfRule type="cellIs" dxfId="40" priority="18388" operator="equal">
      <formula>"G"</formula>
    </cfRule>
    <cfRule type="cellIs" dxfId="39" priority="18389" operator="equal">
      <formula>"A"</formula>
    </cfRule>
  </conditionalFormatting>
  <conditionalFormatting sqref="U15:V16">
    <cfRule type="cellIs" dxfId="38" priority="18103" operator="equal">
      <formula>"R"</formula>
    </cfRule>
    <cfRule type="cellIs" dxfId="37" priority="18102" operator="equal">
      <formula>"A"</formula>
    </cfRule>
    <cfRule type="cellIs" dxfId="36" priority="18099" operator="equal">
      <formula>""""""</formula>
    </cfRule>
    <cfRule type="cellIs" dxfId="35" priority="18100" operator="equal">
      <formula>"n/a"</formula>
    </cfRule>
    <cfRule type="cellIs" dxfId="34" priority="18101" operator="equal">
      <formula>"G"</formula>
    </cfRule>
  </conditionalFormatting>
  <conditionalFormatting sqref="U51:W52">
    <cfRule type="cellIs" dxfId="33" priority="14599" operator="equal">
      <formula>"R"</formula>
    </cfRule>
    <cfRule type="cellIs" dxfId="32" priority="14598" operator="equal">
      <formula>"A"</formula>
    </cfRule>
    <cfRule type="cellIs" dxfId="31" priority="14597" operator="equal">
      <formula>"G"</formula>
    </cfRule>
    <cfRule type="cellIs" dxfId="30" priority="14596" operator="equal">
      <formula>"n/a"</formula>
    </cfRule>
    <cfRule type="cellIs" dxfId="29" priority="14595" operator="equal">
      <formula>""""""</formula>
    </cfRule>
  </conditionalFormatting>
  <conditionalFormatting sqref="U8:X12">
    <cfRule type="cellIs" dxfId="28" priority="13129" operator="equal">
      <formula>"G"</formula>
    </cfRule>
    <cfRule type="cellIs" dxfId="27" priority="13131" operator="equal">
      <formula>"R"</formula>
    </cfRule>
    <cfRule type="cellIs" dxfId="26" priority="13130" operator="equal">
      <formula>"A"</formula>
    </cfRule>
    <cfRule type="cellIs" dxfId="25" priority="13128" operator="equal">
      <formula>"n/a"</formula>
    </cfRule>
  </conditionalFormatting>
  <conditionalFormatting sqref="U8:X16 M14:M17 M24:P30 U24:X30 E39:H40 M39:P45 U39:X45 E42:H44">
    <cfRule type="cellIs" dxfId="24" priority="19298" operator="equal">
      <formula>""""""</formula>
    </cfRule>
  </conditionalFormatting>
  <conditionalFormatting sqref="U50:X53">
    <cfRule type="cellIs" dxfId="23" priority="11599" operator="equal">
      <formula>""""""</formula>
    </cfRule>
  </conditionalFormatting>
  <conditionalFormatting sqref="U51:X53">
    <cfRule type="cellIs" dxfId="22" priority="11603" operator="equal">
      <formula>"R"</formula>
    </cfRule>
    <cfRule type="cellIs" dxfId="21" priority="11602" operator="equal">
      <formula>"A"</formula>
    </cfRule>
    <cfRule type="cellIs" dxfId="20" priority="11601" operator="equal">
      <formula>"G"</formula>
    </cfRule>
    <cfRule type="cellIs" dxfId="19" priority="11600" operator="equal">
      <formula>"n/a"</formula>
    </cfRule>
  </conditionalFormatting>
  <conditionalFormatting sqref="U57:X57">
    <cfRule type="cellIs" dxfId="18" priority="8107" operator="equal">
      <formula>""""""</formula>
    </cfRule>
  </conditionalFormatting>
  <conditionalFormatting sqref="U61:Y61">
    <cfRule type="cellIs" dxfId="17" priority="50471" operator="equal">
      <formula>""""""</formula>
    </cfRule>
  </conditionalFormatting>
  <conditionalFormatting sqref="U17:Z17">
    <cfRule type="cellIs" dxfId="16" priority="51040" operator="equal">
      <formula>""""""</formula>
    </cfRule>
  </conditionalFormatting>
  <conditionalFormatting sqref="U20:Z20">
    <cfRule type="cellIs" dxfId="15" priority="460" operator="equal">
      <formula>"n/a"</formula>
    </cfRule>
    <cfRule type="cellIs" dxfId="14" priority="461" operator="equal">
      <formula>"G"</formula>
    </cfRule>
    <cfRule type="cellIs" dxfId="13" priority="462" operator="equal">
      <formula>"A"</formula>
    </cfRule>
    <cfRule type="cellIs" dxfId="12" priority="463" operator="equal">
      <formula>"R"</formula>
    </cfRule>
  </conditionalFormatting>
  <conditionalFormatting sqref="U50:Z53">
    <cfRule type="cellIs" dxfId="11" priority="65" operator="equal">
      <formula>"R"</formula>
    </cfRule>
    <cfRule type="cellIs" dxfId="10" priority="64" operator="equal">
      <formula>"A"</formula>
    </cfRule>
    <cfRule type="cellIs" dxfId="9" priority="63" operator="equal">
      <formula>"G"</formula>
    </cfRule>
    <cfRule type="cellIs" dxfId="8" priority="62" operator="equal">
      <formula>"n/a"</formula>
    </cfRule>
  </conditionalFormatting>
  <conditionalFormatting sqref="U57:Z57">
    <cfRule type="cellIs" dxfId="7" priority="225" operator="equal">
      <formula>"A"</formula>
    </cfRule>
    <cfRule type="cellIs" dxfId="6" priority="223" operator="equal">
      <formula>"n/a"</formula>
    </cfRule>
    <cfRule type="cellIs" dxfId="5" priority="226" operator="equal">
      <formula>"R"</formula>
    </cfRule>
    <cfRule type="cellIs" dxfId="4" priority="224" operator="equal">
      <formula>"G"</formula>
    </cfRule>
  </conditionalFormatting>
  <conditionalFormatting sqref="U61:Z61">
    <cfRule type="cellIs" dxfId="3" priority="44" operator="equal">
      <formula>"n/a"</formula>
    </cfRule>
    <cfRule type="cellIs" dxfId="2" priority="47" operator="equal">
      <formula>"R"</formula>
    </cfRule>
    <cfRule type="cellIs" dxfId="1" priority="45" operator="equal">
      <formula>"G"</formula>
    </cfRule>
    <cfRule type="cellIs" dxfId="0" priority="46" operator="equal">
      <formula>"A"</formula>
    </cfRule>
  </conditionalFormatting>
  <dataValidations disablePrompts="1" count="2">
    <dataValidation type="list" allowBlank="1" showInputMessage="1" showErrorMessage="1" sqref="AA61 S20 S61 AA20 K20 K61 S57 AA57 K57 S50:S53 K50:K53 AA50:AA53 K8:K17 AA8:AA17 S8:S17 S39:S46 K39:K46 AA39:AA46 AA24:AA35 S24:S35 K24:K35" xr:uid="{2DBC0D05-D16D-4C4C-9D1B-A264B2FBE567}">
      <formula1>"è, é, ê"</formula1>
    </dataValidation>
    <dataValidation type="list" allowBlank="1" showInputMessage="1" showErrorMessage="1" sqref="E57:J57 U57:Z57 E20:J20 E61:J61 M50:R53 M20:R20 M57:R57 E50:J53 U61:Z61 U20:Z20 U50:Z53 M61:R61 M8:R17 E8:J17 U8:Z17 E39:J46 M39:R46 U39:Z46 E24:J35 M24:R35 U24:Z35" xr:uid="{0E3EFD5E-E45D-429B-B812-045A7B17E99B}">
      <formula1>"G, A, R, n/a"</formula1>
    </dataValidation>
  </dataValidations>
  <pageMargins left="0.70866141732283461" right="0.19685039370078741" top="0.74803149606299213" bottom="0.74803149606299213" header="0.31496062992125984" footer="0.31496062992125984"/>
  <pageSetup paperSize="8" scale="43" orientation="landscape" r:id="rId63"/>
  <drawing r:id="rId64"/>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68602E061513F34E84C6625DC001115B" ma:contentTypeVersion="10" ma:contentTypeDescription="Create a new document." ma:contentTypeScope="" ma:versionID="3e98c74736b5b137361871a663ba1006">
  <xsd:schema xmlns:xsd="http://www.w3.org/2001/XMLSchema" xmlns:xs="http://www.w3.org/2001/XMLSchema" xmlns:p="http://schemas.microsoft.com/office/2006/metadata/properties" xmlns:ns3="25705587-05e4-4d90-a5db-3d4d26145a4d" xmlns:ns4="a50f8b53-bf54-43c4-9ecb-6780ef8e12f4" targetNamespace="http://schemas.microsoft.com/office/2006/metadata/properties" ma:root="true" ma:fieldsID="af3ae39b54293c3b0bc1196d23977943" ns3:_="" ns4:_="">
    <xsd:import namespace="25705587-05e4-4d90-a5db-3d4d26145a4d"/>
    <xsd:import namespace="a50f8b53-bf54-43c4-9ecb-6780ef8e12f4"/>
    <xsd:element name="properties">
      <xsd:complexType>
        <xsd:sequence>
          <xsd:element name="documentManagement">
            <xsd:complexType>
              <xsd:all>
                <xsd:element ref="ns3:MediaServiceMetadata" minOccurs="0"/>
                <xsd:element ref="ns3:MediaServiceFastMetadata" minOccurs="0"/>
                <xsd:element ref="ns3:MediaServiceDateTaken" minOccurs="0"/>
                <xsd:element ref="ns3:MediaServiceAutoTags" minOccurs="0"/>
                <xsd:element ref="ns3:MediaLengthInSeconds" minOccurs="0"/>
                <xsd:element ref="ns4:SharedWithUsers" minOccurs="0"/>
                <xsd:element ref="ns4:SharedWithDetails" minOccurs="0"/>
                <xsd:element ref="ns4:SharingHintHash" minOccurs="0"/>
                <xsd:element ref="ns3:MediaServiceAutoKeyPoints" minOccurs="0"/>
                <xsd:element ref="ns3: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5705587-05e4-4d90-a5db-3d4d26145a4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50f8b53-bf54-43c4-9ecb-6780ef8e12f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SharingHintHash" ma:index="15"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sisl xmlns:xsi="http://www.w3.org/2001/XMLSchema-instance" xmlns:xsd="http://www.w3.org/2001/XMLSchema" xmlns="http://www.boldonjames.com/2008/01/sie/internal/label" sislVersion="0" policy="fd403455-cda7-4c1b-b87f-02f0c0503f88" origin="userSelected">
  <element uid="id_protective_marking_new_item_1" value=""/>
</sisl>
</file>

<file path=customXml/itemProps1.xml><?xml version="1.0" encoding="utf-8"?>
<ds:datastoreItem xmlns:ds="http://schemas.openxmlformats.org/officeDocument/2006/customXml" ds:itemID="{7170C7E3-D746-4FC1-9A31-86D335EDBDD0}">
  <ds:schemaRefs>
    <ds:schemaRef ds:uri="http://schemas.microsoft.com/sharepoint/v3/contenttype/forms"/>
  </ds:schemaRefs>
</ds:datastoreItem>
</file>

<file path=customXml/itemProps2.xml><?xml version="1.0" encoding="utf-8"?>
<ds:datastoreItem xmlns:ds="http://schemas.openxmlformats.org/officeDocument/2006/customXml" ds:itemID="{CCB13306-B774-4702-AD74-87FAE5FFC672}">
  <ds:schemaRefs>
    <ds:schemaRef ds:uri="25705587-05e4-4d90-a5db-3d4d26145a4d"/>
    <ds:schemaRef ds:uri="http://schemas.microsoft.com/office/2006/documentManagement/types"/>
    <ds:schemaRef ds:uri="http://schemas.openxmlformats.org/package/2006/metadata/core-properties"/>
    <ds:schemaRef ds:uri="http://purl.org/dc/dcmitype/"/>
    <ds:schemaRef ds:uri="http://schemas.microsoft.com/office/infopath/2007/PartnerControls"/>
    <ds:schemaRef ds:uri="a50f8b53-bf54-43c4-9ecb-6780ef8e12f4"/>
    <ds:schemaRef ds:uri="http://purl.org/dc/elements/1.1/"/>
    <ds:schemaRef ds:uri="http://schemas.microsoft.com/office/2006/metadata/properties"/>
    <ds:schemaRef ds:uri="http://www.w3.org/XML/1998/namespace"/>
    <ds:schemaRef ds:uri="http://purl.org/dc/terms/"/>
  </ds:schemaRefs>
</ds:datastoreItem>
</file>

<file path=customXml/itemProps3.xml><?xml version="1.0" encoding="utf-8"?>
<ds:datastoreItem xmlns:ds="http://schemas.openxmlformats.org/officeDocument/2006/customXml" ds:itemID="{F42ACD45-D5A8-4B82-A8A2-04D0E6AF9AA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5705587-05e4-4d90-a5db-3d4d26145a4d"/>
    <ds:schemaRef ds:uri="a50f8b53-bf54-43c4-9ecb-6780ef8e12f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5D3ED578-30DF-408F-8D94-90283602D3B5}">
  <ds:schemaRefs>
    <ds:schemaRef ds:uri="http://www.w3.org/2001/XMLSchema"/>
    <ds:schemaRef ds:uri="http://www.boldonjames.com/2008/01/sie/internal/label"/>
  </ds:schemaRefs>
</ds:datastoreItem>
</file>

<file path=docMetadata/LabelInfo.xml><?xml version="1.0" encoding="utf-8"?>
<clbl:labelList xmlns:clbl="http://schemas.microsoft.com/office/2020/mipLabelMetadata">
  <clbl:label id="{c69e0218-afb7-4a04-8007-325c5c247b32}" enabled="1" method="Privileged" siteId="{54614f5e-b3b2-44cf-8a5b-39034b74de94}" contentBits="3"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7</vt:i4>
      </vt:variant>
    </vt:vector>
  </HeadingPairs>
  <TitlesOfParts>
    <vt:vector size="21" baseType="lpstr">
      <vt:lpstr>0) SL Project Structure</vt:lpstr>
      <vt:lpstr>0) SL Project Structure OLD</vt:lpstr>
      <vt:lpstr>1) Report</vt:lpstr>
      <vt:lpstr>3) BC and Sanction Changes PD6</vt:lpstr>
      <vt:lpstr>4) Baseline Changes</vt:lpstr>
      <vt:lpstr>2) Definitions</vt:lpstr>
      <vt:lpstr>3) BC and Sanction</vt:lpstr>
      <vt:lpstr>4b) SL EPO Extended Data Sheet</vt:lpstr>
      <vt:lpstr>Pd08 MPPR WD9</vt:lpstr>
      <vt:lpstr>Pd08 Extended MPPR WD9</vt:lpstr>
      <vt:lpstr>4a) SL EPO Data File</vt:lpstr>
      <vt:lpstr>P&amp;B Summary</vt:lpstr>
      <vt:lpstr>5a)NDA MPPR</vt:lpstr>
      <vt:lpstr>6) RAG Table</vt:lpstr>
      <vt:lpstr>'0) SL Project Structure'!Print_Area</vt:lpstr>
      <vt:lpstr>'0) SL Project Structure OLD'!Print_Area</vt:lpstr>
      <vt:lpstr>'1) Report'!Print_Area</vt:lpstr>
      <vt:lpstr>'2) Definitions'!Print_Area</vt:lpstr>
      <vt:lpstr>'6) RAG Table'!Print_Area</vt:lpstr>
      <vt:lpstr>'P&amp;B Summary'!Print_Area</vt:lpstr>
      <vt:lpstr>'1) Report'!Print_Titles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Sellar, Andrew</dc:creator>
  <cp:keywords/>
  <dc:description/>
  <cp:lastModifiedBy>Ericsen, Danielle (SL)</cp:lastModifiedBy>
  <cp:revision/>
  <cp:lastPrinted>2026-01-15T16:02:01Z</cp:lastPrinted>
  <dcterms:created xsi:type="dcterms:W3CDTF">2021-07-01T13:12:16Z</dcterms:created>
  <dcterms:modified xsi:type="dcterms:W3CDTF">2026-01-21T14:29:51Z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86614d21-478f-4e6b-83fc-74992f9c8667</vt:lpwstr>
  </property>
  <property fmtid="{D5CDD505-2E9C-101B-9397-08002B2CF9AE}" pid="3" name="bjSaver">
    <vt:lpwstr>67B0vHPKHpKttQzMWFwk/v/m+aLPzThV</vt:lpwstr>
  </property>
  <property fmtid="{D5CDD505-2E9C-101B-9397-08002B2CF9AE}" pid="4" name="bjClsUserRVM">
    <vt:lpwstr>[]</vt:lpwstr>
  </property>
  <property fmtid="{D5CDD505-2E9C-101B-9397-08002B2CF9AE}" pid="5" name="ContentTypeId">
    <vt:lpwstr>0x01010068602E061513F34E84C6625DC001115B</vt:lpwstr>
  </property>
  <property fmtid="{D5CDD505-2E9C-101B-9397-08002B2CF9AE}" pid="6" name="MSIP_Label_4b4c8e33-e9bd-4b03-9952-88e447410871_Enabled">
    <vt:lpwstr>true</vt:lpwstr>
  </property>
  <property fmtid="{D5CDD505-2E9C-101B-9397-08002B2CF9AE}" pid="7" name="MSIP_Label_4b4c8e33-e9bd-4b03-9952-88e447410871_SetDate">
    <vt:lpwstr>2022-06-08T12:51:44Z</vt:lpwstr>
  </property>
  <property fmtid="{D5CDD505-2E9C-101B-9397-08002B2CF9AE}" pid="8" name="MSIP_Label_4b4c8e33-e9bd-4b03-9952-88e447410871_Method">
    <vt:lpwstr>Privileged</vt:lpwstr>
  </property>
  <property fmtid="{D5CDD505-2E9C-101B-9397-08002B2CF9AE}" pid="9" name="MSIP_Label_4b4c8e33-e9bd-4b03-9952-88e447410871_Name">
    <vt:lpwstr>OFFICIAL</vt:lpwstr>
  </property>
  <property fmtid="{D5CDD505-2E9C-101B-9397-08002B2CF9AE}" pid="10" name="MSIP_Label_4b4c8e33-e9bd-4b03-9952-88e447410871_SiteId">
    <vt:lpwstr>ee032e7f-73e4-457a-a0c4-cfbe17e33ceb</vt:lpwstr>
  </property>
  <property fmtid="{D5CDD505-2E9C-101B-9397-08002B2CF9AE}" pid="11" name="MSIP_Label_4b4c8e33-e9bd-4b03-9952-88e447410871_ActionId">
    <vt:lpwstr>301f9c06-50d3-4bb5-8dcf-a4f7a4a881da</vt:lpwstr>
  </property>
  <property fmtid="{D5CDD505-2E9C-101B-9397-08002B2CF9AE}" pid="12" name="MSIP_Label_4b4c8e33-e9bd-4b03-9952-88e447410871_ContentBits">
    <vt:lpwstr>3</vt:lpwstr>
  </property>
  <property fmtid="{D5CDD505-2E9C-101B-9397-08002B2CF9AE}" pid="13" name="MSIP_Label_c69e0218-afb7-4a04-8007-325c5c247b32_Enabled">
    <vt:lpwstr>true</vt:lpwstr>
  </property>
  <property fmtid="{D5CDD505-2E9C-101B-9397-08002B2CF9AE}" pid="14" name="MSIP_Label_c69e0218-afb7-4a04-8007-325c5c247b32_SetDate">
    <vt:lpwstr>2022-12-08T12:01:35Z</vt:lpwstr>
  </property>
  <property fmtid="{D5CDD505-2E9C-101B-9397-08002B2CF9AE}" pid="15" name="MSIP_Label_c69e0218-afb7-4a04-8007-325c5c247b32_Method">
    <vt:lpwstr>Privileged</vt:lpwstr>
  </property>
  <property fmtid="{D5CDD505-2E9C-101B-9397-08002B2CF9AE}" pid="16" name="MSIP_Label_c69e0218-afb7-4a04-8007-325c5c247b32_Name">
    <vt:lpwstr>Official Marked</vt:lpwstr>
  </property>
  <property fmtid="{D5CDD505-2E9C-101B-9397-08002B2CF9AE}" pid="17" name="MSIP_Label_c69e0218-afb7-4a04-8007-325c5c247b32_SiteId">
    <vt:lpwstr>54614f5e-b3b2-44cf-8a5b-39034b74de94</vt:lpwstr>
  </property>
  <property fmtid="{D5CDD505-2E9C-101B-9397-08002B2CF9AE}" pid="18" name="MSIP_Label_c69e0218-afb7-4a04-8007-325c5c247b32_ActionId">
    <vt:lpwstr>c697137c-255e-4a7d-b269-8f0fc2efdf92</vt:lpwstr>
  </property>
  <property fmtid="{D5CDD505-2E9C-101B-9397-08002B2CF9AE}" pid="19" name="MSIP_Label_c69e0218-afb7-4a04-8007-325c5c247b32_ContentBits">
    <vt:lpwstr>3</vt:lpwstr>
  </property>
  <property fmtid="{D5CDD505-2E9C-101B-9397-08002B2CF9AE}" pid="20" name="bjDocumentLabelXML">
    <vt:lpwstr>&lt;?xml version="1.0" encoding="us-ascii"?&gt;&lt;sisl xmlns:xsi="http://www.w3.org/2001/XMLSchema-instance" xmlns:xsd="http://www.w3.org/2001/XMLSchema" sislVersion="0" policy="fd403455-cda7-4c1b-b87f-02f0c0503f88" origin="userSelected" xmlns="http://www.boldonj</vt:lpwstr>
  </property>
  <property fmtid="{D5CDD505-2E9C-101B-9397-08002B2CF9AE}" pid="21" name="bjDocumentLabelXML-0">
    <vt:lpwstr>ames.com/2008/01/sie/internal/label"&gt;&lt;element uid="id_protective_marking_new_item_1" value="" /&gt;&lt;/sisl&gt;</vt:lpwstr>
  </property>
  <property fmtid="{D5CDD505-2E9C-101B-9397-08002B2CF9AE}" pid="22" name="bjDocumentSecurityLabel">
    <vt:lpwstr>[OFFICIAL NO MARKING]</vt:lpwstr>
  </property>
  <property fmtid="{D5CDD505-2E9C-101B-9397-08002B2CF9AE}" pid="23" name="bjpmDocIH">
    <vt:lpwstr>Evv+VFr80FA+8LyrNIX3HwNSHFMLet0n</vt:lpwstr>
  </property>
</Properties>
</file>