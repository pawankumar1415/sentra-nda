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comments1.xml" ContentType="application/vnd.openxmlformats-officedocument.spreadsheetml.comments+xml"/>
  <Override PartName="/xl/drawings/drawing3.xml" ContentType="application/vnd.openxmlformats-officedocument.drawing+xml"/>
  <Override PartName="/xl/drawings/drawing4.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codeName="ThisWorkbook" defaultThemeVersion="166925"/>
  <mc:AlternateContent xmlns:mc="http://schemas.openxmlformats.org/markup-compatibility/2006">
    <mc:Choice Requires="x15">
      <x15ac:absPath xmlns:x15ac="http://schemas.microsoft.com/office/spreadsheetml/2010/11/ac" url="Y:\REPORTING\NDA MPPR\25_26\Pd07\Exec Project Summary\"/>
    </mc:Choice>
  </mc:AlternateContent>
  <xr:revisionPtr revIDLastSave="0" documentId="13_ncr:1_{6A0CD400-0A62-4D55-A8EF-BED83CA9670E}" xr6:coauthVersionLast="47" xr6:coauthVersionMax="47" xr10:uidLastSave="{00000000-0000-0000-0000-000000000000}"/>
  <bookViews>
    <workbookView xWindow="-103" yWindow="-103" windowWidth="16663" windowHeight="8743" tabRatio="806" activeTab="2" xr2:uid="{C820F8FD-3578-4D1C-9590-105C125070C0}"/>
  </bookViews>
  <sheets>
    <sheet name="0) SL Project Structure" sheetId="1" r:id="rId1"/>
    <sheet name="0) SL Project Structure OLD" sheetId="2" state="hidden" r:id="rId2"/>
    <sheet name="1) Report" sheetId="3" r:id="rId3"/>
    <sheet name="3) BC and Sanction Changes PD6" sheetId="4" state="hidden" r:id="rId4"/>
    <sheet name="4) Baseline Changes" sheetId="5" state="hidden" r:id="rId5"/>
    <sheet name="2) Definitions" sheetId="6" r:id="rId6"/>
    <sheet name="3) BC and Sanction" sheetId="7" state="hidden" r:id="rId7"/>
    <sheet name="4b) SL EPO Extended Data Sheet" sheetId="8" r:id="rId8"/>
    <sheet name="Pd08 MPPR WD9" sheetId="9" state="hidden" r:id="rId9"/>
    <sheet name="Pd08 Extended MPPR WD9" sheetId="10" state="hidden" r:id="rId10"/>
    <sheet name="4a) SL EPO Data File" sheetId="11" state="hidden" r:id="rId11"/>
    <sheet name="P&amp;B Summary" sheetId="12" state="hidden" r:id="rId12"/>
    <sheet name="5a)NDA MPPR" sheetId="13" r:id="rId13"/>
    <sheet name="6) RAG Table" sheetId="14" r:id="rId14"/>
  </sheets>
  <definedNames>
    <definedName name="_xlnm._FilterDatabase" localSheetId="13" hidden="1">'6) RAG Table'!$BC$4:$BC$62</definedName>
    <definedName name="_xlnm.Print_Area" localSheetId="0">'0) SL Project Structure'!$A$1:$AW$70</definedName>
    <definedName name="_xlnm.Print_Area" localSheetId="1">'0) SL Project Structure OLD'!$A$1:$AL$68</definedName>
    <definedName name="_xlnm.Print_Area" localSheetId="2">'1) Report'!$B$2:$AM$140</definedName>
    <definedName name="_xlnm.Print_Area" localSheetId="5">'2) Definitions'!$A$2:$T$50</definedName>
    <definedName name="_xlnm.Print_Area" localSheetId="13">'6) RAG Table'!$B$1:$AA$112</definedName>
    <definedName name="_xlnm.Print_Area" localSheetId="11">'P&amp;B Summary'!$B$3:$J$18</definedName>
    <definedName name="_xlnm.Print_Titles" localSheetId="2">'1) Report'!$3:$6</definedName>
    <definedName name="Z_008CCD98_7480_4C51_806A_4B55C801DDC2_.wvu.Cols" localSheetId="13" hidden="1">'6) RAG Table'!$AB:$BA</definedName>
    <definedName name="Z_008CCD98_7480_4C51_806A_4B55C801DDC2_.wvu.FilterData" localSheetId="13" hidden="1">'6) RAG Table'!$BC$4:$BC$62</definedName>
    <definedName name="Z_008CCD98_7480_4C51_806A_4B55C801DDC2_.wvu.PrintArea" localSheetId="0" hidden="1">'0) SL Project Structure'!$A$1:$AL$82</definedName>
    <definedName name="Z_008CCD98_7480_4C51_806A_4B55C801DDC2_.wvu.PrintArea" localSheetId="1" hidden="1">'0) SL Project Structure OLD'!$A$1:$AL$68</definedName>
    <definedName name="Z_008CCD98_7480_4C51_806A_4B55C801DDC2_.wvu.PrintArea" localSheetId="2" hidden="1">'1) Report'!$B$2:$AM$141</definedName>
    <definedName name="Z_008CCD98_7480_4C51_806A_4B55C801DDC2_.wvu.PrintArea" localSheetId="11" hidden="1">'P&amp;B Summary'!$B$3:$J$18</definedName>
    <definedName name="Z_008CCD98_7480_4C51_806A_4B55C801DDC2_.wvu.PrintTitles" localSheetId="2" hidden="1">'1) Report'!$3:$6</definedName>
    <definedName name="Z_008CCD98_7480_4C51_806A_4B55C801DDC2_.wvu.Rows" localSheetId="2" hidden="1">'1) Report'!$1:$1</definedName>
    <definedName name="Z_008CCD98_7480_4C51_806A_4B55C801DDC2_.wvu.Rows" localSheetId="6" hidden="1">'3) BC and Sanction'!$1:$1</definedName>
    <definedName name="Z_008CCD98_7480_4C51_806A_4B55C801DDC2_.wvu.Rows" localSheetId="4" hidden="1">'4) Baseline Changes'!$1:$1</definedName>
    <definedName name="Z_008CCD98_7480_4C51_806A_4B55C801DDC2_.wvu.Rows" localSheetId="12" hidden="1">'5a)NDA MPPR'!$63:$101</definedName>
    <definedName name="Z_008CCD98_7480_4C51_806A_4B55C801DDC2_.wvu.Rows" localSheetId="13" hidden="1">'6) RAG Table'!$73:$78</definedName>
    <definedName name="Z_008CCD98_7480_4C51_806A_4B55C801DDC2_.wvu.Rows" localSheetId="11" hidden="1">'P&amp;B Summary'!$1:$1</definedName>
    <definedName name="Z_008CCD98_7480_4C51_806A_4B55C801DDC2_.wvu.Rows" localSheetId="9" hidden="1">'Pd08 Extended MPPR WD9'!$7:$7,'Pd08 Extended MPPR WD9'!$11:$11,'Pd08 Extended MPPR WD9'!$15:$15,'Pd08 Extended MPPR WD9'!$19:$19,'Pd08 Extended MPPR WD9'!$23:$23,'Pd08 Extended MPPR WD9'!$27:$27,'Pd08 Extended MPPR WD9'!$31:$31,'Pd08 Extended MPPR WD9'!$35:$35</definedName>
    <definedName name="Z_008CCD98_7480_4C51_806A_4B55C801DDC2_.wvu.Rows" localSheetId="8" hidden="1">'Pd08 MPPR WD9'!$7:$7,'Pd08 MPPR WD9'!$11:$11,'Pd08 MPPR WD9'!$15:$15,'Pd08 MPPR WD9'!$19:$19,'Pd08 MPPR WD9'!$23:$23,'Pd08 MPPR WD9'!$27:$27,'Pd08 MPPR WD9'!$31:$31,'Pd08 MPPR WD9'!$35:$35,'Pd08 MPPR WD9'!$39:$39,'Pd08 MPPR WD9'!$43:$43,'Pd08 MPPR WD9'!$47:$47,'Pd08 MPPR WD9'!$50:$50,'Pd08 MPPR WD9'!$53:$53</definedName>
    <definedName name="Z_016CEBB2_C827_48F4_95E1_85D8C5129F41_.wvu.Cols" localSheetId="13" hidden="1">'6) RAG Table'!$AB:$BA</definedName>
    <definedName name="Z_016CEBB2_C827_48F4_95E1_85D8C5129F41_.wvu.FilterData" localSheetId="13" hidden="1">'6) RAG Table'!$BC$4:$BC$62</definedName>
    <definedName name="Z_016CEBB2_C827_48F4_95E1_85D8C5129F41_.wvu.PrintArea" localSheetId="0" hidden="1">'0) SL Project Structure'!$A$1:$AL$82</definedName>
    <definedName name="Z_016CEBB2_C827_48F4_95E1_85D8C5129F41_.wvu.PrintArea" localSheetId="1" hidden="1">'0) SL Project Structure OLD'!$A$1:$AL$68</definedName>
    <definedName name="Z_016CEBB2_C827_48F4_95E1_85D8C5129F41_.wvu.PrintArea" localSheetId="2" hidden="1">'1) Report'!$B$2:$AM$141</definedName>
    <definedName name="Z_016CEBB2_C827_48F4_95E1_85D8C5129F41_.wvu.PrintArea" localSheetId="11" hidden="1">'P&amp;B Summary'!$B$3:$J$18</definedName>
    <definedName name="Z_016CEBB2_C827_48F4_95E1_85D8C5129F41_.wvu.PrintTitles" localSheetId="2" hidden="1">'1) Report'!$3:$6</definedName>
    <definedName name="Z_016CEBB2_C827_48F4_95E1_85D8C5129F41_.wvu.Rows" localSheetId="2" hidden="1">'1) Report'!$1:$1</definedName>
    <definedName name="Z_016CEBB2_C827_48F4_95E1_85D8C5129F41_.wvu.Rows" localSheetId="6" hidden="1">'3) BC and Sanction'!$1:$1</definedName>
    <definedName name="Z_016CEBB2_C827_48F4_95E1_85D8C5129F41_.wvu.Rows" localSheetId="4" hidden="1">'4) Baseline Changes'!$1:$1</definedName>
    <definedName name="Z_016CEBB2_C827_48F4_95E1_85D8C5129F41_.wvu.Rows" localSheetId="12" hidden="1">'5a)NDA MPPR'!$63:$101</definedName>
    <definedName name="Z_016CEBB2_C827_48F4_95E1_85D8C5129F41_.wvu.Rows" localSheetId="13" hidden="1">'6) RAG Table'!$73:$78</definedName>
    <definedName name="Z_016CEBB2_C827_48F4_95E1_85D8C5129F41_.wvu.Rows" localSheetId="11" hidden="1">'P&amp;B Summary'!$1:$1</definedName>
    <definedName name="Z_016CEBB2_C827_48F4_95E1_85D8C5129F41_.wvu.Rows" localSheetId="9" hidden="1">'Pd08 Extended MPPR WD9'!$7:$7,'Pd08 Extended MPPR WD9'!$11:$11,'Pd08 Extended MPPR WD9'!$15:$15,'Pd08 Extended MPPR WD9'!$19:$19,'Pd08 Extended MPPR WD9'!$23:$23,'Pd08 Extended MPPR WD9'!$27:$27,'Pd08 Extended MPPR WD9'!$31:$31,'Pd08 Extended MPPR WD9'!$35:$35</definedName>
    <definedName name="Z_016CEBB2_C827_48F4_95E1_85D8C5129F41_.wvu.Rows" localSheetId="8" hidden="1">'Pd08 MPPR WD9'!$7:$7,'Pd08 MPPR WD9'!$11:$11,'Pd08 MPPR WD9'!$15:$15,'Pd08 MPPR WD9'!$19:$19,'Pd08 MPPR WD9'!$23:$23,'Pd08 MPPR WD9'!$27:$27,'Pd08 MPPR WD9'!$31:$31,'Pd08 MPPR WD9'!$35:$35,'Pd08 MPPR WD9'!$39:$39,'Pd08 MPPR WD9'!$43:$43,'Pd08 MPPR WD9'!$47:$47,'Pd08 MPPR WD9'!$50:$50,'Pd08 MPPR WD9'!$53:$53</definedName>
    <definedName name="Z_151EB58C_4EFD_4330_8D1A_8AACF5F7C679_.wvu.Cols" localSheetId="2" hidden="1">'1) Report'!$AO:$AU</definedName>
    <definedName name="Z_151EB58C_4EFD_4330_8D1A_8AACF5F7C679_.wvu.Cols" localSheetId="13" hidden="1">'6) RAG Table'!$AB:$BE</definedName>
    <definedName name="Z_151EB58C_4EFD_4330_8D1A_8AACF5F7C679_.wvu.FilterData" localSheetId="13" hidden="1">'6) RAG Table'!$BC$4:$BC$62</definedName>
    <definedName name="Z_151EB58C_4EFD_4330_8D1A_8AACF5F7C679_.wvu.PrintArea" localSheetId="0" hidden="1">'0) SL Project Structure'!$A$1:$AL$82</definedName>
    <definedName name="Z_151EB58C_4EFD_4330_8D1A_8AACF5F7C679_.wvu.PrintArea" localSheetId="1" hidden="1">'0) SL Project Structure OLD'!$A$1:$AL$68</definedName>
    <definedName name="Z_151EB58C_4EFD_4330_8D1A_8AACF5F7C679_.wvu.PrintArea" localSheetId="2" hidden="1">'1) Report'!$B$2:$AM$141</definedName>
    <definedName name="Z_151EB58C_4EFD_4330_8D1A_8AACF5F7C679_.wvu.PrintArea" localSheetId="11" hidden="1">'P&amp;B Summary'!$B$3:$J$18</definedName>
    <definedName name="Z_151EB58C_4EFD_4330_8D1A_8AACF5F7C679_.wvu.PrintTitles" localSheetId="2" hidden="1">'1) Report'!$3:$6</definedName>
    <definedName name="Z_151EB58C_4EFD_4330_8D1A_8AACF5F7C679_.wvu.Rows" localSheetId="2" hidden="1">'1) Report'!$1:$1,'1) Report'!$16:$16,'1) Report'!#REF!,'1) Report'!$52:$52,'1) Report'!$123:$123,'1) Report'!#REF!</definedName>
    <definedName name="Z_151EB58C_4EFD_4330_8D1A_8AACF5F7C679_.wvu.Rows" localSheetId="6" hidden="1">'3) BC and Sanction'!$1:$1</definedName>
    <definedName name="Z_151EB58C_4EFD_4330_8D1A_8AACF5F7C679_.wvu.Rows" localSheetId="4" hidden="1">'4) Baseline Changes'!$1:$1</definedName>
    <definedName name="Z_151EB58C_4EFD_4330_8D1A_8AACF5F7C679_.wvu.Rows" localSheetId="12" hidden="1">'5a)NDA MPPR'!$63:$101</definedName>
    <definedName name="Z_151EB58C_4EFD_4330_8D1A_8AACF5F7C679_.wvu.Rows" localSheetId="13" hidden="1">'6) RAG Table'!$73:$78</definedName>
    <definedName name="Z_151EB58C_4EFD_4330_8D1A_8AACF5F7C679_.wvu.Rows" localSheetId="11" hidden="1">'P&amp;B Summary'!$1:$1</definedName>
    <definedName name="Z_151EB58C_4EFD_4330_8D1A_8AACF5F7C679_.wvu.Rows" localSheetId="9" hidden="1">'Pd08 Extended MPPR WD9'!$7:$7,'Pd08 Extended MPPR WD9'!$11:$11,'Pd08 Extended MPPR WD9'!$15:$15,'Pd08 Extended MPPR WD9'!$19:$19,'Pd08 Extended MPPR WD9'!$23:$23,'Pd08 Extended MPPR WD9'!$27:$27,'Pd08 Extended MPPR WD9'!$31:$31,'Pd08 Extended MPPR WD9'!$35:$35</definedName>
    <definedName name="Z_151EB58C_4EFD_4330_8D1A_8AACF5F7C679_.wvu.Rows" localSheetId="8" hidden="1">'Pd08 MPPR WD9'!$7:$7,'Pd08 MPPR WD9'!$11:$11,'Pd08 MPPR WD9'!$15:$15,'Pd08 MPPR WD9'!$19:$19,'Pd08 MPPR WD9'!$23:$23,'Pd08 MPPR WD9'!$27:$27,'Pd08 MPPR WD9'!$31:$31,'Pd08 MPPR WD9'!$35:$35,'Pd08 MPPR WD9'!$39:$39,'Pd08 MPPR WD9'!$43:$43,'Pd08 MPPR WD9'!$47:$47,'Pd08 MPPR WD9'!$50:$50,'Pd08 MPPR WD9'!$53:$53</definedName>
    <definedName name="Z_1ECD6E30_299B_4354_A416_2DAFF33C7022_.wvu.Cols" localSheetId="2" hidden="1">'1) Report'!$AO:$AU</definedName>
    <definedName name="Z_1ECD6E30_299B_4354_A416_2DAFF33C7022_.wvu.Cols" localSheetId="13" hidden="1">'6) RAG Table'!$AB:$BE</definedName>
    <definedName name="Z_1ECD6E30_299B_4354_A416_2DAFF33C7022_.wvu.FilterData" localSheetId="13" hidden="1">'6) RAG Table'!$BC$4:$BC$62</definedName>
    <definedName name="Z_1ECD6E30_299B_4354_A416_2DAFF33C7022_.wvu.PrintArea" localSheetId="2" hidden="1">'1) Report'!$B$2:$AM$140</definedName>
    <definedName name="Z_1ECD6E30_299B_4354_A416_2DAFF33C7022_.wvu.PrintArea" localSheetId="13" hidden="1">'6) RAG Table'!$B$1:$AA$105</definedName>
    <definedName name="Z_1ECD6E30_299B_4354_A416_2DAFF33C7022_.wvu.PrintArea" localSheetId="11" hidden="1">'P&amp;B Summary'!$B$3:$J$18</definedName>
    <definedName name="Z_1ECD6E30_299B_4354_A416_2DAFF33C7022_.wvu.PrintTitles" localSheetId="2" hidden="1">'1) Report'!$3:$6</definedName>
    <definedName name="Z_1ECD6E30_299B_4354_A416_2DAFF33C7022_.wvu.Rows" localSheetId="2" hidden="1">'1) Report'!$1:$1,'1) Report'!$91:$91,'1) Report'!$123:$123</definedName>
    <definedName name="Z_1ECD6E30_299B_4354_A416_2DAFF33C7022_.wvu.Rows" localSheetId="6" hidden="1">'3) BC and Sanction'!$1:$1</definedName>
    <definedName name="Z_1ECD6E30_299B_4354_A416_2DAFF33C7022_.wvu.Rows" localSheetId="4" hidden="1">'4) Baseline Changes'!$1:$1</definedName>
    <definedName name="Z_1ECD6E30_299B_4354_A416_2DAFF33C7022_.wvu.Rows" localSheetId="12" hidden="1">'5a)NDA MPPR'!$63:$101</definedName>
    <definedName name="Z_1ECD6E30_299B_4354_A416_2DAFF33C7022_.wvu.Rows" localSheetId="13" hidden="1">'6) RAG Table'!$73:$78</definedName>
    <definedName name="Z_1ECD6E30_299B_4354_A416_2DAFF33C7022_.wvu.Rows" localSheetId="11" hidden="1">'P&amp;B Summary'!$1:$1</definedName>
    <definedName name="Z_1ECD6E30_299B_4354_A416_2DAFF33C7022_.wvu.Rows" localSheetId="9" hidden="1">'Pd08 Extended MPPR WD9'!$7:$7,'Pd08 Extended MPPR WD9'!$11:$11,'Pd08 Extended MPPR WD9'!$15:$15,'Pd08 Extended MPPR WD9'!$19:$19,'Pd08 Extended MPPR WD9'!$23:$23,'Pd08 Extended MPPR WD9'!$27:$27,'Pd08 Extended MPPR WD9'!$31:$31,'Pd08 Extended MPPR WD9'!$35:$35</definedName>
    <definedName name="Z_1ECD6E30_299B_4354_A416_2DAFF33C7022_.wvu.Rows" localSheetId="8" hidden="1">'Pd08 MPPR WD9'!$7:$7,'Pd08 MPPR WD9'!$11:$11,'Pd08 MPPR WD9'!$15:$15,'Pd08 MPPR WD9'!$19:$19,'Pd08 MPPR WD9'!$23:$23,'Pd08 MPPR WD9'!$27:$27,'Pd08 MPPR WD9'!$31:$31,'Pd08 MPPR WD9'!$35:$35,'Pd08 MPPR WD9'!$39:$39,'Pd08 MPPR WD9'!$43:$43,'Pd08 MPPR WD9'!$47:$47,'Pd08 MPPR WD9'!$50:$50,'Pd08 MPPR WD9'!$53:$53</definedName>
    <definedName name="Z_2608BE9B_66AC_4D4C_8EE0_E88C94E88140_.wvu.Cols" localSheetId="2" hidden="1">'1) Report'!$AO:$AU</definedName>
    <definedName name="Z_2608BE9B_66AC_4D4C_8EE0_E88C94E88140_.wvu.Cols" localSheetId="13" hidden="1">'6) RAG Table'!$AB:$BE</definedName>
    <definedName name="Z_2608BE9B_66AC_4D4C_8EE0_E88C94E88140_.wvu.FilterData" localSheetId="13" hidden="1">'6) RAG Table'!$BC$4:$BC$62</definedName>
    <definedName name="Z_2608BE9B_66AC_4D4C_8EE0_E88C94E88140_.wvu.PrintArea" localSheetId="0" hidden="1">'0) SL Project Structure'!$A$1:$AL$82</definedName>
    <definedName name="Z_2608BE9B_66AC_4D4C_8EE0_E88C94E88140_.wvu.PrintArea" localSheetId="1" hidden="1">'0) SL Project Structure OLD'!$A$1:$AL$68</definedName>
    <definedName name="Z_2608BE9B_66AC_4D4C_8EE0_E88C94E88140_.wvu.PrintArea" localSheetId="2" hidden="1">'1) Report'!$B$2:$AM$140</definedName>
    <definedName name="Z_2608BE9B_66AC_4D4C_8EE0_E88C94E88140_.wvu.PrintArea" localSheetId="5" hidden="1">'2) Definitions'!$A$2:$T$50</definedName>
    <definedName name="Z_2608BE9B_66AC_4D4C_8EE0_E88C94E88140_.wvu.PrintArea" localSheetId="13" hidden="1">'6) RAG Table'!$A$1:$AA$101</definedName>
    <definedName name="Z_2608BE9B_66AC_4D4C_8EE0_E88C94E88140_.wvu.PrintArea" localSheetId="11" hidden="1">'P&amp;B Summary'!$B$3:$J$18</definedName>
    <definedName name="Z_2608BE9B_66AC_4D4C_8EE0_E88C94E88140_.wvu.PrintTitles" localSheetId="2" hidden="1">'1) Report'!$3:$6</definedName>
    <definedName name="Z_2608BE9B_66AC_4D4C_8EE0_E88C94E88140_.wvu.Rows" localSheetId="2" hidden="1">'1) Report'!$1:$1,'1) Report'!$10:$10,'1) Report'!$16:$16,'1) Report'!$45:$45,'1) Report'!$52:$52,'1) Report'!$91:$91,'1) Report'!$123:$123</definedName>
    <definedName name="Z_2608BE9B_66AC_4D4C_8EE0_E88C94E88140_.wvu.Rows" localSheetId="6" hidden="1">'3) BC and Sanction'!$1:$1</definedName>
    <definedName name="Z_2608BE9B_66AC_4D4C_8EE0_E88C94E88140_.wvu.Rows" localSheetId="4" hidden="1">'4) Baseline Changes'!$1:$1</definedName>
    <definedName name="Z_2608BE9B_66AC_4D4C_8EE0_E88C94E88140_.wvu.Rows" localSheetId="12" hidden="1">'5a)NDA MPPR'!$63:$101</definedName>
    <definedName name="Z_2608BE9B_66AC_4D4C_8EE0_E88C94E88140_.wvu.Rows" localSheetId="13" hidden="1">'6) RAG Table'!$73:$78</definedName>
    <definedName name="Z_2608BE9B_66AC_4D4C_8EE0_E88C94E88140_.wvu.Rows" localSheetId="11" hidden="1">'P&amp;B Summary'!$1:$1</definedName>
    <definedName name="Z_2608BE9B_66AC_4D4C_8EE0_E88C94E88140_.wvu.Rows" localSheetId="9" hidden="1">'Pd08 Extended MPPR WD9'!$7:$7,'Pd08 Extended MPPR WD9'!$11:$11,'Pd08 Extended MPPR WD9'!$15:$15,'Pd08 Extended MPPR WD9'!$19:$19,'Pd08 Extended MPPR WD9'!$23:$23,'Pd08 Extended MPPR WD9'!$27:$27,'Pd08 Extended MPPR WD9'!$31:$31,'Pd08 Extended MPPR WD9'!$35:$35</definedName>
    <definedName name="Z_2608BE9B_66AC_4D4C_8EE0_E88C94E88140_.wvu.Rows" localSheetId="8" hidden="1">'Pd08 MPPR WD9'!$7:$7,'Pd08 MPPR WD9'!$11:$11,'Pd08 MPPR WD9'!$15:$15,'Pd08 MPPR WD9'!$19:$19,'Pd08 MPPR WD9'!$23:$23,'Pd08 MPPR WD9'!$27:$27,'Pd08 MPPR WD9'!$31:$31,'Pd08 MPPR WD9'!$35:$35,'Pd08 MPPR WD9'!$39:$39,'Pd08 MPPR WD9'!$43:$43,'Pd08 MPPR WD9'!$47:$47,'Pd08 MPPR WD9'!$50:$50,'Pd08 MPPR WD9'!$53:$53</definedName>
    <definedName name="Z_29AC9BE3_332A_4738_949C_1F8C0D32BAEE_.wvu.Cols" localSheetId="2" hidden="1">'1) Report'!$AO:$AU</definedName>
    <definedName name="Z_29AC9BE3_332A_4738_949C_1F8C0D32BAEE_.wvu.Cols" localSheetId="13" hidden="1">'6) RAG Table'!$AB:$BE</definedName>
    <definedName name="Z_29AC9BE3_332A_4738_949C_1F8C0D32BAEE_.wvu.FilterData" localSheetId="13" hidden="1">'6) RAG Table'!$BC$4:$BC$62</definedName>
    <definedName name="Z_29AC9BE3_332A_4738_949C_1F8C0D32BAEE_.wvu.PrintArea" localSheetId="0" hidden="1">'0) SL Project Structure'!$A$1:$AL$82</definedName>
    <definedName name="Z_29AC9BE3_332A_4738_949C_1F8C0D32BAEE_.wvu.PrintArea" localSheetId="1" hidden="1">'0) SL Project Structure OLD'!$A$1:$AL$68</definedName>
    <definedName name="Z_29AC9BE3_332A_4738_949C_1F8C0D32BAEE_.wvu.PrintArea" localSheetId="2" hidden="1">'1) Report'!$B$2:$AM$140</definedName>
    <definedName name="Z_29AC9BE3_332A_4738_949C_1F8C0D32BAEE_.wvu.PrintArea" localSheetId="5" hidden="1">'2) Definitions'!$A$2:$T$50</definedName>
    <definedName name="Z_29AC9BE3_332A_4738_949C_1F8C0D32BAEE_.wvu.PrintArea" localSheetId="13" hidden="1">'6) RAG Table'!$B$1:$AA$98</definedName>
    <definedName name="Z_29AC9BE3_332A_4738_949C_1F8C0D32BAEE_.wvu.PrintArea" localSheetId="11" hidden="1">'P&amp;B Summary'!$B$3:$J$18</definedName>
    <definedName name="Z_29AC9BE3_332A_4738_949C_1F8C0D32BAEE_.wvu.PrintTitles" localSheetId="2" hidden="1">'1) Report'!$3:$6</definedName>
    <definedName name="Z_29AC9BE3_332A_4738_949C_1F8C0D32BAEE_.wvu.Rows" localSheetId="2" hidden="1">'1) Report'!$1:$1,'1) Report'!$10:$10,'1) Report'!$16:$16,'1) Report'!$45:$45,'1) Report'!$52:$52,'1) Report'!$91:$91,'1) Report'!$123:$123</definedName>
    <definedName name="Z_29AC9BE3_332A_4738_949C_1F8C0D32BAEE_.wvu.Rows" localSheetId="6" hidden="1">'3) BC and Sanction'!$1:$1</definedName>
    <definedName name="Z_29AC9BE3_332A_4738_949C_1F8C0D32BAEE_.wvu.Rows" localSheetId="4" hidden="1">'4) Baseline Changes'!$1:$1</definedName>
    <definedName name="Z_29AC9BE3_332A_4738_949C_1F8C0D32BAEE_.wvu.Rows" localSheetId="12" hidden="1">'5a)NDA MPPR'!$63:$101</definedName>
    <definedName name="Z_29AC9BE3_332A_4738_949C_1F8C0D32BAEE_.wvu.Rows" localSheetId="13" hidden="1">'6) RAG Table'!$73:$78</definedName>
    <definedName name="Z_29AC9BE3_332A_4738_949C_1F8C0D32BAEE_.wvu.Rows" localSheetId="11" hidden="1">'P&amp;B Summary'!$1:$1</definedName>
    <definedName name="Z_29AC9BE3_332A_4738_949C_1F8C0D32BAEE_.wvu.Rows" localSheetId="9" hidden="1">'Pd08 Extended MPPR WD9'!$7:$7,'Pd08 Extended MPPR WD9'!$11:$11,'Pd08 Extended MPPR WD9'!$15:$15,'Pd08 Extended MPPR WD9'!$19:$19,'Pd08 Extended MPPR WD9'!$23:$23,'Pd08 Extended MPPR WD9'!$27:$27,'Pd08 Extended MPPR WD9'!$31:$31,'Pd08 Extended MPPR WD9'!$35:$35</definedName>
    <definedName name="Z_29AC9BE3_332A_4738_949C_1F8C0D32BAEE_.wvu.Rows" localSheetId="8" hidden="1">'Pd08 MPPR WD9'!$7:$7,'Pd08 MPPR WD9'!$11:$11,'Pd08 MPPR WD9'!$15:$15,'Pd08 MPPR WD9'!$19:$19,'Pd08 MPPR WD9'!$23:$23,'Pd08 MPPR WD9'!$27:$27,'Pd08 MPPR WD9'!$31:$31,'Pd08 MPPR WD9'!$35:$35,'Pd08 MPPR WD9'!$39:$39,'Pd08 MPPR WD9'!$43:$43,'Pd08 MPPR WD9'!$47:$47,'Pd08 MPPR WD9'!$50:$50,'Pd08 MPPR WD9'!$53:$53</definedName>
    <definedName name="Z_2EA8DBF7_9763_457C_AA9F_1EEB2F136D1F_.wvu.Cols" localSheetId="2" hidden="1">'1) Report'!$AO:$AU</definedName>
    <definedName name="Z_2EA8DBF7_9763_457C_AA9F_1EEB2F136D1F_.wvu.Cols" localSheetId="13" hidden="1">'6) RAG Table'!$AB:$BE</definedName>
    <definedName name="Z_2EA8DBF7_9763_457C_AA9F_1EEB2F136D1F_.wvu.FilterData" localSheetId="13" hidden="1">'6) RAG Table'!$BC$4:$BC$62</definedName>
    <definedName name="Z_2EA8DBF7_9763_457C_AA9F_1EEB2F136D1F_.wvu.PrintArea" localSheetId="0" hidden="1">'0) SL Project Structure'!$A$1:$AL$82</definedName>
    <definedName name="Z_2EA8DBF7_9763_457C_AA9F_1EEB2F136D1F_.wvu.PrintArea" localSheetId="1" hidden="1">'0) SL Project Structure OLD'!$A$1:$AL$68</definedName>
    <definedName name="Z_2EA8DBF7_9763_457C_AA9F_1EEB2F136D1F_.wvu.PrintArea" localSheetId="2" hidden="1">'1) Report'!$B$2:$AM$140</definedName>
    <definedName name="Z_2EA8DBF7_9763_457C_AA9F_1EEB2F136D1F_.wvu.PrintArea" localSheetId="5" hidden="1">'2) Definitions'!$A$2:$T$50</definedName>
    <definedName name="Z_2EA8DBF7_9763_457C_AA9F_1EEB2F136D1F_.wvu.PrintArea" localSheetId="13" hidden="1">'6) RAG Table'!$A$1:$AA$101</definedName>
    <definedName name="Z_2EA8DBF7_9763_457C_AA9F_1EEB2F136D1F_.wvu.PrintArea" localSheetId="11" hidden="1">'P&amp;B Summary'!$B$3:$J$18</definedName>
    <definedName name="Z_2EA8DBF7_9763_457C_AA9F_1EEB2F136D1F_.wvu.PrintTitles" localSheetId="2" hidden="1">'1) Report'!$3:$6</definedName>
    <definedName name="Z_2EA8DBF7_9763_457C_AA9F_1EEB2F136D1F_.wvu.Rows" localSheetId="2" hidden="1">'1) Report'!$1:$1,'1) Report'!$10:$10,'1) Report'!$16:$16,'1) Report'!$45:$45,'1) Report'!$52:$52,'1) Report'!$91:$91,'1) Report'!$123:$123</definedName>
    <definedName name="Z_2EA8DBF7_9763_457C_AA9F_1EEB2F136D1F_.wvu.Rows" localSheetId="6" hidden="1">'3) BC and Sanction'!$1:$1</definedName>
    <definedName name="Z_2EA8DBF7_9763_457C_AA9F_1EEB2F136D1F_.wvu.Rows" localSheetId="4" hidden="1">'4) Baseline Changes'!$1:$1</definedName>
    <definedName name="Z_2EA8DBF7_9763_457C_AA9F_1EEB2F136D1F_.wvu.Rows" localSheetId="12" hidden="1">'5a)NDA MPPR'!$63:$101</definedName>
    <definedName name="Z_2EA8DBF7_9763_457C_AA9F_1EEB2F136D1F_.wvu.Rows" localSheetId="13" hidden="1">'6) RAG Table'!$73:$78</definedName>
    <definedName name="Z_2EA8DBF7_9763_457C_AA9F_1EEB2F136D1F_.wvu.Rows" localSheetId="11" hidden="1">'P&amp;B Summary'!$1:$1</definedName>
    <definedName name="Z_2EA8DBF7_9763_457C_AA9F_1EEB2F136D1F_.wvu.Rows" localSheetId="9" hidden="1">'Pd08 Extended MPPR WD9'!$7:$7,'Pd08 Extended MPPR WD9'!$11:$11,'Pd08 Extended MPPR WD9'!$15:$15,'Pd08 Extended MPPR WD9'!$19:$19,'Pd08 Extended MPPR WD9'!$23:$23,'Pd08 Extended MPPR WD9'!$27:$27,'Pd08 Extended MPPR WD9'!$31:$31,'Pd08 Extended MPPR WD9'!$35:$35</definedName>
    <definedName name="Z_2EA8DBF7_9763_457C_AA9F_1EEB2F136D1F_.wvu.Rows" localSheetId="8" hidden="1">'Pd08 MPPR WD9'!$7:$7,'Pd08 MPPR WD9'!$11:$11,'Pd08 MPPR WD9'!$15:$15,'Pd08 MPPR WD9'!$19:$19,'Pd08 MPPR WD9'!$23:$23,'Pd08 MPPR WD9'!$27:$27,'Pd08 MPPR WD9'!$31:$31,'Pd08 MPPR WD9'!$35:$35,'Pd08 MPPR WD9'!$39:$39,'Pd08 MPPR WD9'!$43:$43,'Pd08 MPPR WD9'!$47:$47,'Pd08 MPPR WD9'!$50:$50,'Pd08 MPPR WD9'!$53:$53</definedName>
    <definedName name="Z_351EFD38_BF62_4E34_A37F_0EEB3E165043_.wvu.Cols" localSheetId="13" hidden="1">'6) RAG Table'!$AB:$BE</definedName>
    <definedName name="Z_351EFD38_BF62_4E34_A37F_0EEB3E165043_.wvu.FilterData" localSheetId="13" hidden="1">'6) RAG Table'!$BC$4:$BC$62</definedName>
    <definedName name="Z_351EFD38_BF62_4E34_A37F_0EEB3E165043_.wvu.PrintArea" localSheetId="0" hidden="1">'0) SL Project Structure'!$A$1:$AL$82</definedName>
    <definedName name="Z_351EFD38_BF62_4E34_A37F_0EEB3E165043_.wvu.PrintArea" localSheetId="1" hidden="1">'0) SL Project Structure OLD'!$A$1:$AL$68</definedName>
    <definedName name="Z_351EFD38_BF62_4E34_A37F_0EEB3E165043_.wvu.PrintArea" localSheetId="2" hidden="1">'1) Report'!$B$2:$AM$141</definedName>
    <definedName name="Z_351EFD38_BF62_4E34_A37F_0EEB3E165043_.wvu.PrintArea" localSheetId="11" hidden="1">'P&amp;B Summary'!$B$3:$J$18</definedName>
    <definedName name="Z_351EFD38_BF62_4E34_A37F_0EEB3E165043_.wvu.PrintTitles" localSheetId="2" hidden="1">'1) Report'!$3:$6</definedName>
    <definedName name="Z_351EFD38_BF62_4E34_A37F_0EEB3E165043_.wvu.Rows" localSheetId="2" hidden="1">'1) Report'!$1:$1,'1) Report'!$16:$16,'1) Report'!#REF!,'1) Report'!$52:$52,'1) Report'!#REF!,'1) Report'!$123:$123,'1) Report'!#REF!,'1) Report'!#REF!</definedName>
    <definedName name="Z_351EFD38_BF62_4E34_A37F_0EEB3E165043_.wvu.Rows" localSheetId="6" hidden="1">'3) BC and Sanction'!$1:$1</definedName>
    <definedName name="Z_351EFD38_BF62_4E34_A37F_0EEB3E165043_.wvu.Rows" localSheetId="4" hidden="1">'4) Baseline Changes'!$1:$1</definedName>
    <definedName name="Z_351EFD38_BF62_4E34_A37F_0EEB3E165043_.wvu.Rows" localSheetId="12" hidden="1">'5a)NDA MPPR'!$63:$101</definedName>
    <definedName name="Z_351EFD38_BF62_4E34_A37F_0EEB3E165043_.wvu.Rows" localSheetId="13" hidden="1">'6) RAG Table'!$73:$78</definedName>
    <definedName name="Z_351EFD38_BF62_4E34_A37F_0EEB3E165043_.wvu.Rows" localSheetId="11" hidden="1">'P&amp;B Summary'!$1:$1</definedName>
    <definedName name="Z_351EFD38_BF62_4E34_A37F_0EEB3E165043_.wvu.Rows" localSheetId="9" hidden="1">'Pd08 Extended MPPR WD9'!$7:$7,'Pd08 Extended MPPR WD9'!$11:$11,'Pd08 Extended MPPR WD9'!$15:$15,'Pd08 Extended MPPR WD9'!$19:$19,'Pd08 Extended MPPR WD9'!$23:$23,'Pd08 Extended MPPR WD9'!$27:$27,'Pd08 Extended MPPR WD9'!$31:$31,'Pd08 Extended MPPR WD9'!$35:$35</definedName>
    <definedName name="Z_351EFD38_BF62_4E34_A37F_0EEB3E165043_.wvu.Rows" localSheetId="8" hidden="1">'Pd08 MPPR WD9'!$7:$7,'Pd08 MPPR WD9'!$11:$11,'Pd08 MPPR WD9'!$15:$15,'Pd08 MPPR WD9'!$19:$19,'Pd08 MPPR WD9'!$23:$23,'Pd08 MPPR WD9'!$27:$27,'Pd08 MPPR WD9'!$31:$31,'Pd08 MPPR WD9'!$35:$35,'Pd08 MPPR WD9'!$39:$39,'Pd08 MPPR WD9'!$43:$43,'Pd08 MPPR WD9'!$47:$47,'Pd08 MPPR WD9'!$50:$50,'Pd08 MPPR WD9'!$53:$53</definedName>
    <definedName name="Z_37F5A0AB_EB39_4832_9D67_F67D908BF486_.wvu.Cols" localSheetId="2" hidden="1">'1) Report'!$AO:$AU</definedName>
    <definedName name="Z_37F5A0AB_EB39_4832_9D67_F67D908BF486_.wvu.Cols" localSheetId="13" hidden="1">'6) RAG Table'!$AB:$BE</definedName>
    <definedName name="Z_37F5A0AB_EB39_4832_9D67_F67D908BF486_.wvu.FilterData" localSheetId="13" hidden="1">'6) RAG Table'!$BC$4:$BC$62</definedName>
    <definedName name="Z_37F5A0AB_EB39_4832_9D67_F67D908BF486_.wvu.PrintArea" localSheetId="0" hidden="1">'0) SL Project Structure'!$A$1:$AL$82</definedName>
    <definedName name="Z_37F5A0AB_EB39_4832_9D67_F67D908BF486_.wvu.PrintArea" localSheetId="1" hidden="1">'0) SL Project Structure OLD'!$A$1:$AL$68</definedName>
    <definedName name="Z_37F5A0AB_EB39_4832_9D67_F67D908BF486_.wvu.PrintArea" localSheetId="2" hidden="1">'1) Report'!$B$2:$AM$140</definedName>
    <definedName name="Z_37F5A0AB_EB39_4832_9D67_F67D908BF486_.wvu.PrintArea" localSheetId="5" hidden="1">'2) Definitions'!$A$2:$T$50</definedName>
    <definedName name="Z_37F5A0AB_EB39_4832_9D67_F67D908BF486_.wvu.PrintArea" localSheetId="13" hidden="1">'6) RAG Table'!$A$1:$AA$101</definedName>
    <definedName name="Z_37F5A0AB_EB39_4832_9D67_F67D908BF486_.wvu.PrintArea" localSheetId="11" hidden="1">'P&amp;B Summary'!$B$3:$J$18</definedName>
    <definedName name="Z_37F5A0AB_EB39_4832_9D67_F67D908BF486_.wvu.PrintTitles" localSheetId="2" hidden="1">'1) Report'!$3:$6</definedName>
    <definedName name="Z_37F5A0AB_EB39_4832_9D67_F67D908BF486_.wvu.Rows" localSheetId="2" hidden="1">'1) Report'!$1:$1,'1) Report'!$10:$10,'1) Report'!$16:$16,'1) Report'!$45:$45,'1) Report'!$52:$52,'1) Report'!$91:$91,'1) Report'!$123:$123</definedName>
    <definedName name="Z_37F5A0AB_EB39_4832_9D67_F67D908BF486_.wvu.Rows" localSheetId="6" hidden="1">'3) BC and Sanction'!$1:$1</definedName>
    <definedName name="Z_37F5A0AB_EB39_4832_9D67_F67D908BF486_.wvu.Rows" localSheetId="4" hidden="1">'4) Baseline Changes'!$1:$1</definedName>
    <definedName name="Z_37F5A0AB_EB39_4832_9D67_F67D908BF486_.wvu.Rows" localSheetId="12" hidden="1">'5a)NDA MPPR'!$63:$101</definedName>
    <definedName name="Z_37F5A0AB_EB39_4832_9D67_F67D908BF486_.wvu.Rows" localSheetId="13" hidden="1">'6) RAG Table'!$73:$78</definedName>
    <definedName name="Z_37F5A0AB_EB39_4832_9D67_F67D908BF486_.wvu.Rows" localSheetId="11" hidden="1">'P&amp;B Summary'!$1:$1</definedName>
    <definedName name="Z_37F5A0AB_EB39_4832_9D67_F67D908BF486_.wvu.Rows" localSheetId="9" hidden="1">'Pd08 Extended MPPR WD9'!$7:$7,'Pd08 Extended MPPR WD9'!$11:$11,'Pd08 Extended MPPR WD9'!$15:$15,'Pd08 Extended MPPR WD9'!$19:$19,'Pd08 Extended MPPR WD9'!$23:$23,'Pd08 Extended MPPR WD9'!$27:$27,'Pd08 Extended MPPR WD9'!$31:$31,'Pd08 Extended MPPR WD9'!$35:$35</definedName>
    <definedName name="Z_37F5A0AB_EB39_4832_9D67_F67D908BF486_.wvu.Rows" localSheetId="8" hidden="1">'Pd08 MPPR WD9'!$7:$7,'Pd08 MPPR WD9'!$11:$11,'Pd08 MPPR WD9'!$15:$15,'Pd08 MPPR WD9'!$19:$19,'Pd08 MPPR WD9'!$23:$23,'Pd08 MPPR WD9'!$27:$27,'Pd08 MPPR WD9'!$31:$31,'Pd08 MPPR WD9'!$35:$35,'Pd08 MPPR WD9'!$39:$39,'Pd08 MPPR WD9'!$43:$43,'Pd08 MPPR WD9'!$47:$47,'Pd08 MPPR WD9'!$50:$50,'Pd08 MPPR WD9'!$53:$53</definedName>
    <definedName name="Z_3827E543_57D2_48C8_B786_7077EA079DD2_.wvu.Cols" localSheetId="2" hidden="1">'1) Report'!$AO:$AU</definedName>
    <definedName name="Z_3827E543_57D2_48C8_B786_7077EA079DD2_.wvu.Cols" localSheetId="13" hidden="1">'6) RAG Table'!$AB:$BE</definedName>
    <definedName name="Z_3827E543_57D2_48C8_B786_7077EA079DD2_.wvu.FilterData" localSheetId="13" hidden="1">'6) RAG Table'!$BC$4:$BC$62</definedName>
    <definedName name="Z_3827E543_57D2_48C8_B786_7077EA079DD2_.wvu.PrintArea" localSheetId="0" hidden="1">'0) SL Project Structure'!$A$1:$AL$82</definedName>
    <definedName name="Z_3827E543_57D2_48C8_B786_7077EA079DD2_.wvu.PrintArea" localSheetId="1" hidden="1">'0) SL Project Structure OLD'!$A$1:$AL$68</definedName>
    <definedName name="Z_3827E543_57D2_48C8_B786_7077EA079DD2_.wvu.PrintArea" localSheetId="2" hidden="1">'1) Report'!$B$2:$AM$140</definedName>
    <definedName name="Z_3827E543_57D2_48C8_B786_7077EA079DD2_.wvu.PrintArea" localSheetId="5" hidden="1">'2) Definitions'!$A$2:$T$50</definedName>
    <definedName name="Z_3827E543_57D2_48C8_B786_7077EA079DD2_.wvu.PrintArea" localSheetId="13" hidden="1">'6) RAG Table'!$A$1:$AA$101</definedName>
    <definedName name="Z_3827E543_57D2_48C8_B786_7077EA079DD2_.wvu.PrintArea" localSheetId="11" hidden="1">'P&amp;B Summary'!$B$3:$J$18</definedName>
    <definedName name="Z_3827E543_57D2_48C8_B786_7077EA079DD2_.wvu.PrintTitles" localSheetId="2" hidden="1">'1) Report'!$3:$6</definedName>
    <definedName name="Z_3827E543_57D2_48C8_B786_7077EA079DD2_.wvu.Rows" localSheetId="2" hidden="1">'1) Report'!$1:$1,'1) Report'!$10:$10,'1) Report'!$16:$16,'1) Report'!$45:$45,'1) Report'!$52:$52,'1) Report'!$91:$91,'1) Report'!$123:$123</definedName>
    <definedName name="Z_3827E543_57D2_48C8_B786_7077EA079DD2_.wvu.Rows" localSheetId="6" hidden="1">'3) BC and Sanction'!$1:$1</definedName>
    <definedName name="Z_3827E543_57D2_48C8_B786_7077EA079DD2_.wvu.Rows" localSheetId="4" hidden="1">'4) Baseline Changes'!$1:$1</definedName>
    <definedName name="Z_3827E543_57D2_48C8_B786_7077EA079DD2_.wvu.Rows" localSheetId="12" hidden="1">'5a)NDA MPPR'!$63:$101</definedName>
    <definedName name="Z_3827E543_57D2_48C8_B786_7077EA079DD2_.wvu.Rows" localSheetId="13" hidden="1">'6) RAG Table'!$73:$78</definedName>
    <definedName name="Z_3827E543_57D2_48C8_B786_7077EA079DD2_.wvu.Rows" localSheetId="11" hidden="1">'P&amp;B Summary'!$1:$1</definedName>
    <definedName name="Z_3827E543_57D2_48C8_B786_7077EA079DD2_.wvu.Rows" localSheetId="9" hidden="1">'Pd08 Extended MPPR WD9'!$7:$7,'Pd08 Extended MPPR WD9'!$11:$11,'Pd08 Extended MPPR WD9'!$15:$15,'Pd08 Extended MPPR WD9'!$19:$19,'Pd08 Extended MPPR WD9'!$23:$23,'Pd08 Extended MPPR WD9'!$27:$27,'Pd08 Extended MPPR WD9'!$31:$31,'Pd08 Extended MPPR WD9'!$35:$35</definedName>
    <definedName name="Z_3827E543_57D2_48C8_B786_7077EA079DD2_.wvu.Rows" localSheetId="8" hidden="1">'Pd08 MPPR WD9'!$7:$7,'Pd08 MPPR WD9'!$11:$11,'Pd08 MPPR WD9'!$15:$15,'Pd08 MPPR WD9'!$19:$19,'Pd08 MPPR WD9'!$23:$23,'Pd08 MPPR WD9'!$27:$27,'Pd08 MPPR WD9'!$31:$31,'Pd08 MPPR WD9'!$35:$35,'Pd08 MPPR WD9'!$39:$39,'Pd08 MPPR WD9'!$43:$43,'Pd08 MPPR WD9'!$47:$47,'Pd08 MPPR WD9'!$50:$50,'Pd08 MPPR WD9'!$53:$53</definedName>
    <definedName name="Z_3BB18945_69B5_4B22_8D55_989F8F233459_.wvu.Cols" localSheetId="13" hidden="1">'6) RAG Table'!$AB:$BE</definedName>
    <definedName name="Z_3BB18945_69B5_4B22_8D55_989F8F233459_.wvu.FilterData" localSheetId="13" hidden="1">'6) RAG Table'!$BC$4:$BC$62</definedName>
    <definedName name="Z_3BB18945_69B5_4B22_8D55_989F8F233459_.wvu.PrintArea" localSheetId="0" hidden="1">'0) SL Project Structure'!$A$1:$AL$82</definedName>
    <definedName name="Z_3BB18945_69B5_4B22_8D55_989F8F233459_.wvu.PrintArea" localSheetId="1" hidden="1">'0) SL Project Structure OLD'!$A$1:$AL$68</definedName>
    <definedName name="Z_3BB18945_69B5_4B22_8D55_989F8F233459_.wvu.PrintArea" localSheetId="2" hidden="1">'1) Report'!$B$2:$AM$141</definedName>
    <definedName name="Z_3BB18945_69B5_4B22_8D55_989F8F233459_.wvu.PrintArea" localSheetId="11" hidden="1">'P&amp;B Summary'!$B$3:$J$18</definedName>
    <definedName name="Z_3BB18945_69B5_4B22_8D55_989F8F233459_.wvu.PrintTitles" localSheetId="2" hidden="1">'1) Report'!$3:$6</definedName>
    <definedName name="Z_3BB18945_69B5_4B22_8D55_989F8F233459_.wvu.Rows" localSheetId="2" hidden="1">'1) Report'!$1:$1,'1) Report'!$16:$16,'1) Report'!#REF!,'1) Report'!$52:$52,'1) Report'!#REF!,'1) Report'!$123:$123,'1) Report'!#REF!,'1) Report'!#REF!</definedName>
    <definedName name="Z_3BB18945_69B5_4B22_8D55_989F8F233459_.wvu.Rows" localSheetId="6" hidden="1">'3) BC and Sanction'!$1:$1</definedName>
    <definedName name="Z_3BB18945_69B5_4B22_8D55_989F8F233459_.wvu.Rows" localSheetId="4" hidden="1">'4) Baseline Changes'!$1:$1</definedName>
    <definedName name="Z_3BB18945_69B5_4B22_8D55_989F8F233459_.wvu.Rows" localSheetId="12" hidden="1">'5a)NDA MPPR'!$63:$101</definedName>
    <definedName name="Z_3BB18945_69B5_4B22_8D55_989F8F233459_.wvu.Rows" localSheetId="13" hidden="1">'6) RAG Table'!$73:$78</definedName>
    <definedName name="Z_3BB18945_69B5_4B22_8D55_989F8F233459_.wvu.Rows" localSheetId="11" hidden="1">'P&amp;B Summary'!$1:$1</definedName>
    <definedName name="Z_3BB18945_69B5_4B22_8D55_989F8F233459_.wvu.Rows" localSheetId="9" hidden="1">'Pd08 Extended MPPR WD9'!$7:$7,'Pd08 Extended MPPR WD9'!$11:$11,'Pd08 Extended MPPR WD9'!$15:$15,'Pd08 Extended MPPR WD9'!$19:$19,'Pd08 Extended MPPR WD9'!$23:$23,'Pd08 Extended MPPR WD9'!$27:$27,'Pd08 Extended MPPR WD9'!$31:$31,'Pd08 Extended MPPR WD9'!$35:$35</definedName>
    <definedName name="Z_3BB18945_69B5_4B22_8D55_989F8F233459_.wvu.Rows" localSheetId="8" hidden="1">'Pd08 MPPR WD9'!$7:$7,'Pd08 MPPR WD9'!$11:$11,'Pd08 MPPR WD9'!$15:$15,'Pd08 MPPR WD9'!$19:$19,'Pd08 MPPR WD9'!$23:$23,'Pd08 MPPR WD9'!$27:$27,'Pd08 MPPR WD9'!$31:$31,'Pd08 MPPR WD9'!$35:$35,'Pd08 MPPR WD9'!$39:$39,'Pd08 MPPR WD9'!$43:$43,'Pd08 MPPR WD9'!$47:$47,'Pd08 MPPR WD9'!$50:$50,'Pd08 MPPR WD9'!$53:$53</definedName>
    <definedName name="Z_3C97F0B0_2F3C_4E03_96E0_0C4FEC2F24AC_.wvu.Cols" localSheetId="13" hidden="1">'6) RAG Table'!$AB:$BE</definedName>
    <definedName name="Z_3C97F0B0_2F3C_4E03_96E0_0C4FEC2F24AC_.wvu.FilterData" localSheetId="13" hidden="1">'6) RAG Table'!$BC$4:$BC$62</definedName>
    <definedName name="Z_3C97F0B0_2F3C_4E03_96E0_0C4FEC2F24AC_.wvu.PrintArea" localSheetId="0" hidden="1">'0) SL Project Structure'!$A$1:$AL$82</definedName>
    <definedName name="Z_3C97F0B0_2F3C_4E03_96E0_0C4FEC2F24AC_.wvu.PrintArea" localSheetId="1" hidden="1">'0) SL Project Structure OLD'!$A$1:$AL$68</definedName>
    <definedName name="Z_3C97F0B0_2F3C_4E03_96E0_0C4FEC2F24AC_.wvu.PrintArea" localSheetId="2" hidden="1">'1) Report'!$B$2:$AM$141</definedName>
    <definedName name="Z_3C97F0B0_2F3C_4E03_96E0_0C4FEC2F24AC_.wvu.PrintArea" localSheetId="11" hidden="1">'P&amp;B Summary'!$B$3:$J$18</definedName>
    <definedName name="Z_3C97F0B0_2F3C_4E03_96E0_0C4FEC2F24AC_.wvu.PrintTitles" localSheetId="2" hidden="1">'1) Report'!$3:$6</definedName>
    <definedName name="Z_3C97F0B0_2F3C_4E03_96E0_0C4FEC2F24AC_.wvu.Rows" localSheetId="2" hidden="1">'1) Report'!$1:$1,'1) Report'!$16:$16,'1) Report'!#REF!,'1) Report'!$52:$52,'1) Report'!#REF!,'1) Report'!$123:$123,'1) Report'!#REF!,'1) Report'!#REF!</definedName>
    <definedName name="Z_3C97F0B0_2F3C_4E03_96E0_0C4FEC2F24AC_.wvu.Rows" localSheetId="6" hidden="1">'3) BC and Sanction'!$1:$1</definedName>
    <definedName name="Z_3C97F0B0_2F3C_4E03_96E0_0C4FEC2F24AC_.wvu.Rows" localSheetId="4" hidden="1">'4) Baseline Changes'!$1:$1</definedName>
    <definedName name="Z_3C97F0B0_2F3C_4E03_96E0_0C4FEC2F24AC_.wvu.Rows" localSheetId="12" hidden="1">'5a)NDA MPPR'!$63:$101</definedName>
    <definedName name="Z_3C97F0B0_2F3C_4E03_96E0_0C4FEC2F24AC_.wvu.Rows" localSheetId="13" hidden="1">'6) RAG Table'!$73:$78</definedName>
    <definedName name="Z_3C97F0B0_2F3C_4E03_96E0_0C4FEC2F24AC_.wvu.Rows" localSheetId="11" hidden="1">'P&amp;B Summary'!$1:$1</definedName>
    <definedName name="Z_3C97F0B0_2F3C_4E03_96E0_0C4FEC2F24AC_.wvu.Rows" localSheetId="9" hidden="1">'Pd08 Extended MPPR WD9'!$7:$7,'Pd08 Extended MPPR WD9'!$11:$11,'Pd08 Extended MPPR WD9'!$15:$15,'Pd08 Extended MPPR WD9'!$19:$19,'Pd08 Extended MPPR WD9'!$23:$23,'Pd08 Extended MPPR WD9'!$27:$27,'Pd08 Extended MPPR WD9'!$31:$31,'Pd08 Extended MPPR WD9'!$35:$35</definedName>
    <definedName name="Z_3C97F0B0_2F3C_4E03_96E0_0C4FEC2F24AC_.wvu.Rows" localSheetId="8" hidden="1">'Pd08 MPPR WD9'!$7:$7,'Pd08 MPPR WD9'!$11:$11,'Pd08 MPPR WD9'!$15:$15,'Pd08 MPPR WD9'!$19:$19,'Pd08 MPPR WD9'!$23:$23,'Pd08 MPPR WD9'!$27:$27,'Pd08 MPPR WD9'!$31:$31,'Pd08 MPPR WD9'!$35:$35,'Pd08 MPPR WD9'!$39:$39,'Pd08 MPPR WD9'!$43:$43,'Pd08 MPPR WD9'!$47:$47,'Pd08 MPPR WD9'!$50:$50,'Pd08 MPPR WD9'!$53:$53</definedName>
    <definedName name="Z_42B0E8B1_ADFA_49AE_A83B_82D384737703_.wvu.Cols" localSheetId="2" hidden="1">'1) Report'!$AO:$AU</definedName>
    <definedName name="Z_42B0E8B1_ADFA_49AE_A83B_82D384737703_.wvu.Cols" localSheetId="13" hidden="1">'6) RAG Table'!$AB:$BE</definedName>
    <definedName name="Z_42B0E8B1_ADFA_49AE_A83B_82D384737703_.wvu.FilterData" localSheetId="13" hidden="1">'6) RAG Table'!$BC$4:$BC$62</definedName>
    <definedName name="Z_42B0E8B1_ADFA_49AE_A83B_82D384737703_.wvu.PrintArea" localSheetId="0" hidden="1">'0) SL Project Structure'!$A$1:$AL$82</definedName>
    <definedName name="Z_42B0E8B1_ADFA_49AE_A83B_82D384737703_.wvu.PrintArea" localSheetId="1" hidden="1">'0) SL Project Structure OLD'!$A$1:$AL$68</definedName>
    <definedName name="Z_42B0E8B1_ADFA_49AE_A83B_82D384737703_.wvu.PrintArea" localSheetId="2" hidden="1">'1) Report'!$B$2:$AM$140</definedName>
    <definedName name="Z_42B0E8B1_ADFA_49AE_A83B_82D384737703_.wvu.PrintArea" localSheetId="5" hidden="1">'2) Definitions'!$A$1:$U$51</definedName>
    <definedName name="Z_42B0E8B1_ADFA_49AE_A83B_82D384737703_.wvu.PrintArea" localSheetId="13" hidden="1">'6) RAG Table'!$B$1:$AA$98</definedName>
    <definedName name="Z_42B0E8B1_ADFA_49AE_A83B_82D384737703_.wvu.PrintArea" localSheetId="11" hidden="1">'P&amp;B Summary'!$B$3:$J$18</definedName>
    <definedName name="Z_42B0E8B1_ADFA_49AE_A83B_82D384737703_.wvu.PrintTitles" localSheetId="2" hidden="1">'1) Report'!$3:$6</definedName>
    <definedName name="Z_42B0E8B1_ADFA_49AE_A83B_82D384737703_.wvu.Rows" localSheetId="2" hidden="1">'1) Report'!$1:$1,'1) Report'!$10:$10,'1) Report'!$16:$16,'1) Report'!$45:$45,'1) Report'!$52:$52,'1) Report'!$91:$91,'1) Report'!$123:$123</definedName>
    <definedName name="Z_42B0E8B1_ADFA_49AE_A83B_82D384737703_.wvu.Rows" localSheetId="6" hidden="1">'3) BC and Sanction'!$1:$1</definedName>
    <definedName name="Z_42B0E8B1_ADFA_49AE_A83B_82D384737703_.wvu.Rows" localSheetId="4" hidden="1">'4) Baseline Changes'!$1:$1</definedName>
    <definedName name="Z_42B0E8B1_ADFA_49AE_A83B_82D384737703_.wvu.Rows" localSheetId="12" hidden="1">'5a)NDA MPPR'!$63:$101</definedName>
    <definedName name="Z_42B0E8B1_ADFA_49AE_A83B_82D384737703_.wvu.Rows" localSheetId="13" hidden="1">'6) RAG Table'!$73:$78</definedName>
    <definedName name="Z_42B0E8B1_ADFA_49AE_A83B_82D384737703_.wvu.Rows" localSheetId="11" hidden="1">'P&amp;B Summary'!$1:$1</definedName>
    <definedName name="Z_42B0E8B1_ADFA_49AE_A83B_82D384737703_.wvu.Rows" localSheetId="9" hidden="1">'Pd08 Extended MPPR WD9'!$7:$7,'Pd08 Extended MPPR WD9'!$11:$11,'Pd08 Extended MPPR WD9'!$15:$15,'Pd08 Extended MPPR WD9'!$19:$19,'Pd08 Extended MPPR WD9'!$23:$23,'Pd08 Extended MPPR WD9'!$27:$27,'Pd08 Extended MPPR WD9'!$31:$31,'Pd08 Extended MPPR WD9'!$35:$35</definedName>
    <definedName name="Z_42B0E8B1_ADFA_49AE_A83B_82D384737703_.wvu.Rows" localSheetId="8" hidden="1">'Pd08 MPPR WD9'!$7:$7,'Pd08 MPPR WD9'!$11:$11,'Pd08 MPPR WD9'!$15:$15,'Pd08 MPPR WD9'!$19:$19,'Pd08 MPPR WD9'!$23:$23,'Pd08 MPPR WD9'!$27:$27,'Pd08 MPPR WD9'!$31:$31,'Pd08 MPPR WD9'!$35:$35,'Pd08 MPPR WD9'!$39:$39,'Pd08 MPPR WD9'!$43:$43,'Pd08 MPPR WD9'!$47:$47,'Pd08 MPPR WD9'!$50:$50,'Pd08 MPPR WD9'!$53:$53</definedName>
    <definedName name="Z_442F9A23_CA6E_4109_B10C_ACF5FD36B859_.wvu.Cols" localSheetId="2" hidden="1">'1) Report'!$AO:$AU</definedName>
    <definedName name="Z_442F9A23_CA6E_4109_B10C_ACF5FD36B859_.wvu.Cols" localSheetId="13" hidden="1">'6) RAG Table'!$AB:$BE</definedName>
    <definedName name="Z_442F9A23_CA6E_4109_B10C_ACF5FD36B859_.wvu.FilterData" localSheetId="13" hidden="1">'6) RAG Table'!$BC$4:$BC$62</definedName>
    <definedName name="Z_442F9A23_CA6E_4109_B10C_ACF5FD36B859_.wvu.PrintArea" localSheetId="0" hidden="1">'0) SL Project Structure'!$A$1:$AL$82</definedName>
    <definedName name="Z_442F9A23_CA6E_4109_B10C_ACF5FD36B859_.wvu.PrintArea" localSheetId="1" hidden="1">'0) SL Project Structure OLD'!$A$1:$AL$68</definedName>
    <definedName name="Z_442F9A23_CA6E_4109_B10C_ACF5FD36B859_.wvu.PrintArea" localSheetId="2" hidden="1">'1) Report'!$B$2:$AM$140</definedName>
    <definedName name="Z_442F9A23_CA6E_4109_B10C_ACF5FD36B859_.wvu.PrintArea" localSheetId="5" hidden="1">'2) Definitions'!$A$2:$T$50</definedName>
    <definedName name="Z_442F9A23_CA6E_4109_B10C_ACF5FD36B859_.wvu.PrintArea" localSheetId="13" hidden="1">'6) RAG Table'!$A$1:$AA$101</definedName>
    <definedName name="Z_442F9A23_CA6E_4109_B10C_ACF5FD36B859_.wvu.PrintArea" localSheetId="11" hidden="1">'P&amp;B Summary'!$B$3:$J$18</definedName>
    <definedName name="Z_442F9A23_CA6E_4109_B10C_ACF5FD36B859_.wvu.PrintTitles" localSheetId="2" hidden="1">'1) Report'!$3:$6</definedName>
    <definedName name="Z_442F9A23_CA6E_4109_B10C_ACF5FD36B859_.wvu.Rows" localSheetId="2" hidden="1">'1) Report'!$1:$1,'1) Report'!$10:$10,'1) Report'!$16:$16,'1) Report'!$45:$45,'1) Report'!$52:$52,'1) Report'!$91:$91,'1) Report'!$123:$123</definedName>
    <definedName name="Z_442F9A23_CA6E_4109_B10C_ACF5FD36B859_.wvu.Rows" localSheetId="6" hidden="1">'3) BC and Sanction'!$1:$1</definedName>
    <definedName name="Z_442F9A23_CA6E_4109_B10C_ACF5FD36B859_.wvu.Rows" localSheetId="4" hidden="1">'4) Baseline Changes'!$1:$1</definedName>
    <definedName name="Z_442F9A23_CA6E_4109_B10C_ACF5FD36B859_.wvu.Rows" localSheetId="12" hidden="1">'5a)NDA MPPR'!$63:$101</definedName>
    <definedName name="Z_442F9A23_CA6E_4109_B10C_ACF5FD36B859_.wvu.Rows" localSheetId="13" hidden="1">'6) RAG Table'!$73:$78</definedName>
    <definedName name="Z_442F9A23_CA6E_4109_B10C_ACF5FD36B859_.wvu.Rows" localSheetId="11" hidden="1">'P&amp;B Summary'!$1:$1</definedName>
    <definedName name="Z_442F9A23_CA6E_4109_B10C_ACF5FD36B859_.wvu.Rows" localSheetId="9" hidden="1">'Pd08 Extended MPPR WD9'!$7:$7,'Pd08 Extended MPPR WD9'!$11:$11,'Pd08 Extended MPPR WD9'!$15:$15,'Pd08 Extended MPPR WD9'!$19:$19,'Pd08 Extended MPPR WD9'!$23:$23,'Pd08 Extended MPPR WD9'!$27:$27,'Pd08 Extended MPPR WD9'!$31:$31,'Pd08 Extended MPPR WD9'!$35:$35</definedName>
    <definedName name="Z_442F9A23_CA6E_4109_B10C_ACF5FD36B859_.wvu.Rows" localSheetId="8" hidden="1">'Pd08 MPPR WD9'!$7:$7,'Pd08 MPPR WD9'!$11:$11,'Pd08 MPPR WD9'!$15:$15,'Pd08 MPPR WD9'!$19:$19,'Pd08 MPPR WD9'!$23:$23,'Pd08 MPPR WD9'!$27:$27,'Pd08 MPPR WD9'!$31:$31,'Pd08 MPPR WD9'!$35:$35,'Pd08 MPPR WD9'!$39:$39,'Pd08 MPPR WD9'!$43:$43,'Pd08 MPPR WD9'!$47:$47,'Pd08 MPPR WD9'!$50:$50,'Pd08 MPPR WD9'!$53:$53</definedName>
    <definedName name="Z_451730E2_FFE9_4FCE_B8B5_64952C26C672_.wvu.Cols" localSheetId="13" hidden="1">'6) RAG Table'!$AB:$BE</definedName>
    <definedName name="Z_451730E2_FFE9_4FCE_B8B5_64952C26C672_.wvu.FilterData" localSheetId="13" hidden="1">'6) RAG Table'!$BC$4:$BC$62</definedName>
    <definedName name="Z_451730E2_FFE9_4FCE_B8B5_64952C26C672_.wvu.PrintArea" localSheetId="0" hidden="1">'0) SL Project Structure'!$A$1:$AL$82</definedName>
    <definedName name="Z_451730E2_FFE9_4FCE_B8B5_64952C26C672_.wvu.PrintArea" localSheetId="1" hidden="1">'0) SL Project Structure OLD'!$A$1:$AL$68</definedName>
    <definedName name="Z_451730E2_FFE9_4FCE_B8B5_64952C26C672_.wvu.PrintArea" localSheetId="2" hidden="1">'1) Report'!$B$2:$AM$141</definedName>
    <definedName name="Z_451730E2_FFE9_4FCE_B8B5_64952C26C672_.wvu.PrintArea" localSheetId="11" hidden="1">'P&amp;B Summary'!$B$3:$J$18</definedName>
    <definedName name="Z_451730E2_FFE9_4FCE_B8B5_64952C26C672_.wvu.PrintTitles" localSheetId="2" hidden="1">'1) Report'!$3:$6</definedName>
    <definedName name="Z_451730E2_FFE9_4FCE_B8B5_64952C26C672_.wvu.Rows" localSheetId="2" hidden="1">'1) Report'!$1:$1,'1) Report'!$16:$16,'1) Report'!#REF!,'1) Report'!$52:$52,'1) Report'!#REF!,'1) Report'!$123:$123,'1) Report'!#REF!,'1) Report'!#REF!</definedName>
    <definedName name="Z_451730E2_FFE9_4FCE_B8B5_64952C26C672_.wvu.Rows" localSheetId="6" hidden="1">'3) BC and Sanction'!$1:$1</definedName>
    <definedName name="Z_451730E2_FFE9_4FCE_B8B5_64952C26C672_.wvu.Rows" localSheetId="4" hidden="1">'4) Baseline Changes'!$1:$1</definedName>
    <definedName name="Z_451730E2_FFE9_4FCE_B8B5_64952C26C672_.wvu.Rows" localSheetId="12" hidden="1">'5a)NDA MPPR'!$63:$101</definedName>
    <definedName name="Z_451730E2_FFE9_4FCE_B8B5_64952C26C672_.wvu.Rows" localSheetId="13" hidden="1">'6) RAG Table'!$73:$78</definedName>
    <definedName name="Z_451730E2_FFE9_4FCE_B8B5_64952C26C672_.wvu.Rows" localSheetId="11" hidden="1">'P&amp;B Summary'!$1:$1</definedName>
    <definedName name="Z_451730E2_FFE9_4FCE_B8B5_64952C26C672_.wvu.Rows" localSheetId="9" hidden="1">'Pd08 Extended MPPR WD9'!$7:$7,'Pd08 Extended MPPR WD9'!$11:$11,'Pd08 Extended MPPR WD9'!$15:$15,'Pd08 Extended MPPR WD9'!$19:$19,'Pd08 Extended MPPR WD9'!$23:$23,'Pd08 Extended MPPR WD9'!$27:$27,'Pd08 Extended MPPR WD9'!$31:$31,'Pd08 Extended MPPR WD9'!$35:$35</definedName>
    <definedName name="Z_451730E2_FFE9_4FCE_B8B5_64952C26C672_.wvu.Rows" localSheetId="8" hidden="1">'Pd08 MPPR WD9'!$7:$7,'Pd08 MPPR WD9'!$11:$11,'Pd08 MPPR WD9'!$15:$15,'Pd08 MPPR WD9'!$19:$19,'Pd08 MPPR WD9'!$23:$23,'Pd08 MPPR WD9'!$27:$27,'Pd08 MPPR WD9'!$31:$31,'Pd08 MPPR WD9'!$35:$35,'Pd08 MPPR WD9'!$39:$39,'Pd08 MPPR WD9'!$43:$43,'Pd08 MPPR WD9'!$47:$47,'Pd08 MPPR WD9'!$50:$50,'Pd08 MPPR WD9'!$53:$53</definedName>
    <definedName name="Z_466708C2_41CE_4656_AB81_E1E49DF5945D_.wvu.Cols" localSheetId="2" hidden="1">'1) Report'!$AO:$AU</definedName>
    <definedName name="Z_466708C2_41CE_4656_AB81_E1E49DF5945D_.wvu.Cols" localSheetId="13" hidden="1">'6) RAG Table'!$AB:$BE</definedName>
    <definedName name="Z_466708C2_41CE_4656_AB81_E1E49DF5945D_.wvu.FilterData" localSheetId="13" hidden="1">'6) RAG Table'!$BC$4:$BC$62</definedName>
    <definedName name="Z_466708C2_41CE_4656_AB81_E1E49DF5945D_.wvu.PrintArea" localSheetId="0" hidden="1">'0) SL Project Structure'!$A$1:$AL$82</definedName>
    <definedName name="Z_466708C2_41CE_4656_AB81_E1E49DF5945D_.wvu.PrintArea" localSheetId="1" hidden="1">'0) SL Project Structure OLD'!$A$1:$AL$68</definedName>
    <definedName name="Z_466708C2_41CE_4656_AB81_E1E49DF5945D_.wvu.PrintArea" localSheetId="2" hidden="1">'1) Report'!$B$2:$AM$140</definedName>
    <definedName name="Z_466708C2_41CE_4656_AB81_E1E49DF5945D_.wvu.PrintArea" localSheetId="5" hidden="1">'2) Definitions'!$A$2:$T$50</definedName>
    <definedName name="Z_466708C2_41CE_4656_AB81_E1E49DF5945D_.wvu.PrintArea" localSheetId="13" hidden="1">'6) RAG Table'!$A$1:$AA$101</definedName>
    <definedName name="Z_466708C2_41CE_4656_AB81_E1E49DF5945D_.wvu.PrintArea" localSheetId="11" hidden="1">'P&amp;B Summary'!$B$3:$J$18</definedName>
    <definedName name="Z_466708C2_41CE_4656_AB81_E1E49DF5945D_.wvu.PrintTitles" localSheetId="2" hidden="1">'1) Report'!$3:$6</definedName>
    <definedName name="Z_466708C2_41CE_4656_AB81_E1E49DF5945D_.wvu.Rows" localSheetId="2" hidden="1">'1) Report'!$1:$1,'1) Report'!$10:$10,'1) Report'!$16:$16,'1) Report'!$45:$45,'1) Report'!$52:$52,'1) Report'!$91:$91,'1) Report'!$123:$123</definedName>
    <definedName name="Z_466708C2_41CE_4656_AB81_E1E49DF5945D_.wvu.Rows" localSheetId="6" hidden="1">'3) BC and Sanction'!$1:$1</definedName>
    <definedName name="Z_466708C2_41CE_4656_AB81_E1E49DF5945D_.wvu.Rows" localSheetId="4" hidden="1">'4) Baseline Changes'!$1:$1</definedName>
    <definedName name="Z_466708C2_41CE_4656_AB81_E1E49DF5945D_.wvu.Rows" localSheetId="12" hidden="1">'5a)NDA MPPR'!$63:$101</definedName>
    <definedName name="Z_466708C2_41CE_4656_AB81_E1E49DF5945D_.wvu.Rows" localSheetId="13" hidden="1">'6) RAG Table'!$73:$78</definedName>
    <definedName name="Z_466708C2_41CE_4656_AB81_E1E49DF5945D_.wvu.Rows" localSheetId="11" hidden="1">'P&amp;B Summary'!$1:$1</definedName>
    <definedName name="Z_466708C2_41CE_4656_AB81_E1E49DF5945D_.wvu.Rows" localSheetId="9" hidden="1">'Pd08 Extended MPPR WD9'!$7:$7,'Pd08 Extended MPPR WD9'!$11:$11,'Pd08 Extended MPPR WD9'!$15:$15,'Pd08 Extended MPPR WD9'!$19:$19,'Pd08 Extended MPPR WD9'!$23:$23,'Pd08 Extended MPPR WD9'!$27:$27,'Pd08 Extended MPPR WD9'!$31:$31,'Pd08 Extended MPPR WD9'!$35:$35</definedName>
    <definedName name="Z_466708C2_41CE_4656_AB81_E1E49DF5945D_.wvu.Rows" localSheetId="8" hidden="1">'Pd08 MPPR WD9'!$7:$7,'Pd08 MPPR WD9'!$11:$11,'Pd08 MPPR WD9'!$15:$15,'Pd08 MPPR WD9'!$19:$19,'Pd08 MPPR WD9'!$23:$23,'Pd08 MPPR WD9'!$27:$27,'Pd08 MPPR WD9'!$31:$31,'Pd08 MPPR WD9'!$35:$35,'Pd08 MPPR WD9'!$39:$39,'Pd08 MPPR WD9'!$43:$43,'Pd08 MPPR WD9'!$47:$47,'Pd08 MPPR WD9'!$50:$50,'Pd08 MPPR WD9'!$53:$53</definedName>
    <definedName name="Z_4E6F9C2D_76F2_4884_BBF6_E02A7BAE11EF_.wvu.Cols" localSheetId="13" hidden="1">'6) RAG Table'!$AB:$BA</definedName>
    <definedName name="Z_4E6F9C2D_76F2_4884_BBF6_E02A7BAE11EF_.wvu.FilterData" localSheetId="13" hidden="1">'6) RAG Table'!$BC$4:$BC$62</definedName>
    <definedName name="Z_4E6F9C2D_76F2_4884_BBF6_E02A7BAE11EF_.wvu.PrintArea" localSheetId="0" hidden="1">'0) SL Project Structure'!$A$1:$AL$82</definedName>
    <definedName name="Z_4E6F9C2D_76F2_4884_BBF6_E02A7BAE11EF_.wvu.PrintArea" localSheetId="1" hidden="1">'0) SL Project Structure OLD'!$A$1:$AL$68</definedName>
    <definedName name="Z_4E6F9C2D_76F2_4884_BBF6_E02A7BAE11EF_.wvu.PrintArea" localSheetId="2" hidden="1">'1) Report'!$B$2:$AM$141</definedName>
    <definedName name="Z_4E6F9C2D_76F2_4884_BBF6_E02A7BAE11EF_.wvu.PrintArea" localSheetId="11" hidden="1">'P&amp;B Summary'!$B$3:$J$18</definedName>
    <definedName name="Z_4E6F9C2D_76F2_4884_BBF6_E02A7BAE11EF_.wvu.PrintTitles" localSheetId="2" hidden="1">'1) Report'!$3:$6</definedName>
    <definedName name="Z_4E6F9C2D_76F2_4884_BBF6_E02A7BAE11EF_.wvu.Rows" localSheetId="2" hidden="1">'1) Report'!$1:$1</definedName>
    <definedName name="Z_4E6F9C2D_76F2_4884_BBF6_E02A7BAE11EF_.wvu.Rows" localSheetId="6" hidden="1">'3) BC and Sanction'!$1:$1</definedName>
    <definedName name="Z_4E6F9C2D_76F2_4884_BBF6_E02A7BAE11EF_.wvu.Rows" localSheetId="4" hidden="1">'4) Baseline Changes'!$1:$1</definedName>
    <definedName name="Z_4E6F9C2D_76F2_4884_BBF6_E02A7BAE11EF_.wvu.Rows" localSheetId="12" hidden="1">'5a)NDA MPPR'!$63:$101</definedName>
    <definedName name="Z_4E6F9C2D_76F2_4884_BBF6_E02A7BAE11EF_.wvu.Rows" localSheetId="13" hidden="1">'6) RAG Table'!$73:$78</definedName>
    <definedName name="Z_4E6F9C2D_76F2_4884_BBF6_E02A7BAE11EF_.wvu.Rows" localSheetId="11" hidden="1">'P&amp;B Summary'!$1:$1</definedName>
    <definedName name="Z_4E6F9C2D_76F2_4884_BBF6_E02A7BAE11EF_.wvu.Rows" localSheetId="9" hidden="1">'Pd08 Extended MPPR WD9'!$7:$7,'Pd08 Extended MPPR WD9'!$11:$11,'Pd08 Extended MPPR WD9'!$15:$15,'Pd08 Extended MPPR WD9'!$19:$19,'Pd08 Extended MPPR WD9'!$23:$23,'Pd08 Extended MPPR WD9'!$27:$27,'Pd08 Extended MPPR WD9'!$31:$31,'Pd08 Extended MPPR WD9'!$35:$35</definedName>
    <definedName name="Z_4E6F9C2D_76F2_4884_BBF6_E02A7BAE11EF_.wvu.Rows" localSheetId="8" hidden="1">'Pd08 MPPR WD9'!$7:$7,'Pd08 MPPR WD9'!$11:$11,'Pd08 MPPR WD9'!$15:$15,'Pd08 MPPR WD9'!$19:$19,'Pd08 MPPR WD9'!$23:$23,'Pd08 MPPR WD9'!$27:$27,'Pd08 MPPR WD9'!$31:$31,'Pd08 MPPR WD9'!$35:$35,'Pd08 MPPR WD9'!$39:$39,'Pd08 MPPR WD9'!$43:$43,'Pd08 MPPR WD9'!$47:$47,'Pd08 MPPR WD9'!$50:$50,'Pd08 MPPR WD9'!$53:$53</definedName>
    <definedName name="Z_4EBEE699_7DEF_4A50_9CB7_490835CF0B98_.wvu.Cols" localSheetId="13" hidden="1">'6) RAG Table'!$AB:$BE</definedName>
    <definedName name="Z_4EBEE699_7DEF_4A50_9CB7_490835CF0B98_.wvu.FilterData" localSheetId="13" hidden="1">'6) RAG Table'!$BC$4:$BC$62</definedName>
    <definedName name="Z_4EBEE699_7DEF_4A50_9CB7_490835CF0B98_.wvu.PrintArea" localSheetId="0" hidden="1">'0) SL Project Structure'!$A$1:$AL$82</definedName>
    <definedName name="Z_4EBEE699_7DEF_4A50_9CB7_490835CF0B98_.wvu.PrintArea" localSheetId="1" hidden="1">'0) SL Project Structure OLD'!$A$1:$AL$68</definedName>
    <definedName name="Z_4EBEE699_7DEF_4A50_9CB7_490835CF0B98_.wvu.PrintArea" localSheetId="2" hidden="1">'1) Report'!$B$2:$AM$141</definedName>
    <definedName name="Z_4EBEE699_7DEF_4A50_9CB7_490835CF0B98_.wvu.PrintArea" localSheetId="11" hidden="1">'P&amp;B Summary'!$B$3:$J$18</definedName>
    <definedName name="Z_4EBEE699_7DEF_4A50_9CB7_490835CF0B98_.wvu.PrintTitles" localSheetId="2" hidden="1">'1) Report'!$3:$6</definedName>
    <definedName name="Z_4EBEE699_7DEF_4A50_9CB7_490835CF0B98_.wvu.Rows" localSheetId="2" hidden="1">'1) Report'!$1:$1,'1) Report'!$16:$16,'1) Report'!#REF!,'1) Report'!$52:$52,'1) Report'!#REF!,'1) Report'!$123:$123,'1) Report'!#REF!,'1) Report'!#REF!</definedName>
    <definedName name="Z_4EBEE699_7DEF_4A50_9CB7_490835CF0B98_.wvu.Rows" localSheetId="6" hidden="1">'3) BC and Sanction'!$1:$1</definedName>
    <definedName name="Z_4EBEE699_7DEF_4A50_9CB7_490835CF0B98_.wvu.Rows" localSheetId="4" hidden="1">'4) Baseline Changes'!$1:$1</definedName>
    <definedName name="Z_4EBEE699_7DEF_4A50_9CB7_490835CF0B98_.wvu.Rows" localSheetId="12" hidden="1">'5a)NDA MPPR'!$63:$101</definedName>
    <definedName name="Z_4EBEE699_7DEF_4A50_9CB7_490835CF0B98_.wvu.Rows" localSheetId="13" hidden="1">'6) RAG Table'!$73:$78</definedName>
    <definedName name="Z_4EBEE699_7DEF_4A50_9CB7_490835CF0B98_.wvu.Rows" localSheetId="11" hidden="1">'P&amp;B Summary'!$1:$1</definedName>
    <definedName name="Z_4EBEE699_7DEF_4A50_9CB7_490835CF0B98_.wvu.Rows" localSheetId="9" hidden="1">'Pd08 Extended MPPR WD9'!$7:$7,'Pd08 Extended MPPR WD9'!$11:$11,'Pd08 Extended MPPR WD9'!$15:$15,'Pd08 Extended MPPR WD9'!$19:$19,'Pd08 Extended MPPR WD9'!$23:$23,'Pd08 Extended MPPR WD9'!$27:$27,'Pd08 Extended MPPR WD9'!$31:$31,'Pd08 Extended MPPR WD9'!$35:$35</definedName>
    <definedName name="Z_4EBEE699_7DEF_4A50_9CB7_490835CF0B98_.wvu.Rows" localSheetId="8" hidden="1">'Pd08 MPPR WD9'!$7:$7,'Pd08 MPPR WD9'!$11:$11,'Pd08 MPPR WD9'!$15:$15,'Pd08 MPPR WD9'!$19:$19,'Pd08 MPPR WD9'!$23:$23,'Pd08 MPPR WD9'!$27:$27,'Pd08 MPPR WD9'!$31:$31,'Pd08 MPPR WD9'!$35:$35,'Pd08 MPPR WD9'!$39:$39,'Pd08 MPPR WD9'!$43:$43,'Pd08 MPPR WD9'!$47:$47,'Pd08 MPPR WD9'!$50:$50,'Pd08 MPPR WD9'!$53:$53</definedName>
    <definedName name="Z_51B3083F_A103_41AB_A137_63549C54B838_.wvu.Cols" localSheetId="13" hidden="1">'6) RAG Table'!$AB:$BE</definedName>
    <definedName name="Z_51B3083F_A103_41AB_A137_63549C54B838_.wvu.FilterData" localSheetId="13" hidden="1">'6) RAG Table'!$BC$4:$BC$62</definedName>
    <definedName name="Z_51B3083F_A103_41AB_A137_63549C54B838_.wvu.PrintArea" localSheetId="0" hidden="1">'0) SL Project Structure'!$A$1:$AL$82</definedName>
    <definedName name="Z_51B3083F_A103_41AB_A137_63549C54B838_.wvu.PrintArea" localSheetId="1" hidden="1">'0) SL Project Structure OLD'!$A$1:$AL$68</definedName>
    <definedName name="Z_51B3083F_A103_41AB_A137_63549C54B838_.wvu.PrintArea" localSheetId="2" hidden="1">'1) Report'!$B$2:$AM$141</definedName>
    <definedName name="Z_51B3083F_A103_41AB_A137_63549C54B838_.wvu.PrintArea" localSheetId="11" hidden="1">'P&amp;B Summary'!$B$3:$J$18</definedName>
    <definedName name="Z_51B3083F_A103_41AB_A137_63549C54B838_.wvu.PrintTitles" localSheetId="2" hidden="1">'1) Report'!$3:$6</definedName>
    <definedName name="Z_51B3083F_A103_41AB_A137_63549C54B838_.wvu.Rows" localSheetId="2" hidden="1">'1) Report'!$1:$1,'1) Report'!$16:$16,'1) Report'!#REF!,'1) Report'!$52:$52,'1) Report'!#REF!,'1) Report'!$123:$123,'1) Report'!#REF!,'1) Report'!#REF!</definedName>
    <definedName name="Z_51B3083F_A103_41AB_A137_63549C54B838_.wvu.Rows" localSheetId="6" hidden="1">'3) BC and Sanction'!$1:$1</definedName>
    <definedName name="Z_51B3083F_A103_41AB_A137_63549C54B838_.wvu.Rows" localSheetId="4" hidden="1">'4) Baseline Changes'!$1:$1</definedName>
    <definedName name="Z_51B3083F_A103_41AB_A137_63549C54B838_.wvu.Rows" localSheetId="12" hidden="1">'5a)NDA MPPR'!$63:$101</definedName>
    <definedName name="Z_51B3083F_A103_41AB_A137_63549C54B838_.wvu.Rows" localSheetId="13" hidden="1">'6) RAG Table'!$73:$78</definedName>
    <definedName name="Z_51B3083F_A103_41AB_A137_63549C54B838_.wvu.Rows" localSheetId="11" hidden="1">'P&amp;B Summary'!$1:$1</definedName>
    <definedName name="Z_51B3083F_A103_41AB_A137_63549C54B838_.wvu.Rows" localSheetId="9" hidden="1">'Pd08 Extended MPPR WD9'!$7:$7,'Pd08 Extended MPPR WD9'!$11:$11,'Pd08 Extended MPPR WD9'!$15:$15,'Pd08 Extended MPPR WD9'!$19:$19,'Pd08 Extended MPPR WD9'!$23:$23,'Pd08 Extended MPPR WD9'!$27:$27,'Pd08 Extended MPPR WD9'!$31:$31,'Pd08 Extended MPPR WD9'!$35:$35</definedName>
    <definedName name="Z_51B3083F_A103_41AB_A137_63549C54B838_.wvu.Rows" localSheetId="8" hidden="1">'Pd08 MPPR WD9'!$7:$7,'Pd08 MPPR WD9'!$11:$11,'Pd08 MPPR WD9'!$15:$15,'Pd08 MPPR WD9'!$19:$19,'Pd08 MPPR WD9'!$23:$23,'Pd08 MPPR WD9'!$27:$27,'Pd08 MPPR WD9'!$31:$31,'Pd08 MPPR WD9'!$35:$35,'Pd08 MPPR WD9'!$39:$39,'Pd08 MPPR WD9'!$43:$43,'Pd08 MPPR WD9'!$47:$47,'Pd08 MPPR WD9'!$50:$50,'Pd08 MPPR WD9'!$53:$53</definedName>
    <definedName name="Z_51DFD3D6_BC25_47B4_B28F_D640534DB3A9_.wvu.Cols" localSheetId="2" hidden="1">'1) Report'!$AO:$AU</definedName>
    <definedName name="Z_51DFD3D6_BC25_47B4_B28F_D640534DB3A9_.wvu.Cols" localSheetId="13" hidden="1">'6) RAG Table'!$AB:$BE</definedName>
    <definedName name="Z_51DFD3D6_BC25_47B4_B28F_D640534DB3A9_.wvu.FilterData" localSheetId="13" hidden="1">'6) RAG Table'!$BC$4:$BC$62</definedName>
    <definedName name="Z_51DFD3D6_BC25_47B4_B28F_D640534DB3A9_.wvu.PrintArea" localSheetId="0" hidden="1">'0) SL Project Structure'!$A$1:$AL$82</definedName>
    <definedName name="Z_51DFD3D6_BC25_47B4_B28F_D640534DB3A9_.wvu.PrintArea" localSheetId="1" hidden="1">'0) SL Project Structure OLD'!$A$1:$AL$68</definedName>
    <definedName name="Z_51DFD3D6_BC25_47B4_B28F_D640534DB3A9_.wvu.PrintArea" localSheetId="2" hidden="1">'1) Report'!$B$2:$AM$140</definedName>
    <definedName name="Z_51DFD3D6_BC25_47B4_B28F_D640534DB3A9_.wvu.PrintArea" localSheetId="5" hidden="1">'2) Definitions'!$A$2:$T$50</definedName>
    <definedName name="Z_51DFD3D6_BC25_47B4_B28F_D640534DB3A9_.wvu.PrintArea" localSheetId="13" hidden="1">'6) RAG Table'!$A$1:$AA$101</definedName>
    <definedName name="Z_51DFD3D6_BC25_47B4_B28F_D640534DB3A9_.wvu.PrintArea" localSheetId="11" hidden="1">'P&amp;B Summary'!$B$3:$J$18</definedName>
    <definedName name="Z_51DFD3D6_BC25_47B4_B28F_D640534DB3A9_.wvu.PrintTitles" localSheetId="2" hidden="1">'1) Report'!$3:$6</definedName>
    <definedName name="Z_51DFD3D6_BC25_47B4_B28F_D640534DB3A9_.wvu.Rows" localSheetId="2" hidden="1">'1) Report'!$1:$1,'1) Report'!$123:$123</definedName>
    <definedName name="Z_51DFD3D6_BC25_47B4_B28F_D640534DB3A9_.wvu.Rows" localSheetId="6" hidden="1">'3) BC and Sanction'!$1:$1</definedName>
    <definedName name="Z_51DFD3D6_BC25_47B4_B28F_D640534DB3A9_.wvu.Rows" localSheetId="4" hidden="1">'4) Baseline Changes'!$1:$1</definedName>
    <definedName name="Z_51DFD3D6_BC25_47B4_B28F_D640534DB3A9_.wvu.Rows" localSheetId="12" hidden="1">'5a)NDA MPPR'!$63:$101</definedName>
    <definedName name="Z_51DFD3D6_BC25_47B4_B28F_D640534DB3A9_.wvu.Rows" localSheetId="13" hidden="1">'6) RAG Table'!$73:$78</definedName>
    <definedName name="Z_51DFD3D6_BC25_47B4_B28F_D640534DB3A9_.wvu.Rows" localSheetId="11" hidden="1">'P&amp;B Summary'!$1:$1</definedName>
    <definedName name="Z_51DFD3D6_BC25_47B4_B28F_D640534DB3A9_.wvu.Rows" localSheetId="9" hidden="1">'Pd08 Extended MPPR WD9'!$7:$7,'Pd08 Extended MPPR WD9'!$11:$11,'Pd08 Extended MPPR WD9'!$15:$15,'Pd08 Extended MPPR WD9'!$19:$19,'Pd08 Extended MPPR WD9'!$23:$23,'Pd08 Extended MPPR WD9'!$27:$27,'Pd08 Extended MPPR WD9'!$31:$31,'Pd08 Extended MPPR WD9'!$35:$35</definedName>
    <definedName name="Z_51DFD3D6_BC25_47B4_B28F_D640534DB3A9_.wvu.Rows" localSheetId="8" hidden="1">'Pd08 MPPR WD9'!$7:$7,'Pd08 MPPR WD9'!$11:$11,'Pd08 MPPR WD9'!$15:$15,'Pd08 MPPR WD9'!$19:$19,'Pd08 MPPR WD9'!$23:$23,'Pd08 MPPR WD9'!$27:$27,'Pd08 MPPR WD9'!$31:$31,'Pd08 MPPR WD9'!$35:$35,'Pd08 MPPR WD9'!$39:$39,'Pd08 MPPR WD9'!$43:$43,'Pd08 MPPR WD9'!$47:$47,'Pd08 MPPR WD9'!$50:$50,'Pd08 MPPR WD9'!$53:$53</definedName>
    <definedName name="Z_593284E7_E32C_4D6C_8C2F_3DEEF9DEE1DF_.wvu.Cols" localSheetId="13" hidden="1">'6) RAG Table'!$AB:$BE</definedName>
    <definedName name="Z_593284E7_E32C_4D6C_8C2F_3DEEF9DEE1DF_.wvu.FilterData" localSheetId="13" hidden="1">'6) RAG Table'!$BC$4:$BC$62</definedName>
    <definedName name="Z_593284E7_E32C_4D6C_8C2F_3DEEF9DEE1DF_.wvu.PrintArea" localSheetId="0" hidden="1">'0) SL Project Structure'!$A$1:$AL$82</definedName>
    <definedName name="Z_593284E7_E32C_4D6C_8C2F_3DEEF9DEE1DF_.wvu.PrintArea" localSheetId="1" hidden="1">'0) SL Project Structure OLD'!$A$1:$AL$68</definedName>
    <definedName name="Z_593284E7_E32C_4D6C_8C2F_3DEEF9DEE1DF_.wvu.PrintArea" localSheetId="2" hidden="1">'1) Report'!$B$2:$AM$141</definedName>
    <definedName name="Z_593284E7_E32C_4D6C_8C2F_3DEEF9DEE1DF_.wvu.PrintArea" localSheetId="11" hidden="1">'P&amp;B Summary'!$B$3:$J$18</definedName>
    <definedName name="Z_593284E7_E32C_4D6C_8C2F_3DEEF9DEE1DF_.wvu.PrintTitles" localSheetId="2" hidden="1">'1) Report'!$3:$6</definedName>
    <definedName name="Z_593284E7_E32C_4D6C_8C2F_3DEEF9DEE1DF_.wvu.Rows" localSheetId="2" hidden="1">'1) Report'!$1:$1,'1) Report'!$16:$16,'1) Report'!#REF!,'1) Report'!$52:$52,'1) Report'!#REF!,'1) Report'!$123:$123,'1) Report'!#REF!,'1) Report'!#REF!</definedName>
    <definedName name="Z_593284E7_E32C_4D6C_8C2F_3DEEF9DEE1DF_.wvu.Rows" localSheetId="6" hidden="1">'3) BC and Sanction'!$1:$1</definedName>
    <definedName name="Z_593284E7_E32C_4D6C_8C2F_3DEEF9DEE1DF_.wvu.Rows" localSheetId="4" hidden="1">'4) Baseline Changes'!$1:$1</definedName>
    <definedName name="Z_593284E7_E32C_4D6C_8C2F_3DEEF9DEE1DF_.wvu.Rows" localSheetId="12" hidden="1">'5a)NDA MPPR'!$63:$101</definedName>
    <definedName name="Z_593284E7_E32C_4D6C_8C2F_3DEEF9DEE1DF_.wvu.Rows" localSheetId="13" hidden="1">'6) RAG Table'!$73:$78</definedName>
    <definedName name="Z_593284E7_E32C_4D6C_8C2F_3DEEF9DEE1DF_.wvu.Rows" localSheetId="11" hidden="1">'P&amp;B Summary'!$1:$1</definedName>
    <definedName name="Z_593284E7_E32C_4D6C_8C2F_3DEEF9DEE1DF_.wvu.Rows" localSheetId="9" hidden="1">'Pd08 Extended MPPR WD9'!$7:$7,'Pd08 Extended MPPR WD9'!$11:$11,'Pd08 Extended MPPR WD9'!$15:$15,'Pd08 Extended MPPR WD9'!$19:$19,'Pd08 Extended MPPR WD9'!$23:$23,'Pd08 Extended MPPR WD9'!$27:$27,'Pd08 Extended MPPR WD9'!$31:$31,'Pd08 Extended MPPR WD9'!$35:$35</definedName>
    <definedName name="Z_593284E7_E32C_4D6C_8C2F_3DEEF9DEE1DF_.wvu.Rows" localSheetId="8" hidden="1">'Pd08 MPPR WD9'!$7:$7,'Pd08 MPPR WD9'!$11:$11,'Pd08 MPPR WD9'!$15:$15,'Pd08 MPPR WD9'!$19:$19,'Pd08 MPPR WD9'!$23:$23,'Pd08 MPPR WD9'!$27:$27,'Pd08 MPPR WD9'!$31:$31,'Pd08 MPPR WD9'!$35:$35,'Pd08 MPPR WD9'!$39:$39,'Pd08 MPPR WD9'!$43:$43,'Pd08 MPPR WD9'!$47:$47,'Pd08 MPPR WD9'!$50:$50,'Pd08 MPPR WD9'!$53:$53</definedName>
    <definedName name="Z_602520CD_F98C_43A6_AA0D_88893E9CB6E8_.wvu.Cols" localSheetId="2" hidden="1">'1) Report'!$AO:$AU</definedName>
    <definedName name="Z_602520CD_F98C_43A6_AA0D_88893E9CB6E8_.wvu.Cols" localSheetId="13" hidden="1">'6) RAG Table'!$AB:$BE</definedName>
    <definedName name="Z_602520CD_F98C_43A6_AA0D_88893E9CB6E8_.wvu.FilterData" localSheetId="13" hidden="1">'6) RAG Table'!$BC$4:$BC$62</definedName>
    <definedName name="Z_602520CD_F98C_43A6_AA0D_88893E9CB6E8_.wvu.PrintArea" localSheetId="0" hidden="1">'0) SL Project Structure'!$A$1:$AL$82</definedName>
    <definedName name="Z_602520CD_F98C_43A6_AA0D_88893E9CB6E8_.wvu.PrintArea" localSheetId="1" hidden="1">'0) SL Project Structure OLD'!$A$1:$AL$68</definedName>
    <definedName name="Z_602520CD_F98C_43A6_AA0D_88893E9CB6E8_.wvu.PrintArea" localSheetId="2" hidden="1">'1) Report'!$B$2:$AM$140</definedName>
    <definedName name="Z_602520CD_F98C_43A6_AA0D_88893E9CB6E8_.wvu.PrintArea" localSheetId="5" hidden="1">'2) Definitions'!$A$2:$T$50</definedName>
    <definedName name="Z_602520CD_F98C_43A6_AA0D_88893E9CB6E8_.wvu.PrintArea" localSheetId="13" hidden="1">'6) RAG Table'!$A$1:$AA$101</definedName>
    <definedName name="Z_602520CD_F98C_43A6_AA0D_88893E9CB6E8_.wvu.PrintArea" localSheetId="11" hidden="1">'P&amp;B Summary'!$B$3:$J$18</definedName>
    <definedName name="Z_602520CD_F98C_43A6_AA0D_88893E9CB6E8_.wvu.PrintTitles" localSheetId="2" hidden="1">'1) Report'!$3:$6</definedName>
    <definedName name="Z_602520CD_F98C_43A6_AA0D_88893E9CB6E8_.wvu.Rows" localSheetId="2" hidden="1">'1) Report'!$1:$1,'1) Report'!$10:$10,'1) Report'!$16:$16,'1) Report'!$45:$45,'1) Report'!$52:$52,'1) Report'!$91:$91,'1) Report'!$123:$123</definedName>
    <definedName name="Z_602520CD_F98C_43A6_AA0D_88893E9CB6E8_.wvu.Rows" localSheetId="6" hidden="1">'3) BC and Sanction'!$1:$1</definedName>
    <definedName name="Z_602520CD_F98C_43A6_AA0D_88893E9CB6E8_.wvu.Rows" localSheetId="4" hidden="1">'4) Baseline Changes'!$1:$1</definedName>
    <definedName name="Z_602520CD_F98C_43A6_AA0D_88893E9CB6E8_.wvu.Rows" localSheetId="12" hidden="1">'5a)NDA MPPR'!$63:$101</definedName>
    <definedName name="Z_602520CD_F98C_43A6_AA0D_88893E9CB6E8_.wvu.Rows" localSheetId="13" hidden="1">'6) RAG Table'!$73:$78</definedName>
    <definedName name="Z_602520CD_F98C_43A6_AA0D_88893E9CB6E8_.wvu.Rows" localSheetId="11" hidden="1">'P&amp;B Summary'!$1:$1</definedName>
    <definedName name="Z_602520CD_F98C_43A6_AA0D_88893E9CB6E8_.wvu.Rows" localSheetId="9" hidden="1">'Pd08 Extended MPPR WD9'!$7:$7,'Pd08 Extended MPPR WD9'!$11:$11,'Pd08 Extended MPPR WD9'!$15:$15,'Pd08 Extended MPPR WD9'!$19:$19,'Pd08 Extended MPPR WD9'!$23:$23,'Pd08 Extended MPPR WD9'!$27:$27,'Pd08 Extended MPPR WD9'!$31:$31,'Pd08 Extended MPPR WD9'!$35:$35</definedName>
    <definedName name="Z_602520CD_F98C_43A6_AA0D_88893E9CB6E8_.wvu.Rows" localSheetId="8" hidden="1">'Pd08 MPPR WD9'!$7:$7,'Pd08 MPPR WD9'!$11:$11,'Pd08 MPPR WD9'!$15:$15,'Pd08 MPPR WD9'!$19:$19,'Pd08 MPPR WD9'!$23:$23,'Pd08 MPPR WD9'!$27:$27,'Pd08 MPPR WD9'!$31:$31,'Pd08 MPPR WD9'!$35:$35,'Pd08 MPPR WD9'!$39:$39,'Pd08 MPPR WD9'!$43:$43,'Pd08 MPPR WD9'!$47:$47,'Pd08 MPPR WD9'!$50:$50,'Pd08 MPPR WD9'!$53:$53</definedName>
    <definedName name="Z_6702457D_A9A8_4F46_8E1C_BC7255F4BA77_.wvu.Cols" localSheetId="13" hidden="1">'6) RAG Table'!$AB:$BA</definedName>
    <definedName name="Z_6702457D_A9A8_4F46_8E1C_BC7255F4BA77_.wvu.FilterData" localSheetId="13" hidden="1">'6) RAG Table'!$BC$4:$BC$62</definedName>
    <definedName name="Z_6702457D_A9A8_4F46_8E1C_BC7255F4BA77_.wvu.PrintArea" localSheetId="2" hidden="1">'1) Report'!$B$2:$AM$141</definedName>
    <definedName name="Z_6702457D_A9A8_4F46_8E1C_BC7255F4BA77_.wvu.PrintArea" localSheetId="11" hidden="1">'P&amp;B Summary'!$B$3:$J$18</definedName>
    <definedName name="Z_6702457D_A9A8_4F46_8E1C_BC7255F4BA77_.wvu.PrintTitles" localSheetId="2" hidden="1">'1) Report'!$3:$6</definedName>
    <definedName name="Z_6702457D_A9A8_4F46_8E1C_BC7255F4BA77_.wvu.Rows" localSheetId="2" hidden="1">'1) Report'!$1:$1</definedName>
    <definedName name="Z_6702457D_A9A8_4F46_8E1C_BC7255F4BA77_.wvu.Rows" localSheetId="6" hidden="1">'3) BC and Sanction'!$1:$1</definedName>
    <definedName name="Z_6702457D_A9A8_4F46_8E1C_BC7255F4BA77_.wvu.Rows" localSheetId="4" hidden="1">'4) Baseline Changes'!$1:$1</definedName>
    <definedName name="Z_6702457D_A9A8_4F46_8E1C_BC7255F4BA77_.wvu.Rows" localSheetId="13" hidden="1">'6) RAG Table'!$73:$78</definedName>
    <definedName name="Z_6702457D_A9A8_4F46_8E1C_BC7255F4BA77_.wvu.Rows" localSheetId="11" hidden="1">'P&amp;B Summary'!$1:$1</definedName>
    <definedName name="Z_6702457D_A9A8_4F46_8E1C_BC7255F4BA77_.wvu.Rows" localSheetId="9" hidden="1">'Pd08 Extended MPPR WD9'!$7:$7,'Pd08 Extended MPPR WD9'!$11:$11,'Pd08 Extended MPPR WD9'!$15:$15,'Pd08 Extended MPPR WD9'!$19:$19,'Pd08 Extended MPPR WD9'!$23:$23,'Pd08 Extended MPPR WD9'!$27:$27,'Pd08 Extended MPPR WD9'!$31:$31,'Pd08 Extended MPPR WD9'!$35:$35</definedName>
    <definedName name="Z_6702457D_A9A8_4F46_8E1C_BC7255F4BA77_.wvu.Rows" localSheetId="8" hidden="1">'Pd08 MPPR WD9'!$7:$7,'Pd08 MPPR WD9'!$11:$11,'Pd08 MPPR WD9'!$15:$15,'Pd08 MPPR WD9'!$19:$19,'Pd08 MPPR WD9'!$23:$23,'Pd08 MPPR WD9'!$27:$27,'Pd08 MPPR WD9'!$31:$31,'Pd08 MPPR WD9'!$35:$35,'Pd08 MPPR WD9'!$39:$39,'Pd08 MPPR WD9'!$43:$43,'Pd08 MPPR WD9'!$47:$47,'Pd08 MPPR WD9'!$50:$50,'Pd08 MPPR WD9'!$53:$53</definedName>
    <definedName name="Z_70582C04_BB53_4A99_A3C1_673011D9AE1C_.wvu.Cols" localSheetId="2" hidden="1">'1) Report'!$AO:$AU</definedName>
    <definedName name="Z_70582C04_BB53_4A99_A3C1_673011D9AE1C_.wvu.Cols" localSheetId="13" hidden="1">'6) RAG Table'!$AB:$BE</definedName>
    <definedName name="Z_70582C04_BB53_4A99_A3C1_673011D9AE1C_.wvu.FilterData" localSheetId="13" hidden="1">'6) RAG Table'!$BC$4:$BC$62</definedName>
    <definedName name="Z_70582C04_BB53_4A99_A3C1_673011D9AE1C_.wvu.PrintArea" localSheetId="0" hidden="1">'0) SL Project Structure'!$A$1:$AL$82</definedName>
    <definedName name="Z_70582C04_BB53_4A99_A3C1_673011D9AE1C_.wvu.PrintArea" localSheetId="1" hidden="1">'0) SL Project Structure OLD'!$A$1:$AL$68</definedName>
    <definedName name="Z_70582C04_BB53_4A99_A3C1_673011D9AE1C_.wvu.PrintArea" localSheetId="2" hidden="1">'1) Report'!$B$2:$AM$140</definedName>
    <definedName name="Z_70582C04_BB53_4A99_A3C1_673011D9AE1C_.wvu.PrintArea" localSheetId="5" hidden="1">'2) Definitions'!$A$2:$T$50</definedName>
    <definedName name="Z_70582C04_BB53_4A99_A3C1_673011D9AE1C_.wvu.PrintArea" localSheetId="13" hidden="1">'6) RAG Table'!$A$1:$AA$101</definedName>
    <definedName name="Z_70582C04_BB53_4A99_A3C1_673011D9AE1C_.wvu.PrintArea" localSheetId="11" hidden="1">'P&amp;B Summary'!$B$3:$J$18</definedName>
    <definedName name="Z_70582C04_BB53_4A99_A3C1_673011D9AE1C_.wvu.PrintTitles" localSheetId="2" hidden="1">'1) Report'!$3:$6</definedName>
    <definedName name="Z_70582C04_BB53_4A99_A3C1_673011D9AE1C_.wvu.Rows" localSheetId="2" hidden="1">'1) Report'!$1:$1,'1) Report'!$10:$10,'1) Report'!$16:$16,'1) Report'!$45:$45,'1) Report'!$52:$52,'1) Report'!$91:$91,'1) Report'!$123:$123</definedName>
    <definedName name="Z_70582C04_BB53_4A99_A3C1_673011D9AE1C_.wvu.Rows" localSheetId="6" hidden="1">'3) BC and Sanction'!$1:$1</definedName>
    <definedName name="Z_70582C04_BB53_4A99_A3C1_673011D9AE1C_.wvu.Rows" localSheetId="4" hidden="1">'4) Baseline Changes'!$1:$1</definedName>
    <definedName name="Z_70582C04_BB53_4A99_A3C1_673011D9AE1C_.wvu.Rows" localSheetId="12" hidden="1">'5a)NDA MPPR'!$63:$101</definedName>
    <definedName name="Z_70582C04_BB53_4A99_A3C1_673011D9AE1C_.wvu.Rows" localSheetId="13" hidden="1">'6) RAG Table'!$73:$78</definedName>
    <definedName name="Z_70582C04_BB53_4A99_A3C1_673011D9AE1C_.wvu.Rows" localSheetId="11" hidden="1">'P&amp;B Summary'!$1:$1</definedName>
    <definedName name="Z_70582C04_BB53_4A99_A3C1_673011D9AE1C_.wvu.Rows" localSheetId="9" hidden="1">'Pd08 Extended MPPR WD9'!$7:$7,'Pd08 Extended MPPR WD9'!$11:$11,'Pd08 Extended MPPR WD9'!$15:$15,'Pd08 Extended MPPR WD9'!$19:$19,'Pd08 Extended MPPR WD9'!$23:$23,'Pd08 Extended MPPR WD9'!$27:$27,'Pd08 Extended MPPR WD9'!$31:$31,'Pd08 Extended MPPR WD9'!$35:$35</definedName>
    <definedName name="Z_70582C04_BB53_4A99_A3C1_673011D9AE1C_.wvu.Rows" localSheetId="8" hidden="1">'Pd08 MPPR WD9'!$7:$7,'Pd08 MPPR WD9'!$11:$11,'Pd08 MPPR WD9'!$15:$15,'Pd08 MPPR WD9'!$19:$19,'Pd08 MPPR WD9'!$23:$23,'Pd08 MPPR WD9'!$27:$27,'Pd08 MPPR WD9'!$31:$31,'Pd08 MPPR WD9'!$35:$35,'Pd08 MPPR WD9'!$39:$39,'Pd08 MPPR WD9'!$43:$43,'Pd08 MPPR WD9'!$47:$47,'Pd08 MPPR WD9'!$50:$50,'Pd08 MPPR WD9'!$53:$53</definedName>
    <definedName name="Z_75EE3B92_AF4D_4E93_A70E_6ADE60CC674F_.wvu.Cols" localSheetId="2" hidden="1">'1) Report'!$AO:$AU</definedName>
    <definedName name="Z_75EE3B92_AF4D_4E93_A70E_6ADE60CC674F_.wvu.Cols" localSheetId="13" hidden="1">'6) RAG Table'!$AB:$BE</definedName>
    <definedName name="Z_75EE3B92_AF4D_4E93_A70E_6ADE60CC674F_.wvu.FilterData" localSheetId="13" hidden="1">'6) RAG Table'!$BC$4:$BC$62</definedName>
    <definedName name="Z_75EE3B92_AF4D_4E93_A70E_6ADE60CC674F_.wvu.PrintArea" localSheetId="0" hidden="1">'0) SL Project Structure'!$A$1:$AU$74</definedName>
    <definedName name="Z_75EE3B92_AF4D_4E93_A70E_6ADE60CC674F_.wvu.PrintArea" localSheetId="1" hidden="1">'0) SL Project Structure OLD'!$A$1:$AL$68</definedName>
    <definedName name="Z_75EE3B92_AF4D_4E93_A70E_6ADE60CC674F_.wvu.PrintArea" localSheetId="2" hidden="1">'1) Report'!$B$2:$AM$140</definedName>
    <definedName name="Z_75EE3B92_AF4D_4E93_A70E_6ADE60CC674F_.wvu.PrintArea" localSheetId="5" hidden="1">'2) Definitions'!$A$2:$T$50</definedName>
    <definedName name="Z_75EE3B92_AF4D_4E93_A70E_6ADE60CC674F_.wvu.PrintArea" localSheetId="13" hidden="1">'6) RAG Table'!$B$1:$AA$98</definedName>
    <definedName name="Z_75EE3B92_AF4D_4E93_A70E_6ADE60CC674F_.wvu.PrintArea" localSheetId="11" hidden="1">'P&amp;B Summary'!$B$3:$J$18</definedName>
    <definedName name="Z_75EE3B92_AF4D_4E93_A70E_6ADE60CC674F_.wvu.PrintTitles" localSheetId="2" hidden="1">'1) Report'!$3:$6</definedName>
    <definedName name="Z_75EE3B92_AF4D_4E93_A70E_6ADE60CC674F_.wvu.Rows" localSheetId="2" hidden="1">'1) Report'!$1:$1,'1) Report'!$10:$10,'1) Report'!$16:$16,'1) Report'!$45:$45,'1) Report'!$52:$52,'1) Report'!$91:$91,'1) Report'!$123:$123</definedName>
    <definedName name="Z_75EE3B92_AF4D_4E93_A70E_6ADE60CC674F_.wvu.Rows" localSheetId="6" hidden="1">'3) BC and Sanction'!$1:$1</definedName>
    <definedName name="Z_75EE3B92_AF4D_4E93_A70E_6ADE60CC674F_.wvu.Rows" localSheetId="4" hidden="1">'4) Baseline Changes'!$1:$1</definedName>
    <definedName name="Z_75EE3B92_AF4D_4E93_A70E_6ADE60CC674F_.wvu.Rows" localSheetId="12" hidden="1">'5a)NDA MPPR'!$63:$101</definedName>
    <definedName name="Z_75EE3B92_AF4D_4E93_A70E_6ADE60CC674F_.wvu.Rows" localSheetId="13" hidden="1">'6) RAG Table'!$73:$78</definedName>
    <definedName name="Z_75EE3B92_AF4D_4E93_A70E_6ADE60CC674F_.wvu.Rows" localSheetId="11" hidden="1">'P&amp;B Summary'!$1:$1</definedName>
    <definedName name="Z_75EE3B92_AF4D_4E93_A70E_6ADE60CC674F_.wvu.Rows" localSheetId="9" hidden="1">'Pd08 Extended MPPR WD9'!$7:$7,'Pd08 Extended MPPR WD9'!$11:$11,'Pd08 Extended MPPR WD9'!$15:$15,'Pd08 Extended MPPR WD9'!$19:$19,'Pd08 Extended MPPR WD9'!$23:$23,'Pd08 Extended MPPR WD9'!$27:$27,'Pd08 Extended MPPR WD9'!$31:$31,'Pd08 Extended MPPR WD9'!$35:$35</definedName>
    <definedName name="Z_75EE3B92_AF4D_4E93_A70E_6ADE60CC674F_.wvu.Rows" localSheetId="8" hidden="1">'Pd08 MPPR WD9'!$7:$7,'Pd08 MPPR WD9'!$11:$11,'Pd08 MPPR WD9'!$15:$15,'Pd08 MPPR WD9'!$19:$19,'Pd08 MPPR WD9'!$23:$23,'Pd08 MPPR WD9'!$27:$27,'Pd08 MPPR WD9'!$31:$31,'Pd08 MPPR WD9'!$35:$35,'Pd08 MPPR WD9'!$39:$39,'Pd08 MPPR WD9'!$43:$43,'Pd08 MPPR WD9'!$47:$47,'Pd08 MPPR WD9'!$50:$50,'Pd08 MPPR WD9'!$53:$53</definedName>
    <definedName name="Z_78AA4A71_CE17_4C4D_849E_E3E1A44EA907_.wvu.Cols" localSheetId="2" hidden="1">'1) Report'!$AO:$AU</definedName>
    <definedName name="Z_78AA4A71_CE17_4C4D_849E_E3E1A44EA907_.wvu.Cols" localSheetId="13" hidden="1">'6) RAG Table'!$AB:$BE</definedName>
    <definedName name="Z_78AA4A71_CE17_4C4D_849E_E3E1A44EA907_.wvu.FilterData" localSheetId="13" hidden="1">'6) RAG Table'!$BC$4:$BC$62</definedName>
    <definedName name="Z_78AA4A71_CE17_4C4D_849E_E3E1A44EA907_.wvu.PrintArea" localSheetId="0" hidden="1">'0) SL Project Structure'!$A$1:$AL$82</definedName>
    <definedName name="Z_78AA4A71_CE17_4C4D_849E_E3E1A44EA907_.wvu.PrintArea" localSheetId="1" hidden="1">'0) SL Project Structure OLD'!$A$1:$AL$68</definedName>
    <definedName name="Z_78AA4A71_CE17_4C4D_849E_E3E1A44EA907_.wvu.PrintArea" localSheetId="2" hidden="1">'1) Report'!$B$2:$AM$140</definedName>
    <definedName name="Z_78AA4A71_CE17_4C4D_849E_E3E1A44EA907_.wvu.PrintArea" localSheetId="5" hidden="1">'2) Definitions'!$A$2:$T$50</definedName>
    <definedName name="Z_78AA4A71_CE17_4C4D_849E_E3E1A44EA907_.wvu.PrintArea" localSheetId="13" hidden="1">'6) RAG Table'!$A$1:$AA$101</definedName>
    <definedName name="Z_78AA4A71_CE17_4C4D_849E_E3E1A44EA907_.wvu.PrintArea" localSheetId="11" hidden="1">'P&amp;B Summary'!$B$3:$J$18</definedName>
    <definedName name="Z_78AA4A71_CE17_4C4D_849E_E3E1A44EA907_.wvu.PrintTitles" localSheetId="2" hidden="1">'1) Report'!$3:$6</definedName>
    <definedName name="Z_78AA4A71_CE17_4C4D_849E_E3E1A44EA907_.wvu.Rows" localSheetId="2" hidden="1">'1) Report'!$1:$1,'1) Report'!$123:$123</definedName>
    <definedName name="Z_78AA4A71_CE17_4C4D_849E_E3E1A44EA907_.wvu.Rows" localSheetId="6" hidden="1">'3) BC and Sanction'!$1:$1</definedName>
    <definedName name="Z_78AA4A71_CE17_4C4D_849E_E3E1A44EA907_.wvu.Rows" localSheetId="4" hidden="1">'4) Baseline Changes'!$1:$1</definedName>
    <definedName name="Z_78AA4A71_CE17_4C4D_849E_E3E1A44EA907_.wvu.Rows" localSheetId="12" hidden="1">'5a)NDA MPPR'!$63:$101</definedName>
    <definedName name="Z_78AA4A71_CE17_4C4D_849E_E3E1A44EA907_.wvu.Rows" localSheetId="13" hidden="1">'6) RAG Table'!$73:$78</definedName>
    <definedName name="Z_78AA4A71_CE17_4C4D_849E_E3E1A44EA907_.wvu.Rows" localSheetId="11" hidden="1">'P&amp;B Summary'!$1:$1</definedName>
    <definedName name="Z_78AA4A71_CE17_4C4D_849E_E3E1A44EA907_.wvu.Rows" localSheetId="9" hidden="1">'Pd08 Extended MPPR WD9'!$7:$7,'Pd08 Extended MPPR WD9'!$11:$11,'Pd08 Extended MPPR WD9'!$15:$15,'Pd08 Extended MPPR WD9'!$19:$19,'Pd08 Extended MPPR WD9'!$23:$23,'Pd08 Extended MPPR WD9'!$27:$27,'Pd08 Extended MPPR WD9'!$31:$31,'Pd08 Extended MPPR WD9'!$35:$35</definedName>
    <definedName name="Z_78AA4A71_CE17_4C4D_849E_E3E1A44EA907_.wvu.Rows" localSheetId="8" hidden="1">'Pd08 MPPR WD9'!$7:$7,'Pd08 MPPR WD9'!$11:$11,'Pd08 MPPR WD9'!$15:$15,'Pd08 MPPR WD9'!$19:$19,'Pd08 MPPR WD9'!$23:$23,'Pd08 MPPR WD9'!$27:$27,'Pd08 MPPR WD9'!$31:$31,'Pd08 MPPR WD9'!$35:$35,'Pd08 MPPR WD9'!$39:$39,'Pd08 MPPR WD9'!$43:$43,'Pd08 MPPR WD9'!$47:$47,'Pd08 MPPR WD9'!$50:$50,'Pd08 MPPR WD9'!$53:$53</definedName>
    <definedName name="Z_7E571F1D_D438_4605_90D6_3F831F76D652_.wvu.Cols" localSheetId="2" hidden="1">'1) Report'!$AO:$AU</definedName>
    <definedName name="Z_7E571F1D_D438_4605_90D6_3F831F76D652_.wvu.Cols" localSheetId="13" hidden="1">'6) RAG Table'!$AB:$BE</definedName>
    <definedName name="Z_7E571F1D_D438_4605_90D6_3F831F76D652_.wvu.FilterData" localSheetId="13" hidden="1">'6) RAG Table'!$BC$4:$BC$62</definedName>
    <definedName name="Z_7E571F1D_D438_4605_90D6_3F831F76D652_.wvu.PrintArea" localSheetId="0" hidden="1">'0) SL Project Structure'!$A$1:$AL$82</definedName>
    <definedName name="Z_7E571F1D_D438_4605_90D6_3F831F76D652_.wvu.PrintArea" localSheetId="1" hidden="1">'0) SL Project Structure OLD'!$A$1:$AL$68</definedName>
    <definedName name="Z_7E571F1D_D438_4605_90D6_3F831F76D652_.wvu.PrintArea" localSheetId="2" hidden="1">'1) Report'!$B$2:$AM$140</definedName>
    <definedName name="Z_7E571F1D_D438_4605_90D6_3F831F76D652_.wvu.PrintArea" localSheetId="5" hidden="1">'2) Definitions'!$A$2:$T$50</definedName>
    <definedName name="Z_7E571F1D_D438_4605_90D6_3F831F76D652_.wvu.PrintArea" localSheetId="13" hidden="1">'6) RAG Table'!$A$1:$AA$101</definedName>
    <definedName name="Z_7E571F1D_D438_4605_90D6_3F831F76D652_.wvu.PrintArea" localSheetId="11" hidden="1">'P&amp;B Summary'!$B$3:$J$18</definedName>
    <definedName name="Z_7E571F1D_D438_4605_90D6_3F831F76D652_.wvu.PrintTitles" localSheetId="2" hidden="1">'1) Report'!$3:$6</definedName>
    <definedName name="Z_7E571F1D_D438_4605_90D6_3F831F76D652_.wvu.Rows" localSheetId="2" hidden="1">'1) Report'!$1:$1,'1) Report'!$10:$10,'1) Report'!$16:$16,'1) Report'!$45:$45,'1) Report'!$52:$52,'1) Report'!$91:$91,'1) Report'!$123:$123</definedName>
    <definedName name="Z_7E571F1D_D438_4605_90D6_3F831F76D652_.wvu.Rows" localSheetId="6" hidden="1">'3) BC and Sanction'!$1:$1</definedName>
    <definedName name="Z_7E571F1D_D438_4605_90D6_3F831F76D652_.wvu.Rows" localSheetId="4" hidden="1">'4) Baseline Changes'!$1:$1</definedName>
    <definedName name="Z_7E571F1D_D438_4605_90D6_3F831F76D652_.wvu.Rows" localSheetId="12" hidden="1">'5a)NDA MPPR'!$63:$101</definedName>
    <definedName name="Z_7E571F1D_D438_4605_90D6_3F831F76D652_.wvu.Rows" localSheetId="13" hidden="1">'6) RAG Table'!$73:$78</definedName>
    <definedName name="Z_7E571F1D_D438_4605_90D6_3F831F76D652_.wvu.Rows" localSheetId="11" hidden="1">'P&amp;B Summary'!$1:$1</definedName>
    <definedName name="Z_7E571F1D_D438_4605_90D6_3F831F76D652_.wvu.Rows" localSheetId="9" hidden="1">'Pd08 Extended MPPR WD9'!$7:$7,'Pd08 Extended MPPR WD9'!$11:$11,'Pd08 Extended MPPR WD9'!$15:$15,'Pd08 Extended MPPR WD9'!$19:$19,'Pd08 Extended MPPR WD9'!$23:$23,'Pd08 Extended MPPR WD9'!$27:$27,'Pd08 Extended MPPR WD9'!$31:$31,'Pd08 Extended MPPR WD9'!$35:$35</definedName>
    <definedName name="Z_7E571F1D_D438_4605_90D6_3F831F76D652_.wvu.Rows" localSheetId="8" hidden="1">'Pd08 MPPR WD9'!$7:$7,'Pd08 MPPR WD9'!$11:$11,'Pd08 MPPR WD9'!$15:$15,'Pd08 MPPR WD9'!$19:$19,'Pd08 MPPR WD9'!$23:$23,'Pd08 MPPR WD9'!$27:$27,'Pd08 MPPR WD9'!$31:$31,'Pd08 MPPR WD9'!$35:$35,'Pd08 MPPR WD9'!$39:$39,'Pd08 MPPR WD9'!$43:$43,'Pd08 MPPR WD9'!$47:$47,'Pd08 MPPR WD9'!$50:$50,'Pd08 MPPR WD9'!$53:$53</definedName>
    <definedName name="Z_800416AC_1374_44AC_811C_612C85EF24E6_.wvu.Cols" localSheetId="2" hidden="1">'1) Report'!$AO:$AU</definedName>
    <definedName name="Z_800416AC_1374_44AC_811C_612C85EF24E6_.wvu.Cols" localSheetId="13" hidden="1">'6) RAG Table'!$AB:$BE</definedName>
    <definedName name="Z_800416AC_1374_44AC_811C_612C85EF24E6_.wvu.FilterData" localSheetId="13" hidden="1">'6) RAG Table'!$BC$4:$BC$62</definedName>
    <definedName name="Z_800416AC_1374_44AC_811C_612C85EF24E6_.wvu.PrintArea" localSheetId="0" hidden="1">'0) SL Project Structure'!$A$1:$AL$82</definedName>
    <definedName name="Z_800416AC_1374_44AC_811C_612C85EF24E6_.wvu.PrintArea" localSheetId="1" hidden="1">'0) SL Project Structure OLD'!$A$1:$AL$68</definedName>
    <definedName name="Z_800416AC_1374_44AC_811C_612C85EF24E6_.wvu.PrintArea" localSheetId="2" hidden="1">'1) Report'!$B$2:$AM$140</definedName>
    <definedName name="Z_800416AC_1374_44AC_811C_612C85EF24E6_.wvu.PrintArea" localSheetId="5" hidden="1">'2) Definitions'!$A$2:$T$50</definedName>
    <definedName name="Z_800416AC_1374_44AC_811C_612C85EF24E6_.wvu.PrintArea" localSheetId="13" hidden="1">'6) RAG Table'!$A$1:$AA$101</definedName>
    <definedName name="Z_800416AC_1374_44AC_811C_612C85EF24E6_.wvu.PrintArea" localSheetId="11" hidden="1">'P&amp;B Summary'!$B$3:$J$18</definedName>
    <definedName name="Z_800416AC_1374_44AC_811C_612C85EF24E6_.wvu.PrintTitles" localSheetId="2" hidden="1">'1) Report'!$3:$6</definedName>
    <definedName name="Z_800416AC_1374_44AC_811C_612C85EF24E6_.wvu.Rows" localSheetId="2" hidden="1">'1) Report'!$1:$1,'1) Report'!$10:$10,'1) Report'!$16:$16,'1) Report'!$45:$45,'1) Report'!$52:$52,'1) Report'!$91:$91,'1) Report'!$123:$123</definedName>
    <definedName name="Z_800416AC_1374_44AC_811C_612C85EF24E6_.wvu.Rows" localSheetId="6" hidden="1">'3) BC and Sanction'!$1:$1</definedName>
    <definedName name="Z_800416AC_1374_44AC_811C_612C85EF24E6_.wvu.Rows" localSheetId="4" hidden="1">'4) Baseline Changes'!$1:$1</definedName>
    <definedName name="Z_800416AC_1374_44AC_811C_612C85EF24E6_.wvu.Rows" localSheetId="12" hidden="1">'5a)NDA MPPR'!$63:$101</definedName>
    <definedName name="Z_800416AC_1374_44AC_811C_612C85EF24E6_.wvu.Rows" localSheetId="13" hidden="1">'6) RAG Table'!$73:$78</definedName>
    <definedName name="Z_800416AC_1374_44AC_811C_612C85EF24E6_.wvu.Rows" localSheetId="11" hidden="1">'P&amp;B Summary'!$1:$1</definedName>
    <definedName name="Z_800416AC_1374_44AC_811C_612C85EF24E6_.wvu.Rows" localSheetId="9" hidden="1">'Pd08 Extended MPPR WD9'!$7:$7,'Pd08 Extended MPPR WD9'!$11:$11,'Pd08 Extended MPPR WD9'!$15:$15,'Pd08 Extended MPPR WD9'!$19:$19,'Pd08 Extended MPPR WD9'!$23:$23,'Pd08 Extended MPPR WD9'!$27:$27,'Pd08 Extended MPPR WD9'!$31:$31,'Pd08 Extended MPPR WD9'!$35:$35</definedName>
    <definedName name="Z_800416AC_1374_44AC_811C_612C85EF24E6_.wvu.Rows" localSheetId="8" hidden="1">'Pd08 MPPR WD9'!$7:$7,'Pd08 MPPR WD9'!$11:$11,'Pd08 MPPR WD9'!$15:$15,'Pd08 MPPR WD9'!$19:$19,'Pd08 MPPR WD9'!$23:$23,'Pd08 MPPR WD9'!$27:$27,'Pd08 MPPR WD9'!$31:$31,'Pd08 MPPR WD9'!$35:$35,'Pd08 MPPR WD9'!$39:$39,'Pd08 MPPR WD9'!$43:$43,'Pd08 MPPR WD9'!$47:$47,'Pd08 MPPR WD9'!$50:$50,'Pd08 MPPR WD9'!$53:$53</definedName>
    <definedName name="Z_8263C9D2_452D_46FA_AFA0_452B42DC0298_.wvu.Cols" localSheetId="2" hidden="1">'1) Report'!$AO:$AU</definedName>
    <definedName name="Z_8263C9D2_452D_46FA_AFA0_452B42DC0298_.wvu.Cols" localSheetId="13" hidden="1">'6) RAG Table'!$AB:$BE</definedName>
    <definedName name="Z_8263C9D2_452D_46FA_AFA0_452B42DC0298_.wvu.FilterData" localSheetId="13" hidden="1">'6) RAG Table'!$BC$4:$BC$62</definedName>
    <definedName name="Z_8263C9D2_452D_46FA_AFA0_452B42DC0298_.wvu.PrintArea" localSheetId="0" hidden="1">'0) SL Project Structure'!$A$1:$AU$78</definedName>
    <definedName name="Z_8263C9D2_452D_46FA_AFA0_452B42DC0298_.wvu.PrintArea" localSheetId="1" hidden="1">'0) SL Project Structure OLD'!$A$1:$AL$68</definedName>
    <definedName name="Z_8263C9D2_452D_46FA_AFA0_452B42DC0298_.wvu.PrintArea" localSheetId="2" hidden="1">'1) Report'!$B$2:$AM$141</definedName>
    <definedName name="Z_8263C9D2_452D_46FA_AFA0_452B42DC0298_.wvu.PrintArea" localSheetId="11" hidden="1">'P&amp;B Summary'!$B$3:$J$18</definedName>
    <definedName name="Z_8263C9D2_452D_46FA_AFA0_452B42DC0298_.wvu.PrintTitles" localSheetId="2" hidden="1">'1) Report'!$3:$6</definedName>
    <definedName name="Z_8263C9D2_452D_46FA_AFA0_452B42DC0298_.wvu.Rows" localSheetId="2" hidden="1">'1) Report'!$1:$1,'1) Report'!$16:$16,'1) Report'!#REF!,'1) Report'!$52:$52,'1) Report'!$123:$123,'1) Report'!#REF!</definedName>
    <definedName name="Z_8263C9D2_452D_46FA_AFA0_452B42DC0298_.wvu.Rows" localSheetId="6" hidden="1">'3) BC and Sanction'!$1:$1</definedName>
    <definedName name="Z_8263C9D2_452D_46FA_AFA0_452B42DC0298_.wvu.Rows" localSheetId="4" hidden="1">'4) Baseline Changes'!$1:$1</definedName>
    <definedName name="Z_8263C9D2_452D_46FA_AFA0_452B42DC0298_.wvu.Rows" localSheetId="12" hidden="1">'5a)NDA MPPR'!$63:$101</definedName>
    <definedName name="Z_8263C9D2_452D_46FA_AFA0_452B42DC0298_.wvu.Rows" localSheetId="13" hidden="1">'6) RAG Table'!$73:$78</definedName>
    <definedName name="Z_8263C9D2_452D_46FA_AFA0_452B42DC0298_.wvu.Rows" localSheetId="11" hidden="1">'P&amp;B Summary'!$1:$1</definedName>
    <definedName name="Z_8263C9D2_452D_46FA_AFA0_452B42DC0298_.wvu.Rows" localSheetId="9" hidden="1">'Pd08 Extended MPPR WD9'!$7:$7,'Pd08 Extended MPPR WD9'!$11:$11,'Pd08 Extended MPPR WD9'!$15:$15,'Pd08 Extended MPPR WD9'!$19:$19,'Pd08 Extended MPPR WD9'!$23:$23,'Pd08 Extended MPPR WD9'!$27:$27,'Pd08 Extended MPPR WD9'!$31:$31,'Pd08 Extended MPPR WD9'!$35:$35</definedName>
    <definedName name="Z_8263C9D2_452D_46FA_AFA0_452B42DC0298_.wvu.Rows" localSheetId="8" hidden="1">'Pd08 MPPR WD9'!$7:$7,'Pd08 MPPR WD9'!$11:$11,'Pd08 MPPR WD9'!$15:$15,'Pd08 MPPR WD9'!$19:$19,'Pd08 MPPR WD9'!$23:$23,'Pd08 MPPR WD9'!$27:$27,'Pd08 MPPR WD9'!$31:$31,'Pd08 MPPR WD9'!$35:$35,'Pd08 MPPR WD9'!$39:$39,'Pd08 MPPR WD9'!$43:$43,'Pd08 MPPR WD9'!$47:$47,'Pd08 MPPR WD9'!$50:$50,'Pd08 MPPR WD9'!$53:$53</definedName>
    <definedName name="Z_83044EFE_7F92_4F81_B034_85D9567158C2_.wvu.Cols" localSheetId="2" hidden="1">'1) Report'!$AO:$AU</definedName>
    <definedName name="Z_83044EFE_7F92_4F81_B034_85D9567158C2_.wvu.Cols" localSheetId="13" hidden="1">'6) RAG Table'!$AB:$BE</definedName>
    <definedName name="Z_83044EFE_7F92_4F81_B034_85D9567158C2_.wvu.FilterData" localSheetId="13" hidden="1">'6) RAG Table'!$BC$4:$BC$62</definedName>
    <definedName name="Z_83044EFE_7F92_4F81_B034_85D9567158C2_.wvu.PrintArea" localSheetId="0" hidden="1">'0) SL Project Structure'!$A$1:$AL$82</definedName>
    <definedName name="Z_83044EFE_7F92_4F81_B034_85D9567158C2_.wvu.PrintArea" localSheetId="1" hidden="1">'0) SL Project Structure OLD'!$A$1:$AL$68</definedName>
    <definedName name="Z_83044EFE_7F92_4F81_B034_85D9567158C2_.wvu.PrintArea" localSheetId="2" hidden="1">'1) Report'!$B$2:$AM$140</definedName>
    <definedName name="Z_83044EFE_7F92_4F81_B034_85D9567158C2_.wvu.PrintArea" localSheetId="5" hidden="1">'2) Definitions'!$A$2:$T$50</definedName>
    <definedName name="Z_83044EFE_7F92_4F81_B034_85D9567158C2_.wvu.PrintArea" localSheetId="13" hidden="1">'6) RAG Table'!$A$1:$AA$101</definedName>
    <definedName name="Z_83044EFE_7F92_4F81_B034_85D9567158C2_.wvu.PrintArea" localSheetId="11" hidden="1">'P&amp;B Summary'!$B$3:$J$18</definedName>
    <definedName name="Z_83044EFE_7F92_4F81_B034_85D9567158C2_.wvu.PrintTitles" localSheetId="2" hidden="1">'1) Report'!$3:$6</definedName>
    <definedName name="Z_83044EFE_7F92_4F81_B034_85D9567158C2_.wvu.Rows" localSheetId="2" hidden="1">'1) Report'!$1:$1,'1) Report'!$10:$10,'1) Report'!$16:$16,'1) Report'!$45:$45,'1) Report'!$52:$52,'1) Report'!$91:$91,'1) Report'!$123:$123</definedName>
    <definedName name="Z_83044EFE_7F92_4F81_B034_85D9567158C2_.wvu.Rows" localSheetId="6" hidden="1">'3) BC and Sanction'!$1:$1</definedName>
    <definedName name="Z_83044EFE_7F92_4F81_B034_85D9567158C2_.wvu.Rows" localSheetId="4" hidden="1">'4) Baseline Changes'!$1:$1</definedName>
    <definedName name="Z_83044EFE_7F92_4F81_B034_85D9567158C2_.wvu.Rows" localSheetId="12" hidden="1">'5a)NDA MPPR'!$63:$101</definedName>
    <definedName name="Z_83044EFE_7F92_4F81_B034_85D9567158C2_.wvu.Rows" localSheetId="13" hidden="1">'6) RAG Table'!$73:$78</definedName>
    <definedName name="Z_83044EFE_7F92_4F81_B034_85D9567158C2_.wvu.Rows" localSheetId="11" hidden="1">'P&amp;B Summary'!$1:$1</definedName>
    <definedName name="Z_83044EFE_7F92_4F81_B034_85D9567158C2_.wvu.Rows" localSheetId="9" hidden="1">'Pd08 Extended MPPR WD9'!$7:$7,'Pd08 Extended MPPR WD9'!$11:$11,'Pd08 Extended MPPR WD9'!$15:$15,'Pd08 Extended MPPR WD9'!$19:$19,'Pd08 Extended MPPR WD9'!$23:$23,'Pd08 Extended MPPR WD9'!$27:$27,'Pd08 Extended MPPR WD9'!$31:$31,'Pd08 Extended MPPR WD9'!$35:$35</definedName>
    <definedName name="Z_83044EFE_7F92_4F81_B034_85D9567158C2_.wvu.Rows" localSheetId="8" hidden="1">'Pd08 MPPR WD9'!$7:$7,'Pd08 MPPR WD9'!$11:$11,'Pd08 MPPR WD9'!$15:$15,'Pd08 MPPR WD9'!$19:$19,'Pd08 MPPR WD9'!$23:$23,'Pd08 MPPR WD9'!$27:$27,'Pd08 MPPR WD9'!$31:$31,'Pd08 MPPR WD9'!$35:$35,'Pd08 MPPR WD9'!$39:$39,'Pd08 MPPR WD9'!$43:$43,'Pd08 MPPR WD9'!$47:$47,'Pd08 MPPR WD9'!$50:$50,'Pd08 MPPR WD9'!$53:$53</definedName>
    <definedName name="Z_8CB67476_3FD4_42E0_ACD6_62ACA9412843_.wvu.Cols" localSheetId="13" hidden="1">'6) RAG Table'!$AB:$BE</definedName>
    <definedName name="Z_8CB67476_3FD4_42E0_ACD6_62ACA9412843_.wvu.FilterData" localSheetId="13" hidden="1">'6) RAG Table'!$BC$4:$BC$62</definedName>
    <definedName name="Z_8CB67476_3FD4_42E0_ACD6_62ACA9412843_.wvu.PrintArea" localSheetId="0" hidden="1">'0) SL Project Structure'!$A$1:$AL$82</definedName>
    <definedName name="Z_8CB67476_3FD4_42E0_ACD6_62ACA9412843_.wvu.PrintArea" localSheetId="1" hidden="1">'0) SL Project Structure OLD'!$A$1:$AL$68</definedName>
    <definedName name="Z_8CB67476_3FD4_42E0_ACD6_62ACA9412843_.wvu.PrintArea" localSheetId="2" hidden="1">'1) Report'!$B$2:$AM$141</definedName>
    <definedName name="Z_8CB67476_3FD4_42E0_ACD6_62ACA9412843_.wvu.PrintArea" localSheetId="11" hidden="1">'P&amp;B Summary'!$B$3:$J$18</definedName>
    <definedName name="Z_8CB67476_3FD4_42E0_ACD6_62ACA9412843_.wvu.PrintTitles" localSheetId="2" hidden="1">'1) Report'!$3:$6</definedName>
    <definedName name="Z_8CB67476_3FD4_42E0_ACD6_62ACA9412843_.wvu.Rows" localSheetId="2" hidden="1">'1) Report'!$1:$1,'1) Report'!$16:$16,'1) Report'!#REF!,'1) Report'!$52:$52,'1) Report'!#REF!,'1) Report'!$123:$123,'1) Report'!#REF!,'1) Report'!#REF!</definedName>
    <definedName name="Z_8CB67476_3FD4_42E0_ACD6_62ACA9412843_.wvu.Rows" localSheetId="6" hidden="1">'3) BC and Sanction'!$1:$1</definedName>
    <definedName name="Z_8CB67476_3FD4_42E0_ACD6_62ACA9412843_.wvu.Rows" localSheetId="4" hidden="1">'4) Baseline Changes'!$1:$1</definedName>
    <definedName name="Z_8CB67476_3FD4_42E0_ACD6_62ACA9412843_.wvu.Rows" localSheetId="12" hidden="1">'5a)NDA MPPR'!$63:$101</definedName>
    <definedName name="Z_8CB67476_3FD4_42E0_ACD6_62ACA9412843_.wvu.Rows" localSheetId="13" hidden="1">'6) RAG Table'!$73:$78</definedName>
    <definedName name="Z_8CB67476_3FD4_42E0_ACD6_62ACA9412843_.wvu.Rows" localSheetId="11" hidden="1">'P&amp;B Summary'!$1:$1</definedName>
    <definedName name="Z_8CB67476_3FD4_42E0_ACD6_62ACA9412843_.wvu.Rows" localSheetId="9" hidden="1">'Pd08 Extended MPPR WD9'!$7:$7,'Pd08 Extended MPPR WD9'!$11:$11,'Pd08 Extended MPPR WD9'!$15:$15,'Pd08 Extended MPPR WD9'!$19:$19,'Pd08 Extended MPPR WD9'!$23:$23,'Pd08 Extended MPPR WD9'!$27:$27,'Pd08 Extended MPPR WD9'!$31:$31,'Pd08 Extended MPPR WD9'!$35:$35</definedName>
    <definedName name="Z_8CB67476_3FD4_42E0_ACD6_62ACA9412843_.wvu.Rows" localSheetId="8" hidden="1">'Pd08 MPPR WD9'!$7:$7,'Pd08 MPPR WD9'!$11:$11,'Pd08 MPPR WD9'!$15:$15,'Pd08 MPPR WD9'!$19:$19,'Pd08 MPPR WD9'!$23:$23,'Pd08 MPPR WD9'!$27:$27,'Pd08 MPPR WD9'!$31:$31,'Pd08 MPPR WD9'!$35:$35,'Pd08 MPPR WD9'!$39:$39,'Pd08 MPPR WD9'!$43:$43,'Pd08 MPPR WD9'!$47:$47,'Pd08 MPPR WD9'!$50:$50,'Pd08 MPPR WD9'!$53:$53</definedName>
    <definedName name="Z_9355C9F4_9C07_4A93_B7F2_69F1D1526716_.wvu.Cols" localSheetId="2" hidden="1">'1) Report'!$AO:$AU</definedName>
    <definedName name="Z_9355C9F4_9C07_4A93_B7F2_69F1D1526716_.wvu.Cols" localSheetId="13" hidden="1">'6) RAG Table'!$AB:$BE</definedName>
    <definedName name="Z_9355C9F4_9C07_4A93_B7F2_69F1D1526716_.wvu.FilterData" localSheetId="13" hidden="1">'6) RAG Table'!$BC$4:$BC$62</definedName>
    <definedName name="Z_9355C9F4_9C07_4A93_B7F2_69F1D1526716_.wvu.PrintArea" localSheetId="0" hidden="1">'0) SL Project Structure'!$A$1:$AL$82</definedName>
    <definedName name="Z_9355C9F4_9C07_4A93_B7F2_69F1D1526716_.wvu.PrintArea" localSheetId="1" hidden="1">'0) SL Project Structure OLD'!$A$1:$AL$68</definedName>
    <definedName name="Z_9355C9F4_9C07_4A93_B7F2_69F1D1526716_.wvu.PrintArea" localSheetId="2" hidden="1">'1) Report'!$B$2:$AM$140</definedName>
    <definedName name="Z_9355C9F4_9C07_4A93_B7F2_69F1D1526716_.wvu.PrintArea" localSheetId="5" hidden="1">'2) Definitions'!$A$2:$T$50</definedName>
    <definedName name="Z_9355C9F4_9C07_4A93_B7F2_69F1D1526716_.wvu.PrintArea" localSheetId="13" hidden="1">'6) RAG Table'!$B$1:$AA$98</definedName>
    <definedName name="Z_9355C9F4_9C07_4A93_B7F2_69F1D1526716_.wvu.PrintArea" localSheetId="11" hidden="1">'P&amp;B Summary'!$B$3:$J$18</definedName>
    <definedName name="Z_9355C9F4_9C07_4A93_B7F2_69F1D1526716_.wvu.PrintTitles" localSheetId="2" hidden="1">'1) Report'!$3:$6</definedName>
    <definedName name="Z_9355C9F4_9C07_4A93_B7F2_69F1D1526716_.wvu.Rows" localSheetId="2" hidden="1">'1) Report'!$1:$1,'1) Report'!$10:$10,'1) Report'!$16:$16,'1) Report'!$45:$45,'1) Report'!$52:$52,'1) Report'!$91:$91,'1) Report'!$123:$123</definedName>
    <definedName name="Z_9355C9F4_9C07_4A93_B7F2_69F1D1526716_.wvu.Rows" localSheetId="6" hidden="1">'3) BC and Sanction'!$1:$1</definedName>
    <definedName name="Z_9355C9F4_9C07_4A93_B7F2_69F1D1526716_.wvu.Rows" localSheetId="4" hidden="1">'4) Baseline Changes'!$1:$1</definedName>
    <definedName name="Z_9355C9F4_9C07_4A93_B7F2_69F1D1526716_.wvu.Rows" localSheetId="12" hidden="1">'5a)NDA MPPR'!$63:$101</definedName>
    <definedName name="Z_9355C9F4_9C07_4A93_B7F2_69F1D1526716_.wvu.Rows" localSheetId="13" hidden="1">'6) RAG Table'!$73:$78</definedName>
    <definedName name="Z_9355C9F4_9C07_4A93_B7F2_69F1D1526716_.wvu.Rows" localSheetId="11" hidden="1">'P&amp;B Summary'!$1:$1</definedName>
    <definedName name="Z_9355C9F4_9C07_4A93_B7F2_69F1D1526716_.wvu.Rows" localSheetId="9" hidden="1">'Pd08 Extended MPPR WD9'!$7:$7,'Pd08 Extended MPPR WD9'!$11:$11,'Pd08 Extended MPPR WD9'!$15:$15,'Pd08 Extended MPPR WD9'!$19:$19,'Pd08 Extended MPPR WD9'!$23:$23,'Pd08 Extended MPPR WD9'!$27:$27,'Pd08 Extended MPPR WD9'!$31:$31,'Pd08 Extended MPPR WD9'!$35:$35</definedName>
    <definedName name="Z_9355C9F4_9C07_4A93_B7F2_69F1D1526716_.wvu.Rows" localSheetId="8" hidden="1">'Pd08 MPPR WD9'!$7:$7,'Pd08 MPPR WD9'!$11:$11,'Pd08 MPPR WD9'!$15:$15,'Pd08 MPPR WD9'!$19:$19,'Pd08 MPPR WD9'!$23:$23,'Pd08 MPPR WD9'!$27:$27,'Pd08 MPPR WD9'!$31:$31,'Pd08 MPPR WD9'!$35:$35,'Pd08 MPPR WD9'!$39:$39,'Pd08 MPPR WD9'!$43:$43,'Pd08 MPPR WD9'!$47:$47,'Pd08 MPPR WD9'!$50:$50,'Pd08 MPPR WD9'!$53:$53</definedName>
    <definedName name="Z_97D58294_343B_4B62_A826_0DDDE29B5F0D_.wvu.Cols" localSheetId="2" hidden="1">'1) Report'!$AO:$AU</definedName>
    <definedName name="Z_97D58294_343B_4B62_A826_0DDDE29B5F0D_.wvu.Cols" localSheetId="13" hidden="1">'6) RAG Table'!$AB:$BE</definedName>
    <definedName name="Z_97D58294_343B_4B62_A826_0DDDE29B5F0D_.wvu.FilterData" localSheetId="13" hidden="1">'6) RAG Table'!$BC$4:$BC$62</definedName>
    <definedName name="Z_97D58294_343B_4B62_A826_0DDDE29B5F0D_.wvu.PrintArea" localSheetId="0" hidden="1">'0) SL Project Structure'!$A$1:$AL$82</definedName>
    <definedName name="Z_97D58294_343B_4B62_A826_0DDDE29B5F0D_.wvu.PrintArea" localSheetId="1" hidden="1">'0) SL Project Structure OLD'!$A$1:$AL$68</definedName>
    <definedName name="Z_97D58294_343B_4B62_A826_0DDDE29B5F0D_.wvu.PrintArea" localSheetId="2" hidden="1">'1) Report'!$B$2:$AM$140</definedName>
    <definedName name="Z_97D58294_343B_4B62_A826_0DDDE29B5F0D_.wvu.PrintArea" localSheetId="13" hidden="1">'6) RAG Table'!$B$1:$AA$105</definedName>
    <definedName name="Z_97D58294_343B_4B62_A826_0DDDE29B5F0D_.wvu.PrintArea" localSheetId="11" hidden="1">'P&amp;B Summary'!$B$3:$J$18</definedName>
    <definedName name="Z_97D58294_343B_4B62_A826_0DDDE29B5F0D_.wvu.PrintTitles" localSheetId="2" hidden="1">'1) Report'!$3:$6</definedName>
    <definedName name="Z_97D58294_343B_4B62_A826_0DDDE29B5F0D_.wvu.Rows" localSheetId="2" hidden="1">'1) Report'!$1:$1,'1) Report'!$91:$91,'1) Report'!$123:$123</definedName>
    <definedName name="Z_97D58294_343B_4B62_A826_0DDDE29B5F0D_.wvu.Rows" localSheetId="6" hidden="1">'3) BC and Sanction'!$1:$1</definedName>
    <definedName name="Z_97D58294_343B_4B62_A826_0DDDE29B5F0D_.wvu.Rows" localSheetId="4" hidden="1">'4) Baseline Changes'!$1:$1</definedName>
    <definedName name="Z_97D58294_343B_4B62_A826_0DDDE29B5F0D_.wvu.Rows" localSheetId="12" hidden="1">'5a)NDA MPPR'!$63:$101</definedName>
    <definedName name="Z_97D58294_343B_4B62_A826_0DDDE29B5F0D_.wvu.Rows" localSheetId="13" hidden="1">'6) RAG Table'!$73:$78</definedName>
    <definedName name="Z_97D58294_343B_4B62_A826_0DDDE29B5F0D_.wvu.Rows" localSheetId="11" hidden="1">'P&amp;B Summary'!$1:$1</definedName>
    <definedName name="Z_97D58294_343B_4B62_A826_0DDDE29B5F0D_.wvu.Rows" localSheetId="9" hidden="1">'Pd08 Extended MPPR WD9'!$7:$7,'Pd08 Extended MPPR WD9'!$11:$11,'Pd08 Extended MPPR WD9'!$15:$15,'Pd08 Extended MPPR WD9'!$19:$19,'Pd08 Extended MPPR WD9'!$23:$23,'Pd08 Extended MPPR WD9'!$27:$27,'Pd08 Extended MPPR WD9'!$31:$31,'Pd08 Extended MPPR WD9'!$35:$35</definedName>
    <definedName name="Z_97D58294_343B_4B62_A826_0DDDE29B5F0D_.wvu.Rows" localSheetId="8" hidden="1">'Pd08 MPPR WD9'!$7:$7,'Pd08 MPPR WD9'!$11:$11,'Pd08 MPPR WD9'!$15:$15,'Pd08 MPPR WD9'!$19:$19,'Pd08 MPPR WD9'!$23:$23,'Pd08 MPPR WD9'!$27:$27,'Pd08 MPPR WD9'!$31:$31,'Pd08 MPPR WD9'!$35:$35,'Pd08 MPPR WD9'!$39:$39,'Pd08 MPPR WD9'!$43:$43,'Pd08 MPPR WD9'!$47:$47,'Pd08 MPPR WD9'!$50:$50,'Pd08 MPPR WD9'!$53:$53</definedName>
    <definedName name="Z_9AF6E233_883D_48B4_95AB_42B37199AB9E_.wvu.Cols" localSheetId="2" hidden="1">'1) Report'!$AO:$AU</definedName>
    <definedName name="Z_9AF6E233_883D_48B4_95AB_42B37199AB9E_.wvu.Cols" localSheetId="13" hidden="1">'6) RAG Table'!$AB:$BE</definedName>
    <definedName name="Z_9AF6E233_883D_48B4_95AB_42B37199AB9E_.wvu.FilterData" localSheetId="13" hidden="1">'6) RAG Table'!$BC$4:$BC$62</definedName>
    <definedName name="Z_9AF6E233_883D_48B4_95AB_42B37199AB9E_.wvu.PrintArea" localSheetId="0" hidden="1">'0) SL Project Structure'!$A$1:$AL$82</definedName>
    <definedName name="Z_9AF6E233_883D_48B4_95AB_42B37199AB9E_.wvu.PrintArea" localSheetId="1" hidden="1">'0) SL Project Structure OLD'!$A$1:$AL$68</definedName>
    <definedName name="Z_9AF6E233_883D_48B4_95AB_42B37199AB9E_.wvu.PrintArea" localSheetId="2" hidden="1">'1) Report'!$B$2:$AM$141</definedName>
    <definedName name="Z_9AF6E233_883D_48B4_95AB_42B37199AB9E_.wvu.PrintArea" localSheetId="11" hidden="1">'P&amp;B Summary'!$B$3:$J$18</definedName>
    <definedName name="Z_9AF6E233_883D_48B4_95AB_42B37199AB9E_.wvu.PrintTitles" localSheetId="2" hidden="1">'1) Report'!$3:$6</definedName>
    <definedName name="Z_9AF6E233_883D_48B4_95AB_42B37199AB9E_.wvu.Rows" localSheetId="2" hidden="1">'1) Report'!$1:$1,'1) Report'!$16:$16,'1) Report'!#REF!,'1) Report'!$52:$52,'1) Report'!$123:$123,'1) Report'!#REF!</definedName>
    <definedName name="Z_9AF6E233_883D_48B4_95AB_42B37199AB9E_.wvu.Rows" localSheetId="6" hidden="1">'3) BC and Sanction'!$1:$1</definedName>
    <definedName name="Z_9AF6E233_883D_48B4_95AB_42B37199AB9E_.wvu.Rows" localSheetId="4" hidden="1">'4) Baseline Changes'!$1:$1</definedName>
    <definedName name="Z_9AF6E233_883D_48B4_95AB_42B37199AB9E_.wvu.Rows" localSheetId="12" hidden="1">'5a)NDA MPPR'!$63:$101</definedName>
    <definedName name="Z_9AF6E233_883D_48B4_95AB_42B37199AB9E_.wvu.Rows" localSheetId="13" hidden="1">'6) RAG Table'!$73:$78</definedName>
    <definedName name="Z_9AF6E233_883D_48B4_95AB_42B37199AB9E_.wvu.Rows" localSheetId="11" hidden="1">'P&amp;B Summary'!$1:$1</definedName>
    <definedName name="Z_9AF6E233_883D_48B4_95AB_42B37199AB9E_.wvu.Rows" localSheetId="9" hidden="1">'Pd08 Extended MPPR WD9'!$7:$7,'Pd08 Extended MPPR WD9'!$11:$11,'Pd08 Extended MPPR WD9'!$15:$15,'Pd08 Extended MPPR WD9'!$19:$19,'Pd08 Extended MPPR WD9'!$23:$23,'Pd08 Extended MPPR WD9'!$27:$27,'Pd08 Extended MPPR WD9'!$31:$31,'Pd08 Extended MPPR WD9'!$35:$35</definedName>
    <definedName name="Z_9AF6E233_883D_48B4_95AB_42B37199AB9E_.wvu.Rows" localSheetId="8" hidden="1">'Pd08 MPPR WD9'!$7:$7,'Pd08 MPPR WD9'!$11:$11,'Pd08 MPPR WD9'!$15:$15,'Pd08 MPPR WD9'!$19:$19,'Pd08 MPPR WD9'!$23:$23,'Pd08 MPPR WD9'!$27:$27,'Pd08 MPPR WD9'!$31:$31,'Pd08 MPPR WD9'!$35:$35,'Pd08 MPPR WD9'!$39:$39,'Pd08 MPPR WD9'!$43:$43,'Pd08 MPPR WD9'!$47:$47,'Pd08 MPPR WD9'!$50:$50,'Pd08 MPPR WD9'!$53:$53</definedName>
    <definedName name="Z_9F91FBC4_6A13_42C2_A2D9_42A2AC814E28_.wvu.Cols" localSheetId="2" hidden="1">'1) Report'!$AO:$AU</definedName>
    <definedName name="Z_9F91FBC4_6A13_42C2_A2D9_42A2AC814E28_.wvu.Cols" localSheetId="13" hidden="1">'6) RAG Table'!$AB:$BE</definedName>
    <definedName name="Z_9F91FBC4_6A13_42C2_A2D9_42A2AC814E28_.wvu.FilterData" localSheetId="13" hidden="1">'6) RAG Table'!$BC$4:$BC$62</definedName>
    <definedName name="Z_9F91FBC4_6A13_42C2_A2D9_42A2AC814E28_.wvu.PrintArea" localSheetId="0" hidden="1">'0) SL Project Structure'!$A$1:$AL$82</definedName>
    <definedName name="Z_9F91FBC4_6A13_42C2_A2D9_42A2AC814E28_.wvu.PrintArea" localSheetId="1" hidden="1">'0) SL Project Structure OLD'!$A$1:$AL$68</definedName>
    <definedName name="Z_9F91FBC4_6A13_42C2_A2D9_42A2AC814E28_.wvu.PrintArea" localSheetId="2" hidden="1">'1) Report'!$B$2:$AM$140</definedName>
    <definedName name="Z_9F91FBC4_6A13_42C2_A2D9_42A2AC814E28_.wvu.PrintArea" localSheetId="13" hidden="1">'6) RAG Table'!$B$1:$AA$105</definedName>
    <definedName name="Z_9F91FBC4_6A13_42C2_A2D9_42A2AC814E28_.wvu.PrintArea" localSheetId="11" hidden="1">'P&amp;B Summary'!$B$3:$J$18</definedName>
    <definedName name="Z_9F91FBC4_6A13_42C2_A2D9_42A2AC814E28_.wvu.PrintTitles" localSheetId="2" hidden="1">'1) Report'!$3:$6</definedName>
    <definedName name="Z_9F91FBC4_6A13_42C2_A2D9_42A2AC814E28_.wvu.Rows" localSheetId="2" hidden="1">'1) Report'!$1:$1,'1) Report'!$9:$10,'1) Report'!$16:$16,'1) Report'!$45:$45,'1) Report'!$52:$52,'1) Report'!$91:$91,'1) Report'!$123:$123</definedName>
    <definedName name="Z_9F91FBC4_6A13_42C2_A2D9_42A2AC814E28_.wvu.Rows" localSheetId="6" hidden="1">'3) BC and Sanction'!$1:$1</definedName>
    <definedName name="Z_9F91FBC4_6A13_42C2_A2D9_42A2AC814E28_.wvu.Rows" localSheetId="4" hidden="1">'4) Baseline Changes'!$1:$1</definedName>
    <definedName name="Z_9F91FBC4_6A13_42C2_A2D9_42A2AC814E28_.wvu.Rows" localSheetId="12" hidden="1">'5a)NDA MPPR'!$63:$101</definedName>
    <definedName name="Z_9F91FBC4_6A13_42C2_A2D9_42A2AC814E28_.wvu.Rows" localSheetId="13" hidden="1">'6) RAG Table'!$73:$78</definedName>
    <definedName name="Z_9F91FBC4_6A13_42C2_A2D9_42A2AC814E28_.wvu.Rows" localSheetId="11" hidden="1">'P&amp;B Summary'!$1:$1</definedName>
    <definedName name="Z_9F91FBC4_6A13_42C2_A2D9_42A2AC814E28_.wvu.Rows" localSheetId="9" hidden="1">'Pd08 Extended MPPR WD9'!$7:$7,'Pd08 Extended MPPR WD9'!$11:$11,'Pd08 Extended MPPR WD9'!$15:$15,'Pd08 Extended MPPR WD9'!$19:$19,'Pd08 Extended MPPR WD9'!$23:$23,'Pd08 Extended MPPR WD9'!$27:$27,'Pd08 Extended MPPR WD9'!$31:$31,'Pd08 Extended MPPR WD9'!$35:$35</definedName>
    <definedName name="Z_9F91FBC4_6A13_42C2_A2D9_42A2AC814E28_.wvu.Rows" localSheetId="8" hidden="1">'Pd08 MPPR WD9'!$7:$7,'Pd08 MPPR WD9'!$11:$11,'Pd08 MPPR WD9'!$15:$15,'Pd08 MPPR WD9'!$19:$19,'Pd08 MPPR WD9'!$23:$23,'Pd08 MPPR WD9'!$27:$27,'Pd08 MPPR WD9'!$31:$31,'Pd08 MPPR WD9'!$35:$35,'Pd08 MPPR WD9'!$39:$39,'Pd08 MPPR WD9'!$43:$43,'Pd08 MPPR WD9'!$47:$47,'Pd08 MPPR WD9'!$50:$50,'Pd08 MPPR WD9'!$53:$53</definedName>
    <definedName name="Z_A03C6B09_6B58_4DDE_A3B2_41A27A7049D9_.wvu.Cols" localSheetId="13" hidden="1">'6) RAG Table'!$AB:$BE</definedName>
    <definedName name="Z_A03C6B09_6B58_4DDE_A3B2_41A27A7049D9_.wvu.FilterData" localSheetId="13" hidden="1">'6) RAG Table'!$BC$4:$BC$62</definedName>
    <definedName name="Z_A03C6B09_6B58_4DDE_A3B2_41A27A7049D9_.wvu.PrintArea" localSheetId="0" hidden="1">'0) SL Project Structure'!$A$1:$AL$82</definedName>
    <definedName name="Z_A03C6B09_6B58_4DDE_A3B2_41A27A7049D9_.wvu.PrintArea" localSheetId="1" hidden="1">'0) SL Project Structure OLD'!$A$1:$AL$68</definedName>
    <definedName name="Z_A03C6B09_6B58_4DDE_A3B2_41A27A7049D9_.wvu.PrintArea" localSheetId="2" hidden="1">'1) Report'!$B$2:$AM$141</definedName>
    <definedName name="Z_A03C6B09_6B58_4DDE_A3B2_41A27A7049D9_.wvu.PrintArea" localSheetId="11" hidden="1">'P&amp;B Summary'!$B$3:$J$18</definedName>
    <definedName name="Z_A03C6B09_6B58_4DDE_A3B2_41A27A7049D9_.wvu.PrintTitles" localSheetId="2" hidden="1">'1) Report'!$3:$6</definedName>
    <definedName name="Z_A03C6B09_6B58_4DDE_A3B2_41A27A7049D9_.wvu.Rows" localSheetId="2" hidden="1">'1) Report'!$1:$1,'1) Report'!$16:$16,'1) Report'!#REF!,'1) Report'!$52:$52,'1) Report'!#REF!,'1) Report'!$123:$123,'1) Report'!#REF!,'1) Report'!#REF!</definedName>
    <definedName name="Z_A03C6B09_6B58_4DDE_A3B2_41A27A7049D9_.wvu.Rows" localSheetId="6" hidden="1">'3) BC and Sanction'!$1:$1</definedName>
    <definedName name="Z_A03C6B09_6B58_4DDE_A3B2_41A27A7049D9_.wvu.Rows" localSheetId="4" hidden="1">'4) Baseline Changes'!$1:$1</definedName>
    <definedName name="Z_A03C6B09_6B58_4DDE_A3B2_41A27A7049D9_.wvu.Rows" localSheetId="12" hidden="1">'5a)NDA MPPR'!$63:$101</definedName>
    <definedName name="Z_A03C6B09_6B58_4DDE_A3B2_41A27A7049D9_.wvu.Rows" localSheetId="13" hidden="1">'6) RAG Table'!$73:$78</definedName>
    <definedName name="Z_A03C6B09_6B58_4DDE_A3B2_41A27A7049D9_.wvu.Rows" localSheetId="11" hidden="1">'P&amp;B Summary'!$1:$1</definedName>
    <definedName name="Z_A03C6B09_6B58_4DDE_A3B2_41A27A7049D9_.wvu.Rows" localSheetId="9" hidden="1">'Pd08 Extended MPPR WD9'!$7:$7,'Pd08 Extended MPPR WD9'!$11:$11,'Pd08 Extended MPPR WD9'!$15:$15,'Pd08 Extended MPPR WD9'!$19:$19,'Pd08 Extended MPPR WD9'!$23:$23,'Pd08 Extended MPPR WD9'!$27:$27,'Pd08 Extended MPPR WD9'!$31:$31,'Pd08 Extended MPPR WD9'!$35:$35</definedName>
    <definedName name="Z_A03C6B09_6B58_4DDE_A3B2_41A27A7049D9_.wvu.Rows" localSheetId="8" hidden="1">'Pd08 MPPR WD9'!$7:$7,'Pd08 MPPR WD9'!$11:$11,'Pd08 MPPR WD9'!$15:$15,'Pd08 MPPR WD9'!$19:$19,'Pd08 MPPR WD9'!$23:$23,'Pd08 MPPR WD9'!$27:$27,'Pd08 MPPR WD9'!$31:$31,'Pd08 MPPR WD9'!$35:$35,'Pd08 MPPR WD9'!$39:$39,'Pd08 MPPR WD9'!$43:$43,'Pd08 MPPR WD9'!$47:$47,'Pd08 MPPR WD9'!$50:$50,'Pd08 MPPR WD9'!$53:$53</definedName>
    <definedName name="Z_A8E976B8_D767_4DB4_82BD_ABE90880F33F_.wvu.Cols" localSheetId="2" hidden="1">'1) Report'!$AO:$AU</definedName>
    <definedName name="Z_A8E976B8_D767_4DB4_82BD_ABE90880F33F_.wvu.Cols" localSheetId="13" hidden="1">'6) RAG Table'!$AB:$BE</definedName>
    <definedName name="Z_A8E976B8_D767_4DB4_82BD_ABE90880F33F_.wvu.FilterData" localSheetId="13" hidden="1">'6) RAG Table'!$BC$4:$BC$62</definedName>
    <definedName name="Z_A8E976B8_D767_4DB4_82BD_ABE90880F33F_.wvu.PrintArea" localSheetId="0" hidden="1">'0) SL Project Structure'!$A$1:$AL$82</definedName>
    <definedName name="Z_A8E976B8_D767_4DB4_82BD_ABE90880F33F_.wvu.PrintArea" localSheetId="1" hidden="1">'0) SL Project Structure OLD'!$A$1:$AL$68</definedName>
    <definedName name="Z_A8E976B8_D767_4DB4_82BD_ABE90880F33F_.wvu.PrintArea" localSheetId="2" hidden="1">'1) Report'!$B$2:$AM$140</definedName>
    <definedName name="Z_A8E976B8_D767_4DB4_82BD_ABE90880F33F_.wvu.PrintArea" localSheetId="5" hidden="1">'2) Definitions'!$A$2:$T$50</definedName>
    <definedName name="Z_A8E976B8_D767_4DB4_82BD_ABE90880F33F_.wvu.PrintArea" localSheetId="13" hidden="1">'6) RAG Table'!$A$1:$AA$101</definedName>
    <definedName name="Z_A8E976B8_D767_4DB4_82BD_ABE90880F33F_.wvu.PrintArea" localSheetId="11" hidden="1">'P&amp;B Summary'!$B$3:$J$18</definedName>
    <definedName name="Z_A8E976B8_D767_4DB4_82BD_ABE90880F33F_.wvu.PrintTitles" localSheetId="2" hidden="1">'1) Report'!$3:$6</definedName>
    <definedName name="Z_A8E976B8_D767_4DB4_82BD_ABE90880F33F_.wvu.Rows" localSheetId="2" hidden="1">'1) Report'!$1:$1,'1) Report'!$10:$10,'1) Report'!$16:$16,'1) Report'!$45:$45,'1) Report'!$52:$52,'1) Report'!$91:$91,'1) Report'!$123:$123</definedName>
    <definedName name="Z_A8E976B8_D767_4DB4_82BD_ABE90880F33F_.wvu.Rows" localSheetId="6" hidden="1">'3) BC and Sanction'!$1:$1</definedName>
    <definedName name="Z_A8E976B8_D767_4DB4_82BD_ABE90880F33F_.wvu.Rows" localSheetId="4" hidden="1">'4) Baseline Changes'!$1:$1</definedName>
    <definedName name="Z_A8E976B8_D767_4DB4_82BD_ABE90880F33F_.wvu.Rows" localSheetId="12" hidden="1">'5a)NDA MPPR'!$63:$101</definedName>
    <definedName name="Z_A8E976B8_D767_4DB4_82BD_ABE90880F33F_.wvu.Rows" localSheetId="13" hidden="1">'6) RAG Table'!$73:$78</definedName>
    <definedName name="Z_A8E976B8_D767_4DB4_82BD_ABE90880F33F_.wvu.Rows" localSheetId="11" hidden="1">'P&amp;B Summary'!$1:$1</definedName>
    <definedName name="Z_A8E976B8_D767_4DB4_82BD_ABE90880F33F_.wvu.Rows" localSheetId="9" hidden="1">'Pd08 Extended MPPR WD9'!$7:$7,'Pd08 Extended MPPR WD9'!$11:$11,'Pd08 Extended MPPR WD9'!$15:$15,'Pd08 Extended MPPR WD9'!$19:$19,'Pd08 Extended MPPR WD9'!$23:$23,'Pd08 Extended MPPR WD9'!$27:$27,'Pd08 Extended MPPR WD9'!$31:$31,'Pd08 Extended MPPR WD9'!$35:$35</definedName>
    <definedName name="Z_A8E976B8_D767_4DB4_82BD_ABE90880F33F_.wvu.Rows" localSheetId="8" hidden="1">'Pd08 MPPR WD9'!$7:$7,'Pd08 MPPR WD9'!$11:$11,'Pd08 MPPR WD9'!$15:$15,'Pd08 MPPR WD9'!$19:$19,'Pd08 MPPR WD9'!$23:$23,'Pd08 MPPR WD9'!$27:$27,'Pd08 MPPR WD9'!$31:$31,'Pd08 MPPR WD9'!$35:$35,'Pd08 MPPR WD9'!$39:$39,'Pd08 MPPR WD9'!$43:$43,'Pd08 MPPR WD9'!$47:$47,'Pd08 MPPR WD9'!$50:$50,'Pd08 MPPR WD9'!$53:$53</definedName>
    <definedName name="Z_B0A28FD4_D7F6_428C_A7F7_92132DCD74BB_.wvu.Cols" localSheetId="13" hidden="1">'6) RAG Table'!$AB:$BE</definedName>
    <definedName name="Z_B0A28FD4_D7F6_428C_A7F7_92132DCD74BB_.wvu.FilterData" localSheetId="13" hidden="1">'6) RAG Table'!$BC$4:$BC$62</definedName>
    <definedName name="Z_B0A28FD4_D7F6_428C_A7F7_92132DCD74BB_.wvu.PrintArea" localSheetId="0" hidden="1">'0) SL Project Structure'!$A$1:$AL$82</definedName>
    <definedName name="Z_B0A28FD4_D7F6_428C_A7F7_92132DCD74BB_.wvu.PrintArea" localSheetId="1" hidden="1">'0) SL Project Structure OLD'!$A$1:$AL$68</definedName>
    <definedName name="Z_B0A28FD4_D7F6_428C_A7F7_92132DCD74BB_.wvu.PrintArea" localSheetId="2" hidden="1">'1) Report'!$B$2:$AM$141</definedName>
    <definedName name="Z_B0A28FD4_D7F6_428C_A7F7_92132DCD74BB_.wvu.PrintArea" localSheetId="11" hidden="1">'P&amp;B Summary'!$B$3:$J$18</definedName>
    <definedName name="Z_B0A28FD4_D7F6_428C_A7F7_92132DCD74BB_.wvu.PrintTitles" localSheetId="2" hidden="1">'1) Report'!$3:$6</definedName>
    <definedName name="Z_B0A28FD4_D7F6_428C_A7F7_92132DCD74BB_.wvu.Rows" localSheetId="2" hidden="1">'1) Report'!$1:$1,'1) Report'!$16:$16,'1) Report'!#REF!,'1) Report'!$52:$52,'1) Report'!#REF!,'1) Report'!$123:$123,'1) Report'!#REF!,'1) Report'!#REF!</definedName>
    <definedName name="Z_B0A28FD4_D7F6_428C_A7F7_92132DCD74BB_.wvu.Rows" localSheetId="6" hidden="1">'3) BC and Sanction'!$1:$1</definedName>
    <definedName name="Z_B0A28FD4_D7F6_428C_A7F7_92132DCD74BB_.wvu.Rows" localSheetId="4" hidden="1">'4) Baseline Changes'!$1:$1</definedName>
    <definedName name="Z_B0A28FD4_D7F6_428C_A7F7_92132DCD74BB_.wvu.Rows" localSheetId="12" hidden="1">'5a)NDA MPPR'!$63:$101</definedName>
    <definedName name="Z_B0A28FD4_D7F6_428C_A7F7_92132DCD74BB_.wvu.Rows" localSheetId="13" hidden="1">'6) RAG Table'!$73:$78</definedName>
    <definedName name="Z_B0A28FD4_D7F6_428C_A7F7_92132DCD74BB_.wvu.Rows" localSheetId="11" hidden="1">'P&amp;B Summary'!$1:$1</definedName>
    <definedName name="Z_B0A28FD4_D7F6_428C_A7F7_92132DCD74BB_.wvu.Rows" localSheetId="9" hidden="1">'Pd08 Extended MPPR WD9'!$7:$7,'Pd08 Extended MPPR WD9'!$11:$11,'Pd08 Extended MPPR WD9'!$15:$15,'Pd08 Extended MPPR WD9'!$19:$19,'Pd08 Extended MPPR WD9'!$23:$23,'Pd08 Extended MPPR WD9'!$27:$27,'Pd08 Extended MPPR WD9'!$31:$31,'Pd08 Extended MPPR WD9'!$35:$35</definedName>
    <definedName name="Z_B0A28FD4_D7F6_428C_A7F7_92132DCD74BB_.wvu.Rows" localSheetId="8" hidden="1">'Pd08 MPPR WD9'!$7:$7,'Pd08 MPPR WD9'!$11:$11,'Pd08 MPPR WD9'!$15:$15,'Pd08 MPPR WD9'!$19:$19,'Pd08 MPPR WD9'!$23:$23,'Pd08 MPPR WD9'!$27:$27,'Pd08 MPPR WD9'!$31:$31,'Pd08 MPPR WD9'!$35:$35,'Pd08 MPPR WD9'!$39:$39,'Pd08 MPPR WD9'!$43:$43,'Pd08 MPPR WD9'!$47:$47,'Pd08 MPPR WD9'!$50:$50,'Pd08 MPPR WD9'!$53:$53</definedName>
    <definedName name="Z_B434A8A8_5A4C_48C0_82E7_2458B9D2EEEF_.wvu.Cols" localSheetId="2" hidden="1">'1) Report'!$AO:$AU</definedName>
    <definedName name="Z_B434A8A8_5A4C_48C0_82E7_2458B9D2EEEF_.wvu.Cols" localSheetId="13" hidden="1">'6) RAG Table'!$AB:$BE</definedName>
    <definedName name="Z_B434A8A8_5A4C_48C0_82E7_2458B9D2EEEF_.wvu.FilterData" localSheetId="13" hidden="1">'6) RAG Table'!$BC$4:$BC$62</definedName>
    <definedName name="Z_B434A8A8_5A4C_48C0_82E7_2458B9D2EEEF_.wvu.PrintArea" localSheetId="0" hidden="1">'0) SL Project Structure'!$A$1:$AL$82</definedName>
    <definedName name="Z_B434A8A8_5A4C_48C0_82E7_2458B9D2EEEF_.wvu.PrintArea" localSheetId="1" hidden="1">'0) SL Project Structure OLD'!$A$1:$AL$68</definedName>
    <definedName name="Z_B434A8A8_5A4C_48C0_82E7_2458B9D2EEEF_.wvu.PrintArea" localSheetId="2" hidden="1">'1) Report'!$B$2:$AM$140</definedName>
    <definedName name="Z_B434A8A8_5A4C_48C0_82E7_2458B9D2EEEF_.wvu.PrintArea" localSheetId="5" hidden="1">'2) Definitions'!$A$2:$T$50</definedName>
    <definedName name="Z_B434A8A8_5A4C_48C0_82E7_2458B9D2EEEF_.wvu.PrintArea" localSheetId="13" hidden="1">'6) RAG Table'!$A$1:$AA$101</definedName>
    <definedName name="Z_B434A8A8_5A4C_48C0_82E7_2458B9D2EEEF_.wvu.PrintArea" localSheetId="11" hidden="1">'P&amp;B Summary'!$B$3:$J$18</definedName>
    <definedName name="Z_B434A8A8_5A4C_48C0_82E7_2458B9D2EEEF_.wvu.PrintTitles" localSheetId="2" hidden="1">'1) Report'!$3:$6</definedName>
    <definedName name="Z_B434A8A8_5A4C_48C0_82E7_2458B9D2EEEF_.wvu.Rows" localSheetId="2" hidden="1">'1) Report'!$1:$1,'1) Report'!$10:$10,'1) Report'!$16:$16,'1) Report'!$45:$45,'1) Report'!$52:$52,'1) Report'!$91:$91,'1) Report'!$123:$123</definedName>
    <definedName name="Z_B434A8A8_5A4C_48C0_82E7_2458B9D2EEEF_.wvu.Rows" localSheetId="6" hidden="1">'3) BC and Sanction'!$1:$1</definedName>
    <definedName name="Z_B434A8A8_5A4C_48C0_82E7_2458B9D2EEEF_.wvu.Rows" localSheetId="4" hidden="1">'4) Baseline Changes'!$1:$1</definedName>
    <definedName name="Z_B434A8A8_5A4C_48C0_82E7_2458B9D2EEEF_.wvu.Rows" localSheetId="12" hidden="1">'5a)NDA MPPR'!$63:$101</definedName>
    <definedName name="Z_B434A8A8_5A4C_48C0_82E7_2458B9D2EEEF_.wvu.Rows" localSheetId="13" hidden="1">'6) RAG Table'!$73:$78</definedName>
    <definedName name="Z_B434A8A8_5A4C_48C0_82E7_2458B9D2EEEF_.wvu.Rows" localSheetId="11" hidden="1">'P&amp;B Summary'!$1:$1</definedName>
    <definedName name="Z_B434A8A8_5A4C_48C0_82E7_2458B9D2EEEF_.wvu.Rows" localSheetId="9" hidden="1">'Pd08 Extended MPPR WD9'!$7:$7,'Pd08 Extended MPPR WD9'!$11:$11,'Pd08 Extended MPPR WD9'!$15:$15,'Pd08 Extended MPPR WD9'!$19:$19,'Pd08 Extended MPPR WD9'!$23:$23,'Pd08 Extended MPPR WD9'!$27:$27,'Pd08 Extended MPPR WD9'!$31:$31,'Pd08 Extended MPPR WD9'!$35:$35</definedName>
    <definedName name="Z_B434A8A8_5A4C_48C0_82E7_2458B9D2EEEF_.wvu.Rows" localSheetId="8" hidden="1">'Pd08 MPPR WD9'!$7:$7,'Pd08 MPPR WD9'!$11:$11,'Pd08 MPPR WD9'!$15:$15,'Pd08 MPPR WD9'!$19:$19,'Pd08 MPPR WD9'!$23:$23,'Pd08 MPPR WD9'!$27:$27,'Pd08 MPPR WD9'!$31:$31,'Pd08 MPPR WD9'!$35:$35,'Pd08 MPPR WD9'!$39:$39,'Pd08 MPPR WD9'!$43:$43,'Pd08 MPPR WD9'!$47:$47,'Pd08 MPPR WD9'!$50:$50,'Pd08 MPPR WD9'!$53:$53</definedName>
    <definedName name="Z_B8317A9A_0FFD_4A18_80F7_203DB2FC8CA5_.wvu.Cols" localSheetId="2" hidden="1">'1) Report'!$AO:$AU</definedName>
    <definedName name="Z_B8317A9A_0FFD_4A18_80F7_203DB2FC8CA5_.wvu.Cols" localSheetId="13" hidden="1">'6) RAG Table'!$AB:$BE</definedName>
    <definedName name="Z_B8317A9A_0FFD_4A18_80F7_203DB2FC8CA5_.wvu.FilterData" localSheetId="13" hidden="1">'6) RAG Table'!$BC$4:$BC$62</definedName>
    <definedName name="Z_B8317A9A_0FFD_4A18_80F7_203DB2FC8CA5_.wvu.PrintArea" localSheetId="0" hidden="1">'0) SL Project Structure'!$A$1:$AL$82</definedName>
    <definedName name="Z_B8317A9A_0FFD_4A18_80F7_203DB2FC8CA5_.wvu.PrintArea" localSheetId="1" hidden="1">'0) SL Project Structure OLD'!$A$1:$AL$68</definedName>
    <definedName name="Z_B8317A9A_0FFD_4A18_80F7_203DB2FC8CA5_.wvu.PrintArea" localSheetId="2" hidden="1">'1) Report'!$B$2:$AM$140</definedName>
    <definedName name="Z_B8317A9A_0FFD_4A18_80F7_203DB2FC8CA5_.wvu.PrintArea" localSheetId="5" hidden="1">'2) Definitions'!$A$2:$T$50</definedName>
    <definedName name="Z_B8317A9A_0FFD_4A18_80F7_203DB2FC8CA5_.wvu.PrintArea" localSheetId="13" hidden="1">'6) RAG Table'!$A$1:$AA$101</definedName>
    <definedName name="Z_B8317A9A_0FFD_4A18_80F7_203DB2FC8CA5_.wvu.PrintArea" localSheetId="11" hidden="1">'P&amp;B Summary'!$B$3:$J$18</definedName>
    <definedName name="Z_B8317A9A_0FFD_4A18_80F7_203DB2FC8CA5_.wvu.PrintTitles" localSheetId="2" hidden="1">'1) Report'!$3:$6</definedName>
    <definedName name="Z_B8317A9A_0FFD_4A18_80F7_203DB2FC8CA5_.wvu.Rows" localSheetId="2" hidden="1">'1) Report'!$1:$1,'1) Report'!$10:$10,'1) Report'!$16:$16,'1) Report'!$45:$45,'1) Report'!$52:$52,'1) Report'!$91:$91,'1) Report'!$123:$123</definedName>
    <definedName name="Z_B8317A9A_0FFD_4A18_80F7_203DB2FC8CA5_.wvu.Rows" localSheetId="6" hidden="1">'3) BC and Sanction'!$1:$1</definedName>
    <definedName name="Z_B8317A9A_0FFD_4A18_80F7_203DB2FC8CA5_.wvu.Rows" localSheetId="4" hidden="1">'4) Baseline Changes'!$1:$1</definedName>
    <definedName name="Z_B8317A9A_0FFD_4A18_80F7_203DB2FC8CA5_.wvu.Rows" localSheetId="12" hidden="1">'5a)NDA MPPR'!$63:$101</definedName>
    <definedName name="Z_B8317A9A_0FFD_4A18_80F7_203DB2FC8CA5_.wvu.Rows" localSheetId="13" hidden="1">'6) RAG Table'!$73:$78</definedName>
    <definedName name="Z_B8317A9A_0FFD_4A18_80F7_203DB2FC8CA5_.wvu.Rows" localSheetId="11" hidden="1">'P&amp;B Summary'!$1:$1</definedName>
    <definedName name="Z_B8317A9A_0FFD_4A18_80F7_203DB2FC8CA5_.wvu.Rows" localSheetId="9" hidden="1">'Pd08 Extended MPPR WD9'!$7:$7,'Pd08 Extended MPPR WD9'!$11:$11,'Pd08 Extended MPPR WD9'!$15:$15,'Pd08 Extended MPPR WD9'!$19:$19,'Pd08 Extended MPPR WD9'!$23:$23,'Pd08 Extended MPPR WD9'!$27:$27,'Pd08 Extended MPPR WD9'!$31:$31,'Pd08 Extended MPPR WD9'!$35:$35</definedName>
    <definedName name="Z_B8317A9A_0FFD_4A18_80F7_203DB2FC8CA5_.wvu.Rows" localSheetId="8" hidden="1">'Pd08 MPPR WD9'!$7:$7,'Pd08 MPPR WD9'!$11:$11,'Pd08 MPPR WD9'!$15:$15,'Pd08 MPPR WD9'!$19:$19,'Pd08 MPPR WD9'!$23:$23,'Pd08 MPPR WD9'!$27:$27,'Pd08 MPPR WD9'!$31:$31,'Pd08 MPPR WD9'!$35:$35,'Pd08 MPPR WD9'!$39:$39,'Pd08 MPPR WD9'!$43:$43,'Pd08 MPPR WD9'!$47:$47,'Pd08 MPPR WD9'!$50:$50,'Pd08 MPPR WD9'!$53:$53</definedName>
    <definedName name="Z_B84DA703_8C5B_4100_91A4_8807E303D379_.wvu.Cols" localSheetId="13" hidden="1">'6) RAG Table'!$AB:$BE</definedName>
    <definedName name="Z_B84DA703_8C5B_4100_91A4_8807E303D379_.wvu.FilterData" localSheetId="13" hidden="1">'6) RAG Table'!$BC$4:$BC$62</definedName>
    <definedName name="Z_B84DA703_8C5B_4100_91A4_8807E303D379_.wvu.PrintArea" localSheetId="0" hidden="1">'0) SL Project Structure'!$A$1:$AL$82</definedName>
    <definedName name="Z_B84DA703_8C5B_4100_91A4_8807E303D379_.wvu.PrintArea" localSheetId="1" hidden="1">'0) SL Project Structure OLD'!$A$1:$AL$68</definedName>
    <definedName name="Z_B84DA703_8C5B_4100_91A4_8807E303D379_.wvu.PrintArea" localSheetId="2" hidden="1">'1) Report'!$B$2:$AM$141</definedName>
    <definedName name="Z_B84DA703_8C5B_4100_91A4_8807E303D379_.wvu.PrintArea" localSheetId="11" hidden="1">'P&amp;B Summary'!$B$3:$J$18</definedName>
    <definedName name="Z_B84DA703_8C5B_4100_91A4_8807E303D379_.wvu.PrintTitles" localSheetId="2" hidden="1">'1) Report'!$3:$6</definedName>
    <definedName name="Z_B84DA703_8C5B_4100_91A4_8807E303D379_.wvu.Rows" localSheetId="2" hidden="1">'1) Report'!$1:$1,'1) Report'!$16:$16,'1) Report'!#REF!,'1) Report'!$52:$52,'1) Report'!#REF!,'1) Report'!$123:$123,'1) Report'!#REF!,'1) Report'!#REF!</definedName>
    <definedName name="Z_B84DA703_8C5B_4100_91A4_8807E303D379_.wvu.Rows" localSheetId="6" hidden="1">'3) BC and Sanction'!$1:$1</definedName>
    <definedName name="Z_B84DA703_8C5B_4100_91A4_8807E303D379_.wvu.Rows" localSheetId="4" hidden="1">'4) Baseline Changes'!$1:$1</definedName>
    <definedName name="Z_B84DA703_8C5B_4100_91A4_8807E303D379_.wvu.Rows" localSheetId="12" hidden="1">'5a)NDA MPPR'!$63:$101</definedName>
    <definedName name="Z_B84DA703_8C5B_4100_91A4_8807E303D379_.wvu.Rows" localSheetId="13" hidden="1">'6) RAG Table'!$73:$78</definedName>
    <definedName name="Z_B84DA703_8C5B_4100_91A4_8807E303D379_.wvu.Rows" localSheetId="11" hidden="1">'P&amp;B Summary'!$1:$1</definedName>
    <definedName name="Z_B84DA703_8C5B_4100_91A4_8807E303D379_.wvu.Rows" localSheetId="9" hidden="1">'Pd08 Extended MPPR WD9'!$7:$7,'Pd08 Extended MPPR WD9'!$11:$11,'Pd08 Extended MPPR WD9'!$15:$15,'Pd08 Extended MPPR WD9'!$19:$19,'Pd08 Extended MPPR WD9'!$23:$23,'Pd08 Extended MPPR WD9'!$27:$27,'Pd08 Extended MPPR WD9'!$31:$31,'Pd08 Extended MPPR WD9'!$35:$35</definedName>
    <definedName name="Z_B84DA703_8C5B_4100_91A4_8807E303D379_.wvu.Rows" localSheetId="8" hidden="1">'Pd08 MPPR WD9'!$7:$7,'Pd08 MPPR WD9'!$11:$11,'Pd08 MPPR WD9'!$15:$15,'Pd08 MPPR WD9'!$19:$19,'Pd08 MPPR WD9'!$23:$23,'Pd08 MPPR WD9'!$27:$27,'Pd08 MPPR WD9'!$31:$31,'Pd08 MPPR WD9'!$35:$35,'Pd08 MPPR WD9'!$39:$39,'Pd08 MPPR WD9'!$43:$43,'Pd08 MPPR WD9'!$47:$47,'Pd08 MPPR WD9'!$50:$50,'Pd08 MPPR WD9'!$53:$53</definedName>
    <definedName name="Z_B95D32C7_1418_4EF6_8936_849885C54A4A_.wvu.Cols" localSheetId="2" hidden="1">'1) Report'!$AO:$AU</definedName>
    <definedName name="Z_B95D32C7_1418_4EF6_8936_849885C54A4A_.wvu.Cols" localSheetId="13" hidden="1">'6) RAG Table'!$AB:$BE</definedName>
    <definedName name="Z_B95D32C7_1418_4EF6_8936_849885C54A4A_.wvu.FilterData" localSheetId="13" hidden="1">'6) RAG Table'!$BC$4:$BC$62</definedName>
    <definedName name="Z_B95D32C7_1418_4EF6_8936_849885C54A4A_.wvu.PrintArea" localSheetId="0" hidden="1">'0) SL Project Structure'!$A$1:$AL$82</definedName>
    <definedName name="Z_B95D32C7_1418_4EF6_8936_849885C54A4A_.wvu.PrintArea" localSheetId="1" hidden="1">'0) SL Project Structure OLD'!$A$1:$AL$68</definedName>
    <definedName name="Z_B95D32C7_1418_4EF6_8936_849885C54A4A_.wvu.PrintArea" localSheetId="2" hidden="1">'1) Report'!$B$2:$AM$140</definedName>
    <definedName name="Z_B95D32C7_1418_4EF6_8936_849885C54A4A_.wvu.PrintArea" localSheetId="5" hidden="1">'2) Definitions'!$A$2:$T$50</definedName>
    <definedName name="Z_B95D32C7_1418_4EF6_8936_849885C54A4A_.wvu.PrintArea" localSheetId="13" hidden="1">'6) RAG Table'!$B$1:$AA$98</definedName>
    <definedName name="Z_B95D32C7_1418_4EF6_8936_849885C54A4A_.wvu.PrintArea" localSheetId="11" hidden="1">'P&amp;B Summary'!$B$3:$J$18</definedName>
    <definedName name="Z_B95D32C7_1418_4EF6_8936_849885C54A4A_.wvu.PrintTitles" localSheetId="2" hidden="1">'1) Report'!$3:$6</definedName>
    <definedName name="Z_B95D32C7_1418_4EF6_8936_849885C54A4A_.wvu.Rows" localSheetId="2" hidden="1">'1) Report'!$1:$1,'1) Report'!$10:$10,'1) Report'!$16:$16,'1) Report'!$45:$45,'1) Report'!$52:$52,'1) Report'!$91:$91,'1) Report'!$123:$123</definedName>
    <definedName name="Z_B95D32C7_1418_4EF6_8936_849885C54A4A_.wvu.Rows" localSheetId="6" hidden="1">'3) BC and Sanction'!$1:$1</definedName>
    <definedName name="Z_B95D32C7_1418_4EF6_8936_849885C54A4A_.wvu.Rows" localSheetId="4" hidden="1">'4) Baseline Changes'!$1:$1</definedName>
    <definedName name="Z_B95D32C7_1418_4EF6_8936_849885C54A4A_.wvu.Rows" localSheetId="12" hidden="1">'5a)NDA MPPR'!$63:$101</definedName>
    <definedName name="Z_B95D32C7_1418_4EF6_8936_849885C54A4A_.wvu.Rows" localSheetId="13" hidden="1">'6) RAG Table'!$73:$78</definedName>
    <definedName name="Z_B95D32C7_1418_4EF6_8936_849885C54A4A_.wvu.Rows" localSheetId="11" hidden="1">'P&amp;B Summary'!$1:$1</definedName>
    <definedName name="Z_B95D32C7_1418_4EF6_8936_849885C54A4A_.wvu.Rows" localSheetId="9" hidden="1">'Pd08 Extended MPPR WD9'!$7:$7,'Pd08 Extended MPPR WD9'!$11:$11,'Pd08 Extended MPPR WD9'!$15:$15,'Pd08 Extended MPPR WD9'!$19:$19,'Pd08 Extended MPPR WD9'!$23:$23,'Pd08 Extended MPPR WD9'!$27:$27,'Pd08 Extended MPPR WD9'!$31:$31,'Pd08 Extended MPPR WD9'!$35:$35</definedName>
    <definedName name="Z_B95D32C7_1418_4EF6_8936_849885C54A4A_.wvu.Rows" localSheetId="8" hidden="1">'Pd08 MPPR WD9'!$7:$7,'Pd08 MPPR WD9'!$11:$11,'Pd08 MPPR WD9'!$15:$15,'Pd08 MPPR WD9'!$19:$19,'Pd08 MPPR WD9'!$23:$23,'Pd08 MPPR WD9'!$27:$27,'Pd08 MPPR WD9'!$31:$31,'Pd08 MPPR WD9'!$35:$35,'Pd08 MPPR WD9'!$39:$39,'Pd08 MPPR WD9'!$43:$43,'Pd08 MPPR WD9'!$47:$47,'Pd08 MPPR WD9'!$50:$50,'Pd08 MPPR WD9'!$53:$53</definedName>
    <definedName name="Z_BDCD1595_C0B8_4F6C_B01C_3472C895B827_.wvu.Cols" localSheetId="2" hidden="1">'1) Report'!$AO:$AU</definedName>
    <definedName name="Z_BDCD1595_C0B8_4F6C_B01C_3472C895B827_.wvu.Cols" localSheetId="13" hidden="1">'6) RAG Table'!$AB:$BE</definedName>
    <definedName name="Z_BDCD1595_C0B8_4F6C_B01C_3472C895B827_.wvu.FilterData" localSheetId="13" hidden="1">'6) RAG Table'!$BC$4:$BC$62</definedName>
    <definedName name="Z_BDCD1595_C0B8_4F6C_B01C_3472C895B827_.wvu.PrintArea" localSheetId="0" hidden="1">'0) SL Project Structure'!$A$1:$AL$82</definedName>
    <definedName name="Z_BDCD1595_C0B8_4F6C_B01C_3472C895B827_.wvu.PrintArea" localSheetId="1" hidden="1">'0) SL Project Structure OLD'!$A$1:$AL$68</definedName>
    <definedName name="Z_BDCD1595_C0B8_4F6C_B01C_3472C895B827_.wvu.PrintArea" localSheetId="2" hidden="1">'1) Report'!$B$2:$AM$140</definedName>
    <definedName name="Z_BDCD1595_C0B8_4F6C_B01C_3472C895B827_.wvu.PrintArea" localSheetId="5" hidden="1">'2) Definitions'!$A$2:$T$50</definedName>
    <definedName name="Z_BDCD1595_C0B8_4F6C_B01C_3472C895B827_.wvu.PrintArea" localSheetId="13" hidden="1">'6) RAG Table'!$B$1:$AA$98</definedName>
    <definedName name="Z_BDCD1595_C0B8_4F6C_B01C_3472C895B827_.wvu.PrintArea" localSheetId="11" hidden="1">'P&amp;B Summary'!$B$3:$J$18</definedName>
    <definedName name="Z_BDCD1595_C0B8_4F6C_B01C_3472C895B827_.wvu.PrintTitles" localSheetId="2" hidden="1">'1) Report'!$3:$6</definedName>
    <definedName name="Z_BDCD1595_C0B8_4F6C_B01C_3472C895B827_.wvu.Rows" localSheetId="2" hidden="1">'1) Report'!$1:$1,'1) Report'!$10:$10,'1) Report'!$16:$16,'1) Report'!$45:$45,'1) Report'!$52:$52,'1) Report'!$91:$91,'1) Report'!$123:$123</definedName>
    <definedName name="Z_BDCD1595_C0B8_4F6C_B01C_3472C895B827_.wvu.Rows" localSheetId="6" hidden="1">'3) BC and Sanction'!$1:$1</definedName>
    <definedName name="Z_BDCD1595_C0B8_4F6C_B01C_3472C895B827_.wvu.Rows" localSheetId="4" hidden="1">'4) Baseline Changes'!$1:$1</definedName>
    <definedName name="Z_BDCD1595_C0B8_4F6C_B01C_3472C895B827_.wvu.Rows" localSheetId="12" hidden="1">'5a)NDA MPPR'!$63:$101</definedName>
    <definedName name="Z_BDCD1595_C0B8_4F6C_B01C_3472C895B827_.wvu.Rows" localSheetId="13" hidden="1">'6) RAG Table'!$73:$78</definedName>
    <definedName name="Z_BDCD1595_C0B8_4F6C_B01C_3472C895B827_.wvu.Rows" localSheetId="11" hidden="1">'P&amp;B Summary'!$1:$1</definedName>
    <definedName name="Z_BDCD1595_C0B8_4F6C_B01C_3472C895B827_.wvu.Rows" localSheetId="9" hidden="1">'Pd08 Extended MPPR WD9'!$7:$7,'Pd08 Extended MPPR WD9'!$11:$11,'Pd08 Extended MPPR WD9'!$15:$15,'Pd08 Extended MPPR WD9'!$19:$19,'Pd08 Extended MPPR WD9'!$23:$23,'Pd08 Extended MPPR WD9'!$27:$27,'Pd08 Extended MPPR WD9'!$31:$31,'Pd08 Extended MPPR WD9'!$35:$35</definedName>
    <definedName name="Z_BDCD1595_C0B8_4F6C_B01C_3472C895B827_.wvu.Rows" localSheetId="8" hidden="1">'Pd08 MPPR WD9'!$7:$7,'Pd08 MPPR WD9'!$11:$11,'Pd08 MPPR WD9'!$15:$15,'Pd08 MPPR WD9'!$19:$19,'Pd08 MPPR WD9'!$23:$23,'Pd08 MPPR WD9'!$27:$27,'Pd08 MPPR WD9'!$31:$31,'Pd08 MPPR WD9'!$35:$35,'Pd08 MPPR WD9'!$39:$39,'Pd08 MPPR WD9'!$43:$43,'Pd08 MPPR WD9'!$47:$47,'Pd08 MPPR WD9'!$50:$50,'Pd08 MPPR WD9'!$53:$53</definedName>
    <definedName name="Z_C39AE06A_FC0A_4D7D_B287_2FA9CA174191_.wvu.Cols" localSheetId="13" hidden="1">'6) RAG Table'!$AB:$BE</definedName>
    <definedName name="Z_C39AE06A_FC0A_4D7D_B287_2FA9CA174191_.wvu.FilterData" localSheetId="13" hidden="1">'6) RAG Table'!$BC$4:$BC$62</definedName>
    <definedName name="Z_C39AE06A_FC0A_4D7D_B287_2FA9CA174191_.wvu.PrintArea" localSheetId="0" hidden="1">'0) SL Project Structure'!$A$1:$AL$82</definedName>
    <definedName name="Z_C39AE06A_FC0A_4D7D_B287_2FA9CA174191_.wvu.PrintArea" localSheetId="1" hidden="1">'0) SL Project Structure OLD'!$A$1:$AL$68</definedName>
    <definedName name="Z_C39AE06A_FC0A_4D7D_B287_2FA9CA174191_.wvu.PrintArea" localSheetId="2" hidden="1">'1) Report'!$B$2:$AM$141</definedName>
    <definedName name="Z_C39AE06A_FC0A_4D7D_B287_2FA9CA174191_.wvu.PrintArea" localSheetId="11" hidden="1">'P&amp;B Summary'!$B$3:$J$18</definedName>
    <definedName name="Z_C39AE06A_FC0A_4D7D_B287_2FA9CA174191_.wvu.PrintTitles" localSheetId="2" hidden="1">'1) Report'!$3:$6</definedName>
    <definedName name="Z_C39AE06A_FC0A_4D7D_B287_2FA9CA174191_.wvu.Rows" localSheetId="2" hidden="1">'1) Report'!$1:$1,'1) Report'!$16:$16,'1) Report'!#REF!,'1) Report'!$52:$52,'1) Report'!#REF!,'1) Report'!$123:$123,'1) Report'!#REF!,'1) Report'!#REF!</definedName>
    <definedName name="Z_C39AE06A_FC0A_4D7D_B287_2FA9CA174191_.wvu.Rows" localSheetId="6" hidden="1">'3) BC and Sanction'!$1:$1</definedName>
    <definedName name="Z_C39AE06A_FC0A_4D7D_B287_2FA9CA174191_.wvu.Rows" localSheetId="4" hidden="1">'4) Baseline Changes'!$1:$1</definedName>
    <definedName name="Z_C39AE06A_FC0A_4D7D_B287_2FA9CA174191_.wvu.Rows" localSheetId="12" hidden="1">'5a)NDA MPPR'!$63:$101</definedName>
    <definedName name="Z_C39AE06A_FC0A_4D7D_B287_2FA9CA174191_.wvu.Rows" localSheetId="13" hidden="1">'6) RAG Table'!$73:$78</definedName>
    <definedName name="Z_C39AE06A_FC0A_4D7D_B287_2FA9CA174191_.wvu.Rows" localSheetId="11" hidden="1">'P&amp;B Summary'!$1:$1</definedName>
    <definedName name="Z_C39AE06A_FC0A_4D7D_B287_2FA9CA174191_.wvu.Rows" localSheetId="9" hidden="1">'Pd08 Extended MPPR WD9'!$7:$7,'Pd08 Extended MPPR WD9'!$11:$11,'Pd08 Extended MPPR WD9'!$15:$15,'Pd08 Extended MPPR WD9'!$19:$19,'Pd08 Extended MPPR WD9'!$23:$23,'Pd08 Extended MPPR WD9'!$27:$27,'Pd08 Extended MPPR WD9'!$31:$31,'Pd08 Extended MPPR WD9'!$35:$35</definedName>
    <definedName name="Z_C39AE06A_FC0A_4D7D_B287_2FA9CA174191_.wvu.Rows" localSheetId="8" hidden="1">'Pd08 MPPR WD9'!$7:$7,'Pd08 MPPR WD9'!$11:$11,'Pd08 MPPR WD9'!$15:$15,'Pd08 MPPR WD9'!$19:$19,'Pd08 MPPR WD9'!$23:$23,'Pd08 MPPR WD9'!$27:$27,'Pd08 MPPR WD9'!$31:$31,'Pd08 MPPR WD9'!$35:$35,'Pd08 MPPR WD9'!$39:$39,'Pd08 MPPR WD9'!$43:$43,'Pd08 MPPR WD9'!$47:$47,'Pd08 MPPR WD9'!$50:$50,'Pd08 MPPR WD9'!$53:$53</definedName>
    <definedName name="Z_C57A83F1_F5A3_470B_9579_6A222C54F4E8_.wvu.Cols" localSheetId="2" hidden="1">'1) Report'!$AO:$AU</definedName>
    <definedName name="Z_C57A83F1_F5A3_470B_9579_6A222C54F4E8_.wvu.Cols" localSheetId="13" hidden="1">'6) RAG Table'!$AB:$BE</definedName>
    <definedName name="Z_C57A83F1_F5A3_470B_9579_6A222C54F4E8_.wvu.FilterData" localSheetId="13" hidden="1">'6) RAG Table'!$BC$4:$BC$62</definedName>
    <definedName name="Z_C57A83F1_F5A3_470B_9579_6A222C54F4E8_.wvu.PrintArea" localSheetId="0" hidden="1">'0) SL Project Structure'!$A$1:$AL$82</definedName>
    <definedName name="Z_C57A83F1_F5A3_470B_9579_6A222C54F4E8_.wvu.PrintArea" localSheetId="1" hidden="1">'0) SL Project Structure OLD'!$A$1:$AL$68</definedName>
    <definedName name="Z_C57A83F1_F5A3_470B_9579_6A222C54F4E8_.wvu.PrintArea" localSheetId="2" hidden="1">'1) Report'!$B$2:$AM$140</definedName>
    <definedName name="Z_C57A83F1_F5A3_470B_9579_6A222C54F4E8_.wvu.PrintArea" localSheetId="5" hidden="1">'2) Definitions'!$A$2:$T$50</definedName>
    <definedName name="Z_C57A83F1_F5A3_470B_9579_6A222C54F4E8_.wvu.PrintArea" localSheetId="13" hidden="1">'6) RAG Table'!$A$1:$AA$101</definedName>
    <definedName name="Z_C57A83F1_F5A3_470B_9579_6A222C54F4E8_.wvu.PrintArea" localSheetId="11" hidden="1">'P&amp;B Summary'!$B$3:$J$18</definedName>
    <definedName name="Z_C57A83F1_F5A3_470B_9579_6A222C54F4E8_.wvu.PrintTitles" localSheetId="2" hidden="1">'1) Report'!$3:$6</definedName>
    <definedName name="Z_C57A83F1_F5A3_470B_9579_6A222C54F4E8_.wvu.Rows" localSheetId="2" hidden="1">'1) Report'!$1:$1,'1) Report'!$10:$10,'1) Report'!$16:$16,'1) Report'!$45:$45,'1) Report'!$52:$52,'1) Report'!$91:$91,'1) Report'!$123:$123</definedName>
    <definedName name="Z_C57A83F1_F5A3_470B_9579_6A222C54F4E8_.wvu.Rows" localSheetId="6" hidden="1">'3) BC and Sanction'!$1:$1</definedName>
    <definedName name="Z_C57A83F1_F5A3_470B_9579_6A222C54F4E8_.wvu.Rows" localSheetId="4" hidden="1">'4) Baseline Changes'!$1:$1</definedName>
    <definedName name="Z_C57A83F1_F5A3_470B_9579_6A222C54F4E8_.wvu.Rows" localSheetId="12" hidden="1">'5a)NDA MPPR'!$63:$101</definedName>
    <definedName name="Z_C57A83F1_F5A3_470B_9579_6A222C54F4E8_.wvu.Rows" localSheetId="13" hidden="1">'6) RAG Table'!$73:$78</definedName>
    <definedName name="Z_C57A83F1_F5A3_470B_9579_6A222C54F4E8_.wvu.Rows" localSheetId="11" hidden="1">'P&amp;B Summary'!$1:$1</definedName>
    <definedName name="Z_C57A83F1_F5A3_470B_9579_6A222C54F4E8_.wvu.Rows" localSheetId="9" hidden="1">'Pd08 Extended MPPR WD9'!$7:$7,'Pd08 Extended MPPR WD9'!$11:$11,'Pd08 Extended MPPR WD9'!$15:$15,'Pd08 Extended MPPR WD9'!$19:$19,'Pd08 Extended MPPR WD9'!$23:$23,'Pd08 Extended MPPR WD9'!$27:$27,'Pd08 Extended MPPR WD9'!$31:$31,'Pd08 Extended MPPR WD9'!$35:$35</definedName>
    <definedName name="Z_C57A83F1_F5A3_470B_9579_6A222C54F4E8_.wvu.Rows" localSheetId="8" hidden="1">'Pd08 MPPR WD9'!$7:$7,'Pd08 MPPR WD9'!$11:$11,'Pd08 MPPR WD9'!$15:$15,'Pd08 MPPR WD9'!$19:$19,'Pd08 MPPR WD9'!$23:$23,'Pd08 MPPR WD9'!$27:$27,'Pd08 MPPR WD9'!$31:$31,'Pd08 MPPR WD9'!$35:$35,'Pd08 MPPR WD9'!$39:$39,'Pd08 MPPR WD9'!$43:$43,'Pd08 MPPR WD9'!$47:$47,'Pd08 MPPR WD9'!$50:$50,'Pd08 MPPR WD9'!$53:$53</definedName>
    <definedName name="Z_C7C13768_4A8D_4CBA_978C_F4A7B5550C00_.wvu.Cols" localSheetId="2" hidden="1">'1) Report'!$AO:$AU</definedName>
    <definedName name="Z_C7C13768_4A8D_4CBA_978C_F4A7B5550C00_.wvu.Cols" localSheetId="7" hidden="1">'4b) SL EPO Extended Data Sheet'!$AD:$AH</definedName>
    <definedName name="Z_C7C13768_4A8D_4CBA_978C_F4A7B5550C00_.wvu.Cols" localSheetId="13" hidden="1">'6) RAG Table'!$AB:$BE</definedName>
    <definedName name="Z_C7C13768_4A8D_4CBA_978C_F4A7B5550C00_.wvu.FilterData" localSheetId="13" hidden="1">'6) RAG Table'!$BC$4:$BC$62</definedName>
    <definedName name="Z_C7C13768_4A8D_4CBA_978C_F4A7B5550C00_.wvu.PrintArea" localSheetId="0" hidden="1">'0) SL Project Structure'!$A$1:$AL$82</definedName>
    <definedName name="Z_C7C13768_4A8D_4CBA_978C_F4A7B5550C00_.wvu.PrintArea" localSheetId="1" hidden="1">'0) SL Project Structure OLD'!$A$1:$AL$68</definedName>
    <definedName name="Z_C7C13768_4A8D_4CBA_978C_F4A7B5550C00_.wvu.PrintArea" localSheetId="2" hidden="1">'1) Report'!$B$2:$AM$140</definedName>
    <definedName name="Z_C7C13768_4A8D_4CBA_978C_F4A7B5550C00_.wvu.PrintArea" localSheetId="5" hidden="1">'2) Definitions'!$A$2:$T$50</definedName>
    <definedName name="Z_C7C13768_4A8D_4CBA_978C_F4A7B5550C00_.wvu.PrintArea" localSheetId="13" hidden="1">'6) RAG Table'!$A$1:$AA$101</definedName>
    <definedName name="Z_C7C13768_4A8D_4CBA_978C_F4A7B5550C00_.wvu.PrintArea" localSheetId="11" hidden="1">'P&amp;B Summary'!$B$3:$J$18</definedName>
    <definedName name="Z_C7C13768_4A8D_4CBA_978C_F4A7B5550C00_.wvu.PrintTitles" localSheetId="2" hidden="1">'1) Report'!$3:$6</definedName>
    <definedName name="Z_C7C13768_4A8D_4CBA_978C_F4A7B5550C00_.wvu.Rows" localSheetId="2" hidden="1">'1) Report'!$1:$1,'1) Report'!$10:$10,'1) Report'!$16:$16,'1) Report'!$45:$45,'1) Report'!$52:$52,'1) Report'!$91:$91,'1) Report'!$123:$123</definedName>
    <definedName name="Z_C7C13768_4A8D_4CBA_978C_F4A7B5550C00_.wvu.Rows" localSheetId="6" hidden="1">'3) BC and Sanction'!$1:$1</definedName>
    <definedName name="Z_C7C13768_4A8D_4CBA_978C_F4A7B5550C00_.wvu.Rows" localSheetId="4" hidden="1">'4) Baseline Changes'!$1:$1</definedName>
    <definedName name="Z_C7C13768_4A8D_4CBA_978C_F4A7B5550C00_.wvu.Rows" localSheetId="12" hidden="1">'5a)NDA MPPR'!$63:$101</definedName>
    <definedName name="Z_C7C13768_4A8D_4CBA_978C_F4A7B5550C00_.wvu.Rows" localSheetId="13" hidden="1">'6) RAG Table'!$73:$78</definedName>
    <definedName name="Z_C7C13768_4A8D_4CBA_978C_F4A7B5550C00_.wvu.Rows" localSheetId="11" hidden="1">'P&amp;B Summary'!$1:$1</definedName>
    <definedName name="Z_C7C13768_4A8D_4CBA_978C_F4A7B5550C00_.wvu.Rows" localSheetId="9" hidden="1">'Pd08 Extended MPPR WD9'!$7:$7,'Pd08 Extended MPPR WD9'!$11:$11,'Pd08 Extended MPPR WD9'!$15:$15,'Pd08 Extended MPPR WD9'!$19:$19,'Pd08 Extended MPPR WD9'!$23:$23,'Pd08 Extended MPPR WD9'!$27:$27,'Pd08 Extended MPPR WD9'!$31:$31,'Pd08 Extended MPPR WD9'!$35:$35</definedName>
    <definedName name="Z_C7C13768_4A8D_4CBA_978C_F4A7B5550C00_.wvu.Rows" localSheetId="8" hidden="1">'Pd08 MPPR WD9'!$7:$7,'Pd08 MPPR WD9'!$11:$11,'Pd08 MPPR WD9'!$15:$15,'Pd08 MPPR WD9'!$19:$19,'Pd08 MPPR WD9'!$23:$23,'Pd08 MPPR WD9'!$27:$27,'Pd08 MPPR WD9'!$31:$31,'Pd08 MPPR WD9'!$35:$35,'Pd08 MPPR WD9'!$39:$39,'Pd08 MPPR WD9'!$43:$43,'Pd08 MPPR WD9'!$47:$47,'Pd08 MPPR WD9'!$50:$50,'Pd08 MPPR WD9'!$53:$53</definedName>
    <definedName name="Z_CA7E8063_5145_49E1_8E00_2E1025705A81_.wvu.Cols" localSheetId="2" hidden="1">'1) Report'!$AO:$AU</definedName>
    <definedName name="Z_CA7E8063_5145_49E1_8E00_2E1025705A81_.wvu.Cols" localSheetId="13" hidden="1">'6) RAG Table'!$AB:$BE</definedName>
    <definedName name="Z_CA7E8063_5145_49E1_8E00_2E1025705A81_.wvu.FilterData" localSheetId="13" hidden="1">'6) RAG Table'!$BC$4:$BC$62</definedName>
    <definedName name="Z_CA7E8063_5145_49E1_8E00_2E1025705A81_.wvu.PrintArea" localSheetId="0" hidden="1">'0) SL Project Structure'!$A$1:$AL$82</definedName>
    <definedName name="Z_CA7E8063_5145_49E1_8E00_2E1025705A81_.wvu.PrintArea" localSheetId="1" hidden="1">'0) SL Project Structure OLD'!$A$1:$AL$68</definedName>
    <definedName name="Z_CA7E8063_5145_49E1_8E00_2E1025705A81_.wvu.PrintArea" localSheetId="2" hidden="1">'1) Report'!$B$2:$AM$140</definedName>
    <definedName name="Z_CA7E8063_5145_49E1_8E00_2E1025705A81_.wvu.PrintArea" localSheetId="5" hidden="1">'2) Definitions'!$A$2:$T$50</definedName>
    <definedName name="Z_CA7E8063_5145_49E1_8E00_2E1025705A81_.wvu.PrintArea" localSheetId="13" hidden="1">'6) RAG Table'!$B$1:$AA$98</definedName>
    <definedName name="Z_CA7E8063_5145_49E1_8E00_2E1025705A81_.wvu.PrintArea" localSheetId="11" hidden="1">'P&amp;B Summary'!$B$3:$J$18</definedName>
    <definedName name="Z_CA7E8063_5145_49E1_8E00_2E1025705A81_.wvu.PrintTitles" localSheetId="2" hidden="1">'1) Report'!$3:$6</definedName>
    <definedName name="Z_CA7E8063_5145_49E1_8E00_2E1025705A81_.wvu.Rows" localSheetId="2" hidden="1">'1) Report'!$1:$1,'1) Report'!$10:$10,'1) Report'!$16:$16,'1) Report'!$45:$45,'1) Report'!$52:$52,'1) Report'!$91:$91,'1) Report'!$123:$123</definedName>
    <definedName name="Z_CA7E8063_5145_49E1_8E00_2E1025705A81_.wvu.Rows" localSheetId="6" hidden="1">'3) BC and Sanction'!$1:$1</definedName>
    <definedName name="Z_CA7E8063_5145_49E1_8E00_2E1025705A81_.wvu.Rows" localSheetId="4" hidden="1">'4) Baseline Changes'!$1:$1</definedName>
    <definedName name="Z_CA7E8063_5145_49E1_8E00_2E1025705A81_.wvu.Rows" localSheetId="12" hidden="1">'5a)NDA MPPR'!$63:$101</definedName>
    <definedName name="Z_CA7E8063_5145_49E1_8E00_2E1025705A81_.wvu.Rows" localSheetId="13" hidden="1">'6) RAG Table'!$73:$78</definedName>
    <definedName name="Z_CA7E8063_5145_49E1_8E00_2E1025705A81_.wvu.Rows" localSheetId="11" hidden="1">'P&amp;B Summary'!$1:$1</definedName>
    <definedName name="Z_CA7E8063_5145_49E1_8E00_2E1025705A81_.wvu.Rows" localSheetId="9" hidden="1">'Pd08 Extended MPPR WD9'!$7:$7,'Pd08 Extended MPPR WD9'!$11:$11,'Pd08 Extended MPPR WD9'!$15:$15,'Pd08 Extended MPPR WD9'!$19:$19,'Pd08 Extended MPPR WD9'!$23:$23,'Pd08 Extended MPPR WD9'!$27:$27,'Pd08 Extended MPPR WD9'!$31:$31,'Pd08 Extended MPPR WD9'!$35:$35</definedName>
    <definedName name="Z_CA7E8063_5145_49E1_8E00_2E1025705A81_.wvu.Rows" localSheetId="8" hidden="1">'Pd08 MPPR WD9'!$7:$7,'Pd08 MPPR WD9'!$11:$11,'Pd08 MPPR WD9'!$15:$15,'Pd08 MPPR WD9'!$19:$19,'Pd08 MPPR WD9'!$23:$23,'Pd08 MPPR WD9'!$27:$27,'Pd08 MPPR WD9'!$31:$31,'Pd08 MPPR WD9'!$35:$35,'Pd08 MPPR WD9'!$39:$39,'Pd08 MPPR WD9'!$43:$43,'Pd08 MPPR WD9'!$47:$47,'Pd08 MPPR WD9'!$50:$50,'Pd08 MPPR WD9'!$53:$53</definedName>
    <definedName name="Z_D16D941B_FC89_4FEC_A49B_5FA2532584DE_.wvu.Cols" localSheetId="13" hidden="1">'6) RAG Table'!$AB:$BE</definedName>
    <definedName name="Z_D16D941B_FC89_4FEC_A49B_5FA2532584DE_.wvu.FilterData" localSheetId="13" hidden="1">'6) RAG Table'!$BC$4:$BC$62</definedName>
    <definedName name="Z_D16D941B_FC89_4FEC_A49B_5FA2532584DE_.wvu.PrintArea" localSheetId="0" hidden="1">'0) SL Project Structure'!$A$1:$AL$82</definedName>
    <definedName name="Z_D16D941B_FC89_4FEC_A49B_5FA2532584DE_.wvu.PrintArea" localSheetId="1" hidden="1">'0) SL Project Structure OLD'!$A$1:$AL$68</definedName>
    <definedName name="Z_D16D941B_FC89_4FEC_A49B_5FA2532584DE_.wvu.PrintArea" localSheetId="2" hidden="1">'1) Report'!$B$2:$AM$141</definedName>
    <definedName name="Z_D16D941B_FC89_4FEC_A49B_5FA2532584DE_.wvu.PrintArea" localSheetId="11" hidden="1">'P&amp;B Summary'!$B$3:$J$18</definedName>
    <definedName name="Z_D16D941B_FC89_4FEC_A49B_5FA2532584DE_.wvu.PrintTitles" localSheetId="2" hidden="1">'1) Report'!$3:$6</definedName>
    <definedName name="Z_D16D941B_FC89_4FEC_A49B_5FA2532584DE_.wvu.Rows" localSheetId="2" hidden="1">'1) Report'!$1:$1,'1) Report'!$16:$16,'1) Report'!#REF!,'1) Report'!$52:$52,'1) Report'!#REF!,'1) Report'!$123:$123,'1) Report'!#REF!,'1) Report'!#REF!</definedName>
    <definedName name="Z_D16D941B_FC89_4FEC_A49B_5FA2532584DE_.wvu.Rows" localSheetId="6" hidden="1">'3) BC and Sanction'!$1:$1</definedName>
    <definedName name="Z_D16D941B_FC89_4FEC_A49B_5FA2532584DE_.wvu.Rows" localSheetId="4" hidden="1">'4) Baseline Changes'!$1:$1</definedName>
    <definedName name="Z_D16D941B_FC89_4FEC_A49B_5FA2532584DE_.wvu.Rows" localSheetId="12" hidden="1">'5a)NDA MPPR'!$63:$101</definedName>
    <definedName name="Z_D16D941B_FC89_4FEC_A49B_5FA2532584DE_.wvu.Rows" localSheetId="13" hidden="1">'6) RAG Table'!$73:$78</definedName>
    <definedName name="Z_D16D941B_FC89_4FEC_A49B_5FA2532584DE_.wvu.Rows" localSheetId="11" hidden="1">'P&amp;B Summary'!$1:$1</definedName>
    <definedName name="Z_D16D941B_FC89_4FEC_A49B_5FA2532584DE_.wvu.Rows" localSheetId="9" hidden="1">'Pd08 Extended MPPR WD9'!$7:$7,'Pd08 Extended MPPR WD9'!$11:$11,'Pd08 Extended MPPR WD9'!$15:$15,'Pd08 Extended MPPR WD9'!$19:$19,'Pd08 Extended MPPR WD9'!$23:$23,'Pd08 Extended MPPR WD9'!$27:$27,'Pd08 Extended MPPR WD9'!$31:$31,'Pd08 Extended MPPR WD9'!$35:$35</definedName>
    <definedName name="Z_D16D941B_FC89_4FEC_A49B_5FA2532584DE_.wvu.Rows" localSheetId="8" hidden="1">'Pd08 MPPR WD9'!$7:$7,'Pd08 MPPR WD9'!$11:$11,'Pd08 MPPR WD9'!$15:$15,'Pd08 MPPR WD9'!$19:$19,'Pd08 MPPR WD9'!$23:$23,'Pd08 MPPR WD9'!$27:$27,'Pd08 MPPR WD9'!$31:$31,'Pd08 MPPR WD9'!$35:$35,'Pd08 MPPR WD9'!$39:$39,'Pd08 MPPR WD9'!$43:$43,'Pd08 MPPR WD9'!$47:$47,'Pd08 MPPR WD9'!$50:$50,'Pd08 MPPR WD9'!$53:$53</definedName>
    <definedName name="Z_D27C51BB_BB54_4F37_8171_98067C39697C_.wvu.Cols" localSheetId="13" hidden="1">'6) RAG Table'!$AB:$BA</definedName>
    <definedName name="Z_D27C51BB_BB54_4F37_8171_98067C39697C_.wvu.FilterData" localSheetId="13" hidden="1">'6) RAG Table'!$BC$4:$BC$62</definedName>
    <definedName name="Z_D27C51BB_BB54_4F37_8171_98067C39697C_.wvu.PrintArea" localSheetId="1" hidden="1">'0) SL Project Structure OLD'!$A$1:$AL$68</definedName>
    <definedName name="Z_D27C51BB_BB54_4F37_8171_98067C39697C_.wvu.PrintArea" localSheetId="2" hidden="1">'1) Report'!$B$2:$AM$141</definedName>
    <definedName name="Z_D27C51BB_BB54_4F37_8171_98067C39697C_.wvu.PrintArea" localSheetId="11" hidden="1">'P&amp;B Summary'!$B$3:$J$18</definedName>
    <definedName name="Z_D27C51BB_BB54_4F37_8171_98067C39697C_.wvu.PrintTitles" localSheetId="2" hidden="1">'1) Report'!$3:$6</definedName>
    <definedName name="Z_D27C51BB_BB54_4F37_8171_98067C39697C_.wvu.Rows" localSheetId="2" hidden="1">'1) Report'!$1:$1,'1) Report'!$16:$16,'1) Report'!#REF!,'1) Report'!$52:$52,'1) Report'!#REF!,'1) Report'!$123:$123,'1) Report'!#REF!,'1) Report'!#REF!</definedName>
    <definedName name="Z_D27C51BB_BB54_4F37_8171_98067C39697C_.wvu.Rows" localSheetId="6" hidden="1">'3) BC and Sanction'!$1:$1</definedName>
    <definedName name="Z_D27C51BB_BB54_4F37_8171_98067C39697C_.wvu.Rows" localSheetId="4" hidden="1">'4) Baseline Changes'!$1:$1</definedName>
    <definedName name="Z_D27C51BB_BB54_4F37_8171_98067C39697C_.wvu.Rows" localSheetId="12" hidden="1">'5a)NDA MPPR'!$63:$101</definedName>
    <definedName name="Z_D27C51BB_BB54_4F37_8171_98067C39697C_.wvu.Rows" localSheetId="13" hidden="1">'6) RAG Table'!$73:$78</definedName>
    <definedName name="Z_D27C51BB_BB54_4F37_8171_98067C39697C_.wvu.Rows" localSheetId="11" hidden="1">'P&amp;B Summary'!$1:$1</definedName>
    <definedName name="Z_D27C51BB_BB54_4F37_8171_98067C39697C_.wvu.Rows" localSheetId="9" hidden="1">'Pd08 Extended MPPR WD9'!$7:$7,'Pd08 Extended MPPR WD9'!$11:$11,'Pd08 Extended MPPR WD9'!$15:$15,'Pd08 Extended MPPR WD9'!$19:$19,'Pd08 Extended MPPR WD9'!$23:$23,'Pd08 Extended MPPR WD9'!$27:$27,'Pd08 Extended MPPR WD9'!$31:$31,'Pd08 Extended MPPR WD9'!$35:$35</definedName>
    <definedName name="Z_D27C51BB_BB54_4F37_8171_98067C39697C_.wvu.Rows" localSheetId="8" hidden="1">'Pd08 MPPR WD9'!$7:$7,'Pd08 MPPR WD9'!$11:$11,'Pd08 MPPR WD9'!$15:$15,'Pd08 MPPR WD9'!$19:$19,'Pd08 MPPR WD9'!$23:$23,'Pd08 MPPR WD9'!$27:$27,'Pd08 MPPR WD9'!$31:$31,'Pd08 MPPR WD9'!$35:$35,'Pd08 MPPR WD9'!$39:$39,'Pd08 MPPR WD9'!$43:$43,'Pd08 MPPR WD9'!$47:$47,'Pd08 MPPR WD9'!$50:$50,'Pd08 MPPR WD9'!$53:$53</definedName>
    <definedName name="Z_D59DDBAA_620D_43B7_A6D9_759808D3397A_.wvu.Cols" localSheetId="2" hidden="1">'1) Report'!$AO:$AU</definedName>
    <definedName name="Z_D59DDBAA_620D_43B7_A6D9_759808D3397A_.wvu.Cols" localSheetId="13" hidden="1">'6) RAG Table'!$AB:$BE</definedName>
    <definedName name="Z_D59DDBAA_620D_43B7_A6D9_759808D3397A_.wvu.FilterData" localSheetId="13" hidden="1">'6) RAG Table'!$BC$4:$BC$62</definedName>
    <definedName name="Z_D59DDBAA_620D_43B7_A6D9_759808D3397A_.wvu.PrintArea" localSheetId="0" hidden="1">'0) SL Project Structure'!$A$1:$AL$82</definedName>
    <definedName name="Z_D59DDBAA_620D_43B7_A6D9_759808D3397A_.wvu.PrintArea" localSheetId="1" hidden="1">'0) SL Project Structure OLD'!$A$1:$AL$68</definedName>
    <definedName name="Z_D59DDBAA_620D_43B7_A6D9_759808D3397A_.wvu.PrintArea" localSheetId="2" hidden="1">'1) Report'!$B$2:$AM$140</definedName>
    <definedName name="Z_D59DDBAA_620D_43B7_A6D9_759808D3397A_.wvu.PrintArea" localSheetId="5" hidden="1">'2) Definitions'!$A$1:$U$51</definedName>
    <definedName name="Z_D59DDBAA_620D_43B7_A6D9_759808D3397A_.wvu.PrintArea" localSheetId="13" hidden="1">'6) RAG Table'!$B$1:$AA$98</definedName>
    <definedName name="Z_D59DDBAA_620D_43B7_A6D9_759808D3397A_.wvu.PrintArea" localSheetId="11" hidden="1">'P&amp;B Summary'!$B$3:$J$18</definedName>
    <definedName name="Z_D59DDBAA_620D_43B7_A6D9_759808D3397A_.wvu.PrintTitles" localSheetId="2" hidden="1">'1) Report'!$3:$6</definedName>
    <definedName name="Z_D59DDBAA_620D_43B7_A6D9_759808D3397A_.wvu.Rows" localSheetId="2" hidden="1">'1) Report'!$1:$1,'1) Report'!$10:$10,'1) Report'!$16:$16,'1) Report'!$45:$45,'1) Report'!$52:$52,'1) Report'!$91:$91,'1) Report'!$123:$123</definedName>
    <definedName name="Z_D59DDBAA_620D_43B7_A6D9_759808D3397A_.wvu.Rows" localSheetId="6" hidden="1">'3) BC and Sanction'!$1:$1</definedName>
    <definedName name="Z_D59DDBAA_620D_43B7_A6D9_759808D3397A_.wvu.Rows" localSheetId="4" hidden="1">'4) Baseline Changes'!$1:$1</definedName>
    <definedName name="Z_D59DDBAA_620D_43B7_A6D9_759808D3397A_.wvu.Rows" localSheetId="12" hidden="1">'5a)NDA MPPR'!$63:$101</definedName>
    <definedName name="Z_D59DDBAA_620D_43B7_A6D9_759808D3397A_.wvu.Rows" localSheetId="13" hidden="1">'6) RAG Table'!$73:$78</definedName>
    <definedName name="Z_D59DDBAA_620D_43B7_A6D9_759808D3397A_.wvu.Rows" localSheetId="11" hidden="1">'P&amp;B Summary'!$1:$1</definedName>
    <definedName name="Z_D59DDBAA_620D_43B7_A6D9_759808D3397A_.wvu.Rows" localSheetId="9" hidden="1">'Pd08 Extended MPPR WD9'!$7:$7,'Pd08 Extended MPPR WD9'!$11:$11,'Pd08 Extended MPPR WD9'!$15:$15,'Pd08 Extended MPPR WD9'!$19:$19,'Pd08 Extended MPPR WD9'!$23:$23,'Pd08 Extended MPPR WD9'!$27:$27,'Pd08 Extended MPPR WD9'!$31:$31,'Pd08 Extended MPPR WD9'!$35:$35</definedName>
    <definedName name="Z_D59DDBAA_620D_43B7_A6D9_759808D3397A_.wvu.Rows" localSheetId="8" hidden="1">'Pd08 MPPR WD9'!$7:$7,'Pd08 MPPR WD9'!$11:$11,'Pd08 MPPR WD9'!$15:$15,'Pd08 MPPR WD9'!$19:$19,'Pd08 MPPR WD9'!$23:$23,'Pd08 MPPR WD9'!$27:$27,'Pd08 MPPR WD9'!$31:$31,'Pd08 MPPR WD9'!$35:$35,'Pd08 MPPR WD9'!$39:$39,'Pd08 MPPR WD9'!$43:$43,'Pd08 MPPR WD9'!$47:$47,'Pd08 MPPR WD9'!$50:$50,'Pd08 MPPR WD9'!$53:$53</definedName>
    <definedName name="Z_D850720D_4A1C_48F2_8E1D_8E09B7414A1A_.wvu.Cols" localSheetId="2" hidden="1">'1) Report'!$AO:$AU</definedName>
    <definedName name="Z_D850720D_4A1C_48F2_8E1D_8E09B7414A1A_.wvu.Cols" localSheetId="13" hidden="1">'6) RAG Table'!$AB:$BE</definedName>
    <definedName name="Z_D850720D_4A1C_48F2_8E1D_8E09B7414A1A_.wvu.FilterData" localSheetId="13" hidden="1">'6) RAG Table'!$BC$4:$BC$62</definedName>
    <definedName name="Z_D850720D_4A1C_48F2_8E1D_8E09B7414A1A_.wvu.PrintArea" localSheetId="0" hidden="1">'0) SL Project Structure'!$A$1:$AL$82</definedName>
    <definedName name="Z_D850720D_4A1C_48F2_8E1D_8E09B7414A1A_.wvu.PrintArea" localSheetId="1" hidden="1">'0) SL Project Structure OLD'!$A$1:$AL$68</definedName>
    <definedName name="Z_D850720D_4A1C_48F2_8E1D_8E09B7414A1A_.wvu.PrintArea" localSheetId="2" hidden="1">'1) Report'!$B$2:$AM$140</definedName>
    <definedName name="Z_D850720D_4A1C_48F2_8E1D_8E09B7414A1A_.wvu.PrintArea" localSheetId="5" hidden="1">'2) Definitions'!$A$2:$T$50</definedName>
    <definedName name="Z_D850720D_4A1C_48F2_8E1D_8E09B7414A1A_.wvu.PrintArea" localSheetId="13" hidden="1">'6) RAG Table'!$A$1:$AA$101</definedName>
    <definedName name="Z_D850720D_4A1C_48F2_8E1D_8E09B7414A1A_.wvu.PrintArea" localSheetId="11" hidden="1">'P&amp;B Summary'!$B$3:$J$18</definedName>
    <definedName name="Z_D850720D_4A1C_48F2_8E1D_8E09B7414A1A_.wvu.PrintTitles" localSheetId="2" hidden="1">'1) Report'!$3:$6</definedName>
    <definedName name="Z_D850720D_4A1C_48F2_8E1D_8E09B7414A1A_.wvu.Rows" localSheetId="2" hidden="1">'1) Report'!$1:$1,'1) Report'!$10:$10,'1) Report'!$16:$16,'1) Report'!$45:$45,'1) Report'!$52:$52,'1) Report'!$91:$91,'1) Report'!$123:$123</definedName>
    <definedName name="Z_D850720D_4A1C_48F2_8E1D_8E09B7414A1A_.wvu.Rows" localSheetId="6" hidden="1">'3) BC and Sanction'!$1:$1</definedName>
    <definedName name="Z_D850720D_4A1C_48F2_8E1D_8E09B7414A1A_.wvu.Rows" localSheetId="4" hidden="1">'4) Baseline Changes'!$1:$1</definedName>
    <definedName name="Z_D850720D_4A1C_48F2_8E1D_8E09B7414A1A_.wvu.Rows" localSheetId="12" hidden="1">'5a)NDA MPPR'!$63:$101</definedName>
    <definedName name="Z_D850720D_4A1C_48F2_8E1D_8E09B7414A1A_.wvu.Rows" localSheetId="13" hidden="1">'6) RAG Table'!$73:$78</definedName>
    <definedName name="Z_D850720D_4A1C_48F2_8E1D_8E09B7414A1A_.wvu.Rows" localSheetId="11" hidden="1">'P&amp;B Summary'!$1:$1</definedName>
    <definedName name="Z_D850720D_4A1C_48F2_8E1D_8E09B7414A1A_.wvu.Rows" localSheetId="9" hidden="1">'Pd08 Extended MPPR WD9'!$7:$7,'Pd08 Extended MPPR WD9'!$11:$11,'Pd08 Extended MPPR WD9'!$15:$15,'Pd08 Extended MPPR WD9'!$19:$19,'Pd08 Extended MPPR WD9'!$23:$23,'Pd08 Extended MPPR WD9'!$27:$27,'Pd08 Extended MPPR WD9'!$31:$31,'Pd08 Extended MPPR WD9'!$35:$35</definedName>
    <definedName name="Z_D850720D_4A1C_48F2_8E1D_8E09B7414A1A_.wvu.Rows" localSheetId="8" hidden="1">'Pd08 MPPR WD9'!$7:$7,'Pd08 MPPR WD9'!$11:$11,'Pd08 MPPR WD9'!$15:$15,'Pd08 MPPR WD9'!$19:$19,'Pd08 MPPR WD9'!$23:$23,'Pd08 MPPR WD9'!$27:$27,'Pd08 MPPR WD9'!$31:$31,'Pd08 MPPR WD9'!$35:$35,'Pd08 MPPR WD9'!$39:$39,'Pd08 MPPR WD9'!$43:$43,'Pd08 MPPR WD9'!$47:$47,'Pd08 MPPR WD9'!$50:$50,'Pd08 MPPR WD9'!$53:$53</definedName>
    <definedName name="Z_DA3D1DA1_B104_47C7_B83C_11A340E825EA_.wvu.FilterData" localSheetId="13" hidden="1">'6) RAG Table'!$BC$4:$BC$62</definedName>
    <definedName name="Z_DF265C7B_1EEB_47EB_982A_6938E81F7AC2_.wvu.Cols" localSheetId="2" hidden="1">'1) Report'!$AO:$AU</definedName>
    <definedName name="Z_DF265C7B_1EEB_47EB_982A_6938E81F7AC2_.wvu.Cols" localSheetId="13" hidden="1">'6) RAG Table'!$AB:$BE</definedName>
    <definedName name="Z_DF265C7B_1EEB_47EB_982A_6938E81F7AC2_.wvu.FilterData" localSheetId="13" hidden="1">'6) RAG Table'!$BC$4:$BC$62</definedName>
    <definedName name="Z_DF265C7B_1EEB_47EB_982A_6938E81F7AC2_.wvu.PrintArea" localSheetId="0" hidden="1">'0) SL Project Structure'!$A$1:$AL$82</definedName>
    <definedName name="Z_DF265C7B_1EEB_47EB_982A_6938E81F7AC2_.wvu.PrintArea" localSheetId="1" hidden="1">'0) SL Project Structure OLD'!$A$1:$AL$68</definedName>
    <definedName name="Z_DF265C7B_1EEB_47EB_982A_6938E81F7AC2_.wvu.PrintArea" localSheetId="2" hidden="1">'1) Report'!$B$2:$AM$141</definedName>
    <definedName name="Z_DF265C7B_1EEB_47EB_982A_6938E81F7AC2_.wvu.PrintArea" localSheetId="11" hidden="1">'P&amp;B Summary'!$B$3:$J$18</definedName>
    <definedName name="Z_DF265C7B_1EEB_47EB_982A_6938E81F7AC2_.wvu.PrintTitles" localSheetId="2" hidden="1">'1) Report'!$3:$6</definedName>
    <definedName name="Z_DF265C7B_1EEB_47EB_982A_6938E81F7AC2_.wvu.Rows" localSheetId="2" hidden="1">'1) Report'!$1:$1,'1) Report'!$16:$16,'1) Report'!#REF!,'1) Report'!$52:$52,'1) Report'!$123:$123,'1) Report'!#REF!</definedName>
    <definedName name="Z_DF265C7B_1EEB_47EB_982A_6938E81F7AC2_.wvu.Rows" localSheetId="6" hidden="1">'3) BC and Sanction'!$1:$1</definedName>
    <definedName name="Z_DF265C7B_1EEB_47EB_982A_6938E81F7AC2_.wvu.Rows" localSheetId="4" hidden="1">'4) Baseline Changes'!$1:$1</definedName>
    <definedName name="Z_DF265C7B_1EEB_47EB_982A_6938E81F7AC2_.wvu.Rows" localSheetId="12" hidden="1">'5a)NDA MPPR'!$63:$101</definedName>
    <definedName name="Z_DF265C7B_1EEB_47EB_982A_6938E81F7AC2_.wvu.Rows" localSheetId="13" hidden="1">'6) RAG Table'!$73:$78</definedName>
    <definedName name="Z_DF265C7B_1EEB_47EB_982A_6938E81F7AC2_.wvu.Rows" localSheetId="11" hidden="1">'P&amp;B Summary'!$1:$1</definedName>
    <definedName name="Z_DF265C7B_1EEB_47EB_982A_6938E81F7AC2_.wvu.Rows" localSheetId="9" hidden="1">'Pd08 Extended MPPR WD9'!$7:$7,'Pd08 Extended MPPR WD9'!$11:$11,'Pd08 Extended MPPR WD9'!$15:$15,'Pd08 Extended MPPR WD9'!$19:$19,'Pd08 Extended MPPR WD9'!$23:$23,'Pd08 Extended MPPR WD9'!$27:$27,'Pd08 Extended MPPR WD9'!$31:$31,'Pd08 Extended MPPR WD9'!$35:$35</definedName>
    <definedName name="Z_DF265C7B_1EEB_47EB_982A_6938E81F7AC2_.wvu.Rows" localSheetId="8" hidden="1">'Pd08 MPPR WD9'!$7:$7,'Pd08 MPPR WD9'!$11:$11,'Pd08 MPPR WD9'!$15:$15,'Pd08 MPPR WD9'!$19:$19,'Pd08 MPPR WD9'!$23:$23,'Pd08 MPPR WD9'!$27:$27,'Pd08 MPPR WD9'!$31:$31,'Pd08 MPPR WD9'!$35:$35,'Pd08 MPPR WD9'!$39:$39,'Pd08 MPPR WD9'!$43:$43,'Pd08 MPPR WD9'!$47:$47,'Pd08 MPPR WD9'!$50:$50,'Pd08 MPPR WD9'!$53:$53</definedName>
    <definedName name="Z_E06B4FE8_6127_47B2_A6A5_4FAC9EEB4538_.wvu.Cols" localSheetId="13" hidden="1">'6) RAG Table'!$AB:$BE</definedName>
    <definedName name="Z_E06B4FE8_6127_47B2_A6A5_4FAC9EEB4538_.wvu.FilterData" localSheetId="13" hidden="1">'6) RAG Table'!$BC$4:$BC$62</definedName>
    <definedName name="Z_E06B4FE8_6127_47B2_A6A5_4FAC9EEB4538_.wvu.PrintArea" localSheetId="0" hidden="1">'0) SL Project Structure'!$A$1:$AL$82</definedName>
    <definedName name="Z_E06B4FE8_6127_47B2_A6A5_4FAC9EEB4538_.wvu.PrintArea" localSheetId="1" hidden="1">'0) SL Project Structure OLD'!$A$1:$AL$68</definedName>
    <definedName name="Z_E06B4FE8_6127_47B2_A6A5_4FAC9EEB4538_.wvu.PrintArea" localSheetId="2" hidden="1">'1) Report'!$B$2:$AM$141</definedName>
    <definedName name="Z_E06B4FE8_6127_47B2_A6A5_4FAC9EEB4538_.wvu.PrintArea" localSheetId="11" hidden="1">'P&amp;B Summary'!$B$3:$J$18</definedName>
    <definedName name="Z_E06B4FE8_6127_47B2_A6A5_4FAC9EEB4538_.wvu.PrintTitles" localSheetId="2" hidden="1">'1) Report'!$3:$6</definedName>
    <definedName name="Z_E06B4FE8_6127_47B2_A6A5_4FAC9EEB4538_.wvu.Rows" localSheetId="2" hidden="1">'1) Report'!$1:$1,'1) Report'!$16:$16,'1) Report'!#REF!,'1) Report'!$52:$52,'1) Report'!#REF!,'1) Report'!$123:$123,'1) Report'!#REF!,'1) Report'!#REF!</definedName>
    <definedName name="Z_E06B4FE8_6127_47B2_A6A5_4FAC9EEB4538_.wvu.Rows" localSheetId="6" hidden="1">'3) BC and Sanction'!$1:$1</definedName>
    <definedName name="Z_E06B4FE8_6127_47B2_A6A5_4FAC9EEB4538_.wvu.Rows" localSheetId="4" hidden="1">'4) Baseline Changes'!$1:$1</definedName>
    <definedName name="Z_E06B4FE8_6127_47B2_A6A5_4FAC9EEB4538_.wvu.Rows" localSheetId="12" hidden="1">'5a)NDA MPPR'!$63:$101</definedName>
    <definedName name="Z_E06B4FE8_6127_47B2_A6A5_4FAC9EEB4538_.wvu.Rows" localSheetId="13" hidden="1">'6) RAG Table'!$73:$78</definedName>
    <definedName name="Z_E06B4FE8_6127_47B2_A6A5_4FAC9EEB4538_.wvu.Rows" localSheetId="11" hidden="1">'P&amp;B Summary'!$1:$1</definedName>
    <definedName name="Z_E06B4FE8_6127_47B2_A6A5_4FAC9EEB4538_.wvu.Rows" localSheetId="9" hidden="1">'Pd08 Extended MPPR WD9'!$7:$7,'Pd08 Extended MPPR WD9'!$11:$11,'Pd08 Extended MPPR WD9'!$15:$15,'Pd08 Extended MPPR WD9'!$19:$19,'Pd08 Extended MPPR WD9'!$23:$23,'Pd08 Extended MPPR WD9'!$27:$27,'Pd08 Extended MPPR WD9'!$31:$31,'Pd08 Extended MPPR WD9'!$35:$35</definedName>
    <definedName name="Z_E06B4FE8_6127_47B2_A6A5_4FAC9EEB4538_.wvu.Rows" localSheetId="8" hidden="1">'Pd08 MPPR WD9'!$7:$7,'Pd08 MPPR WD9'!$11:$11,'Pd08 MPPR WD9'!$15:$15,'Pd08 MPPR WD9'!$19:$19,'Pd08 MPPR WD9'!$23:$23,'Pd08 MPPR WD9'!$27:$27,'Pd08 MPPR WD9'!$31:$31,'Pd08 MPPR WD9'!$35:$35,'Pd08 MPPR WD9'!$39:$39,'Pd08 MPPR WD9'!$43:$43,'Pd08 MPPR WD9'!$47:$47,'Pd08 MPPR WD9'!$50:$50,'Pd08 MPPR WD9'!$53:$53</definedName>
    <definedName name="Z_E3A3AE56_8881_4A6F_9299_803C489AD1B4_.wvu.Cols" localSheetId="2" hidden="1">'1) Report'!$AO:$AU</definedName>
    <definedName name="Z_E3A3AE56_8881_4A6F_9299_803C489AD1B4_.wvu.Cols" localSheetId="13" hidden="1">'6) RAG Table'!$AB:$BE</definedName>
    <definedName name="Z_E3A3AE56_8881_4A6F_9299_803C489AD1B4_.wvu.FilterData" localSheetId="13" hidden="1">'6) RAG Table'!$BC$4:$BC$62</definedName>
    <definedName name="Z_E3A3AE56_8881_4A6F_9299_803C489AD1B4_.wvu.PrintArea" localSheetId="0" hidden="1">'0) SL Project Structure'!$A$1:$AL$82</definedName>
    <definedName name="Z_E3A3AE56_8881_4A6F_9299_803C489AD1B4_.wvu.PrintArea" localSheetId="1" hidden="1">'0) SL Project Structure OLD'!$A$1:$AL$68</definedName>
    <definedName name="Z_E3A3AE56_8881_4A6F_9299_803C489AD1B4_.wvu.PrintArea" localSheetId="2" hidden="1">'1) Report'!$B$2:$AM$140</definedName>
    <definedName name="Z_E3A3AE56_8881_4A6F_9299_803C489AD1B4_.wvu.PrintArea" localSheetId="5" hidden="1">'2) Definitions'!$A$2:$T$50</definedName>
    <definedName name="Z_E3A3AE56_8881_4A6F_9299_803C489AD1B4_.wvu.PrintArea" localSheetId="13" hidden="1">'6) RAG Table'!$A$1:$AA$101</definedName>
    <definedName name="Z_E3A3AE56_8881_4A6F_9299_803C489AD1B4_.wvu.PrintArea" localSheetId="11" hidden="1">'P&amp;B Summary'!$B$3:$J$18</definedName>
    <definedName name="Z_E3A3AE56_8881_4A6F_9299_803C489AD1B4_.wvu.PrintTitles" localSheetId="2" hidden="1">'1) Report'!$3:$6</definedName>
    <definedName name="Z_E3A3AE56_8881_4A6F_9299_803C489AD1B4_.wvu.Rows" localSheetId="2" hidden="1">'1) Report'!$1:$1,'1) Report'!$10:$10,'1) Report'!$16:$16,'1) Report'!$45:$45,'1) Report'!$52:$52,'1) Report'!$91:$91,'1) Report'!$123:$123</definedName>
    <definedName name="Z_E3A3AE56_8881_4A6F_9299_803C489AD1B4_.wvu.Rows" localSheetId="6" hidden="1">'3) BC and Sanction'!$1:$1</definedName>
    <definedName name="Z_E3A3AE56_8881_4A6F_9299_803C489AD1B4_.wvu.Rows" localSheetId="4" hidden="1">'4) Baseline Changes'!$1:$1</definedName>
    <definedName name="Z_E3A3AE56_8881_4A6F_9299_803C489AD1B4_.wvu.Rows" localSheetId="12" hidden="1">'5a)NDA MPPR'!$63:$101</definedName>
    <definedName name="Z_E3A3AE56_8881_4A6F_9299_803C489AD1B4_.wvu.Rows" localSheetId="13" hidden="1">'6) RAG Table'!$73:$78</definedName>
    <definedName name="Z_E3A3AE56_8881_4A6F_9299_803C489AD1B4_.wvu.Rows" localSheetId="11" hidden="1">'P&amp;B Summary'!$1:$1</definedName>
    <definedName name="Z_E3A3AE56_8881_4A6F_9299_803C489AD1B4_.wvu.Rows" localSheetId="9" hidden="1">'Pd08 Extended MPPR WD9'!$7:$7,'Pd08 Extended MPPR WD9'!$11:$11,'Pd08 Extended MPPR WD9'!$15:$15,'Pd08 Extended MPPR WD9'!$19:$19,'Pd08 Extended MPPR WD9'!$23:$23,'Pd08 Extended MPPR WD9'!$27:$27,'Pd08 Extended MPPR WD9'!$31:$31,'Pd08 Extended MPPR WD9'!$35:$35</definedName>
    <definedName name="Z_E3A3AE56_8881_4A6F_9299_803C489AD1B4_.wvu.Rows" localSheetId="8" hidden="1">'Pd08 MPPR WD9'!$7:$7,'Pd08 MPPR WD9'!$11:$11,'Pd08 MPPR WD9'!$15:$15,'Pd08 MPPR WD9'!$19:$19,'Pd08 MPPR WD9'!$23:$23,'Pd08 MPPR WD9'!$27:$27,'Pd08 MPPR WD9'!$31:$31,'Pd08 MPPR WD9'!$35:$35,'Pd08 MPPR WD9'!$39:$39,'Pd08 MPPR WD9'!$43:$43,'Pd08 MPPR WD9'!$47:$47,'Pd08 MPPR WD9'!$50:$50,'Pd08 MPPR WD9'!$53:$53</definedName>
    <definedName name="Z_E4713981_DD11_40CE_BE52_873D93BDDE05_.wvu.Cols" localSheetId="2" hidden="1">'1) Report'!$AO:$AU</definedName>
    <definedName name="Z_E4713981_DD11_40CE_BE52_873D93BDDE05_.wvu.Cols" localSheetId="13" hidden="1">'6) RAG Table'!$AB:$BE</definedName>
    <definedName name="Z_E4713981_DD11_40CE_BE52_873D93BDDE05_.wvu.FilterData" localSheetId="13" hidden="1">'6) RAG Table'!$BC$4:$BC$62</definedName>
    <definedName name="Z_E4713981_DD11_40CE_BE52_873D93BDDE05_.wvu.PrintArea" localSheetId="0" hidden="1">'0) SL Project Structure'!$A$1:$AL$82</definedName>
    <definedName name="Z_E4713981_DD11_40CE_BE52_873D93BDDE05_.wvu.PrintArea" localSheetId="1" hidden="1">'0) SL Project Structure OLD'!$A$1:$AL$68</definedName>
    <definedName name="Z_E4713981_DD11_40CE_BE52_873D93BDDE05_.wvu.PrintArea" localSheetId="2" hidden="1">'1) Report'!$B$2:$AM$140</definedName>
    <definedName name="Z_E4713981_DD11_40CE_BE52_873D93BDDE05_.wvu.PrintArea" localSheetId="5" hidden="1">'2) Definitions'!$A$2:$T$50</definedName>
    <definedName name="Z_E4713981_DD11_40CE_BE52_873D93BDDE05_.wvu.PrintArea" localSheetId="13" hidden="1">'6) RAG Table'!$A$1:$AA$101</definedName>
    <definedName name="Z_E4713981_DD11_40CE_BE52_873D93BDDE05_.wvu.PrintArea" localSheetId="11" hidden="1">'P&amp;B Summary'!$B$3:$J$18</definedName>
    <definedName name="Z_E4713981_DD11_40CE_BE52_873D93BDDE05_.wvu.PrintTitles" localSheetId="2" hidden="1">'1) Report'!$3:$6</definedName>
    <definedName name="Z_E4713981_DD11_40CE_BE52_873D93BDDE05_.wvu.Rows" localSheetId="2" hidden="1">'1) Report'!$1:$1,'1) Report'!$10:$10,'1) Report'!$16:$16,'1) Report'!$45:$45,'1) Report'!$52:$52,'1) Report'!$91:$91,'1) Report'!$123:$123</definedName>
    <definedName name="Z_E4713981_DD11_40CE_BE52_873D93BDDE05_.wvu.Rows" localSheetId="6" hidden="1">'3) BC and Sanction'!$1:$1</definedName>
    <definedName name="Z_E4713981_DD11_40CE_BE52_873D93BDDE05_.wvu.Rows" localSheetId="4" hidden="1">'4) Baseline Changes'!$1:$1</definedName>
    <definedName name="Z_E4713981_DD11_40CE_BE52_873D93BDDE05_.wvu.Rows" localSheetId="12" hidden="1">'5a)NDA MPPR'!$63:$101</definedName>
    <definedName name="Z_E4713981_DD11_40CE_BE52_873D93BDDE05_.wvu.Rows" localSheetId="13" hidden="1">'6) RAG Table'!$73:$78</definedName>
    <definedName name="Z_E4713981_DD11_40CE_BE52_873D93BDDE05_.wvu.Rows" localSheetId="11" hidden="1">'P&amp;B Summary'!$1:$1</definedName>
    <definedName name="Z_E4713981_DD11_40CE_BE52_873D93BDDE05_.wvu.Rows" localSheetId="9" hidden="1">'Pd08 Extended MPPR WD9'!$7:$7,'Pd08 Extended MPPR WD9'!$11:$11,'Pd08 Extended MPPR WD9'!$15:$15,'Pd08 Extended MPPR WD9'!$19:$19,'Pd08 Extended MPPR WD9'!$23:$23,'Pd08 Extended MPPR WD9'!$27:$27,'Pd08 Extended MPPR WD9'!$31:$31,'Pd08 Extended MPPR WD9'!$35:$35</definedName>
    <definedName name="Z_E4713981_DD11_40CE_BE52_873D93BDDE05_.wvu.Rows" localSheetId="8" hidden="1">'Pd08 MPPR WD9'!$7:$7,'Pd08 MPPR WD9'!$11:$11,'Pd08 MPPR WD9'!$15:$15,'Pd08 MPPR WD9'!$19:$19,'Pd08 MPPR WD9'!$23:$23,'Pd08 MPPR WD9'!$27:$27,'Pd08 MPPR WD9'!$31:$31,'Pd08 MPPR WD9'!$35:$35,'Pd08 MPPR WD9'!$39:$39,'Pd08 MPPR WD9'!$43:$43,'Pd08 MPPR WD9'!$47:$47,'Pd08 MPPR WD9'!$50:$50,'Pd08 MPPR WD9'!$53:$53</definedName>
    <definedName name="Z_EB96DBE4_2D64_4388_853C_CB52A0CB79BA_.wvu.Cols" localSheetId="13" hidden="1">'6) RAG Table'!$AB:$BE</definedName>
    <definedName name="Z_EB96DBE4_2D64_4388_853C_CB52A0CB79BA_.wvu.FilterData" localSheetId="13" hidden="1">'6) RAG Table'!$BC$4:$BC$62</definedName>
    <definedName name="Z_EB96DBE4_2D64_4388_853C_CB52A0CB79BA_.wvu.PrintArea" localSheetId="0" hidden="1">'0) SL Project Structure'!$A$1:$AL$82</definedName>
    <definedName name="Z_EB96DBE4_2D64_4388_853C_CB52A0CB79BA_.wvu.PrintArea" localSheetId="1" hidden="1">'0) SL Project Structure OLD'!$A$1:$AL$68</definedName>
    <definedName name="Z_EB96DBE4_2D64_4388_853C_CB52A0CB79BA_.wvu.PrintArea" localSheetId="2" hidden="1">'1) Report'!$B$2:$AM$141</definedName>
    <definedName name="Z_EB96DBE4_2D64_4388_853C_CB52A0CB79BA_.wvu.PrintArea" localSheetId="11" hidden="1">'P&amp;B Summary'!$B$3:$J$18</definedName>
    <definedName name="Z_EB96DBE4_2D64_4388_853C_CB52A0CB79BA_.wvu.PrintTitles" localSheetId="2" hidden="1">'1) Report'!$3:$6</definedName>
    <definedName name="Z_EB96DBE4_2D64_4388_853C_CB52A0CB79BA_.wvu.Rows" localSheetId="2" hidden="1">'1) Report'!$1:$1,'1) Report'!$16:$16,'1) Report'!#REF!,'1) Report'!$52:$52,'1) Report'!#REF!,'1) Report'!$123:$123,'1) Report'!#REF!,'1) Report'!#REF!</definedName>
    <definedName name="Z_EB96DBE4_2D64_4388_853C_CB52A0CB79BA_.wvu.Rows" localSheetId="6" hidden="1">'3) BC and Sanction'!$1:$1</definedName>
    <definedName name="Z_EB96DBE4_2D64_4388_853C_CB52A0CB79BA_.wvu.Rows" localSheetId="4" hidden="1">'4) Baseline Changes'!$1:$1</definedName>
    <definedName name="Z_EB96DBE4_2D64_4388_853C_CB52A0CB79BA_.wvu.Rows" localSheetId="12" hidden="1">'5a)NDA MPPR'!$63:$101</definedName>
    <definedName name="Z_EB96DBE4_2D64_4388_853C_CB52A0CB79BA_.wvu.Rows" localSheetId="13" hidden="1">'6) RAG Table'!$73:$78</definedName>
    <definedName name="Z_EB96DBE4_2D64_4388_853C_CB52A0CB79BA_.wvu.Rows" localSheetId="11" hidden="1">'P&amp;B Summary'!$1:$1</definedName>
    <definedName name="Z_EB96DBE4_2D64_4388_853C_CB52A0CB79BA_.wvu.Rows" localSheetId="9" hidden="1">'Pd08 Extended MPPR WD9'!$7:$7,'Pd08 Extended MPPR WD9'!$11:$11,'Pd08 Extended MPPR WD9'!$15:$15,'Pd08 Extended MPPR WD9'!$19:$19,'Pd08 Extended MPPR WD9'!$23:$23,'Pd08 Extended MPPR WD9'!$27:$27,'Pd08 Extended MPPR WD9'!$31:$31,'Pd08 Extended MPPR WD9'!$35:$35</definedName>
    <definedName name="Z_EB96DBE4_2D64_4388_853C_CB52A0CB79BA_.wvu.Rows" localSheetId="8" hidden="1">'Pd08 MPPR WD9'!$7:$7,'Pd08 MPPR WD9'!$11:$11,'Pd08 MPPR WD9'!$15:$15,'Pd08 MPPR WD9'!$19:$19,'Pd08 MPPR WD9'!$23:$23,'Pd08 MPPR WD9'!$27:$27,'Pd08 MPPR WD9'!$31:$31,'Pd08 MPPR WD9'!$35:$35,'Pd08 MPPR WD9'!$39:$39,'Pd08 MPPR WD9'!$43:$43,'Pd08 MPPR WD9'!$47:$47,'Pd08 MPPR WD9'!$50:$50,'Pd08 MPPR WD9'!$53:$53</definedName>
    <definedName name="Z_EDD5A64E_02C0_4DD6_80BA_449123FCDAA2_.wvu.Cols" localSheetId="2" hidden="1">'1) Report'!$AO:$AU</definedName>
    <definedName name="Z_EDD5A64E_02C0_4DD6_80BA_449123FCDAA2_.wvu.Cols" localSheetId="13" hidden="1">'6) RAG Table'!$AB:$BE</definedName>
    <definedName name="Z_EDD5A64E_02C0_4DD6_80BA_449123FCDAA2_.wvu.FilterData" localSheetId="13" hidden="1">'6) RAG Table'!$BC$4:$BC$62</definedName>
    <definedName name="Z_EDD5A64E_02C0_4DD6_80BA_449123FCDAA2_.wvu.PrintArea" localSheetId="0" hidden="1">'0) SL Project Structure'!$A$1:$AL$82</definedName>
    <definedName name="Z_EDD5A64E_02C0_4DD6_80BA_449123FCDAA2_.wvu.PrintArea" localSheetId="1" hidden="1">'0) SL Project Structure OLD'!$A$1:$AL$68</definedName>
    <definedName name="Z_EDD5A64E_02C0_4DD6_80BA_449123FCDAA2_.wvu.PrintArea" localSheetId="2" hidden="1">'1) Report'!$B$2:$AM$140</definedName>
    <definedName name="Z_EDD5A64E_02C0_4DD6_80BA_449123FCDAA2_.wvu.PrintArea" localSheetId="5" hidden="1">'2) Definitions'!$A$2:$T$50</definedName>
    <definedName name="Z_EDD5A64E_02C0_4DD6_80BA_449123FCDAA2_.wvu.PrintArea" localSheetId="13" hidden="1">'6) RAG Table'!$A$1:$AA$101</definedName>
    <definedName name="Z_EDD5A64E_02C0_4DD6_80BA_449123FCDAA2_.wvu.PrintArea" localSheetId="11" hidden="1">'P&amp;B Summary'!$B$3:$J$18</definedName>
    <definedName name="Z_EDD5A64E_02C0_4DD6_80BA_449123FCDAA2_.wvu.PrintTitles" localSheetId="2" hidden="1">'1) Report'!$3:$6</definedName>
    <definedName name="Z_EDD5A64E_02C0_4DD6_80BA_449123FCDAA2_.wvu.Rows" localSheetId="2" hidden="1">'1) Report'!$1:$1,'1) Report'!$10:$10,'1) Report'!$16:$16,'1) Report'!$45:$45,'1) Report'!$52:$52,'1) Report'!$91:$91,'1) Report'!$123:$123</definedName>
    <definedName name="Z_EDD5A64E_02C0_4DD6_80BA_449123FCDAA2_.wvu.Rows" localSheetId="6" hidden="1">'3) BC and Sanction'!$1:$1</definedName>
    <definedName name="Z_EDD5A64E_02C0_4DD6_80BA_449123FCDAA2_.wvu.Rows" localSheetId="4" hidden="1">'4) Baseline Changes'!$1:$1</definedName>
    <definedName name="Z_EDD5A64E_02C0_4DD6_80BA_449123FCDAA2_.wvu.Rows" localSheetId="12" hidden="1">'5a)NDA MPPR'!$63:$101</definedName>
    <definedName name="Z_EDD5A64E_02C0_4DD6_80BA_449123FCDAA2_.wvu.Rows" localSheetId="13" hidden="1">'6) RAG Table'!$73:$78</definedName>
    <definedName name="Z_EDD5A64E_02C0_4DD6_80BA_449123FCDAA2_.wvu.Rows" localSheetId="11" hidden="1">'P&amp;B Summary'!$1:$1</definedName>
    <definedName name="Z_EDD5A64E_02C0_4DD6_80BA_449123FCDAA2_.wvu.Rows" localSheetId="9" hidden="1">'Pd08 Extended MPPR WD9'!$7:$7,'Pd08 Extended MPPR WD9'!$11:$11,'Pd08 Extended MPPR WD9'!$15:$15,'Pd08 Extended MPPR WD9'!$19:$19,'Pd08 Extended MPPR WD9'!$23:$23,'Pd08 Extended MPPR WD9'!$27:$27,'Pd08 Extended MPPR WD9'!$31:$31,'Pd08 Extended MPPR WD9'!$35:$35</definedName>
    <definedName name="Z_EDD5A64E_02C0_4DD6_80BA_449123FCDAA2_.wvu.Rows" localSheetId="8" hidden="1">'Pd08 MPPR WD9'!$7:$7,'Pd08 MPPR WD9'!$11:$11,'Pd08 MPPR WD9'!$15:$15,'Pd08 MPPR WD9'!$19:$19,'Pd08 MPPR WD9'!$23:$23,'Pd08 MPPR WD9'!$27:$27,'Pd08 MPPR WD9'!$31:$31,'Pd08 MPPR WD9'!$35:$35,'Pd08 MPPR WD9'!$39:$39,'Pd08 MPPR WD9'!$43:$43,'Pd08 MPPR WD9'!$47:$47,'Pd08 MPPR WD9'!$50:$50,'Pd08 MPPR WD9'!$53:$53</definedName>
    <definedName name="Z_F4A6298C_1A75_4FA9_A6A4_2BE13CCFE545_.wvu.Cols" localSheetId="2" hidden="1">'1) Report'!$AO:$AU</definedName>
    <definedName name="Z_F4A6298C_1A75_4FA9_A6A4_2BE13CCFE545_.wvu.Cols" localSheetId="13" hidden="1">'6) RAG Table'!$AB:$BE</definedName>
    <definedName name="Z_F4A6298C_1A75_4FA9_A6A4_2BE13CCFE545_.wvu.FilterData" localSheetId="13" hidden="1">'6) RAG Table'!$BC$4:$BC$62</definedName>
    <definedName name="Z_F4A6298C_1A75_4FA9_A6A4_2BE13CCFE545_.wvu.PrintArea" localSheetId="0" hidden="1">'0) SL Project Structure'!$A$1:$AL$82</definedName>
    <definedName name="Z_F4A6298C_1A75_4FA9_A6A4_2BE13CCFE545_.wvu.PrintArea" localSheetId="1" hidden="1">'0) SL Project Structure OLD'!$A$1:$AL$68</definedName>
    <definedName name="Z_F4A6298C_1A75_4FA9_A6A4_2BE13CCFE545_.wvu.PrintArea" localSheetId="2" hidden="1">'1) Report'!$B$2:$AM$140</definedName>
    <definedName name="Z_F4A6298C_1A75_4FA9_A6A4_2BE13CCFE545_.wvu.PrintArea" localSheetId="13" hidden="1">'6) RAG Table'!$B$1:$AA$105</definedName>
    <definedName name="Z_F4A6298C_1A75_4FA9_A6A4_2BE13CCFE545_.wvu.PrintArea" localSheetId="11" hidden="1">'P&amp;B Summary'!$B$3:$J$18</definedName>
    <definedName name="Z_F4A6298C_1A75_4FA9_A6A4_2BE13CCFE545_.wvu.PrintTitles" localSheetId="2" hidden="1">'1) Report'!$3:$6</definedName>
    <definedName name="Z_F4A6298C_1A75_4FA9_A6A4_2BE13CCFE545_.wvu.Rows" localSheetId="2" hidden="1">'1) Report'!$1:$1,'1) Report'!$91:$91,'1) Report'!$123:$123</definedName>
    <definedName name="Z_F4A6298C_1A75_4FA9_A6A4_2BE13CCFE545_.wvu.Rows" localSheetId="6" hidden="1">'3) BC and Sanction'!$1:$1</definedName>
    <definedName name="Z_F4A6298C_1A75_4FA9_A6A4_2BE13CCFE545_.wvu.Rows" localSheetId="4" hidden="1">'4) Baseline Changes'!$1:$1</definedName>
    <definedName name="Z_F4A6298C_1A75_4FA9_A6A4_2BE13CCFE545_.wvu.Rows" localSheetId="12" hidden="1">'5a)NDA MPPR'!$63:$101</definedName>
    <definedName name="Z_F4A6298C_1A75_4FA9_A6A4_2BE13CCFE545_.wvu.Rows" localSheetId="13" hidden="1">'6) RAG Table'!$73:$78</definedName>
    <definedName name="Z_F4A6298C_1A75_4FA9_A6A4_2BE13CCFE545_.wvu.Rows" localSheetId="11" hidden="1">'P&amp;B Summary'!$1:$1</definedName>
    <definedName name="Z_F4A6298C_1A75_4FA9_A6A4_2BE13CCFE545_.wvu.Rows" localSheetId="9" hidden="1">'Pd08 Extended MPPR WD9'!$7:$7,'Pd08 Extended MPPR WD9'!$11:$11,'Pd08 Extended MPPR WD9'!$15:$15,'Pd08 Extended MPPR WD9'!$19:$19,'Pd08 Extended MPPR WD9'!$23:$23,'Pd08 Extended MPPR WD9'!$27:$27,'Pd08 Extended MPPR WD9'!$31:$31,'Pd08 Extended MPPR WD9'!$35:$35</definedName>
    <definedName name="Z_F4A6298C_1A75_4FA9_A6A4_2BE13CCFE545_.wvu.Rows" localSheetId="8" hidden="1">'Pd08 MPPR WD9'!$7:$7,'Pd08 MPPR WD9'!$11:$11,'Pd08 MPPR WD9'!$15:$15,'Pd08 MPPR WD9'!$19:$19,'Pd08 MPPR WD9'!$23:$23,'Pd08 MPPR WD9'!$27:$27,'Pd08 MPPR WD9'!$31:$31,'Pd08 MPPR WD9'!$35:$35,'Pd08 MPPR WD9'!$39:$39,'Pd08 MPPR WD9'!$43:$43,'Pd08 MPPR WD9'!$47:$47,'Pd08 MPPR WD9'!$50:$50,'Pd08 MPPR WD9'!$53:$53</definedName>
    <definedName name="Z_F5FA2A23_9E46_4C2F_B1EE_B71787F95C57_.wvu.Cols" localSheetId="2" hidden="1">'1) Report'!$AO:$AU</definedName>
    <definedName name="Z_F5FA2A23_9E46_4C2F_B1EE_B71787F95C57_.wvu.Cols" localSheetId="13" hidden="1">'6) RAG Table'!$AB:$BE</definedName>
    <definedName name="Z_F5FA2A23_9E46_4C2F_B1EE_B71787F95C57_.wvu.FilterData" localSheetId="13" hidden="1">'6) RAG Table'!$BC$4:$BC$62</definedName>
    <definedName name="Z_F5FA2A23_9E46_4C2F_B1EE_B71787F95C57_.wvu.PrintArea" localSheetId="0" hidden="1">'0) SL Project Structure'!$A$1:$AL$82</definedName>
    <definedName name="Z_F5FA2A23_9E46_4C2F_B1EE_B71787F95C57_.wvu.PrintArea" localSheetId="1" hidden="1">'0) SL Project Structure OLD'!$A$1:$AL$68</definedName>
    <definedName name="Z_F5FA2A23_9E46_4C2F_B1EE_B71787F95C57_.wvu.PrintArea" localSheetId="2" hidden="1">'1) Report'!$B$2:$AM$140</definedName>
    <definedName name="Z_F5FA2A23_9E46_4C2F_B1EE_B71787F95C57_.wvu.PrintArea" localSheetId="5" hidden="1">'2) Definitions'!$A$2:$T$50</definedName>
    <definedName name="Z_F5FA2A23_9E46_4C2F_B1EE_B71787F95C57_.wvu.PrintArea" localSheetId="13" hidden="1">'6) RAG Table'!$B$1:$AA$98</definedName>
    <definedName name="Z_F5FA2A23_9E46_4C2F_B1EE_B71787F95C57_.wvu.PrintArea" localSheetId="11" hidden="1">'P&amp;B Summary'!$B$3:$J$18</definedName>
    <definedName name="Z_F5FA2A23_9E46_4C2F_B1EE_B71787F95C57_.wvu.PrintTitles" localSheetId="2" hidden="1">'1) Report'!$3:$6</definedName>
    <definedName name="Z_F5FA2A23_9E46_4C2F_B1EE_B71787F95C57_.wvu.Rows" localSheetId="2" hidden="1">'1) Report'!$1:$1,'1) Report'!$10:$10,'1) Report'!$16:$16,'1) Report'!$45:$45,'1) Report'!$52:$52,'1) Report'!$91:$91,'1) Report'!$123:$123</definedName>
    <definedName name="Z_F5FA2A23_9E46_4C2F_B1EE_B71787F95C57_.wvu.Rows" localSheetId="6" hidden="1">'3) BC and Sanction'!$1:$1</definedName>
    <definedName name="Z_F5FA2A23_9E46_4C2F_B1EE_B71787F95C57_.wvu.Rows" localSheetId="4" hidden="1">'4) Baseline Changes'!$1:$1</definedName>
    <definedName name="Z_F5FA2A23_9E46_4C2F_B1EE_B71787F95C57_.wvu.Rows" localSheetId="12" hidden="1">'5a)NDA MPPR'!$63:$101</definedName>
    <definedName name="Z_F5FA2A23_9E46_4C2F_B1EE_B71787F95C57_.wvu.Rows" localSheetId="13" hidden="1">'6) RAG Table'!$73:$78</definedName>
    <definedName name="Z_F5FA2A23_9E46_4C2F_B1EE_B71787F95C57_.wvu.Rows" localSheetId="11" hidden="1">'P&amp;B Summary'!$1:$1</definedName>
    <definedName name="Z_F5FA2A23_9E46_4C2F_B1EE_B71787F95C57_.wvu.Rows" localSheetId="9" hidden="1">'Pd08 Extended MPPR WD9'!$7:$7,'Pd08 Extended MPPR WD9'!$11:$11,'Pd08 Extended MPPR WD9'!$15:$15,'Pd08 Extended MPPR WD9'!$19:$19,'Pd08 Extended MPPR WD9'!$23:$23,'Pd08 Extended MPPR WD9'!$27:$27,'Pd08 Extended MPPR WD9'!$31:$31,'Pd08 Extended MPPR WD9'!$35:$35</definedName>
    <definedName name="Z_F5FA2A23_9E46_4C2F_B1EE_B71787F95C57_.wvu.Rows" localSheetId="8" hidden="1">'Pd08 MPPR WD9'!$7:$7,'Pd08 MPPR WD9'!$11:$11,'Pd08 MPPR WD9'!$15:$15,'Pd08 MPPR WD9'!$19:$19,'Pd08 MPPR WD9'!$23:$23,'Pd08 MPPR WD9'!$27:$27,'Pd08 MPPR WD9'!$31:$31,'Pd08 MPPR WD9'!$35:$35,'Pd08 MPPR WD9'!$39:$39,'Pd08 MPPR WD9'!$43:$43,'Pd08 MPPR WD9'!$47:$47,'Pd08 MPPR WD9'!$50:$50,'Pd08 MPPR WD9'!$53:$53</definedName>
    <definedName name="Z_FBC63E8F_69FE_4648_B709_FA1212EFFB29_.wvu.Cols" localSheetId="2" hidden="1">'1) Report'!$AO:$AU</definedName>
    <definedName name="Z_FBC63E8F_69FE_4648_B709_FA1212EFFB29_.wvu.Cols" localSheetId="13" hidden="1">'6) RAG Table'!$AB:$BE</definedName>
    <definedName name="Z_FBC63E8F_69FE_4648_B709_FA1212EFFB29_.wvu.FilterData" localSheetId="13" hidden="1">'6) RAG Table'!$BC$4:$BC$62</definedName>
    <definedName name="Z_FBC63E8F_69FE_4648_B709_FA1212EFFB29_.wvu.PrintArea" localSheetId="0" hidden="1">'0) SL Project Structure'!$A$1:$AU$78</definedName>
    <definedName name="Z_FBC63E8F_69FE_4648_B709_FA1212EFFB29_.wvu.PrintArea" localSheetId="1" hidden="1">'0) SL Project Structure OLD'!$A$1:$AL$68</definedName>
    <definedName name="Z_FBC63E8F_69FE_4648_B709_FA1212EFFB29_.wvu.PrintArea" localSheetId="2" hidden="1">'1) Report'!$B$2:$AM$140</definedName>
    <definedName name="Z_FBC63E8F_69FE_4648_B709_FA1212EFFB29_.wvu.PrintArea" localSheetId="5" hidden="1">'2) Definitions'!$A$2:$T$50</definedName>
    <definedName name="Z_FBC63E8F_69FE_4648_B709_FA1212EFFB29_.wvu.PrintArea" localSheetId="13" hidden="1">'6) RAG Table'!$A$1:$AA$101</definedName>
    <definedName name="Z_FBC63E8F_69FE_4648_B709_FA1212EFFB29_.wvu.PrintArea" localSheetId="11" hidden="1">'P&amp;B Summary'!$B$3:$J$18</definedName>
    <definedName name="Z_FBC63E8F_69FE_4648_B709_FA1212EFFB29_.wvu.PrintTitles" localSheetId="2" hidden="1">'1) Report'!$3:$6</definedName>
    <definedName name="Z_FBC63E8F_69FE_4648_B709_FA1212EFFB29_.wvu.Rows" localSheetId="2" hidden="1">'1) Report'!$1:$1,'1) Report'!$10:$10,'1) Report'!$16:$16,'1) Report'!$45:$45,'1) Report'!$52:$52,'1) Report'!$91:$91,'1) Report'!$123:$123</definedName>
    <definedName name="Z_FBC63E8F_69FE_4648_B709_FA1212EFFB29_.wvu.Rows" localSheetId="6" hidden="1">'3) BC and Sanction'!$1:$1</definedName>
    <definedName name="Z_FBC63E8F_69FE_4648_B709_FA1212EFFB29_.wvu.Rows" localSheetId="4" hidden="1">'4) Baseline Changes'!$1:$1</definedName>
    <definedName name="Z_FBC63E8F_69FE_4648_B709_FA1212EFFB29_.wvu.Rows" localSheetId="12" hidden="1">'5a)NDA MPPR'!$63:$101</definedName>
    <definedName name="Z_FBC63E8F_69FE_4648_B709_FA1212EFFB29_.wvu.Rows" localSheetId="13" hidden="1">'6) RAG Table'!$73:$78</definedName>
    <definedName name="Z_FBC63E8F_69FE_4648_B709_FA1212EFFB29_.wvu.Rows" localSheetId="11" hidden="1">'P&amp;B Summary'!$1:$1</definedName>
    <definedName name="Z_FBC63E8F_69FE_4648_B709_FA1212EFFB29_.wvu.Rows" localSheetId="9" hidden="1">'Pd08 Extended MPPR WD9'!$7:$7,'Pd08 Extended MPPR WD9'!$11:$11,'Pd08 Extended MPPR WD9'!$15:$15,'Pd08 Extended MPPR WD9'!$19:$19,'Pd08 Extended MPPR WD9'!$23:$23,'Pd08 Extended MPPR WD9'!$27:$27,'Pd08 Extended MPPR WD9'!$31:$31,'Pd08 Extended MPPR WD9'!$35:$35</definedName>
    <definedName name="Z_FBC63E8F_69FE_4648_B709_FA1212EFFB29_.wvu.Rows" localSheetId="8" hidden="1">'Pd08 MPPR WD9'!$7:$7,'Pd08 MPPR WD9'!$11:$11,'Pd08 MPPR WD9'!$15:$15,'Pd08 MPPR WD9'!$19:$19,'Pd08 MPPR WD9'!$23:$23,'Pd08 MPPR WD9'!$27:$27,'Pd08 MPPR WD9'!$31:$31,'Pd08 MPPR WD9'!$35:$35,'Pd08 MPPR WD9'!$39:$39,'Pd08 MPPR WD9'!$43:$43,'Pd08 MPPR WD9'!$47:$47,'Pd08 MPPR WD9'!$50:$50,'Pd08 MPPR WD9'!$53:$53</definedName>
  </definedNames>
  <calcPr calcId="191029"/>
  <customWorkbookViews>
    <customWorkbookView name="Ericsen, Danielle (SL) - Personal View" guid="{800416AC-1374-44AC-811C-612C85EF24E6}" mergeInterval="0" personalView="1" maximized="1" xWindow="1912" yWindow="-8" windowWidth="1936" windowHeight="1048" tabRatio="806" activeSheetId="14"/>
    <customWorkbookView name="Nash, Alice (SL) - Personal View" guid="{FBC63E8F-69FE-4648-B709-FA1212EFFB29}" mergeInterval="0" personalView="1" maximized="1" xWindow="1912" yWindow="-428" windowWidth="1936" windowHeight="1048" tabRatio="806" activeSheetId="3" showComments="commIndAndComment"/>
    <customWorkbookView name="Quanbrough, Julie (SL) - Personal View" guid="{C7C13768-4A8D-4CBA-978C-F4A7B5550C00}" mergeInterval="0" personalView="1" maximized="1" xWindow="-11" yWindow="-11" windowWidth="1942" windowHeight="1030" tabRatio="610" activeSheetId="3"/>
    <customWorkbookView name="Burns, Veronica A (SL) - Personal View" guid="{466708C2-41CE-4656-AB81-E1E49DF5945D}" mergeInterval="0" personalView="1" maximized="1" xWindow="-11" yWindow="-11" windowWidth="1942" windowHeight="1030" tabRatio="610" activeSheetId="3"/>
    <customWorkbookView name="Eaves, Debs (SL) - Personal View" guid="{E3A3AE56-8881-4A6F-9299-803C489AD1B4}" mergeInterval="0" personalView="1" maximized="1" xWindow="1912" yWindow="-8" windowWidth="1936" windowHeight="1048" tabRatio="610" activeSheetId="3"/>
    <customWorkbookView name="Jackson, Simon X (SL) - Personal View" guid="{83044EFE-7F92-4F81-B034-85D9567158C2}" mergeInterval="0" personalView="1" maximized="1" xWindow="-3373" yWindow="-847" windowWidth="3386" windowHeight="2030" tabRatio="610" activeSheetId="3"/>
    <customWorkbookView name="Stead, Dave (SL) - Personal View" guid="{E4713981-DD11-40CE-BE52-873D93BDDE05}" mergeInterval="0" personalView="1" maximized="1" xWindow="-8" yWindow="-8" windowWidth="1936" windowHeight="1048" tabRatio="610" activeSheetId="3"/>
    <customWorkbookView name="Smith, Alison (SL) - Personal View" guid="{442F9A23-CA6E-4109-B10C-ACF5FD36B859}" mergeInterval="0" personalView="1" maximized="1" xWindow="-8" yWindow="-8" windowWidth="1936" windowHeight="1048" tabRatio="610" activeSheetId="3"/>
    <customWorkbookView name="Pickering, Eva (SL) - Personal View" guid="{B434A8A8-5A4C-48C0-82E7-2458B9D2EEEF}" mergeInterval="0" personalView="1" maximized="1" xWindow="-11" yWindow="-11" windowWidth="1942" windowHeight="1030" tabRatio="610" activeSheetId="3"/>
    <customWorkbookView name="Mossop, Ellie L (SL) - Personal View" guid="{3827E543-57D2-48C8-B786-7077EA079DD2}" mergeInterval="0" personalView="1" maximized="1" xWindow="1912" yWindow="-8" windowWidth="1936" windowHeight="1048" tabRatio="610" activeSheetId="3"/>
    <customWorkbookView name="Goodfellow, Louise (SL) - Personal View" guid="{2EA8DBF7-9763-457C-AA9F-1EEB2F136D1F}" mergeInterval="0" personalView="1" maximized="1" xWindow="-11" yWindow="-11" windowWidth="1942" windowHeight="1030" tabRatio="610" activeSheetId="3"/>
    <customWorkbookView name="Horsley, David Z (SL) - Personal View" guid="{70582C04-BB53-4A99-A3C1-673011D9AE1C}" mergeInterval="0" personalView="1" maximized="1" xWindow="-11" yWindow="-11" windowWidth="1942" windowHeight="1030" tabRatio="610" activeSheetId="3"/>
    <customWorkbookView name="Eyles, Rico D (SL) - Personal View" guid="{37F5A0AB-EB39-4832-9D67-F67D908BF486}" mergeInterval="0" personalView="1" maximized="1" xWindow="-7" yWindow="-1088" windowWidth="1936" windowHeight="1048" tabRatio="806" activeSheetId="3"/>
    <customWorkbookView name="Kegg, Aiden (SL) - Personal View" guid="{78AA4A71-CE17-4C4D-849E-E3E1A44EA907}" mergeInterval="0" personalView="1" maximized="1" xWindow="1912" yWindow="-315" windowWidth="1936" windowHeight="1048" tabRatio="610" activeSheetId="3"/>
    <customWorkbookView name="Williams, Mark XX (SL) - Personal View" guid="{51DFD3D6-BC25-47B4-B28F-D640534DB3A9}" mergeInterval="0" personalView="1" maximized="1" xWindow="2552" yWindow="-8" windowWidth="1936" windowHeight="1048" tabRatio="806" activeSheetId="3"/>
    <customWorkbookView name="Wilson, Sarah (SL) - Personal View" guid="{CA7E8063-5145-49E1-8E00-2E1025705A81}" mergeInterval="0" personalView="1" maximized="1" xWindow="-8" yWindow="-8" windowWidth="1936" windowHeight="1048" tabRatio="610" activeSheetId="3"/>
    <customWorkbookView name="Dearman-Hill, Olivia A (SL) - Personal View" guid="{75EE3B92-AF4D-4E93-A70E-6ADE60CC674F}" mergeInterval="0" personalView="1" maximized="1" xWindow="-8" yWindow="-8" windowWidth="1936" windowHeight="1024" tabRatio="698" activeSheetId="3"/>
    <customWorkbookView name="Kitchingman, Mark D (SL) - Personal View" guid="{29AC9BE3-332A-4738-949C-1F8C0D32BAEE}" mergeInterval="0" personalView="1" maximized="1" xWindow="-1928" yWindow="-8" windowWidth="1936" windowHeight="1048" tabRatio="806" activeSheetId="3"/>
    <customWorkbookView name="Brenan, Lauren E (SL) - Personal View" guid="{42B0E8B1-ADFA-49AE-A83B-82D384737703}" mergeInterval="0" personalView="1" maximized="1" xWindow="-1928" yWindow="-8" windowWidth="1936" windowHeight="1048" tabRatio="610" activeSheetId="3"/>
    <customWorkbookView name="Potter, Daniel (SL) - Personal View" guid="{D59DDBAA-620D-43B7-A6D9-759808D3397A}" mergeInterval="0" personalView="1" maximized="1" xWindow="-8" yWindow="-8" windowWidth="1936" windowHeight="1048" tabRatio="806" activeSheetId="3" showComments="commIndAndComment"/>
    <customWorkbookView name="Illidge, Caroline (SL) - Personal View" guid="{F4A6298C-1A75-4FA9-A6A4-2BE13CCFE545}" mergeInterval="0" personalView="1" maximized="1" xWindow="-8" yWindow="-8" windowWidth="2576" windowHeight="1408" tabRatio="610" activeSheetId="3"/>
    <customWorkbookView name="Maher, Jennifer (SL) - Personal View" guid="{9F91FBC4-6A13-42C2-A2D9-42A2AC814E28}" mergeInterval="0" personalView="1" maximized="1" xWindow="-9" yWindow="-9" windowWidth="1938" windowHeight="1038" tabRatio="806" activeSheetId="3"/>
    <customWorkbookView name="Watson, Louise (SL) - Personal View" guid="{DF265C7B-1EEB-47EB-982A-6938E81F7AC2}" mergeInterval="0" personalView="1" maximized="1" xWindow="-11" yWindow="-11" windowWidth="1942" windowHeight="1030" tabRatio="610" activeSheetId="3"/>
    <customWorkbookView name="Roberts, Louise (SL) - Personal View" guid="{8263C9D2-452D-46FA-AFA0-452B42DC0298}" mergeInterval="0" personalView="1" maximized="1" xWindow="-8" yWindow="-8" windowWidth="1936" windowHeight="1048" tabRatio="806" activeSheetId="3"/>
    <customWorkbookView name="Charlson, Helen (SL) - Personal View" guid="{151EB58C-4EFD-4330-8D1A-8AACF5F7C679}" mergeInterval="0" personalView="1" maximized="1" xWindow="1909" yWindow="-11" windowWidth="1942" windowHeight="1030" tabRatio="610" activeSheetId="3"/>
    <customWorkbookView name="Hoodless, David R (SL) - Personal View" guid="{8CB67476-3FD4-42E0-ACD6-62ACA9412843}" mergeInterval="0" personalView="1" maximized="1" xWindow="-11" yWindow="-11" windowWidth="1942" windowHeight="1030" tabRatio="610" activeSheetId="3" showComments="commIndAndComment"/>
    <customWorkbookView name="Parr, Simon (SL) - Personal View" guid="{51B3083F-A103-41AB-A137-63549C54B838}" mergeInterval="0" personalView="1" maximized="1" xWindow="1912" yWindow="-8" windowWidth="1696" windowHeight="1018" tabRatio="806" activeSheetId="3"/>
    <customWorkbookView name="Harlow, Matt (SL) - Personal View" guid="{E06B4FE8-6127-47B2-A6A5-4FAC9EEB4538}" mergeInterval="0" personalView="1" xWindow="2012" yWindow="95" windowWidth="1725" windowHeight="1065" tabRatio="806" activeSheetId="3"/>
    <customWorkbookView name="Wright, Benjamin J (SL) - Personal View" guid="{593284E7-E32C-4D6C-8C2F-3DEEF9DEE1DF}" mergeInterval="0" personalView="1" maximized="1" xWindow="2" yWindow="-1088" windowWidth="1936" windowHeight="1048" tabRatio="806" activeSheetId="3"/>
    <customWorkbookView name="Tierney, Harry T (SL) - Personal View" guid="{351EFD38-BF62-4E34-A37F-0EEB3E165043}" mergeInterval="0" personalView="1" maximized="1" xWindow="-11" yWindow="-11" windowWidth="1942" windowHeight="1030" tabRatio="610" activeSheetId="3"/>
    <customWorkbookView name="McClure, Simon C (SL) - Personal View" guid="{EB96DBE4-2D64-4388-853C-CB52A0CB79BA}" mergeInterval="0" personalView="1" maximized="1" xWindow="-11" yWindow="-11" windowWidth="1942" windowHeight="1030" tabRatio="610" activeSheetId="3"/>
    <customWorkbookView name="Mahaffy, Yvonne E (SL) - Personal View" guid="{016CEBB2-C827-48F4-95E1-85D8C5129F41}" mergeInterval="0" personalView="1" maximized="1" xWindow="-11" yWindow="-11" windowWidth="1942" windowHeight="1030" tabRatio="587" activeSheetId="3"/>
    <customWorkbookView name="Holliday, Maegan (SL) - Personal View" guid="{6702457D-A9A8-4F46-8E1C-BC7255F4BA77}" mergeInterval="0" personalView="1" maximized="1" xWindow="-8" yWindow="-8" windowWidth="2576" windowHeight="1416" tabRatio="610" activeSheetId="3"/>
    <customWorkbookView name="Boyes, Lisa (SL) - Personal View" guid="{D27C51BB-BB54-4F37-8171-98067C39697C}" mergeInterval="0" personalView="1" maximized="1" xWindow="-8" yWindow="-8" windowWidth="1936" windowHeight="1048" tabRatio="806" activeSheetId="3"/>
    <customWorkbookView name="Bell, Emily (SL) - Personal View" guid="{008CCD98-7480-4C51-806A-4B55C801DDC2}" mergeInterval="0" personalView="1" maximized="1" xWindow="1912" yWindow="-8" windowWidth="1936" windowHeight="1048" tabRatio="806" activeSheetId="3"/>
    <customWorkbookView name="Teasdale, David (SL) - Personal View" guid="{4E6F9C2D-76F2-4884-BBF6-E02A7BAE11EF}" mergeInterval="0" personalView="1" xWindow="3" yWindow="23" windowWidth="1901" windowHeight="1009" tabRatio="806" activeSheetId="3"/>
    <customWorkbookView name="Kolbe, John L (SL) - Personal View" guid="{C39AE06A-FC0A-4D7D-B287-2FA9CA174191}" mergeInterval="0" personalView="1" maximized="1" xWindow="-8" yWindow="-8" windowWidth="1936" windowHeight="1048" tabRatio="806" activeSheetId="3"/>
    <customWorkbookView name="Fennell, William J (SL) - Personal View" guid="{D16D941B-FC89-4FEC-A49B-5FA2532584DE}" mergeInterval="0" personalView="1" maximized="1" xWindow="-11" yWindow="-11" windowWidth="1942" windowHeight="1030" tabRatio="610" activeSheetId="3"/>
    <customWorkbookView name="Silver, Stephen N (SL) - Personal View" guid="{3BB18945-69B5-4B22-8D55-989F8F233459}" mergeInterval="0" personalView="1" maximized="1" xWindow="-8" yWindow="-8" windowWidth="1936" windowHeight="1048" tabRatio="806" activeSheetId="3"/>
    <customWorkbookView name="Philip, Jody (SL) - Personal View" guid="{B84DA703-8C5B-4100-91A4-8807E303D379}" mergeInterval="0" personalView="1" maximized="1" xWindow="-8" yWindow="-8" windowWidth="1936" windowHeight="1048" tabRatio="610" activeSheetId="13"/>
    <customWorkbookView name="McCormick, Matthew (SL) - Personal View" guid="{B0A28FD4-D7F6-428C-A7F7-92132DCD74BB}" mergeInterval="0" personalView="1" maximized="1" xWindow="-311" yWindow="-1448" windowWidth="2576" windowHeight="1408" tabRatio="806" activeSheetId="8"/>
    <customWorkbookView name="France, James M (SL) - Personal View" guid="{3C97F0B0-2F3C-4E03-96E0-0C4FEC2F24AC}" mergeInterval="0" personalView="1" maximized="1" xWindow="-11" yWindow="-11" windowWidth="1942" windowHeight="1030" tabRatio="806" activeSheetId="3"/>
    <customWorkbookView name="Munton, Paul (SL) - Personal View" guid="{A03C6B09-6B58-4DDE-A3B2-41A27A7049D9}" mergeInterval="0" personalView="1" maximized="1" xWindow="-9" yWindow="-9" windowWidth="1938" windowHeight="1038" tabRatio="610" activeSheetId="3"/>
    <customWorkbookView name="Durkin, Mark SJ (SL) - Personal View" guid="{4EBEE699-7DEF-4A50-9CB7-490835CF0B98}" mergeInterval="0" personalView="1" maximized="1" xWindow="-11" yWindow="-11" windowWidth="3862" windowHeight="2110" tabRatio="610" activeSheetId="3"/>
    <customWorkbookView name="Connah, Danielle (SL) - Personal View" guid="{451730E2-FFE9-4FCE-B8B5-64952C26C672}" mergeInterval="0" personalView="1" maximized="1" xWindow="1912" yWindow="-8" windowWidth="1936" windowHeight="1048" tabRatio="610" activeSheetId="3"/>
    <customWorkbookView name="Irving, John SP (SL) - Personal View" guid="{9AF6E233-883D-48B4-95AB-42B37199AB9E}" mergeInterval="0" personalView="1" maximized="1" xWindow="-11" yWindow="-11" windowWidth="1942" windowHeight="1030" tabRatio="698" activeSheetId="3"/>
    <customWorkbookView name="Parker-Brannan, Sharon (SL) - Personal View" guid="{1ECD6E30-299B-4354-A416-2DAFF33C7022}" mergeInterval="0" personalView="1" maximized="1" xWindow="1912" yWindow="-8" windowWidth="1936" windowHeight="1048" tabRatio="610" activeSheetId="3"/>
    <customWorkbookView name="Brew, John (SL) - Personal View" guid="{97D58294-343B-4B62-A826-0DDDE29B5F0D}" mergeInterval="0" personalView="1" maximized="1" xWindow="-8" yWindow="-8" windowWidth="1936" windowHeight="1048" tabRatio="806" activeSheetId="3"/>
    <customWorkbookView name="Barnett, Matthew J (SL) - Personal View" guid="{BDCD1595-C0B8-4F6C-B01C-3472C895B827}" mergeInterval="0" personalView="1" maximized="1" xWindow="-8" yWindow="-8" windowWidth="1936" windowHeight="1048" tabRatio="610" activeSheetId="3"/>
    <customWorkbookView name="Bayliff, Adele (SL) - Personal View" guid="{9355C9F4-9C07-4A93-B7F2-69F1D1526716}" mergeInterval="0" personalView="1" maximized="1" xWindow="1912" yWindow="-8" windowWidth="1936" windowHeight="1048" tabRatio="806" activeSheetId="3"/>
    <customWorkbookView name="Morris, James (SL) - Personal View" guid="{F5FA2A23-9E46-4C2F-B1EE-B71787F95C57}" mergeInterval="0" personalView="1" maximized="1" xWindow="-1928" yWindow="-8" windowWidth="1936" windowHeight="1048" tabRatio="610" activeSheetId="3"/>
    <customWorkbookView name="Akers, Dianne M (SL) - Personal View" guid="{B95D32C7-1418-4EF6-8936-849885C54A4A}" mergeInterval="0" personalView="1" maximized="1" xWindow="-8" yWindow="-8" windowWidth="2576" windowHeight="1408" tabRatio="806" activeSheetId="8"/>
    <customWorkbookView name="Simpson, Nicole (SL) - Personal View" guid="{602520CD-F98C-43A6-AA0D-88893E9CB6E8}" mergeInterval="0" personalView="1" maximized="1" xWindow="-9" yWindow="-9" windowWidth="1938" windowHeight="1038" tabRatio="610" activeSheetId="3"/>
    <customWorkbookView name="Greeson, Clare (SL) - Personal View" guid="{A8E976B8-D767-4DB4-82BD-ABE90880F33F}" mergeInterval="0" personalView="1" maximized="1" xWindow="-8" yWindow="-8" windowWidth="1936" windowHeight="1048" tabRatio="610" activeSheetId="3"/>
    <customWorkbookView name="Bennett, Helene (SL) - Personal View" guid="{D850720D-4A1C-48F2-8E1D-8E09B7414A1A}" mergeInterval="0" personalView="1" maximized="1" xWindow="1798" yWindow="-1712" windowWidth="2902" windowHeight="1570" tabRatio="610" activeSheetId="3"/>
    <customWorkbookView name="Graham, Craig W (SL) - Personal View" guid="{C57A83F1-F5A3-470B-9579-6A222C54F4E8}" mergeInterval="0" personalView="1" maximized="1" xWindow="-8" yWindow="-8" windowWidth="1936" windowHeight="1048" tabRatio="610" activeSheetId="3"/>
    <customWorkbookView name="Cooper, Jonathan (SL) - Personal View" guid="{2608BE9B-66AC-4D4C-8EE0-E88C94E88140}" mergeInterval="0" personalView="1" maximized="1" xWindow="-1928" yWindow="-8" windowWidth="1936" windowHeight="1048" tabRatio="610" activeSheetId="3"/>
    <customWorkbookView name="Hindley, Joanne A (SL) - Personal View" guid="{EDD5A64E-02C0-4DD6-80BA-449123FCDAA2}" mergeInterval="0" personalView="1" maximized="1" xWindow="-1928" yWindow="-202" windowWidth="1936" windowHeight="1048" tabRatio="610" activeSheetId="3"/>
    <customWorkbookView name="Park, Gary B (SL) - Personal View" guid="{B8317A9A-0FFD-4A18-80F7-203DB2FC8CA5}" mergeInterval="0" personalView="1" maximized="1" xWindow="1912" yWindow="-8" windowWidth="1936" windowHeight="1048" tabRatio="806" activeSheetId="3"/>
    <customWorkbookView name="Duffy, Joanne (SL) - Personal View" guid="{7E571F1D-D438-4605-90D6-3F831F76D652}" mergeInterval="0" personalView="1" maximized="1" xWindow="-12" yWindow="-12" windowWidth="1944" windowHeight="1020" tabRatio="806" activeSheetId="14" showComments="commIndAndComment"/>
  </customWorkbookView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78" i="13" l="1"/>
  <c r="J77" i="13"/>
  <c r="I77" i="13"/>
  <c r="B77" i="13"/>
  <c r="B76" i="13"/>
  <c r="B75" i="13"/>
  <c r="B74" i="13"/>
  <c r="B71" i="13"/>
  <c r="B70" i="13"/>
  <c r="B69" i="13"/>
  <c r="B68" i="13"/>
  <c r="B67" i="13"/>
  <c r="B66" i="13"/>
  <c r="B65" i="13"/>
  <c r="B64" i="13"/>
  <c r="B63" i="13"/>
  <c r="B62" i="13"/>
  <c r="AA57" i="13"/>
  <c r="H77" i="13" s="1"/>
  <c r="AV57" i="13"/>
  <c r="AO54" i="13"/>
  <c r="BF54" i="13"/>
  <c r="J72" i="13" s="1"/>
  <c r="BD54" i="13"/>
  <c r="I72" i="13" s="1"/>
  <c r="BD51" i="13"/>
  <c r="I70" i="13" s="1"/>
  <c r="AA51" i="13"/>
  <c r="H70" i="13" s="1"/>
  <c r="AX51" i="13"/>
  <c r="BF51" i="13"/>
  <c r="J70" i="13" s="1"/>
  <c r="AV51" i="13"/>
  <c r="AO48" i="13"/>
  <c r="BF48" i="13"/>
  <c r="J73" i="13" s="1"/>
  <c r="W48" i="13"/>
  <c r="G73" i="13" s="1"/>
  <c r="BD48" i="13"/>
  <c r="I73" i="13" s="1"/>
  <c r="AQ48" i="13"/>
  <c r="AT45" i="13"/>
  <c r="BF45" i="13"/>
  <c r="J75" i="13" s="1"/>
  <c r="W45" i="13"/>
  <c r="G75" i="13" s="1"/>
  <c r="AR45" i="13"/>
  <c r="BD45" i="13"/>
  <c r="I75" i="13" s="1"/>
  <c r="AA42" i="13"/>
  <c r="H69" i="13" s="1"/>
  <c r="AX42" i="13"/>
  <c r="BF42" i="13"/>
  <c r="J69" i="13" s="1"/>
  <c r="BD42" i="13"/>
  <c r="I69" i="13" s="1"/>
  <c r="AQ42" i="13"/>
  <c r="AX39" i="13"/>
  <c r="BF39" i="13"/>
  <c r="J68" i="13" s="1"/>
  <c r="AQ39" i="13"/>
  <c r="BD39" i="13"/>
  <c r="I68" i="13" s="1"/>
  <c r="BF36" i="13"/>
  <c r="J76" i="13" s="1"/>
  <c r="W36" i="13"/>
  <c r="G76" i="13" s="1"/>
  <c r="AO33" i="13"/>
  <c r="AA33" i="13"/>
  <c r="H65" i="13" s="1"/>
  <c r="AX33" i="13"/>
  <c r="BF33" i="13"/>
  <c r="J65" i="13" s="1"/>
  <c r="BD33" i="13"/>
  <c r="I65" i="13" s="1"/>
  <c r="AO30" i="13"/>
  <c r="BF30" i="13"/>
  <c r="J62" i="13" s="1"/>
  <c r="BD30" i="13"/>
  <c r="I62" i="13" s="1"/>
  <c r="BD27" i="13"/>
  <c r="I66" i="13" s="1"/>
  <c r="AA27" i="13"/>
  <c r="H66" i="13" s="1"/>
  <c r="AX27" i="13"/>
  <c r="BF27" i="13"/>
  <c r="J66" i="13" s="1"/>
  <c r="AO24" i="13"/>
  <c r="BF24" i="13"/>
  <c r="J67" i="13" s="1"/>
  <c r="W24" i="13"/>
  <c r="G67" i="13" s="1"/>
  <c r="BD24" i="13"/>
  <c r="I67" i="13" s="1"/>
  <c r="AQ24" i="13"/>
  <c r="AT21" i="13"/>
  <c r="BF21" i="13"/>
  <c r="J63" i="13" s="1"/>
  <c r="W21" i="13"/>
  <c r="G63" i="13" s="1"/>
  <c r="BD21" i="13"/>
  <c r="I63" i="13" s="1"/>
  <c r="BF18" i="13"/>
  <c r="J78" i="13" s="1"/>
  <c r="AN18" i="13"/>
  <c r="AA18" i="13"/>
  <c r="H78" i="13" s="1"/>
  <c r="W18" i="13"/>
  <c r="G78" i="13" s="1"/>
  <c r="BD18" i="13"/>
  <c r="I78" i="13" s="1"/>
  <c r="AQ18" i="13"/>
  <c r="AA15" i="13"/>
  <c r="H64" i="13" s="1"/>
  <c r="BF15" i="13"/>
  <c r="J64" i="13" s="1"/>
  <c r="BD15" i="13"/>
  <c r="I64" i="13" s="1"/>
  <c r="AO15" i="13"/>
  <c r="BF12" i="13"/>
  <c r="J71" i="13" s="1"/>
  <c r="BD12" i="13"/>
  <c r="I71" i="13" s="1"/>
  <c r="AV9" i="13"/>
  <c r="AO9" i="13"/>
  <c r="BF9" i="13"/>
  <c r="J74" i="13" s="1"/>
  <c r="BD9" i="13"/>
  <c r="I74" i="13" s="1"/>
  <c r="M82" i="8" a="1"/>
  <c r="M82" i="8" s="1"/>
  <c r="C82" i="8" a="1"/>
  <c r="C82" i="8" s="1"/>
  <c r="AB81" i="8"/>
  <c r="AA81" i="8"/>
  <c r="N81" i="8"/>
  <c r="M78" i="8" a="1"/>
  <c r="M78" i="8" s="1"/>
  <c r="C78" i="8" a="1"/>
  <c r="C78" i="8" s="1"/>
  <c r="AB77" i="8"/>
  <c r="AA77" i="8"/>
  <c r="N77" i="8"/>
  <c r="M74" i="8" a="1"/>
  <c r="M74" i="8" s="1"/>
  <c r="C74" i="8" a="1"/>
  <c r="C74" i="8" s="1"/>
  <c r="AB73" i="8"/>
  <c r="AA73" i="8"/>
  <c r="N73" i="8"/>
  <c r="M70" i="8" a="1"/>
  <c r="M70" i="8" s="1"/>
  <c r="C70" i="8" a="1"/>
  <c r="C70" i="8" s="1"/>
  <c r="AB69" i="8"/>
  <c r="AA69" i="8"/>
  <c r="N69" i="8"/>
  <c r="M66" i="8" a="1"/>
  <c r="M66" i="8" s="1"/>
  <c r="C66" i="8" a="1"/>
  <c r="C66" i="8" s="1"/>
  <c r="AB65" i="8"/>
  <c r="AA65" i="8"/>
  <c r="N65" i="8"/>
  <c r="M62" i="8" a="1"/>
  <c r="M62" i="8" s="1"/>
  <c r="C62" i="8" a="1"/>
  <c r="C62" i="8" s="1"/>
  <c r="AB61" i="8"/>
  <c r="AA61" i="8"/>
  <c r="N61" i="8"/>
  <c r="M58" i="8" a="1"/>
  <c r="M58" i="8" s="1"/>
  <c r="C58" i="8" a="1"/>
  <c r="C58" i="8" s="1"/>
  <c r="AB57" i="8"/>
  <c r="AA57" i="8"/>
  <c r="N57" i="8"/>
  <c r="M54" i="8" a="1"/>
  <c r="M54" i="8" s="1"/>
  <c r="C54" i="8" a="1"/>
  <c r="C54" i="8" s="1"/>
  <c r="AB53" i="8"/>
  <c r="AA53" i="8"/>
  <c r="N53" i="8"/>
  <c r="M50" i="8" a="1"/>
  <c r="M50" i="8" s="1"/>
  <c r="C50" i="8" a="1"/>
  <c r="C50" i="8" s="1"/>
  <c r="AB49" i="8"/>
  <c r="AA49" i="8"/>
  <c r="N49" i="8"/>
  <c r="M46" i="8" a="1"/>
  <c r="M46" i="8" s="1"/>
  <c r="C46" i="8" a="1"/>
  <c r="C46" i="8" s="1"/>
  <c r="AB45" i="8"/>
  <c r="AA45" i="8"/>
  <c r="N45" i="8"/>
  <c r="M42" i="8" a="1"/>
  <c r="M42" i="8" s="1"/>
  <c r="C42" i="8" a="1"/>
  <c r="C42" i="8" s="1"/>
  <c r="AB41" i="8"/>
  <c r="AA41" i="8"/>
  <c r="N41" i="8"/>
  <c r="M38" i="8" a="1"/>
  <c r="M38" i="8" s="1"/>
  <c r="C38" i="8" a="1"/>
  <c r="C38" i="8" s="1"/>
  <c r="AB37" i="8"/>
  <c r="AA37" i="8"/>
  <c r="N37" i="8"/>
  <c r="M34" i="8" a="1"/>
  <c r="M34" i="8" s="1"/>
  <c r="C34" i="8" a="1"/>
  <c r="C34" i="8" s="1"/>
  <c r="AB33" i="8"/>
  <c r="AA33" i="8"/>
  <c r="N33" i="8"/>
  <c r="M30" i="8" a="1"/>
  <c r="M30" i="8" s="1"/>
  <c r="C30" i="8" a="1"/>
  <c r="C30" i="8" s="1"/>
  <c r="AB29" i="8"/>
  <c r="AA29" i="8"/>
  <c r="N29" i="8"/>
  <c r="M26" i="8" a="1"/>
  <c r="M26" i="8" s="1"/>
  <c r="C26" i="8" a="1"/>
  <c r="C26" i="8" s="1"/>
  <c r="AB25" i="8"/>
  <c r="AA25" i="8"/>
  <c r="N25" i="8"/>
  <c r="M22" i="8" a="1"/>
  <c r="M22" i="8" s="1"/>
  <c r="C22" i="8" a="1"/>
  <c r="C22" i="8" s="1"/>
  <c r="AB21" i="8"/>
  <c r="AA21" i="8"/>
  <c r="N21" i="8"/>
  <c r="M18" i="8" a="1"/>
  <c r="M18" i="8" s="1"/>
  <c r="C18" i="8" a="1"/>
  <c r="C18" i="8" s="1"/>
  <c r="AB17" i="8"/>
  <c r="AA17" i="8"/>
  <c r="N17" i="8"/>
  <c r="M14" i="8" a="1"/>
  <c r="M14" i="8" s="1"/>
  <c r="C14" i="8" a="1"/>
  <c r="C14" i="8" s="1"/>
  <c r="AB13" i="8"/>
  <c r="AA13" i="8"/>
  <c r="N13" i="8"/>
  <c r="M10" i="8" a="1"/>
  <c r="M10" i="8" s="1"/>
  <c r="C10" i="8" a="1"/>
  <c r="C10" i="8" s="1"/>
  <c r="AB9" i="8"/>
  <c r="AA9" i="8"/>
  <c r="N9" i="8"/>
  <c r="M6" i="8" a="1"/>
  <c r="M6" i="8" s="1"/>
  <c r="C6" i="8" a="1"/>
  <c r="C6" i="8" s="1"/>
  <c r="AB5" i="8"/>
  <c r="AA5" i="8"/>
  <c r="N5" i="8"/>
  <c r="AX15" i="13" l="1"/>
  <c r="AV18" i="13"/>
  <c r="AV21" i="13"/>
  <c r="AV27" i="13"/>
  <c r="AQ36" i="13"/>
  <c r="AV36" i="13"/>
  <c r="AV45" i="13"/>
  <c r="AV12" i="13"/>
  <c r="AN9" i="13"/>
  <c r="AT18" i="13"/>
  <c r="AR36" i="13"/>
  <c r="AO57" i="13"/>
  <c r="AR30" i="13"/>
  <c r="AV33" i="13"/>
  <c r="AN42" i="13"/>
  <c r="AR54" i="13"/>
  <c r="AO27" i="13"/>
  <c r="AT30" i="13"/>
  <c r="W30" i="13"/>
  <c r="G62" i="13" s="1"/>
  <c r="AT36" i="13"/>
  <c r="AO51" i="13"/>
  <c r="AT54" i="13"/>
  <c r="W54" i="13"/>
  <c r="G72" i="13" s="1"/>
  <c r="AA9" i="13"/>
  <c r="H74" i="13" s="1"/>
  <c r="W12" i="13"/>
  <c r="G71" i="13" s="1"/>
  <c r="AQ15" i="13"/>
  <c r="AA21" i="13"/>
  <c r="H63" i="13" s="1"/>
  <c r="AN33" i="13"/>
  <c r="AA39" i="13"/>
  <c r="H68" i="13" s="1"/>
  <c r="AV42" i="13"/>
  <c r="AA45" i="13"/>
  <c r="H75" i="13" s="1"/>
  <c r="AN57" i="13"/>
  <c r="AX9" i="13"/>
  <c r="AQ12" i="13"/>
  <c r="AT12" i="13"/>
  <c r="AO21" i="13"/>
  <c r="AN24" i="13"/>
  <c r="AN30" i="13"/>
  <c r="AO39" i="13"/>
  <c r="AT42" i="13"/>
  <c r="W42" i="13"/>
  <c r="G69" i="13" s="1"/>
  <c r="AO45" i="13"/>
  <c r="AN48" i="13"/>
  <c r="AN54" i="13"/>
  <c r="AX12" i="13"/>
  <c r="AR15" i="13"/>
  <c r="AQ9" i="13"/>
  <c r="AA12" i="13"/>
  <c r="H71" i="13" s="1"/>
  <c r="W15" i="13"/>
  <c r="G64" i="13" s="1"/>
  <c r="AT15" i="13"/>
  <c r="AO18" i="13"/>
  <c r="AX21" i="13"/>
  <c r="AR24" i="13"/>
  <c r="AN27" i="13"/>
  <c r="AV30" i="13"/>
  <c r="AQ33" i="13"/>
  <c r="AA36" i="13"/>
  <c r="H76" i="13" s="1"/>
  <c r="BD36" i="13"/>
  <c r="I76" i="13" s="1"/>
  <c r="W39" i="13"/>
  <c r="G68" i="13" s="1"/>
  <c r="AT39" i="13"/>
  <c r="AO42" i="13"/>
  <c r="AX45" i="13"/>
  <c r="AR48" i="13"/>
  <c r="AN51" i="13"/>
  <c r="AV54" i="13"/>
  <c r="AQ57" i="13"/>
  <c r="AX36" i="13"/>
  <c r="AR9" i="13"/>
  <c r="AN12" i="13"/>
  <c r="AT24" i="13"/>
  <c r="AX30" i="13"/>
  <c r="AR33" i="13"/>
  <c r="AN36" i="13"/>
  <c r="AV39" i="13"/>
  <c r="AT48" i="13"/>
  <c r="AX54" i="13"/>
  <c r="AR57" i="13"/>
  <c r="AR39" i="13"/>
  <c r="AV15" i="13"/>
  <c r="W9" i="13"/>
  <c r="G74" i="13" s="1"/>
  <c r="AT9" i="13"/>
  <c r="AO12" i="13"/>
  <c r="AR18" i="13"/>
  <c r="AN21" i="13"/>
  <c r="AV24" i="13"/>
  <c r="AQ27" i="13"/>
  <c r="AA30" i="13"/>
  <c r="H62" i="13" s="1"/>
  <c r="W33" i="13"/>
  <c r="G65" i="13" s="1"/>
  <c r="AT33" i="13"/>
  <c r="AO36" i="13"/>
  <c r="AR42" i="13"/>
  <c r="AN45" i="13"/>
  <c r="AV48" i="13"/>
  <c r="AQ51" i="13"/>
  <c r="AA54" i="13"/>
  <c r="H72" i="13" s="1"/>
  <c r="W57" i="13"/>
  <c r="G77" i="13" s="1"/>
  <c r="AT57" i="13"/>
  <c r="AR27" i="13"/>
  <c r="AR51" i="13"/>
  <c r="AR12" i="13"/>
  <c r="AN15" i="13"/>
  <c r="AQ21" i="13"/>
  <c r="AA24" i="13"/>
  <c r="H67" i="13" s="1"/>
  <c r="W27" i="13"/>
  <c r="G66" i="13" s="1"/>
  <c r="AT27" i="13"/>
  <c r="AN39" i="13"/>
  <c r="AQ45" i="13"/>
  <c r="AA48" i="13"/>
  <c r="H73" i="13" s="1"/>
  <c r="W51" i="13"/>
  <c r="G70" i="13" s="1"/>
  <c r="AT51" i="13"/>
  <c r="AX57" i="13"/>
  <c r="AX24" i="13"/>
  <c r="AX18" i="13"/>
  <c r="AR21" i="13"/>
  <c r="AQ30" i="13"/>
  <c r="AQ54" i="13"/>
  <c r="AX48" i="13"/>
  <c r="J11" i="3"/>
  <c r="AG99" i="3" l="1"/>
  <c r="AF99" i="3"/>
  <c r="AE99" i="3"/>
  <c r="X66" i="3" l="1"/>
  <c r="AA26" i="3" l="1"/>
  <c r="AA17" i="3"/>
  <c r="L41" i="3" l="1"/>
  <c r="A10" i="13" l="1"/>
  <c r="A13" i="13"/>
  <c r="A16" i="13"/>
  <c r="A19" i="13"/>
  <c r="A22" i="13"/>
  <c r="A25" i="13"/>
  <c r="A28" i="13"/>
  <c r="A31" i="13"/>
  <c r="A34" i="13"/>
  <c r="A37" i="13"/>
  <c r="A40" i="13"/>
  <c r="A43" i="13"/>
  <c r="A46" i="13"/>
  <c r="A49" i="13"/>
  <c r="A52" i="13"/>
  <c r="A55" i="13"/>
  <c r="A58" i="13"/>
  <c r="A61" i="13"/>
  <c r="B12" i="3" l="1"/>
  <c r="B21" i="3"/>
  <c r="B103" i="3"/>
  <c r="B135" i="3"/>
  <c r="B132" i="3"/>
  <c r="B112" i="3"/>
  <c r="B106" i="3"/>
  <c r="B94" i="3"/>
  <c r="AM11" i="3"/>
  <c r="R93" i="3"/>
  <c r="R11" i="3"/>
  <c r="S11" i="3"/>
  <c r="R62" i="14" l="1"/>
  <c r="B181" i="3"/>
  <c r="Y41" i="3" l="1"/>
  <c r="L64" i="1" l="1"/>
  <c r="Z62" i="14"/>
  <c r="A12" i="3"/>
  <c r="AK11" i="3"/>
  <c r="AJ11" i="3"/>
  <c r="AI11" i="3"/>
  <c r="AH11" i="3"/>
  <c r="AG11" i="3"/>
  <c r="AF11" i="3"/>
  <c r="AE11" i="3"/>
  <c r="AC11" i="3"/>
  <c r="G181" i="3" s="1"/>
  <c r="AB11" i="3"/>
  <c r="AA11" i="3"/>
  <c r="J181" i="3" s="1"/>
  <c r="Y11" i="3"/>
  <c r="F181" i="3" s="1"/>
  <c r="X11" i="3"/>
  <c r="W11" i="3"/>
  <c r="P11" i="3"/>
  <c r="O11" i="3"/>
  <c r="M11" i="3"/>
  <c r="L11" i="3"/>
  <c r="I11" i="3"/>
  <c r="G11" i="3"/>
  <c r="F11" i="3"/>
  <c r="J62" i="14" l="1"/>
  <c r="I181" i="3"/>
  <c r="J41" i="3" l="1"/>
  <c r="K99" i="3"/>
  <c r="B180" i="3" l="1"/>
  <c r="B179" i="3"/>
  <c r="B178" i="3"/>
  <c r="B177" i="3"/>
  <c r="B176" i="3"/>
  <c r="B175" i="3"/>
  <c r="B174" i="3"/>
  <c r="B173" i="3"/>
  <c r="B172" i="3"/>
  <c r="B171" i="3"/>
  <c r="B170" i="3"/>
  <c r="B169" i="3"/>
  <c r="B168" i="3"/>
  <c r="B167" i="3"/>
  <c r="B166" i="3"/>
  <c r="B165" i="3"/>
  <c r="B164" i="3"/>
  <c r="B163" i="3"/>
  <c r="B162" i="3"/>
  <c r="B161" i="3"/>
  <c r="B160" i="3"/>
  <c r="B159" i="3"/>
  <c r="B158" i="3"/>
  <c r="B157" i="3"/>
  <c r="B156" i="3"/>
  <c r="B155" i="3"/>
  <c r="B154" i="3"/>
  <c r="B153" i="3"/>
  <c r="B152" i="3"/>
  <c r="B151" i="3"/>
  <c r="B150" i="3"/>
  <c r="B149" i="3"/>
  <c r="B148" i="3"/>
  <c r="B147" i="3"/>
  <c r="B146" i="3"/>
  <c r="B145" i="3"/>
  <c r="AT53" i="3"/>
  <c r="AS53" i="3"/>
  <c r="AQ53" i="3"/>
  <c r="AP53" i="3"/>
  <c r="AO53" i="3"/>
  <c r="AT50" i="3"/>
  <c r="AS50" i="3"/>
  <c r="AQ50" i="3"/>
  <c r="AP50" i="3"/>
  <c r="AO50" i="3"/>
  <c r="AT47" i="3"/>
  <c r="AS47" i="3"/>
  <c r="AQ47" i="3"/>
  <c r="AP47" i="3"/>
  <c r="AO47" i="3"/>
  <c r="AT44" i="3"/>
  <c r="AS44" i="3"/>
  <c r="AQ44" i="3"/>
  <c r="AP44" i="3"/>
  <c r="AO44" i="3"/>
  <c r="AT41" i="3"/>
  <c r="AS41" i="3"/>
  <c r="AQ41" i="3"/>
  <c r="AP41" i="3"/>
  <c r="AO41" i="3"/>
  <c r="AT38" i="3"/>
  <c r="AS38" i="3"/>
  <c r="AQ38" i="3"/>
  <c r="AP38" i="3"/>
  <c r="AO38" i="3"/>
  <c r="AT35" i="3"/>
  <c r="AS35" i="3"/>
  <c r="AQ35" i="3"/>
  <c r="AP35" i="3"/>
  <c r="AO35" i="3"/>
  <c r="AT32" i="3"/>
  <c r="AS32" i="3"/>
  <c r="AQ32" i="3"/>
  <c r="AP32" i="3"/>
  <c r="AO32" i="3"/>
  <c r="AT29" i="3"/>
  <c r="AS29" i="3"/>
  <c r="AQ29" i="3"/>
  <c r="AP29" i="3"/>
  <c r="AO29" i="3"/>
  <c r="AT23" i="3"/>
  <c r="AS23" i="3"/>
  <c r="AQ23" i="3"/>
  <c r="AP23" i="3"/>
  <c r="AO23" i="3"/>
  <c r="AT20" i="3"/>
  <c r="AS20" i="3"/>
  <c r="AQ20" i="3"/>
  <c r="AP20" i="3"/>
  <c r="AO20" i="3"/>
  <c r="AT26" i="3"/>
  <c r="AS26" i="3"/>
  <c r="AQ26" i="3"/>
  <c r="AP26" i="3"/>
  <c r="AO26" i="3"/>
  <c r="AT17" i="3"/>
  <c r="AS17" i="3"/>
  <c r="AQ17" i="3"/>
  <c r="AP17" i="3"/>
  <c r="AO17" i="3"/>
  <c r="Y20" i="3"/>
  <c r="F147" i="3" s="1"/>
  <c r="AC57" i="3"/>
  <c r="G157" i="3" s="1"/>
  <c r="AK60" i="3"/>
  <c r="AK78" i="3"/>
  <c r="AK84" i="3"/>
  <c r="AJ84" i="3"/>
  <c r="AJ81" i="3"/>
  <c r="AE81" i="8"/>
  <c r="AK99" i="3"/>
  <c r="AE77" i="8"/>
  <c r="AJ47" i="3"/>
  <c r="AE73" i="8"/>
  <c r="AE69" i="8"/>
  <c r="AE61" i="8"/>
  <c r="AE57" i="8"/>
  <c r="AK75" i="3"/>
  <c r="AJ75" i="3"/>
  <c r="AE53" i="8"/>
  <c r="AJ66" i="3"/>
  <c r="AE49" i="8"/>
  <c r="AE45" i="8"/>
  <c r="AJ96" i="3"/>
  <c r="AE41" i="8"/>
  <c r="AK108" i="3"/>
  <c r="AJ108" i="3"/>
  <c r="AE37" i="8"/>
  <c r="AK41" i="3"/>
  <c r="AE33" i="8"/>
  <c r="AK69" i="3"/>
  <c r="AJ69" i="3"/>
  <c r="AE29" i="8"/>
  <c r="AJ63" i="3"/>
  <c r="AK72" i="3"/>
  <c r="AJ72" i="3"/>
  <c r="AE21" i="8"/>
  <c r="AK87" i="3"/>
  <c r="AJ87" i="3"/>
  <c r="AE17" i="8"/>
  <c r="AJ139" i="3"/>
  <c r="AE9" i="8"/>
  <c r="AK125" i="3"/>
  <c r="AE5" i="8"/>
  <c r="R54" i="3"/>
  <c r="C15" i="1"/>
  <c r="J69" i="3"/>
  <c r="K69" i="3"/>
  <c r="AP71" i="3" s="1"/>
  <c r="F108" i="3"/>
  <c r="AD81" i="8"/>
  <c r="AD77" i="8"/>
  <c r="AD73" i="8"/>
  <c r="AD69" i="8"/>
  <c r="AD65" i="8"/>
  <c r="AD61" i="8"/>
  <c r="AD57" i="8"/>
  <c r="AD53" i="8"/>
  <c r="AD49" i="8"/>
  <c r="AD45" i="8"/>
  <c r="AD41" i="8"/>
  <c r="AD37" i="8"/>
  <c r="AD33" i="8"/>
  <c r="AD29" i="8"/>
  <c r="AD13" i="8"/>
  <c r="AD25" i="8"/>
  <c r="AD21" i="8"/>
  <c r="AD17" i="8"/>
  <c r="AD9" i="8"/>
  <c r="AD5" i="8"/>
  <c r="AE65" i="8"/>
  <c r="AE25" i="8"/>
  <c r="AE13" i="8"/>
  <c r="AH24" i="1"/>
  <c r="AH31" i="1"/>
  <c r="AH38" i="1"/>
  <c r="AH45" i="1"/>
  <c r="AH52" i="1"/>
  <c r="AH59" i="1"/>
  <c r="C33" i="1"/>
  <c r="C39" i="1"/>
  <c r="C51" i="1"/>
  <c r="L33" i="1"/>
  <c r="Z17" i="1"/>
  <c r="Z24" i="1"/>
  <c r="S27" i="1"/>
  <c r="S39" i="1"/>
  <c r="Z35" i="1"/>
  <c r="S45" i="1"/>
  <c r="S51" i="1"/>
  <c r="Z42" i="1"/>
  <c r="Z52" i="1"/>
  <c r="AD46" i="1" s="1"/>
  <c r="AF93" i="3"/>
  <c r="AE93" i="3"/>
  <c r="AI57" i="3"/>
  <c r="AH57" i="3"/>
  <c r="AG57" i="3"/>
  <c r="AE57" i="3"/>
  <c r="AM57" i="3"/>
  <c r="AM139" i="3"/>
  <c r="AL139" i="3"/>
  <c r="AI139" i="3"/>
  <c r="AH139" i="3"/>
  <c r="AG139" i="3"/>
  <c r="AF139" i="3"/>
  <c r="AE139" i="3"/>
  <c r="AD139" i="3"/>
  <c r="AC139" i="3"/>
  <c r="G180" i="3" s="1"/>
  <c r="AB139" i="3"/>
  <c r="AA139" i="3"/>
  <c r="Z139" i="3"/>
  <c r="Y139" i="3"/>
  <c r="F180" i="3" s="1"/>
  <c r="X139" i="3"/>
  <c r="W139" i="3"/>
  <c r="AM125" i="3"/>
  <c r="AL125" i="3"/>
  <c r="AI125" i="3"/>
  <c r="AH125" i="3"/>
  <c r="AG125" i="3"/>
  <c r="AF125" i="3"/>
  <c r="AE125" i="3"/>
  <c r="AD125" i="3"/>
  <c r="AC125" i="3"/>
  <c r="G176" i="3" s="1"/>
  <c r="AB125" i="3"/>
  <c r="AA125" i="3"/>
  <c r="Z125" i="3"/>
  <c r="Y125" i="3"/>
  <c r="F176" i="3" s="1"/>
  <c r="X125" i="3"/>
  <c r="W125" i="3"/>
  <c r="AM108" i="3"/>
  <c r="AL108" i="3"/>
  <c r="AI108" i="3"/>
  <c r="AH108" i="3"/>
  <c r="AG108" i="3"/>
  <c r="AF108" i="3"/>
  <c r="AE108" i="3"/>
  <c r="AD108" i="3"/>
  <c r="AC108" i="3"/>
  <c r="G175" i="3" s="1"/>
  <c r="AB108" i="3"/>
  <c r="AA108" i="3"/>
  <c r="Z108" i="3"/>
  <c r="Y108" i="3"/>
  <c r="F175" i="3" s="1"/>
  <c r="X108" i="3"/>
  <c r="W108" i="3"/>
  <c r="AM117" i="3"/>
  <c r="AL117" i="3"/>
  <c r="AI117" i="3"/>
  <c r="AH117" i="3"/>
  <c r="AG117" i="3"/>
  <c r="AF117" i="3"/>
  <c r="AE117" i="3"/>
  <c r="AD117" i="3"/>
  <c r="AC117" i="3"/>
  <c r="G174" i="3" s="1"/>
  <c r="AB117" i="3"/>
  <c r="AA117" i="3"/>
  <c r="Z117" i="3"/>
  <c r="Y117" i="3"/>
  <c r="F174" i="3" s="1"/>
  <c r="X117" i="3"/>
  <c r="W117" i="3"/>
  <c r="AM96" i="3"/>
  <c r="AL96" i="3"/>
  <c r="AI96" i="3"/>
  <c r="AH96" i="3"/>
  <c r="AG96" i="3"/>
  <c r="AF96" i="3"/>
  <c r="AE96" i="3"/>
  <c r="AD96" i="3"/>
  <c r="AC96" i="3"/>
  <c r="G172" i="3" s="1"/>
  <c r="AB96" i="3"/>
  <c r="AA96" i="3"/>
  <c r="Z96" i="3"/>
  <c r="Y96" i="3"/>
  <c r="F172" i="3" s="1"/>
  <c r="X96" i="3"/>
  <c r="W96" i="3"/>
  <c r="AM114" i="3"/>
  <c r="AL114" i="3"/>
  <c r="AI114" i="3"/>
  <c r="AH114" i="3"/>
  <c r="AG114" i="3"/>
  <c r="AF114" i="3"/>
  <c r="AE114" i="3"/>
  <c r="AD114" i="3"/>
  <c r="AC114" i="3"/>
  <c r="G171" i="3" s="1"/>
  <c r="AB114" i="3"/>
  <c r="AA114" i="3"/>
  <c r="Z114" i="3"/>
  <c r="Y114" i="3"/>
  <c r="F171" i="3" s="1"/>
  <c r="X114" i="3"/>
  <c r="W114" i="3"/>
  <c r="AM99" i="3"/>
  <c r="AL99" i="3"/>
  <c r="AI99" i="3"/>
  <c r="AH99" i="3"/>
  <c r="AD99" i="3"/>
  <c r="AC99" i="3"/>
  <c r="G168" i="3" s="1"/>
  <c r="AB99" i="3"/>
  <c r="AA99" i="3"/>
  <c r="Z99" i="3"/>
  <c r="Y99" i="3"/>
  <c r="F168" i="3" s="1"/>
  <c r="X99" i="3"/>
  <c r="W99" i="3"/>
  <c r="AM87" i="3"/>
  <c r="AL87" i="3"/>
  <c r="AI87" i="3"/>
  <c r="AH87" i="3"/>
  <c r="AG87" i="3"/>
  <c r="AF87" i="3"/>
  <c r="AE87" i="3"/>
  <c r="AD87" i="3"/>
  <c r="AC87" i="3"/>
  <c r="G166" i="3" s="1"/>
  <c r="AB87" i="3"/>
  <c r="AA87" i="3"/>
  <c r="Z87" i="3"/>
  <c r="Y87" i="3"/>
  <c r="F166" i="3" s="1"/>
  <c r="X87" i="3"/>
  <c r="W87" i="3"/>
  <c r="AZ87" i="3" s="1"/>
  <c r="AM72" i="3"/>
  <c r="AL72" i="3"/>
  <c r="AI72" i="3"/>
  <c r="AH72" i="3"/>
  <c r="AG72" i="3"/>
  <c r="AF72" i="3"/>
  <c r="AE72" i="3"/>
  <c r="AD72" i="3"/>
  <c r="AC72" i="3"/>
  <c r="G159" i="3" s="1"/>
  <c r="AB72" i="3"/>
  <c r="AA72" i="3"/>
  <c r="Z72" i="3"/>
  <c r="Y72" i="3"/>
  <c r="F159" i="3" s="1"/>
  <c r="X72" i="3"/>
  <c r="W72" i="3"/>
  <c r="AM84" i="3"/>
  <c r="AL84" i="3"/>
  <c r="AI84" i="3"/>
  <c r="AH84" i="3"/>
  <c r="AG84" i="3"/>
  <c r="AF84" i="3"/>
  <c r="AE84" i="3"/>
  <c r="AD84" i="3"/>
  <c r="AC84" i="3"/>
  <c r="G165" i="3" s="1"/>
  <c r="AB84" i="3"/>
  <c r="AA84" i="3"/>
  <c r="Z84" i="3"/>
  <c r="Y84" i="3"/>
  <c r="F165" i="3" s="1"/>
  <c r="X84" i="3"/>
  <c r="W84" i="3"/>
  <c r="AM81" i="3"/>
  <c r="AL81" i="3"/>
  <c r="AI81" i="3"/>
  <c r="AH81" i="3"/>
  <c r="AG81" i="3"/>
  <c r="AF81" i="3"/>
  <c r="AE81" i="3"/>
  <c r="AD81" i="3"/>
  <c r="AC81" i="3"/>
  <c r="G164" i="3" s="1"/>
  <c r="AB81" i="3"/>
  <c r="AA81" i="3"/>
  <c r="Z81" i="3"/>
  <c r="Y81" i="3"/>
  <c r="F164" i="3" s="1"/>
  <c r="X81" i="3"/>
  <c r="W81" i="3"/>
  <c r="AM78" i="3"/>
  <c r="AL78" i="3"/>
  <c r="AI78" i="3"/>
  <c r="AH78" i="3"/>
  <c r="AG78" i="3"/>
  <c r="AF78" i="3"/>
  <c r="AE78" i="3"/>
  <c r="AD78" i="3"/>
  <c r="AC78" i="3"/>
  <c r="G163" i="3" s="1"/>
  <c r="AB78" i="3"/>
  <c r="AA78" i="3"/>
  <c r="Z78" i="3"/>
  <c r="Y78" i="3"/>
  <c r="F163" i="3" s="1"/>
  <c r="X78" i="3"/>
  <c r="W78" i="3"/>
  <c r="AM75" i="3"/>
  <c r="AL75" i="3"/>
  <c r="AI75" i="3"/>
  <c r="AH75" i="3"/>
  <c r="AG75" i="3"/>
  <c r="AF75" i="3"/>
  <c r="AE75" i="3"/>
  <c r="AD75" i="3"/>
  <c r="AC75" i="3"/>
  <c r="G162" i="3" s="1"/>
  <c r="AB75" i="3"/>
  <c r="AA75" i="3"/>
  <c r="Z75" i="3"/>
  <c r="Y75" i="3"/>
  <c r="F162" i="3" s="1"/>
  <c r="X75" i="3"/>
  <c r="W75" i="3"/>
  <c r="AM63" i="3"/>
  <c r="AL63" i="3"/>
  <c r="AI63" i="3"/>
  <c r="AH63" i="3"/>
  <c r="AG63" i="3"/>
  <c r="AF63" i="3"/>
  <c r="AE63" i="3"/>
  <c r="AD63" i="3"/>
  <c r="AC63" i="3"/>
  <c r="G161" i="3" s="1"/>
  <c r="AB63" i="3"/>
  <c r="AA63" i="3"/>
  <c r="Z63" i="3"/>
  <c r="Y63" i="3"/>
  <c r="F161" i="3" s="1"/>
  <c r="X63" i="3"/>
  <c r="W63" i="3"/>
  <c r="AF57" i="3"/>
  <c r="AM60" i="3"/>
  <c r="AL60" i="3"/>
  <c r="AI60" i="3"/>
  <c r="AH60" i="3"/>
  <c r="AG60" i="3"/>
  <c r="AF60" i="3"/>
  <c r="AE60" i="3"/>
  <c r="AD60" i="3"/>
  <c r="AC60" i="3"/>
  <c r="G160" i="3" s="1"/>
  <c r="AB60" i="3"/>
  <c r="AA60" i="3"/>
  <c r="Z60" i="3"/>
  <c r="Y60" i="3"/>
  <c r="F160" i="3" s="1"/>
  <c r="X60" i="3"/>
  <c r="W60" i="3"/>
  <c r="AM66" i="3"/>
  <c r="AL66" i="3"/>
  <c r="AI66" i="3"/>
  <c r="AH66" i="3"/>
  <c r="AG66" i="3"/>
  <c r="AF66" i="3"/>
  <c r="AE66" i="3"/>
  <c r="AD66" i="3"/>
  <c r="AC66" i="3"/>
  <c r="G156" i="3" s="1"/>
  <c r="AB66" i="3"/>
  <c r="AA66" i="3"/>
  <c r="Z66" i="3"/>
  <c r="Y66" i="3"/>
  <c r="F156" i="3" s="1"/>
  <c r="W66" i="3"/>
  <c r="AM69" i="3"/>
  <c r="AL69" i="3"/>
  <c r="AI69" i="3"/>
  <c r="AH69" i="3"/>
  <c r="AG69" i="3"/>
  <c r="AF69" i="3"/>
  <c r="AE69" i="3"/>
  <c r="AD69" i="3"/>
  <c r="AC69" i="3"/>
  <c r="G158" i="3" s="1"/>
  <c r="AB69" i="3"/>
  <c r="AA69" i="3"/>
  <c r="Z69" i="3"/>
  <c r="Y69" i="3"/>
  <c r="F158" i="3" s="1"/>
  <c r="X69" i="3"/>
  <c r="W69" i="3"/>
  <c r="AM54" i="3"/>
  <c r="AL54" i="3"/>
  <c r="AI54" i="3"/>
  <c r="AH54" i="3"/>
  <c r="AG54" i="3"/>
  <c r="AF54" i="3"/>
  <c r="AE54" i="3"/>
  <c r="AD54" i="3"/>
  <c r="AC54" i="3"/>
  <c r="G155" i="3" s="1"/>
  <c r="AB54" i="3"/>
  <c r="AA54" i="3"/>
  <c r="Z54" i="3"/>
  <c r="Y54" i="3"/>
  <c r="F155" i="3" s="1"/>
  <c r="X54" i="3"/>
  <c r="W54" i="3"/>
  <c r="AM47" i="3"/>
  <c r="AL47" i="3"/>
  <c r="AI47" i="3"/>
  <c r="AH47" i="3"/>
  <c r="AG47" i="3"/>
  <c r="AF47" i="3"/>
  <c r="AE47" i="3"/>
  <c r="AD47" i="3"/>
  <c r="AC47" i="3"/>
  <c r="G154" i="3" s="1"/>
  <c r="AB47" i="3"/>
  <c r="AA47" i="3"/>
  <c r="Z47" i="3"/>
  <c r="Y47" i="3"/>
  <c r="F154" i="3" s="1"/>
  <c r="X47" i="3"/>
  <c r="W47" i="3"/>
  <c r="S41" i="3"/>
  <c r="R41" i="3"/>
  <c r="P41" i="3"/>
  <c r="O41" i="3"/>
  <c r="M41" i="3"/>
  <c r="K41" i="3"/>
  <c r="W41" i="3"/>
  <c r="X41" i="3"/>
  <c r="F153" i="3"/>
  <c r="AA41" i="3"/>
  <c r="AB41" i="3"/>
  <c r="AC41" i="3"/>
  <c r="G153" i="3" s="1"/>
  <c r="AE41" i="3"/>
  <c r="AF41" i="3"/>
  <c r="AG41" i="3"/>
  <c r="AH41" i="3"/>
  <c r="H9" i="12" s="1"/>
  <c r="AI41" i="3"/>
  <c r="I9" i="12" s="1"/>
  <c r="AM41" i="3"/>
  <c r="Z41" i="3"/>
  <c r="W57" i="3"/>
  <c r="AA57" i="3"/>
  <c r="AB57" i="3"/>
  <c r="X57" i="3"/>
  <c r="AJ60" i="3"/>
  <c r="AK54" i="3"/>
  <c r="AJ54" i="3"/>
  <c r="AJ78" i="3"/>
  <c r="AK81" i="3"/>
  <c r="AJ99" i="3"/>
  <c r="AK47" i="3"/>
  <c r="AK117" i="3"/>
  <c r="AJ117" i="3"/>
  <c r="AK66" i="3"/>
  <c r="AK114" i="3"/>
  <c r="AJ114" i="3"/>
  <c r="AK96" i="3"/>
  <c r="AJ41" i="3"/>
  <c r="AK63" i="3"/>
  <c r="AK139" i="3"/>
  <c r="AJ125" i="3"/>
  <c r="AH17" i="1"/>
  <c r="G21" i="1"/>
  <c r="C21" i="1"/>
  <c r="G15" i="1"/>
  <c r="S15" i="1"/>
  <c r="S21" i="1"/>
  <c r="L27" i="1"/>
  <c r="S33" i="1"/>
  <c r="L21" i="1"/>
  <c r="L15" i="1"/>
  <c r="C45" i="1"/>
  <c r="G33" i="1"/>
  <c r="C27" i="1"/>
  <c r="G27" i="1"/>
  <c r="I57" i="3"/>
  <c r="G26" i="3"/>
  <c r="G20" i="3"/>
  <c r="E16" i="12" s="1"/>
  <c r="G32" i="3"/>
  <c r="G102" i="3"/>
  <c r="G111" i="3"/>
  <c r="G93" i="3"/>
  <c r="G105" i="3"/>
  <c r="G17" i="3"/>
  <c r="E13" i="12" s="1"/>
  <c r="G128" i="3"/>
  <c r="G29" i="3"/>
  <c r="G35" i="3"/>
  <c r="E17" i="12" s="1"/>
  <c r="G131" i="3"/>
  <c r="G38" i="3"/>
  <c r="G134" i="3"/>
  <c r="G23" i="3"/>
  <c r="G57" i="3"/>
  <c r="AO59" i="3" s="1"/>
  <c r="F41" i="3"/>
  <c r="A140" i="3"/>
  <c r="A135" i="3"/>
  <c r="A132" i="3"/>
  <c r="A129" i="3"/>
  <c r="A126" i="3"/>
  <c r="A100" i="3"/>
  <c r="A109" i="3"/>
  <c r="A94" i="3"/>
  <c r="A118" i="3"/>
  <c r="A106" i="3"/>
  <c r="A97" i="3"/>
  <c r="A115" i="3"/>
  <c r="A112" i="3"/>
  <c r="A103" i="3"/>
  <c r="A73" i="3"/>
  <c r="A85" i="3"/>
  <c r="A82" i="3"/>
  <c r="A79" i="3"/>
  <c r="A76" i="3"/>
  <c r="A88" i="3"/>
  <c r="A58" i="3"/>
  <c r="A67" i="3"/>
  <c r="A64" i="3"/>
  <c r="A61" i="3"/>
  <c r="A70" i="3"/>
  <c r="A55" i="3"/>
  <c r="A48" i="3"/>
  <c r="A42" i="3"/>
  <c r="A39" i="3"/>
  <c r="A36" i="3"/>
  <c r="A24" i="3"/>
  <c r="A33" i="3"/>
  <c r="A30" i="3"/>
  <c r="A21" i="3"/>
  <c r="A18" i="3"/>
  <c r="A27" i="3"/>
  <c r="F94" i="7"/>
  <c r="F96" i="7" s="1"/>
  <c r="E94" i="7"/>
  <c r="E96" i="7" s="1"/>
  <c r="F55" i="7"/>
  <c r="F54" i="7"/>
  <c r="F52" i="7"/>
  <c r="F51" i="7"/>
  <c r="E39" i="7"/>
  <c r="F33" i="7"/>
  <c r="E33" i="7"/>
  <c r="J16" i="7"/>
  <c r="E15" i="7"/>
  <c r="E10" i="7"/>
  <c r="F47" i="3"/>
  <c r="C74" i="11" a="1"/>
  <c r="C74" i="11" s="1"/>
  <c r="M67" i="11" a="1"/>
  <c r="M67" i="11" s="1"/>
  <c r="C67" i="11" a="1"/>
  <c r="C67" i="11" s="1"/>
  <c r="AA66" i="11"/>
  <c r="Z66" i="11"/>
  <c r="M63" i="11" a="1"/>
  <c r="M63" i="11" s="1"/>
  <c r="C63" i="11" a="1"/>
  <c r="C63" i="11" s="1"/>
  <c r="AA62" i="11"/>
  <c r="Z62" i="11"/>
  <c r="M59" i="11" a="1"/>
  <c r="M59" i="11" s="1"/>
  <c r="C59" i="11" a="1"/>
  <c r="C59" i="11" s="1"/>
  <c r="AA58" i="11"/>
  <c r="Z58" i="11"/>
  <c r="M55" i="11" a="1"/>
  <c r="M55" i="11" s="1"/>
  <c r="C55" i="11" a="1"/>
  <c r="C55" i="11" s="1"/>
  <c r="AA54" i="11"/>
  <c r="Z54" i="11"/>
  <c r="M51" i="11" a="1"/>
  <c r="M51" i="11" s="1"/>
  <c r="C51" i="11" a="1"/>
  <c r="C51" i="11" s="1"/>
  <c r="AA50" i="11"/>
  <c r="Z50" i="11"/>
  <c r="M47" i="11" a="1"/>
  <c r="M47" i="11" s="1"/>
  <c r="C47" i="11" a="1"/>
  <c r="C47" i="11" s="1"/>
  <c r="AA46" i="11"/>
  <c r="Z46" i="11"/>
  <c r="M43" i="11" a="1"/>
  <c r="M43" i="11" s="1"/>
  <c r="C43" i="11" a="1"/>
  <c r="C43" i="11" s="1"/>
  <c r="AA42" i="11"/>
  <c r="Z42" i="11"/>
  <c r="M39" i="11" a="1"/>
  <c r="M39" i="11" s="1"/>
  <c r="C39" i="11" a="1"/>
  <c r="C39" i="11" s="1"/>
  <c r="AA38" i="11"/>
  <c r="Z38" i="11"/>
  <c r="M35" i="11" a="1"/>
  <c r="M35" i="11" s="1"/>
  <c r="C35" i="11" a="1"/>
  <c r="C35" i="11" s="1"/>
  <c r="AA34" i="11"/>
  <c r="Z34" i="11"/>
  <c r="M31" i="11" a="1"/>
  <c r="M31" i="11" s="1"/>
  <c r="C31" i="11" a="1"/>
  <c r="C31" i="11" s="1"/>
  <c r="AA30" i="11"/>
  <c r="Z30" i="11"/>
  <c r="M27" i="11" a="1"/>
  <c r="M27" i="11" s="1"/>
  <c r="C27" i="11" a="1"/>
  <c r="C27" i="11" s="1"/>
  <c r="AA26" i="11"/>
  <c r="Z26" i="11"/>
  <c r="M23" i="11" a="1"/>
  <c r="M23" i="11" s="1"/>
  <c r="C23" i="11" a="1"/>
  <c r="C23" i="11" s="1"/>
  <c r="AA22" i="11"/>
  <c r="Z22" i="11"/>
  <c r="M19" i="11" a="1"/>
  <c r="M19" i="11" s="1"/>
  <c r="C19" i="11" a="1"/>
  <c r="C19" i="11" s="1"/>
  <c r="AA18" i="11"/>
  <c r="Z18" i="11"/>
  <c r="M15" i="11" a="1"/>
  <c r="M15" i="11" s="1"/>
  <c r="C15" i="11" a="1"/>
  <c r="C15" i="11" s="1"/>
  <c r="AA14" i="11"/>
  <c r="Z14" i="11"/>
  <c r="M11" i="11" a="1"/>
  <c r="M11" i="11" s="1"/>
  <c r="C11" i="11" a="1"/>
  <c r="C11" i="11" s="1"/>
  <c r="AA10" i="11"/>
  <c r="Z10" i="11"/>
  <c r="M7" i="11" a="1"/>
  <c r="M7" i="11" s="1"/>
  <c r="C7" i="11" a="1"/>
  <c r="C7" i="11" s="1"/>
  <c r="AA6" i="11"/>
  <c r="Z6" i="11"/>
  <c r="Z24" i="2"/>
  <c r="S49" i="2"/>
  <c r="L39" i="2"/>
  <c r="Z34" i="2"/>
  <c r="AH16" i="2"/>
  <c r="Z57" i="2"/>
  <c r="Z44" i="2"/>
  <c r="Z39" i="2"/>
  <c r="AH22" i="2"/>
  <c r="Z52" i="2"/>
  <c r="AH28" i="2"/>
  <c r="Z29" i="2"/>
  <c r="Z65" i="2"/>
  <c r="AD60" i="2" s="1"/>
  <c r="L59" i="2"/>
  <c r="S44" i="2"/>
  <c r="S39" i="2"/>
  <c r="Z19" i="2"/>
  <c r="L64" i="2"/>
  <c r="S34" i="2"/>
  <c r="S29" i="2"/>
  <c r="S24" i="2"/>
  <c r="C39" i="2"/>
  <c r="C34" i="2"/>
  <c r="C49" i="2"/>
  <c r="Z14" i="2"/>
  <c r="S19" i="2"/>
  <c r="S14" i="2"/>
  <c r="L29" i="2"/>
  <c r="L34" i="2"/>
  <c r="L14" i="2"/>
  <c r="L24" i="2"/>
  <c r="L19" i="2"/>
  <c r="G29" i="2"/>
  <c r="G24" i="2"/>
  <c r="G19" i="2"/>
  <c r="C44" i="2"/>
  <c r="C29" i="2"/>
  <c r="C24" i="2"/>
  <c r="C19" i="2"/>
  <c r="C14" i="2"/>
  <c r="G14" i="2"/>
  <c r="F139" i="3"/>
  <c r="G139" i="3"/>
  <c r="J139" i="3"/>
  <c r="K139" i="3"/>
  <c r="L139" i="3"/>
  <c r="M139" i="3"/>
  <c r="O139" i="3"/>
  <c r="P139" i="3"/>
  <c r="R139" i="3"/>
  <c r="S139" i="3"/>
  <c r="F114" i="3"/>
  <c r="G114" i="3"/>
  <c r="J114" i="3"/>
  <c r="K114" i="3"/>
  <c r="L114" i="3"/>
  <c r="M114" i="3"/>
  <c r="O114" i="3"/>
  <c r="P114" i="3"/>
  <c r="R114" i="3"/>
  <c r="S114" i="3"/>
  <c r="N38" i="3"/>
  <c r="N35" i="3"/>
  <c r="N23" i="3"/>
  <c r="N32" i="3"/>
  <c r="N20" i="3"/>
  <c r="N17" i="3"/>
  <c r="AB26" i="3"/>
  <c r="N26" i="3"/>
  <c r="AI29" i="3"/>
  <c r="AM26" i="3"/>
  <c r="J12" i="12" s="1"/>
  <c r="AI26" i="3"/>
  <c r="AH26" i="3"/>
  <c r="H12" i="12" s="1"/>
  <c r="AG26" i="3"/>
  <c r="AF26" i="3"/>
  <c r="AE26" i="3"/>
  <c r="S26" i="3"/>
  <c r="R26" i="3"/>
  <c r="F12" i="12" s="1"/>
  <c r="P26" i="3"/>
  <c r="O26" i="3"/>
  <c r="M26" i="3"/>
  <c r="L26" i="3"/>
  <c r="K26" i="3"/>
  <c r="I26" i="3"/>
  <c r="F26" i="3"/>
  <c r="AA134" i="3"/>
  <c r="BB134" i="3" s="1"/>
  <c r="O134" i="3"/>
  <c r="F134" i="3"/>
  <c r="AE131" i="3"/>
  <c r="S131" i="3"/>
  <c r="J131" i="3"/>
  <c r="AH128" i="3"/>
  <c r="X128" i="3"/>
  <c r="M128" i="3"/>
  <c r="AH93" i="3"/>
  <c r="X93" i="3"/>
  <c r="M93" i="3"/>
  <c r="AB111" i="3"/>
  <c r="P111" i="3"/>
  <c r="AF102" i="3"/>
  <c r="K102" i="3"/>
  <c r="AI105" i="3"/>
  <c r="R57" i="3"/>
  <c r="AG38" i="3"/>
  <c r="W38" i="3"/>
  <c r="L38" i="3"/>
  <c r="AA35" i="3"/>
  <c r="O35" i="3"/>
  <c r="F35" i="3"/>
  <c r="D17" i="12" s="1"/>
  <c r="AE23" i="3"/>
  <c r="S23" i="3"/>
  <c r="J23" i="3"/>
  <c r="AH32" i="3"/>
  <c r="H14" i="12" s="1"/>
  <c r="X32" i="3"/>
  <c r="M32" i="3"/>
  <c r="AB20" i="3"/>
  <c r="P20" i="3"/>
  <c r="AF17" i="3"/>
  <c r="K17" i="3"/>
  <c r="AG29" i="3"/>
  <c r="W29" i="3"/>
  <c r="K29" i="3"/>
  <c r="O32" i="3"/>
  <c r="AI134" i="3"/>
  <c r="AM131" i="3"/>
  <c r="R131" i="3"/>
  <c r="I131" i="3"/>
  <c r="AG128" i="3"/>
  <c r="W128" i="3"/>
  <c r="L128" i="3"/>
  <c r="AG93" i="3"/>
  <c r="W93" i="3"/>
  <c r="L93" i="3"/>
  <c r="AA111" i="3"/>
  <c r="O111" i="3"/>
  <c r="F111" i="3"/>
  <c r="AE102" i="3"/>
  <c r="S102" i="3"/>
  <c r="J102" i="3"/>
  <c r="AH105" i="3"/>
  <c r="X105" i="3"/>
  <c r="M105" i="3"/>
  <c r="P57" i="3"/>
  <c r="AF38" i="3"/>
  <c r="K38" i="3"/>
  <c r="AI35" i="3"/>
  <c r="Y35" i="3"/>
  <c r="F151" i="3" s="1"/>
  <c r="AM23" i="3"/>
  <c r="J15" i="12" s="1"/>
  <c r="R23" i="3"/>
  <c r="I23" i="3"/>
  <c r="AG32" i="3"/>
  <c r="W32" i="3"/>
  <c r="L32" i="3"/>
  <c r="AA20" i="3"/>
  <c r="O20" i="3"/>
  <c r="F20" i="3"/>
  <c r="AE17" i="3"/>
  <c r="S17" i="3"/>
  <c r="G13" i="12" s="1"/>
  <c r="J17" i="3"/>
  <c r="AF29" i="3"/>
  <c r="S29" i="3"/>
  <c r="J29" i="3"/>
  <c r="AH134" i="3"/>
  <c r="X134" i="3"/>
  <c r="M134" i="3"/>
  <c r="AB131" i="3"/>
  <c r="P131" i="3"/>
  <c r="AF128" i="3"/>
  <c r="K128" i="3"/>
  <c r="K93" i="3"/>
  <c r="AI111" i="3"/>
  <c r="AM102" i="3"/>
  <c r="R102" i="3"/>
  <c r="I102" i="3"/>
  <c r="AG105" i="3"/>
  <c r="W105" i="3"/>
  <c r="L105" i="3"/>
  <c r="O57" i="3"/>
  <c r="F57" i="3"/>
  <c r="AE38" i="3"/>
  <c r="S38" i="3"/>
  <c r="G18" i="12" s="1"/>
  <c r="J38" i="3"/>
  <c r="AH35" i="3"/>
  <c r="X35" i="3"/>
  <c r="M35" i="3"/>
  <c r="AB23" i="3"/>
  <c r="P23" i="3"/>
  <c r="AF32" i="3"/>
  <c r="K32" i="3"/>
  <c r="AI20" i="3"/>
  <c r="AM17" i="3"/>
  <c r="R17" i="3"/>
  <c r="I17" i="3"/>
  <c r="AE29" i="3"/>
  <c r="F29" i="3"/>
  <c r="D10" i="12" s="1"/>
  <c r="R134" i="3"/>
  <c r="W131" i="3"/>
  <c r="F128" i="3"/>
  <c r="F93" i="3"/>
  <c r="J111" i="3"/>
  <c r="AM35" i="3"/>
  <c r="J17" i="12" s="1"/>
  <c r="AG23" i="3"/>
  <c r="F32" i="3"/>
  <c r="AH17" i="3"/>
  <c r="AG134" i="3"/>
  <c r="W134" i="3"/>
  <c r="L134" i="3"/>
  <c r="AA131" i="3"/>
  <c r="O131" i="3"/>
  <c r="F131" i="3"/>
  <c r="AE128" i="3"/>
  <c r="S128" i="3"/>
  <c r="J128" i="3"/>
  <c r="S93" i="3"/>
  <c r="J93" i="3"/>
  <c r="AH111" i="3"/>
  <c r="X111" i="3"/>
  <c r="M111" i="3"/>
  <c r="AB102" i="3"/>
  <c r="P102" i="3"/>
  <c r="AF105" i="3"/>
  <c r="K105" i="3"/>
  <c r="AM38" i="3"/>
  <c r="R38" i="3"/>
  <c r="F18" i="12" s="1"/>
  <c r="I38" i="3"/>
  <c r="AG35" i="3"/>
  <c r="W35" i="3"/>
  <c r="L35" i="3"/>
  <c r="AA23" i="3"/>
  <c r="O23" i="3"/>
  <c r="F23" i="3"/>
  <c r="AE32" i="3"/>
  <c r="S32" i="3"/>
  <c r="G14" i="12" s="1"/>
  <c r="J32" i="3"/>
  <c r="AH20" i="3"/>
  <c r="X20" i="3"/>
  <c r="M20" i="3"/>
  <c r="AB17" i="3"/>
  <c r="P17" i="3"/>
  <c r="AM29" i="3"/>
  <c r="R29" i="3"/>
  <c r="F10" i="12" s="1"/>
  <c r="I29" i="3"/>
  <c r="AA93" i="3"/>
  <c r="S111" i="3"/>
  <c r="M102" i="3"/>
  <c r="AI38" i="3"/>
  <c r="R35" i="3"/>
  <c r="F17" i="12" s="1"/>
  <c r="L23" i="3"/>
  <c r="AE20" i="3"/>
  <c r="X17" i="3"/>
  <c r="AF134" i="3"/>
  <c r="K134" i="3"/>
  <c r="AI131" i="3"/>
  <c r="AM128" i="3"/>
  <c r="R128" i="3"/>
  <c r="I128" i="3"/>
  <c r="AM93" i="3"/>
  <c r="I93" i="3"/>
  <c r="AG111" i="3"/>
  <c r="W111" i="3"/>
  <c r="L111" i="3"/>
  <c r="AA102" i="3"/>
  <c r="O102" i="3"/>
  <c r="F102" i="3"/>
  <c r="AE105" i="3"/>
  <c r="S105" i="3"/>
  <c r="J105" i="3"/>
  <c r="M57" i="3"/>
  <c r="AB38" i="3"/>
  <c r="P38" i="3"/>
  <c r="AF35" i="3"/>
  <c r="K35" i="3"/>
  <c r="AI23" i="3"/>
  <c r="I15" i="12" s="1"/>
  <c r="Y23" i="3"/>
  <c r="F148" i="3" s="1"/>
  <c r="AM32" i="3"/>
  <c r="J14" i="12" s="1"/>
  <c r="R32" i="3"/>
  <c r="I32" i="3"/>
  <c r="AG20" i="3"/>
  <c r="W20" i="3"/>
  <c r="L20" i="3"/>
  <c r="O17" i="3"/>
  <c r="F17" i="3"/>
  <c r="H11" i="12"/>
  <c r="AB29" i="3"/>
  <c r="P29" i="3"/>
  <c r="AG131" i="3"/>
  <c r="AA128" i="3"/>
  <c r="AJ93" i="3"/>
  <c r="AE111" i="3"/>
  <c r="X102" i="3"/>
  <c r="P105" i="3"/>
  <c r="K57" i="3"/>
  <c r="AP59" i="3" s="1"/>
  <c r="AC35" i="3"/>
  <c r="G151" i="3" s="1"/>
  <c r="W23" i="3"/>
  <c r="AA32" i="3"/>
  <c r="J20" i="3"/>
  <c r="AE134" i="3"/>
  <c r="S134" i="3"/>
  <c r="J134" i="3"/>
  <c r="AH131" i="3"/>
  <c r="X131" i="3"/>
  <c r="M131" i="3"/>
  <c r="AB128" i="3"/>
  <c r="P128" i="3"/>
  <c r="AK93" i="3"/>
  <c r="AB93" i="3"/>
  <c r="P93" i="3"/>
  <c r="AF111" i="3"/>
  <c r="K111" i="3"/>
  <c r="AI102" i="3"/>
  <c r="AM105" i="3"/>
  <c r="R105" i="3"/>
  <c r="I105" i="3"/>
  <c r="L57" i="3"/>
  <c r="AA38" i="3"/>
  <c r="O38" i="3"/>
  <c r="F38" i="3"/>
  <c r="AE35" i="3"/>
  <c r="S35" i="3"/>
  <c r="J35" i="3"/>
  <c r="AH23" i="3"/>
  <c r="H15" i="12" s="1"/>
  <c r="X23" i="3"/>
  <c r="M23" i="3"/>
  <c r="AB32" i="3"/>
  <c r="P32" i="3"/>
  <c r="AF20" i="3"/>
  <c r="K20" i="3"/>
  <c r="AI17" i="3"/>
  <c r="Y17" i="3"/>
  <c r="F145" i="3" s="1"/>
  <c r="AA29" i="3"/>
  <c r="O29" i="3"/>
  <c r="AM134" i="3"/>
  <c r="AC134" i="3"/>
  <c r="G179" i="3" s="1"/>
  <c r="I134" i="3"/>
  <c r="L131" i="3"/>
  <c r="O128" i="3"/>
  <c r="O93" i="3"/>
  <c r="AH102" i="3"/>
  <c r="AB105" i="3"/>
  <c r="I35" i="3"/>
  <c r="S20" i="3"/>
  <c r="G16" i="12" s="1"/>
  <c r="M17" i="3"/>
  <c r="AB134" i="3"/>
  <c r="P134" i="3"/>
  <c r="AF131" i="3"/>
  <c r="K131" i="3"/>
  <c r="AI128" i="3"/>
  <c r="AI93" i="3"/>
  <c r="Y93" i="3"/>
  <c r="F173" i="3" s="1"/>
  <c r="AM111" i="3"/>
  <c r="R111" i="3"/>
  <c r="I111" i="3"/>
  <c r="AG102" i="3"/>
  <c r="W102" i="3"/>
  <c r="L102" i="3"/>
  <c r="AA105" i="3"/>
  <c r="O105" i="3"/>
  <c r="F105" i="3"/>
  <c r="S57" i="3"/>
  <c r="AS59" i="3" s="1"/>
  <c r="J57" i="3"/>
  <c r="AH38" i="3"/>
  <c r="H18" i="12" s="1"/>
  <c r="X38" i="3"/>
  <c r="M38" i="3"/>
  <c r="AB35" i="3"/>
  <c r="P35" i="3"/>
  <c r="AF23" i="3"/>
  <c r="K23" i="3"/>
  <c r="AI32" i="3"/>
  <c r="I14" i="12" s="1"/>
  <c r="AM20" i="3"/>
  <c r="J16" i="12" s="1"/>
  <c r="AC20" i="3"/>
  <c r="G147" i="3" s="1"/>
  <c r="R20" i="3"/>
  <c r="I20" i="3"/>
  <c r="AG17" i="3"/>
  <c r="W17" i="3"/>
  <c r="L17" i="3"/>
  <c r="G11" i="12"/>
  <c r="AH29" i="3"/>
  <c r="X29" i="3"/>
  <c r="L29" i="3"/>
  <c r="M29" i="3"/>
  <c r="W26" i="3"/>
  <c r="X26" i="3"/>
  <c r="AC23" i="3"/>
  <c r="G148" i="3" s="1"/>
  <c r="AC93" i="3"/>
  <c r="G173" i="3" s="1"/>
  <c r="Y105" i="3"/>
  <c r="F169" i="3" s="1"/>
  <c r="N29" i="3"/>
  <c r="R47" i="3"/>
  <c r="M60" i="3"/>
  <c r="M78" i="3"/>
  <c r="M81" i="3"/>
  <c r="M84" i="3"/>
  <c r="M72" i="3"/>
  <c r="M87" i="3"/>
  <c r="M117" i="3"/>
  <c r="L78" i="3"/>
  <c r="L81" i="3"/>
  <c r="L84" i="3"/>
  <c r="L72" i="3"/>
  <c r="F125" i="3"/>
  <c r="G125" i="3"/>
  <c r="J125" i="3"/>
  <c r="K125" i="3"/>
  <c r="L125" i="3"/>
  <c r="M125" i="3"/>
  <c r="O125" i="3"/>
  <c r="P125" i="3"/>
  <c r="R125" i="3"/>
  <c r="S125" i="3"/>
  <c r="S108" i="3"/>
  <c r="R108" i="3"/>
  <c r="P108" i="3"/>
  <c r="O108" i="3"/>
  <c r="M108" i="3"/>
  <c r="L108" i="3"/>
  <c r="K108" i="3"/>
  <c r="J108" i="3"/>
  <c r="G108" i="3"/>
  <c r="S78" i="3"/>
  <c r="R78" i="3"/>
  <c r="P78" i="3"/>
  <c r="O78" i="3"/>
  <c r="N78" i="3"/>
  <c r="K78" i="3"/>
  <c r="J78" i="3"/>
  <c r="G78" i="3"/>
  <c r="F78" i="3"/>
  <c r="S99" i="3"/>
  <c r="R99" i="3"/>
  <c r="P99" i="3"/>
  <c r="O99" i="3"/>
  <c r="M99" i="3"/>
  <c r="L99" i="3"/>
  <c r="J99" i="3"/>
  <c r="G99" i="3"/>
  <c r="F99" i="3"/>
  <c r="S87" i="3"/>
  <c r="R87" i="3"/>
  <c r="P87" i="3"/>
  <c r="O87" i="3"/>
  <c r="N87" i="3"/>
  <c r="L87" i="3"/>
  <c r="K87" i="3"/>
  <c r="J87" i="3"/>
  <c r="G87" i="3"/>
  <c r="F87" i="3"/>
  <c r="S72" i="3"/>
  <c r="R72" i="3"/>
  <c r="P72" i="3"/>
  <c r="O72" i="3"/>
  <c r="N72" i="3"/>
  <c r="K72" i="3"/>
  <c r="J72" i="3"/>
  <c r="G72" i="3"/>
  <c r="F72" i="3"/>
  <c r="S84" i="3"/>
  <c r="R84" i="3"/>
  <c r="P84" i="3"/>
  <c r="O84" i="3"/>
  <c r="N84" i="3"/>
  <c r="K84" i="3"/>
  <c r="J84" i="3"/>
  <c r="G84" i="3"/>
  <c r="F84" i="3"/>
  <c r="S81" i="3"/>
  <c r="R81" i="3"/>
  <c r="P81" i="3"/>
  <c r="O81" i="3"/>
  <c r="N81" i="3"/>
  <c r="K81" i="3"/>
  <c r="J81" i="3"/>
  <c r="G81" i="3"/>
  <c r="F81" i="3"/>
  <c r="S69" i="3"/>
  <c r="AS71" i="3" s="1"/>
  <c r="R69" i="3"/>
  <c r="P69" i="3"/>
  <c r="O69" i="3"/>
  <c r="N69" i="3"/>
  <c r="M69" i="3"/>
  <c r="L69" i="3"/>
  <c r="G69" i="3"/>
  <c r="AO71" i="3" s="1"/>
  <c r="F69" i="3"/>
  <c r="S66" i="3"/>
  <c r="AS68" i="3" s="1"/>
  <c r="R66" i="3"/>
  <c r="P66" i="3"/>
  <c r="O66" i="3"/>
  <c r="M66" i="3"/>
  <c r="L66" i="3"/>
  <c r="K66" i="3"/>
  <c r="AP68" i="3" s="1"/>
  <c r="J66" i="3"/>
  <c r="G66" i="3"/>
  <c r="AO68" i="3" s="1"/>
  <c r="F66" i="3"/>
  <c r="S63" i="3"/>
  <c r="R63" i="3"/>
  <c r="P63" i="3"/>
  <c r="O63" i="3"/>
  <c r="M63" i="3"/>
  <c r="L63" i="3"/>
  <c r="K63" i="3"/>
  <c r="J63" i="3"/>
  <c r="G63" i="3"/>
  <c r="F63" i="3"/>
  <c r="S75" i="3"/>
  <c r="R75" i="3"/>
  <c r="P75" i="3"/>
  <c r="O75" i="3"/>
  <c r="N75" i="3"/>
  <c r="M75" i="3"/>
  <c r="L75" i="3"/>
  <c r="K75" i="3"/>
  <c r="J75" i="3"/>
  <c r="G75" i="3"/>
  <c r="F75" i="3"/>
  <c r="S96" i="3"/>
  <c r="R96" i="3"/>
  <c r="P96" i="3"/>
  <c r="O96" i="3"/>
  <c r="M96" i="3"/>
  <c r="L96" i="3"/>
  <c r="K96" i="3"/>
  <c r="J96" i="3"/>
  <c r="G96" i="3"/>
  <c r="F96" i="3"/>
  <c r="S117" i="3"/>
  <c r="R117" i="3"/>
  <c r="P117" i="3"/>
  <c r="O117" i="3"/>
  <c r="L117" i="3"/>
  <c r="K117" i="3"/>
  <c r="J117" i="3"/>
  <c r="G117" i="3"/>
  <c r="F117" i="3"/>
  <c r="P54" i="3"/>
  <c r="O54" i="3"/>
  <c r="N54" i="3"/>
  <c r="M54" i="3"/>
  <c r="L54" i="3"/>
  <c r="K54" i="3"/>
  <c r="AP56" i="3" s="1"/>
  <c r="J54" i="3"/>
  <c r="S60" i="3"/>
  <c r="R60" i="3"/>
  <c r="P60" i="3"/>
  <c r="O60" i="3"/>
  <c r="N60" i="3"/>
  <c r="L60" i="3"/>
  <c r="K60" i="3"/>
  <c r="J60" i="3"/>
  <c r="G60" i="3"/>
  <c r="F60" i="3"/>
  <c r="F54" i="3"/>
  <c r="G54" i="3"/>
  <c r="AO56" i="3" s="1"/>
  <c r="S54" i="3"/>
  <c r="AS56" i="3" s="1"/>
  <c r="P47" i="3"/>
  <c r="O47" i="3"/>
  <c r="N47" i="3"/>
  <c r="M47" i="3"/>
  <c r="L47" i="3"/>
  <c r="K47" i="3"/>
  <c r="J47" i="3"/>
  <c r="G47" i="3"/>
  <c r="AL41" i="3"/>
  <c r="AD41" i="3"/>
  <c r="N41" i="3"/>
  <c r="G41" i="3"/>
  <c r="E9" i="12" s="1"/>
  <c r="C24" i="14"/>
  <c r="B24" i="14"/>
  <c r="M35" i="10" a="1"/>
  <c r="M35" i="10" s="1"/>
  <c r="C35" i="10" a="1"/>
  <c r="C35" i="10" s="1"/>
  <c r="AA34" i="10"/>
  <c r="Z34" i="10"/>
  <c r="M31" i="10" a="1"/>
  <c r="M31" i="10" s="1"/>
  <c r="C31" i="10" a="1"/>
  <c r="C31" i="10" s="1"/>
  <c r="AA30" i="10"/>
  <c r="Z30" i="10"/>
  <c r="M27" i="10" a="1"/>
  <c r="M27" i="10" s="1"/>
  <c r="C27" i="10" a="1"/>
  <c r="C27" i="10" s="1"/>
  <c r="AA26" i="10"/>
  <c r="Z26" i="10"/>
  <c r="M23" i="10" a="1"/>
  <c r="M23" i="10" s="1"/>
  <c r="C23" i="10" a="1"/>
  <c r="C23" i="10" s="1"/>
  <c r="AA22" i="10"/>
  <c r="Z22" i="10"/>
  <c r="M19" i="10" a="1"/>
  <c r="M19" i="10" s="1"/>
  <c r="C19" i="10" a="1"/>
  <c r="C19" i="10" s="1"/>
  <c r="AA18" i="10"/>
  <c r="Z18" i="10"/>
  <c r="M15" i="10" a="1"/>
  <c r="M15" i="10" s="1"/>
  <c r="C15" i="10" a="1"/>
  <c r="C15" i="10" s="1"/>
  <c r="AA14" i="10"/>
  <c r="Z14" i="10"/>
  <c r="M11" i="10" a="1"/>
  <c r="M11" i="10" s="1"/>
  <c r="C11" i="10" a="1"/>
  <c r="C11" i="10" s="1"/>
  <c r="AA10" i="10"/>
  <c r="Z10" i="10"/>
  <c r="M7" i="10" a="1"/>
  <c r="M7" i="10" s="1"/>
  <c r="C7" i="10" a="1"/>
  <c r="C7" i="10" s="1"/>
  <c r="AA6" i="10"/>
  <c r="Z6" i="10"/>
  <c r="M53" i="9" a="1"/>
  <c r="M53" i="9" s="1"/>
  <c r="C53" i="9" a="1"/>
  <c r="C53" i="9" s="1"/>
  <c r="AA52" i="9"/>
  <c r="Z52" i="9"/>
  <c r="M50" i="9" a="1"/>
  <c r="M50" i="9" s="1"/>
  <c r="C50" i="9" a="1"/>
  <c r="C50" i="9" s="1"/>
  <c r="AA49" i="9"/>
  <c r="Z49" i="9"/>
  <c r="M47" i="9" a="1"/>
  <c r="M47" i="9" s="1"/>
  <c r="C47" i="9" a="1"/>
  <c r="C47" i="9" s="1"/>
  <c r="AA46" i="9"/>
  <c r="Z46" i="9"/>
  <c r="M43" i="9" a="1"/>
  <c r="M43" i="9" s="1"/>
  <c r="C43" i="9" a="1"/>
  <c r="C43" i="9" s="1"/>
  <c r="AA42" i="9"/>
  <c r="Z42" i="9"/>
  <c r="M39" i="9" a="1"/>
  <c r="M39" i="9" s="1"/>
  <c r="C39" i="9" a="1"/>
  <c r="C39" i="9" s="1"/>
  <c r="AA38" i="9"/>
  <c r="Z38" i="9"/>
  <c r="M35" i="9" a="1"/>
  <c r="M35" i="9" s="1"/>
  <c r="C35" i="9" a="1"/>
  <c r="C35" i="9" s="1"/>
  <c r="AA34" i="9"/>
  <c r="Z34" i="9"/>
  <c r="M31" i="9" a="1"/>
  <c r="M31" i="9" s="1"/>
  <c r="C31" i="9" a="1"/>
  <c r="C31" i="9" s="1"/>
  <c r="AA30" i="9"/>
  <c r="Z30" i="9"/>
  <c r="M27" i="9" a="1"/>
  <c r="M27" i="9" s="1"/>
  <c r="C27" i="9" a="1"/>
  <c r="C27" i="9" s="1"/>
  <c r="AA26" i="9"/>
  <c r="Z26" i="9"/>
  <c r="M23" i="9" a="1"/>
  <c r="M23" i="9" s="1"/>
  <c r="C23" i="9" a="1"/>
  <c r="C23" i="9" s="1"/>
  <c r="AA22" i="9"/>
  <c r="Z22" i="9"/>
  <c r="M19" i="9" a="1"/>
  <c r="M19" i="9" s="1"/>
  <c r="C19" i="9" a="1"/>
  <c r="C19" i="9" s="1"/>
  <c r="AA18" i="9"/>
  <c r="Z18" i="9"/>
  <c r="M15" i="9" a="1"/>
  <c r="M15" i="9" s="1"/>
  <c r="C15" i="9" a="1"/>
  <c r="C15" i="9" s="1"/>
  <c r="AA14" i="9"/>
  <c r="Z14" i="9"/>
  <c r="M11" i="9" a="1"/>
  <c r="M11" i="9" s="1"/>
  <c r="C11" i="9" a="1"/>
  <c r="C11" i="9" s="1"/>
  <c r="AA10" i="9"/>
  <c r="Z10" i="9"/>
  <c r="M7" i="9" a="1"/>
  <c r="M7" i="9" s="1"/>
  <c r="C7" i="9" a="1"/>
  <c r="C7" i="9" s="1"/>
  <c r="AA6" i="9"/>
  <c r="Z6" i="9"/>
  <c r="F53" i="4"/>
  <c r="F51" i="4"/>
  <c r="F49" i="4"/>
  <c r="F47" i="4"/>
  <c r="E36" i="4"/>
  <c r="F30" i="4"/>
  <c r="E30" i="4"/>
  <c r="J15" i="4"/>
  <c r="E14" i="4"/>
  <c r="E10" i="4"/>
  <c r="K18" i="12"/>
  <c r="K17" i="12"/>
  <c r="K16" i="12"/>
  <c r="K15" i="12"/>
  <c r="K14" i="12"/>
  <c r="K13" i="12"/>
  <c r="K12" i="12"/>
  <c r="K11" i="12"/>
  <c r="K10" i="12"/>
  <c r="K9" i="12"/>
  <c r="AY98" i="14"/>
  <c r="AZ98" i="14" s="1"/>
  <c r="AV98" i="14"/>
  <c r="AW98" i="14" s="1"/>
  <c r="AS98" i="14"/>
  <c r="AT98" i="14" s="1"/>
  <c r="AP98" i="14"/>
  <c r="AQ98" i="14" s="1"/>
  <c r="AM98" i="14"/>
  <c r="AN98" i="14" s="1"/>
  <c r="AJ98" i="14"/>
  <c r="AK98" i="14" s="1"/>
  <c r="AY97" i="14"/>
  <c r="AZ97" i="14" s="1"/>
  <c r="AV97" i="14"/>
  <c r="AW97" i="14" s="1"/>
  <c r="AS97" i="14"/>
  <c r="AT97" i="14" s="1"/>
  <c r="AP97" i="14"/>
  <c r="AQ97" i="14" s="1"/>
  <c r="AM97" i="14"/>
  <c r="AN97" i="14" s="1"/>
  <c r="AJ97" i="14"/>
  <c r="AK97" i="14" s="1"/>
  <c r="AY96" i="14"/>
  <c r="AZ96" i="14" s="1"/>
  <c r="AV96" i="14"/>
  <c r="AW96" i="14" s="1"/>
  <c r="AS96" i="14"/>
  <c r="AT96" i="14" s="1"/>
  <c r="AP96" i="14"/>
  <c r="AQ96" i="14" s="1"/>
  <c r="AM96" i="14"/>
  <c r="AN96" i="14" s="1"/>
  <c r="AJ96" i="14"/>
  <c r="AK96" i="14" s="1"/>
  <c r="AY92" i="14"/>
  <c r="AZ92" i="14" s="1"/>
  <c r="AV92" i="14"/>
  <c r="AW92" i="14" s="1"/>
  <c r="AS92" i="14"/>
  <c r="AT92" i="14" s="1"/>
  <c r="AP92" i="14"/>
  <c r="AQ92" i="14" s="1"/>
  <c r="AM92" i="14"/>
  <c r="AN92" i="14" s="1"/>
  <c r="AJ92" i="14"/>
  <c r="AK92" i="14" s="1"/>
  <c r="AY91" i="14"/>
  <c r="AZ91" i="14" s="1"/>
  <c r="AV91" i="14"/>
  <c r="AW91" i="14" s="1"/>
  <c r="AS91" i="14"/>
  <c r="AT91" i="14" s="1"/>
  <c r="AP91" i="14"/>
  <c r="AQ91" i="14" s="1"/>
  <c r="AM91" i="14"/>
  <c r="AN91" i="14" s="1"/>
  <c r="AJ91" i="14"/>
  <c r="AK91" i="14" s="1"/>
  <c r="AY90" i="14"/>
  <c r="AZ90" i="14" s="1"/>
  <c r="AV90" i="14"/>
  <c r="AW90" i="14" s="1"/>
  <c r="AS90" i="14"/>
  <c r="AT90" i="14" s="1"/>
  <c r="AP90" i="14"/>
  <c r="AQ90" i="14" s="1"/>
  <c r="AM90" i="14"/>
  <c r="AN90" i="14" s="1"/>
  <c r="AJ90" i="14"/>
  <c r="AK90" i="14" s="1"/>
  <c r="AY89" i="14"/>
  <c r="AZ89" i="14" s="1"/>
  <c r="AV89" i="14"/>
  <c r="AW89" i="14" s="1"/>
  <c r="AS89" i="14"/>
  <c r="AT89" i="14" s="1"/>
  <c r="AP89" i="14"/>
  <c r="AQ89" i="14" s="1"/>
  <c r="AM89" i="14"/>
  <c r="AN89" i="14" s="1"/>
  <c r="AJ89" i="14"/>
  <c r="AK89" i="14" s="1"/>
  <c r="AY85" i="14"/>
  <c r="AV85" i="14"/>
  <c r="AS85" i="14"/>
  <c r="AP85" i="14"/>
  <c r="AM85" i="14"/>
  <c r="AJ85" i="14"/>
  <c r="AY84" i="14"/>
  <c r="AV84" i="14"/>
  <c r="AS84" i="14"/>
  <c r="AP84" i="14"/>
  <c r="AM84" i="14"/>
  <c r="AJ84" i="14"/>
  <c r="AY83" i="14"/>
  <c r="AZ83" i="14" s="1"/>
  <c r="AV83" i="14"/>
  <c r="AW83" i="14" s="1"/>
  <c r="AS83" i="14"/>
  <c r="AT83" i="14" s="1"/>
  <c r="AP83" i="14"/>
  <c r="AQ83" i="14" s="1"/>
  <c r="AM83" i="14"/>
  <c r="AN83" i="14" s="1"/>
  <c r="AJ83" i="14"/>
  <c r="AK83" i="14" s="1"/>
  <c r="AY82" i="14"/>
  <c r="AV82" i="14"/>
  <c r="AS82" i="14"/>
  <c r="AP82" i="14"/>
  <c r="AM82" i="14"/>
  <c r="AJ82" i="14"/>
  <c r="AY78" i="14"/>
  <c r="AV78" i="14"/>
  <c r="AS78" i="14"/>
  <c r="AP78" i="14"/>
  <c r="AM78" i="14"/>
  <c r="AJ78" i="14"/>
  <c r="AY74" i="14"/>
  <c r="AZ74" i="14" s="1"/>
  <c r="AV74" i="14"/>
  <c r="AW74" i="14" s="1"/>
  <c r="AS74" i="14"/>
  <c r="AT74" i="14" s="1"/>
  <c r="AP74" i="14"/>
  <c r="AQ74" i="14" s="1"/>
  <c r="AM74" i="14"/>
  <c r="AN74" i="14" s="1"/>
  <c r="AJ74" i="14"/>
  <c r="AK74" i="14" s="1"/>
  <c r="AY73" i="14"/>
  <c r="AZ73" i="14" s="1"/>
  <c r="AV73" i="14"/>
  <c r="AW73" i="14" s="1"/>
  <c r="AS73" i="14"/>
  <c r="AT73" i="14" s="1"/>
  <c r="AP73" i="14"/>
  <c r="AQ73" i="14" s="1"/>
  <c r="AM73" i="14"/>
  <c r="AN73" i="14" s="1"/>
  <c r="AJ73" i="14"/>
  <c r="AK73" i="14" s="1"/>
  <c r="AY72" i="14"/>
  <c r="AZ72" i="14" s="1"/>
  <c r="AV72" i="14"/>
  <c r="AW72" i="14" s="1"/>
  <c r="AS72" i="14"/>
  <c r="AT72" i="14" s="1"/>
  <c r="AP72" i="14"/>
  <c r="AQ72" i="14" s="1"/>
  <c r="AM72" i="14"/>
  <c r="AN72" i="14" s="1"/>
  <c r="AJ72" i="14"/>
  <c r="AK72" i="14" s="1"/>
  <c r="AY71" i="14"/>
  <c r="AZ71" i="14" s="1"/>
  <c r="AV71" i="14"/>
  <c r="AW71" i="14" s="1"/>
  <c r="AS71" i="14"/>
  <c r="AT71" i="14" s="1"/>
  <c r="AP71" i="14"/>
  <c r="AQ71" i="14" s="1"/>
  <c r="AM71" i="14"/>
  <c r="AN71" i="14" s="1"/>
  <c r="AJ71" i="14"/>
  <c r="AK71" i="14" s="1"/>
  <c r="AY70" i="14"/>
  <c r="AZ70" i="14" s="1"/>
  <c r="AV70" i="14"/>
  <c r="AW70" i="14" s="1"/>
  <c r="AS70" i="14"/>
  <c r="AT70" i="14" s="1"/>
  <c r="AP70" i="14"/>
  <c r="AQ70" i="14" s="1"/>
  <c r="AM70" i="14"/>
  <c r="AN70" i="14" s="1"/>
  <c r="AJ70" i="14"/>
  <c r="AK70" i="14" s="1"/>
  <c r="AY69" i="14"/>
  <c r="AZ69" i="14" s="1"/>
  <c r="AV69" i="14"/>
  <c r="AW69" i="14" s="1"/>
  <c r="AS69" i="14"/>
  <c r="AT69" i="14" s="1"/>
  <c r="AP69" i="14"/>
  <c r="AQ69" i="14" s="1"/>
  <c r="AM69" i="14"/>
  <c r="AN69" i="14" s="1"/>
  <c r="AJ69" i="14"/>
  <c r="AK69" i="14" s="1"/>
  <c r="AY68" i="14"/>
  <c r="AZ68" i="14" s="1"/>
  <c r="AV68" i="14"/>
  <c r="AW68" i="14" s="1"/>
  <c r="AS68" i="14"/>
  <c r="AT68" i="14" s="1"/>
  <c r="AP68" i="14"/>
  <c r="AQ68" i="14" s="1"/>
  <c r="AM68" i="14"/>
  <c r="AN68" i="14" s="1"/>
  <c r="AJ68" i="14"/>
  <c r="AK68" i="14" s="1"/>
  <c r="AY67" i="14"/>
  <c r="AZ67" i="14" s="1"/>
  <c r="AV67" i="14"/>
  <c r="AW67" i="14" s="1"/>
  <c r="AS67" i="14"/>
  <c r="AT67" i="14" s="1"/>
  <c r="AP67" i="14"/>
  <c r="AQ67" i="14" s="1"/>
  <c r="AM67" i="14"/>
  <c r="AN67" i="14" s="1"/>
  <c r="AJ67" i="14"/>
  <c r="AK67" i="14" s="1"/>
  <c r="AY66" i="14"/>
  <c r="AZ66" i="14" s="1"/>
  <c r="AV66" i="14"/>
  <c r="AW66" i="14" s="1"/>
  <c r="AS66" i="14"/>
  <c r="AT66" i="14" s="1"/>
  <c r="AP66" i="14"/>
  <c r="AQ66" i="14" s="1"/>
  <c r="AM66" i="14"/>
  <c r="AN66" i="14" s="1"/>
  <c r="AJ66" i="14"/>
  <c r="AK66" i="14" s="1"/>
  <c r="AY65" i="14"/>
  <c r="AZ65" i="14" s="1"/>
  <c r="AV65" i="14"/>
  <c r="AW65" i="14" s="1"/>
  <c r="AS65" i="14"/>
  <c r="AT65" i="14" s="1"/>
  <c r="AP65" i="14"/>
  <c r="AQ65" i="14" s="1"/>
  <c r="AM65" i="14"/>
  <c r="AN65" i="14" s="1"/>
  <c r="AJ65" i="14"/>
  <c r="AK65" i="14" s="1"/>
  <c r="I5" i="1" l="1"/>
  <c r="D13" i="12"/>
  <c r="F13" i="12"/>
  <c r="J13" i="12"/>
  <c r="AZ134" i="3"/>
  <c r="I179" i="3" s="1"/>
  <c r="AZ47" i="3"/>
  <c r="I154" i="3" s="1"/>
  <c r="BB114" i="3"/>
  <c r="J171" i="3" s="1"/>
  <c r="AZ125" i="3"/>
  <c r="I176" i="3" s="1"/>
  <c r="AZ17" i="3"/>
  <c r="I145" i="3" s="1"/>
  <c r="AZ111" i="3"/>
  <c r="I170" i="3" s="1"/>
  <c r="BB23" i="3"/>
  <c r="J148" i="3" s="1"/>
  <c r="AZ131" i="3"/>
  <c r="I178" i="3" s="1"/>
  <c r="AZ105" i="3"/>
  <c r="I169" i="3" s="1"/>
  <c r="BB20" i="3"/>
  <c r="J147" i="3" s="1"/>
  <c r="BB57" i="3"/>
  <c r="J157" i="3" s="1"/>
  <c r="BB66" i="3"/>
  <c r="J156" i="3" s="1"/>
  <c r="AZ81" i="3"/>
  <c r="I164" i="3" s="1"/>
  <c r="BB99" i="3"/>
  <c r="J168" i="3" s="1"/>
  <c r="AZ108" i="3"/>
  <c r="I175" i="3" s="1"/>
  <c r="J179" i="3"/>
  <c r="BB60" i="3"/>
  <c r="J160" i="3" s="1"/>
  <c r="BB63" i="3"/>
  <c r="J161" i="3" s="1"/>
  <c r="AZ84" i="3"/>
  <c r="I165" i="3" s="1"/>
  <c r="BB93" i="3"/>
  <c r="J173" i="3" s="1"/>
  <c r="AZ128" i="3"/>
  <c r="I177" i="3" s="1"/>
  <c r="AZ29" i="3"/>
  <c r="I149" i="3" s="1"/>
  <c r="BB26" i="3"/>
  <c r="J146" i="3" s="1"/>
  <c r="AZ57" i="3"/>
  <c r="I157" i="3" s="1"/>
  <c r="BB69" i="3"/>
  <c r="J158" i="3" s="1"/>
  <c r="AZ78" i="3"/>
  <c r="I163" i="3" s="1"/>
  <c r="BB87" i="3"/>
  <c r="J166" i="3" s="1"/>
  <c r="AZ117" i="3"/>
  <c r="I174" i="3" s="1"/>
  <c r="AZ23" i="3"/>
  <c r="I148" i="3" s="1"/>
  <c r="BB17" i="3"/>
  <c r="J145" i="3" s="1"/>
  <c r="BB41" i="3"/>
  <c r="J153" i="3" s="1"/>
  <c r="BB47" i="3"/>
  <c r="J154" i="3" s="1"/>
  <c r="AZ60" i="3"/>
  <c r="I160" i="3" s="1"/>
  <c r="AZ63" i="3"/>
  <c r="I161" i="3" s="1"/>
  <c r="BB84" i="3"/>
  <c r="J165" i="3" s="1"/>
  <c r="AZ114" i="3"/>
  <c r="I171" i="3" s="1"/>
  <c r="BB125" i="3"/>
  <c r="J176" i="3" s="1"/>
  <c r="BB35" i="3"/>
  <c r="J151" i="3" s="1"/>
  <c r="AZ75" i="3"/>
  <c r="I162" i="3" s="1"/>
  <c r="BB72" i="3"/>
  <c r="J159" i="3" s="1"/>
  <c r="AZ96" i="3"/>
  <c r="I172" i="3" s="1"/>
  <c r="BB139" i="3"/>
  <c r="J180" i="3" s="1"/>
  <c r="AZ102" i="3"/>
  <c r="I167" i="3" s="1"/>
  <c r="BB29" i="3"/>
  <c r="J149" i="3" s="1"/>
  <c r="BB111" i="3"/>
  <c r="J170" i="3" s="1"/>
  <c r="AZ38" i="3"/>
  <c r="I152" i="3" s="1"/>
  <c r="AZ66" i="3"/>
  <c r="I156" i="3" s="1"/>
  <c r="BB81" i="3"/>
  <c r="J164" i="3" s="1"/>
  <c r="AZ99" i="3"/>
  <c r="I168" i="3" s="1"/>
  <c r="BB108" i="3"/>
  <c r="J175" i="3" s="1"/>
  <c r="BB105" i="3"/>
  <c r="J169" i="3" s="1"/>
  <c r="AZ32" i="3"/>
  <c r="I150" i="3" s="1"/>
  <c r="AZ20" i="3"/>
  <c r="I147" i="3" s="1"/>
  <c r="BB131" i="3"/>
  <c r="J178" i="3" s="1"/>
  <c r="AZ69" i="3"/>
  <c r="I158" i="3" s="1"/>
  <c r="BB78" i="3"/>
  <c r="J163" i="3" s="1"/>
  <c r="BB117" i="3"/>
  <c r="J174" i="3" s="1"/>
  <c r="BB32" i="3"/>
  <c r="J150" i="3" s="1"/>
  <c r="BB128" i="3"/>
  <c r="J177" i="3" s="1"/>
  <c r="AZ35" i="3"/>
  <c r="I151" i="3" s="1"/>
  <c r="BB54" i="3"/>
  <c r="J155" i="3" s="1"/>
  <c r="AZ26" i="3"/>
  <c r="I146" i="3" s="1"/>
  <c r="BB38" i="3"/>
  <c r="J152" i="3" s="1"/>
  <c r="BB102" i="3"/>
  <c r="J167" i="3" s="1"/>
  <c r="AZ93" i="3"/>
  <c r="I173" i="3" s="1"/>
  <c r="AZ41" i="3"/>
  <c r="I153" i="3" s="1"/>
  <c r="AZ54" i="3"/>
  <c r="I155" i="3" s="1"/>
  <c r="BB75" i="3"/>
  <c r="J162" i="3" s="1"/>
  <c r="AZ72" i="3"/>
  <c r="I159" i="3" s="1"/>
  <c r="BB96" i="3"/>
  <c r="J172" i="3" s="1"/>
  <c r="AZ139" i="3"/>
  <c r="I180" i="3" s="1"/>
  <c r="B30" i="3"/>
  <c r="B27" i="3"/>
  <c r="B18" i="3"/>
  <c r="D9" i="12"/>
  <c r="J9" i="12"/>
  <c r="F9" i="12"/>
  <c r="I66" i="3"/>
  <c r="AQ68" i="3" s="1"/>
  <c r="I81" i="3"/>
  <c r="U41" i="3"/>
  <c r="U66" i="3"/>
  <c r="U47" i="3"/>
  <c r="I99" i="3"/>
  <c r="U63" i="3"/>
  <c r="I63" i="3"/>
  <c r="I75" i="3"/>
  <c r="I84" i="3"/>
  <c r="I114" i="3"/>
  <c r="I78" i="3"/>
  <c r="U108" i="3"/>
  <c r="U60" i="3"/>
  <c r="I87" i="3"/>
  <c r="U84" i="3"/>
  <c r="I69" i="3"/>
  <c r="AQ71" i="3" s="1"/>
  <c r="U81" i="3"/>
  <c r="I41" i="3"/>
  <c r="I60" i="3"/>
  <c r="I125" i="3"/>
  <c r="I108" i="3"/>
  <c r="I117" i="3"/>
  <c r="I139" i="3"/>
  <c r="I96" i="3"/>
  <c r="I47" i="3"/>
  <c r="B129" i="3"/>
  <c r="I166" i="3"/>
  <c r="E11" i="12"/>
  <c r="AC29" i="3"/>
  <c r="G149" i="3" s="1"/>
  <c r="U114" i="3"/>
  <c r="AC26" i="3"/>
  <c r="G146" i="3" s="1"/>
  <c r="AC128" i="3"/>
  <c r="G177" i="3" s="1"/>
  <c r="Y131" i="3"/>
  <c r="F178" i="3" s="1"/>
  <c r="AC131" i="3"/>
  <c r="G178" i="3" s="1"/>
  <c r="D12" i="12"/>
  <c r="Y134" i="3"/>
  <c r="F179" i="3" s="1"/>
  <c r="AC111" i="3"/>
  <c r="G170" i="3" s="1"/>
  <c r="Y111" i="3"/>
  <c r="F170" i="3" s="1"/>
  <c r="U72" i="3"/>
  <c r="AC32" i="3"/>
  <c r="G150" i="3" s="1"/>
  <c r="G9" i="12"/>
  <c r="U99" i="3"/>
  <c r="I12" i="12"/>
  <c r="E12" i="12"/>
  <c r="E15" i="12"/>
  <c r="D16" i="12"/>
  <c r="Y32" i="3"/>
  <c r="F150" i="3" s="1"/>
  <c r="U75" i="3"/>
  <c r="D15" i="12"/>
  <c r="Y38" i="3"/>
  <c r="F152" i="3" s="1"/>
  <c r="U69" i="3"/>
  <c r="U54" i="3"/>
  <c r="U78" i="3"/>
  <c r="I54" i="3"/>
  <c r="AQ56" i="3" s="1"/>
  <c r="U125" i="3"/>
  <c r="U117" i="3"/>
  <c r="I72" i="3"/>
  <c r="U139" i="3"/>
  <c r="U96" i="3"/>
  <c r="U87" i="3"/>
  <c r="I10" i="12"/>
  <c r="G12" i="12"/>
  <c r="F15" i="12"/>
  <c r="J18" i="12"/>
  <c r="H16" i="12"/>
  <c r="I16" i="12"/>
  <c r="G15" i="12"/>
  <c r="I17" i="12"/>
  <c r="I13" i="12"/>
  <c r="I18" i="12"/>
  <c r="P56" i="1"/>
  <c r="F14" i="12"/>
  <c r="J10" i="12"/>
  <c r="G17" i="12"/>
  <c r="E14" i="12"/>
  <c r="H10" i="12"/>
  <c r="Y26" i="3"/>
  <c r="AC38" i="3"/>
  <c r="AC105" i="3"/>
  <c r="G169" i="3" s="1"/>
  <c r="E18" i="12"/>
  <c r="Y102" i="3"/>
  <c r="F167" i="3" s="1"/>
  <c r="Y128" i="3"/>
  <c r="F177" i="3" s="1"/>
  <c r="Y29" i="3"/>
  <c r="Y57" i="3"/>
  <c r="F157" i="3" s="1"/>
  <c r="J11" i="12"/>
  <c r="AC17" i="3"/>
  <c r="G145" i="3" s="1"/>
  <c r="AC102" i="3"/>
  <c r="G167" i="3" s="1"/>
  <c r="D14" i="12"/>
  <c r="H17" i="12"/>
  <c r="AD9" i="1"/>
  <c r="G10" i="12"/>
  <c r="W5" i="1"/>
  <c r="D11" i="12"/>
  <c r="I11" i="12"/>
  <c r="E10" i="12"/>
  <c r="P5" i="1"/>
  <c r="AL9" i="2"/>
  <c r="F16" i="12"/>
  <c r="W5" i="2"/>
  <c r="AD47" i="2"/>
  <c r="AT56" i="3"/>
  <c r="AD9" i="2"/>
  <c r="AD28" i="1"/>
  <c r="I5" i="2"/>
  <c r="AQ59" i="3"/>
  <c r="AL9" i="1"/>
  <c r="F11" i="12"/>
  <c r="H13" i="12"/>
  <c r="P5" i="2"/>
  <c r="P53" i="2"/>
  <c r="B39" i="3"/>
  <c r="AT71" i="3"/>
  <c r="D18" i="12"/>
  <c r="B58" i="3"/>
  <c r="AT59" i="3"/>
  <c r="B33" i="3"/>
  <c r="AT68" i="3"/>
  <c r="B36" i="3"/>
  <c r="B24" i="3"/>
  <c r="J20" i="14" l="1"/>
  <c r="Z32" i="14"/>
  <c r="R35" i="14"/>
  <c r="J44" i="14"/>
  <c r="J47" i="14"/>
  <c r="J26" i="14"/>
  <c r="J35" i="14"/>
  <c r="R29" i="14"/>
  <c r="J34" i="14"/>
  <c r="J31" i="14"/>
  <c r="Z44" i="14"/>
  <c r="J29" i="14"/>
  <c r="Z40" i="14"/>
  <c r="R27" i="14"/>
  <c r="R24" i="14"/>
  <c r="R31" i="14"/>
  <c r="R33" i="14"/>
  <c r="Z47" i="14"/>
  <c r="R26" i="14"/>
  <c r="R16" i="14"/>
  <c r="Z33" i="14"/>
  <c r="Z51" i="14"/>
  <c r="Z31" i="14"/>
  <c r="J27" i="14"/>
  <c r="Z41" i="14"/>
  <c r="J40" i="14"/>
  <c r="R20" i="14"/>
  <c r="Z34" i="14"/>
  <c r="Z58" i="14"/>
  <c r="J24" i="14"/>
  <c r="Z28" i="14"/>
  <c r="Z46" i="14"/>
  <c r="J33" i="14"/>
  <c r="Z52" i="14"/>
  <c r="R53" i="14"/>
  <c r="J45" i="14"/>
  <c r="Z10" i="14"/>
  <c r="R9" i="14"/>
  <c r="J8" i="14"/>
  <c r="R54" i="14"/>
  <c r="J42" i="14"/>
  <c r="Z12" i="14"/>
  <c r="R10" i="14"/>
  <c r="J11" i="14"/>
  <c r="Z53" i="14"/>
  <c r="Z54" i="14"/>
  <c r="Z43" i="14"/>
  <c r="R25" i="14"/>
  <c r="Z14" i="14"/>
  <c r="R13" i="14"/>
  <c r="J10" i="14"/>
  <c r="Z9" i="14"/>
  <c r="Z25" i="14"/>
  <c r="J9" i="14"/>
  <c r="Z39" i="14"/>
  <c r="R45" i="14"/>
  <c r="J25" i="14"/>
  <c r="Z15" i="14"/>
  <c r="R14" i="14"/>
  <c r="J12" i="14"/>
  <c r="Z42" i="14"/>
  <c r="Z11" i="14"/>
  <c r="J14" i="14"/>
  <c r="R52" i="14"/>
  <c r="J43" i="14"/>
  <c r="R11" i="14"/>
  <c r="J15" i="14"/>
  <c r="Z13" i="14"/>
  <c r="J39" i="14"/>
  <c r="Z45" i="14"/>
  <c r="R43" i="14"/>
  <c r="Z8" i="14"/>
  <c r="R15" i="14"/>
  <c r="J13" i="14"/>
  <c r="R42" i="14"/>
  <c r="R8" i="14"/>
  <c r="R17" i="14"/>
  <c r="R39" i="14"/>
  <c r="R12" i="14"/>
  <c r="Z16" i="14"/>
  <c r="R32" i="14"/>
  <c r="Z20" i="14"/>
  <c r="Z30" i="14"/>
  <c r="R44" i="14"/>
  <c r="J46" i="14"/>
  <c r="Z27" i="14"/>
  <c r="J28" i="14"/>
  <c r="J30" i="14"/>
  <c r="J41" i="14"/>
  <c r="R41" i="14"/>
  <c r="Z24" i="14"/>
  <c r="Z35" i="14"/>
  <c r="R46" i="14"/>
  <c r="Z26" i="14"/>
  <c r="J32" i="14"/>
  <c r="R30" i="14"/>
  <c r="J16" i="14"/>
  <c r="R28" i="14"/>
  <c r="R47" i="14"/>
  <c r="R58" i="14"/>
  <c r="Z29" i="14"/>
  <c r="R51" i="14"/>
  <c r="R34" i="14"/>
  <c r="R40" i="14"/>
  <c r="AK5" i="1"/>
  <c r="G2" i="1" s="1"/>
  <c r="J54" i="14"/>
  <c r="AH5" i="2"/>
  <c r="G2" i="2" s="1"/>
  <c r="F149" i="3"/>
  <c r="F146" i="3"/>
  <c r="G152" i="3"/>
  <c r="J51" i="14"/>
  <c r="J53" i="14"/>
  <c r="J52" i="14"/>
  <c r="AK35" i="3" l="1"/>
  <c r="AJ35" i="3"/>
  <c r="AK111" i="3"/>
  <c r="AJ111" i="3"/>
  <c r="AK23" i="3"/>
  <c r="AJ23" i="3"/>
  <c r="AK26" i="3"/>
  <c r="AJ26" i="3"/>
  <c r="AK105" i="3"/>
  <c r="AJ105" i="3"/>
  <c r="AK128" i="3"/>
  <c r="AJ128" i="3"/>
  <c r="AK38" i="3"/>
  <c r="AJ38" i="3"/>
  <c r="AK134" i="3"/>
  <c r="AJ134" i="3"/>
  <c r="AK17" i="3"/>
  <c r="AJ17" i="3"/>
  <c r="AK57" i="3"/>
  <c r="AJ57" i="3"/>
  <c r="AK29" i="3"/>
  <c r="AJ29" i="3"/>
  <c r="AK131" i="3"/>
  <c r="AJ131" i="3"/>
  <c r="AK102" i="3"/>
  <c r="AJ102" i="3"/>
  <c r="AK20" i="3"/>
  <c r="AJ20" i="3"/>
  <c r="AK32" i="3"/>
  <c r="AJ32" i="3"/>
  <c r="U11" i="3" l="1"/>
  <c r="U35" i="3"/>
  <c r="U111" i="3"/>
  <c r="U23" i="3"/>
  <c r="U26" i="3"/>
  <c r="U105" i="3"/>
  <c r="U93" i="3"/>
  <c r="U128" i="3"/>
  <c r="U38" i="3"/>
  <c r="U134" i="3"/>
  <c r="U17" i="3"/>
  <c r="U57" i="3"/>
  <c r="U29" i="3"/>
  <c r="U131" i="3"/>
  <c r="U102" i="3"/>
  <c r="U20" i="3"/>
  <c r="U32" i="3"/>
  <c r="J26" i="3" l="1"/>
  <c r="K11" i="3"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Akers, Dianne M (SL)</author>
  </authors>
  <commentList>
    <comment ref="AV6" authorId="0" shapeId="0" xr:uid="{7CA06D85-38F9-4955-88B2-FFEFB1F9BC13}">
      <text>
        <r>
          <rPr>
            <b/>
            <sz val="9"/>
            <color indexed="81"/>
            <rFont val="Tahoma"/>
            <family val="2"/>
          </rPr>
          <t>Akers, Dianne M (SL):</t>
        </r>
        <r>
          <rPr>
            <sz val="9"/>
            <color indexed="81"/>
            <rFont val="Tahoma"/>
            <family val="2"/>
          </rPr>
          <t xml:space="preserve">
Column X
</t>
        </r>
      </text>
    </comment>
    <comment ref="AW6" authorId="0" shapeId="0" xr:uid="{3895B43A-53B7-4CD0-AF07-2ED9CE7E7EC1}">
      <text>
        <r>
          <rPr>
            <b/>
            <sz val="9"/>
            <color indexed="81"/>
            <rFont val="Tahoma"/>
            <family val="2"/>
          </rPr>
          <t>Akers, Dianne M (SL):</t>
        </r>
        <r>
          <rPr>
            <sz val="9"/>
            <color indexed="81"/>
            <rFont val="Tahoma"/>
            <family val="2"/>
          </rPr>
          <t xml:space="preserve">
Column AB</t>
        </r>
      </text>
    </comment>
    <comment ref="AY6" authorId="0" shapeId="0" xr:uid="{2639AC14-CFE8-40AE-86F7-AE50E9AE88F8}">
      <text>
        <r>
          <rPr>
            <b/>
            <sz val="9"/>
            <color indexed="81"/>
            <rFont val="Tahoma"/>
            <family val="2"/>
          </rPr>
          <t>Akers, Dianne M (SL):</t>
        </r>
        <r>
          <rPr>
            <sz val="9"/>
            <color indexed="81"/>
            <rFont val="Tahoma"/>
            <family val="2"/>
          </rPr>
          <t xml:space="preserve">
Column W
</t>
        </r>
      </text>
    </comment>
    <comment ref="BA6" authorId="0" shapeId="0" xr:uid="{8A85F73D-96E2-4524-B5B2-431204013746}">
      <text>
        <r>
          <rPr>
            <b/>
            <sz val="9"/>
            <color indexed="81"/>
            <rFont val="Tahoma"/>
            <family val="2"/>
          </rPr>
          <t>Akers, Dianne M (SL):</t>
        </r>
        <r>
          <rPr>
            <sz val="9"/>
            <color indexed="81"/>
            <rFont val="Tahoma"/>
            <family val="2"/>
          </rPr>
          <t xml:space="preserve">
Column AA
</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0" fCollapsed="0"/>
        </ext>
      </extLst>
    </bk>
  </futureMetadata>
  <cellMetadata count="1">
    <bk>
      <rc t="1" v="0"/>
    </bk>
  </cellMetadata>
</metadata>
</file>

<file path=xl/sharedStrings.xml><?xml version="1.0" encoding="utf-8"?>
<sst xmlns="http://schemas.openxmlformats.org/spreadsheetml/2006/main" count="4695" uniqueCount="599">
  <si>
    <t>Project Name</t>
  </si>
  <si>
    <t>OpCo</t>
  </si>
  <si>
    <t>Sanction Released to OpCo</t>
  </si>
  <si>
    <t>Sellafield</t>
  </si>
  <si>
    <t>FBC
(Sep-20)</t>
  </si>
  <si>
    <t>Security Systems Architecture Upgrade (SSAU)</t>
  </si>
  <si>
    <t>FBC
(Mar-20)</t>
  </si>
  <si>
    <t>SEP Solid Waste Storage Retrievals</t>
  </si>
  <si>
    <t>FBC
(Jan-16)</t>
  </si>
  <si>
    <t>GDF Community Engagement &amp; Site Evaluation (Project 2)</t>
  </si>
  <si>
    <t>RWM</t>
  </si>
  <si>
    <t>FBC
(Jan-20)</t>
  </si>
  <si>
    <t>FBC
(Dec-17)</t>
  </si>
  <si>
    <t>Chimney Decommissioning Phase 2F</t>
  </si>
  <si>
    <t>FBC
(Apr-21)</t>
  </si>
  <si>
    <t>FBC
(Jul-21)</t>
  </si>
  <si>
    <t>FBC
(Dec-21)</t>
  </si>
  <si>
    <t>Steam Generating Heavy Water Reactor (SGHWR)</t>
  </si>
  <si>
    <t>Magnox</t>
  </si>
  <si>
    <t>FBC
(Sep-21)</t>
  </si>
  <si>
    <t>OBC
(Dec-17)</t>
  </si>
  <si>
    <t>OBC
(Jan-20)</t>
  </si>
  <si>
    <t>327.0
(to FBC)</t>
  </si>
  <si>
    <r>
      <t>•</t>
    </r>
    <r>
      <rPr>
        <b/>
        <sz val="10"/>
        <color rgb="FF00B050"/>
        <rFont val="Arial"/>
        <family val="2"/>
      </rPr>
      <t>Green</t>
    </r>
    <r>
      <rPr>
        <sz val="10"/>
        <color rgb="FF000000"/>
        <rFont val="Arial"/>
        <family val="2"/>
      </rPr>
      <t xml:space="preserve"> - Successful delivery of the project on time, agreed spend and quality appears highly achievable and there are no major outstanding issues that at this stage appear to threaten delivery significantly.</t>
    </r>
  </si>
  <si>
    <r>
      <t>•</t>
    </r>
    <r>
      <rPr>
        <b/>
        <sz val="10"/>
        <color rgb="FFFFC000"/>
        <rFont val="Arial"/>
        <family val="2"/>
      </rPr>
      <t>Amber</t>
    </r>
    <r>
      <rPr>
        <sz val="10"/>
        <color rgb="FF000000"/>
        <rFont val="Arial"/>
        <family val="2"/>
      </rPr>
      <t xml:space="preserve"> - Successful delivery appears feasible but significant issues already exist, require management attention. These appear resolvable at this stage and, if addressed promptly, should not present a cost/schedule overrun.</t>
    </r>
  </si>
  <si>
    <r>
      <t>•</t>
    </r>
    <r>
      <rPr>
        <b/>
        <sz val="10"/>
        <color rgb="FFFF0000"/>
        <rFont val="Arial"/>
        <family val="2"/>
      </rPr>
      <t>Red</t>
    </r>
    <r>
      <rPr>
        <sz val="10"/>
        <color rgb="FF000000"/>
        <rFont val="Arial"/>
        <family val="2"/>
      </rPr>
      <t xml:space="preserve"> - Successful delivery of the project appears to be unachievable. There are major issues with project definition, schedule, agreed spend, quality and/or benefits delivery, which at this stage do not appear to be manageable or resolvable. The project may need re-scoping and/or its overall viability reassessed.</t>
    </r>
  </si>
  <si>
    <t>HMT Approved Business Case</t>
  </si>
  <si>
    <r>
      <t>•</t>
    </r>
    <r>
      <rPr>
        <sz val="10"/>
        <color rgb="FF000000"/>
        <rFont val="Arial"/>
        <family val="2"/>
      </rPr>
      <t>HMT Approval – Latest HMT approved business case and date (MM-YY) this was approved by HMT (by the Chief Secretary to the Treasury).</t>
    </r>
  </si>
  <si>
    <r>
      <t>•</t>
    </r>
    <r>
      <rPr>
        <sz val="10"/>
        <color rgb="FF000000"/>
        <rFont val="Arial"/>
        <family val="2"/>
      </rPr>
      <t>Whole Life Cost (P80) – as taken from the latest HMT approved business case; expressed in nominal (fully escalated) terms.</t>
    </r>
  </si>
  <si>
    <r>
      <t>•</t>
    </r>
    <r>
      <rPr>
        <sz val="10"/>
        <color rgb="FF000000"/>
        <rFont val="Arial"/>
        <family val="2"/>
      </rPr>
      <t>End Date (P80) - as taken from the latest HMT approved business case; no project spend should have been in the business case beyond this date.</t>
    </r>
  </si>
  <si>
    <t>Sanction</t>
  </si>
  <si>
    <t>Current Baseline</t>
  </si>
  <si>
    <r>
      <t>•</t>
    </r>
    <r>
      <rPr>
        <sz val="10"/>
        <color rgb="FF000000"/>
        <rFont val="Arial"/>
        <family val="2"/>
      </rPr>
      <t>Denotes the business case (OBC or FBC) and date (MM-YY) the current baseline was last updated – i.e. the date the Change Control Request (CCR) was implemented and was first used for performance reporting.</t>
    </r>
  </si>
  <si>
    <t>Whole Life</t>
  </si>
  <si>
    <r>
      <t>•</t>
    </r>
    <r>
      <rPr>
        <sz val="10"/>
        <color rgb="FF000000"/>
        <rFont val="Arial"/>
        <family val="2"/>
      </rPr>
      <t>Cost</t>
    </r>
  </si>
  <si>
    <r>
      <t>•</t>
    </r>
    <r>
      <rPr>
        <sz val="10"/>
        <color rgb="FF000000"/>
        <rFont val="Arial"/>
        <family val="2"/>
      </rPr>
      <t>Current Baseline (P50) – as taken from the current baseline; expressed in real (current financial year) terms.</t>
    </r>
  </si>
  <si>
    <r>
      <t xml:space="preserve">•Estimate At Completion (EAC) </t>
    </r>
    <r>
      <rPr>
        <sz val="10"/>
        <color rgb="FF000000"/>
        <rFont val="Arial"/>
        <family val="2"/>
      </rPr>
      <t xml:space="preserve">– also known as </t>
    </r>
    <r>
      <rPr>
        <sz val="10"/>
        <color theme="1"/>
        <rFont val="Arial"/>
        <family val="2"/>
      </rPr>
      <t>Reported Forecast Lifecycle ACWP</t>
    </r>
  </si>
  <si>
    <r>
      <t>•</t>
    </r>
    <r>
      <rPr>
        <sz val="10"/>
        <color rgb="FF000000"/>
        <rFont val="Arial"/>
        <family val="2"/>
      </rPr>
      <t>End Date</t>
    </r>
  </si>
  <si>
    <r>
      <t>•</t>
    </r>
    <r>
      <rPr>
        <sz val="10"/>
        <color rgb="FF000000"/>
        <rFont val="Arial"/>
        <family val="2"/>
      </rPr>
      <t>Current Baseline (P50) – as taken from the current baseline.</t>
    </r>
  </si>
  <si>
    <r>
      <t>•</t>
    </r>
    <r>
      <rPr>
        <sz val="10"/>
        <color rgb="FF000000"/>
        <rFont val="Arial"/>
        <family val="2"/>
      </rPr>
      <t>End Date - reflects the project manager’s best judgement on when the project is completed; no monies should be spent by the project after this date.</t>
    </r>
  </si>
  <si>
    <t>Lifetime To Date</t>
  </si>
  <si>
    <r>
      <t>•</t>
    </r>
    <r>
      <rPr>
        <sz val="10"/>
        <color rgb="FF000000"/>
        <rFont val="Arial"/>
        <family val="2"/>
      </rPr>
      <t>All of the earned value metrics and % complete metrics in this section relate to performance against the Current Baseline (P50).</t>
    </r>
  </si>
  <si>
    <t>Capability and Capacity – as defined by the IPA</t>
  </si>
  <si>
    <r>
      <t>•</t>
    </r>
    <r>
      <rPr>
        <b/>
        <sz val="10"/>
        <color rgb="FF00B050"/>
        <rFont val="Arial"/>
        <family val="2"/>
      </rPr>
      <t>Green</t>
    </r>
    <r>
      <rPr>
        <sz val="10"/>
        <color rgb="FF000000"/>
        <rFont val="Arial"/>
        <family val="2"/>
      </rPr>
      <t>: Capability in this area is largely satisfactory for successfully delivering project time, cost and quality.</t>
    </r>
  </si>
  <si>
    <r>
      <t>•</t>
    </r>
    <r>
      <rPr>
        <b/>
        <sz val="10"/>
        <color rgb="FFFFC000"/>
        <rFont val="Arial"/>
        <family val="2"/>
      </rPr>
      <t>Amber</t>
    </r>
    <r>
      <rPr>
        <sz val="10"/>
        <color rgb="FF000000"/>
        <rFont val="Arial"/>
        <family val="2"/>
      </rPr>
      <t>: Some concern over capability in this area, with possible implications for successful delivery of the project to time, cost and quality.</t>
    </r>
  </si>
  <si>
    <r>
      <t>•</t>
    </r>
    <r>
      <rPr>
        <b/>
        <sz val="10"/>
        <color rgb="FFFF0000"/>
        <rFont val="Arial"/>
        <family val="2"/>
      </rPr>
      <t>Red</t>
    </r>
    <r>
      <rPr>
        <sz val="10"/>
        <color rgb="FF000000"/>
        <rFont val="Arial"/>
        <family val="2"/>
      </rPr>
      <t>: Lack of capability in this area presents an serious concern and may impact on the successful delivery of the project to time, cost and quality.</t>
    </r>
  </si>
  <si>
    <t>People RAG</t>
  </si>
  <si>
    <t>Approved Business Case and Sanction</t>
  </si>
  <si>
    <t>Approved Business Case</t>
  </si>
  <si>
    <t>Whole
Life Cost
(P80)</t>
  </si>
  <si>
    <t>Project End Date (P80)</t>
  </si>
  <si>
    <t>Sanction Approved
to NDA</t>
  </si>
  <si>
    <t>OBC
(Jul-20)</t>
  </si>
  <si>
    <t>360
(to FBC)</t>
  </si>
  <si>
    <t>Whole
Life Cost
(P50)</t>
  </si>
  <si>
    <t>Project End Date (P50)</t>
  </si>
  <si>
    <t>The DCA is to be measured against the P80 whole life cost and project end date from the latest approved business case, or sanction approved to NDA, whichever is the higher. Approval being achieved only once the highest governance body has approved the business case, not at any prior endorsement governance steps.</t>
  </si>
  <si>
    <t xml:space="preserve">The current baseline plan is updated once the OpCo Board has approved / endorsed the project business case and the CCR has been implemented in the OpCo’s reporting system, which for major projects will be earlier than HMT approval to the latest business case. </t>
  </si>
  <si>
    <r>
      <t>•</t>
    </r>
    <r>
      <rPr>
        <sz val="10"/>
        <color rgb="FF000000"/>
        <rFont val="Arial"/>
        <family val="2"/>
      </rPr>
      <t>Sanction Approved to NDA – total spend that HMT has currently sanctioned that the NDA can spend on the project; expressed in nominal (fully escalated) terms.</t>
    </r>
  </si>
  <si>
    <r>
      <t>•</t>
    </r>
    <r>
      <rPr>
        <sz val="10"/>
        <color rgb="FF000000"/>
        <rFont val="Arial"/>
        <family val="2"/>
      </rPr>
      <t>Sanction Released to OpCo - total spend that NDA has currently sanctioned that the OpCo can spend on the project; expressed in nominal (fully escalated) terms.</t>
    </r>
  </si>
  <si>
    <t>The Baseline Performance RAG is to be measured against the project end date and whole life cost in the current implemented baseline plan (which is set at P50). It should reflect the impact of any known pending change(s) related to an authorised trend, but which have not yet been implemented in the baseline by a Change Control Request (CCR).</t>
  </si>
  <si>
    <t>Description of Change</t>
  </si>
  <si>
    <t>P8 2021/22</t>
  </si>
  <si>
    <t>Both sanction values increased by £25.0m in line with Covid-19 impact drawdown approved by GIC in Aug-21.</t>
  </si>
  <si>
    <t>Both sanction values increased by £21.6m in line with Covid-19 impact drawdown approved by GIC in Oct-21.</t>
  </si>
  <si>
    <t>Reporting Period Change Made</t>
  </si>
  <si>
    <t>P9 2021/22</t>
  </si>
  <si>
    <t>?</t>
  </si>
  <si>
    <t>Baseline RAG</t>
  </si>
  <si>
    <t>Baseline</t>
  </si>
  <si>
    <t>Capability and Capacity</t>
  </si>
  <si>
    <t>Baseline
 RAG</t>
  </si>
  <si>
    <t>Current Baseline in Effect From</t>
  </si>
  <si>
    <t>Project Cost</t>
  </si>
  <si>
    <t>Project End Date</t>
  </si>
  <si>
    <t>Budgeted Cost Work Scheduled (BCWS)</t>
  </si>
  <si>
    <t>Budgeted Cost Work Performed (BCWP)</t>
  </si>
  <si>
    <t>Actual
Cost Work Performed (ACWP)</t>
  </si>
  <si>
    <t>Cost
Perf. Index (CPI)</t>
  </si>
  <si>
    <t>Schedule Perf.  Index (SPI)</t>
  </si>
  <si>
    <t>% Complete</t>
  </si>
  <si>
    <t>Current Baseline (P50)</t>
  </si>
  <si>
    <t>Estimate
At Complete (EAC)</t>
  </si>
  <si>
    <t>EAC 
vs. Last Period</t>
  </si>
  <si>
    <t>Forecast</t>
  </si>
  <si>
    <t xml:space="preserve"> Forecast vs. Last Period (Days)</t>
  </si>
  <si>
    <t>Actual</t>
  </si>
  <si>
    <t>EAC Last Period</t>
  </si>
  <si>
    <t>R</t>
  </si>
  <si>
    <t>è</t>
  </si>
  <si>
    <t>A</t>
  </si>
  <si>
    <t>G</t>
  </si>
  <si>
    <t>EAC vs. Last Period</t>
  </si>
  <si>
    <t>Self Shielded Boxes Design and Manufacture</t>
  </si>
  <si>
    <t>35/10128</t>
  </si>
  <si>
    <t>N/A</t>
  </si>
  <si>
    <t>BEPPS2</t>
  </si>
  <si>
    <t>35/07654</t>
  </si>
  <si>
    <t>Box Encapsulation Plant</t>
  </si>
  <si>
    <t>35/10137</t>
  </si>
  <si>
    <t>35/06075</t>
  </si>
  <si>
    <t>Box Encapsulation Plant Product Store Direct Import Facility</t>
  </si>
  <si>
    <t>35/10095</t>
  </si>
  <si>
    <t>PFCS Full Retrievals - Project 1</t>
  </si>
  <si>
    <t>35/10242</t>
  </si>
  <si>
    <t>Sellafield 3m3 Box Supply - Tranche A</t>
  </si>
  <si>
    <t>35/09198</t>
  </si>
  <si>
    <t>35/09707</t>
  </si>
  <si>
    <t>35/05396</t>
  </si>
  <si>
    <t>Lightly Shielded Store (LSS)</t>
  </si>
  <si>
    <t>35/09203</t>
  </si>
  <si>
    <t>Sellafield Product &amp; Residue Store Retreatment Plant</t>
  </si>
  <si>
    <t>35/09592</t>
  </si>
  <si>
    <t>SIXEP Continuity Plant</t>
  </si>
  <si>
    <t>35/09343</t>
  </si>
  <si>
    <t>Electrical Supply - New Construction</t>
  </si>
  <si>
    <t>35/09140</t>
  </si>
  <si>
    <t>Replacement Analytical Project</t>
  </si>
  <si>
    <t>35/09269</t>
  </si>
  <si>
    <t>CNC Operational Unit</t>
  </si>
  <si>
    <t>35/09968</t>
  </si>
  <si>
    <t>Enhanced CNC Airwave System (Encrypted Comms)</t>
  </si>
  <si>
    <t>35/09976</t>
  </si>
  <si>
    <t>35/09975</t>
  </si>
  <si>
    <t>FBC Add.
(Mar-21)</t>
  </si>
  <si>
    <t>FBC Add.
(Aug-21)</t>
  </si>
  <si>
    <t>FBC
(Aug-21)</t>
  </si>
  <si>
    <t>OBC
(Jun-19)</t>
  </si>
  <si>
    <t>FBC
(Mar-21)</t>
  </si>
  <si>
    <t>Current Baseline
(P50)</t>
  </si>
  <si>
    <t>EAC vs. Approved BC WLC (P80)</t>
  </si>
  <si>
    <t>EAC vs. Sanction Approved to NDA (P80)</t>
  </si>
  <si>
    <t>EAC vs. Current Baseline (P50)</t>
  </si>
  <si>
    <t>Forecast  End Date vs. Approved BC (P80)</t>
  </si>
  <si>
    <t>Forecast  End Date  vs. Current Baseline (P50)</t>
  </si>
  <si>
    <t>DCA Comparison</t>
  </si>
  <si>
    <t>Baseline RAG Comparison</t>
  </si>
  <si>
    <t>Previous Period Data for Variance Calcs</t>
  </si>
  <si>
    <r>
      <t>•</t>
    </r>
    <r>
      <rPr>
        <sz val="10"/>
        <color rgb="FF000000"/>
        <rFont val="Arial"/>
        <family val="2"/>
      </rPr>
      <t xml:space="preserve">Cost Performance Index (CPI) RAG – </t>
    </r>
    <r>
      <rPr>
        <b/>
        <sz val="10"/>
        <color rgb="FF00B050"/>
        <rFont val="Arial"/>
        <family val="2"/>
      </rPr>
      <t xml:space="preserve">Green </t>
    </r>
    <r>
      <rPr>
        <sz val="10"/>
        <color rgb="FF000000"/>
        <rFont val="Arial"/>
        <family val="2"/>
      </rPr>
      <t xml:space="preserve">&gt;= 1.00; </t>
    </r>
    <r>
      <rPr>
        <b/>
        <sz val="10"/>
        <color rgb="FFFFC000"/>
        <rFont val="Arial"/>
        <family val="2"/>
      </rPr>
      <t>Amber</t>
    </r>
    <r>
      <rPr>
        <sz val="10"/>
        <color rgb="FF000000"/>
        <rFont val="Arial"/>
        <family val="2"/>
      </rPr>
      <t xml:space="preserve"> &gt;= 0.95; </t>
    </r>
    <r>
      <rPr>
        <b/>
        <sz val="10"/>
        <color rgb="FFFF0000"/>
        <rFont val="Arial"/>
        <family val="2"/>
      </rPr>
      <t>Red</t>
    </r>
    <r>
      <rPr>
        <sz val="10"/>
        <color rgb="FF000000"/>
        <rFont val="Arial"/>
        <family val="2"/>
      </rPr>
      <t xml:space="preserve"> &lt; 0.95</t>
    </r>
  </si>
  <si>
    <r>
      <t>•</t>
    </r>
    <r>
      <rPr>
        <sz val="10"/>
        <color rgb="FF000000"/>
        <rFont val="Arial"/>
        <family val="2"/>
      </rPr>
      <t xml:space="preserve">Schedule Performance Index (SPI) RAG – </t>
    </r>
    <r>
      <rPr>
        <b/>
        <sz val="10"/>
        <color rgb="FF00B050"/>
        <rFont val="Arial"/>
        <family val="2"/>
      </rPr>
      <t>Green</t>
    </r>
    <r>
      <rPr>
        <sz val="10"/>
        <color rgb="FF000000"/>
        <rFont val="Arial"/>
        <family val="2"/>
      </rPr>
      <t xml:space="preserve"> &gt;= 0.95; </t>
    </r>
    <r>
      <rPr>
        <b/>
        <sz val="10"/>
        <color rgb="FFFFC000"/>
        <rFont val="Arial"/>
        <family val="2"/>
      </rPr>
      <t>Amber</t>
    </r>
    <r>
      <rPr>
        <sz val="10"/>
        <color rgb="FF000000"/>
        <rFont val="Arial"/>
        <family val="2"/>
      </rPr>
      <t xml:space="preserve"> &gt;=0.90; </t>
    </r>
    <r>
      <rPr>
        <b/>
        <sz val="10"/>
        <color rgb="FFFF0000"/>
        <rFont val="Arial"/>
        <family val="2"/>
      </rPr>
      <t>Red</t>
    </r>
    <r>
      <rPr>
        <sz val="10"/>
        <color rgb="FF000000"/>
        <rFont val="Arial"/>
        <family val="2"/>
      </rPr>
      <t xml:space="preserve"> &lt; 0.90 </t>
    </r>
  </si>
  <si>
    <t>Minor correction: Sanction Approved to NDA changed from £139.0m to £139.6m</t>
  </si>
  <si>
    <t>FBC
(Oct-19)</t>
  </si>
  <si>
    <t>Business Case
Approval Date</t>
  </si>
  <si>
    <t>P10 2021/22</t>
  </si>
  <si>
    <t>Whole Life Cost P80 increased by £21.6m in line with Covid-19 impact drawdown. Business Case Project End Date (P80) of Dec-24 aligns with the £315.3m 'Covid-19 drawdown adjusted' Whole Life Cost (P80).</t>
  </si>
  <si>
    <t>Current Baseline (P50) first added to this report</t>
  </si>
  <si>
    <t>P11 2021/22</t>
  </si>
  <si>
    <t>Changes to Current Baseline (P50)</t>
  </si>
  <si>
    <t>Baseline (P50) Last Period</t>
  </si>
  <si>
    <t>Change to Baseline (P50)</t>
  </si>
  <si>
    <t>P12
2021/22</t>
  </si>
  <si>
    <t>Correction as figures quoted in P10 were Business Case figures</t>
  </si>
  <si>
    <t>Correction as figure quoted in P10 was Business Case / Sanction figure</t>
  </si>
  <si>
    <t>OBC
(Mar-22)</t>
  </si>
  <si>
    <t>P12 2021/22</t>
  </si>
  <si>
    <t>Correction in SL systems</t>
  </si>
  <si>
    <t>Current Baseline (P50) updated as per Q4 GMPP Return</t>
  </si>
  <si>
    <t>SRO Delivery Confidence Assessment (DCA)</t>
  </si>
  <si>
    <t xml:space="preserve">The Senior Responsible Owner (SRO) DCA is created by the project and reflects its view on the overall project deliverability against the approved business case. </t>
  </si>
  <si>
    <t>This assessment is informed, when applicable, by recent Assurance Reviews as well as progress and issues that have arisen since the review. The assessment is owned by the SRO.</t>
  </si>
  <si>
    <t>Cost</t>
  </si>
  <si>
    <t>End Date</t>
  </si>
  <si>
    <t>Forecast Last Period</t>
  </si>
  <si>
    <t>P2
2022/23</t>
  </si>
  <si>
    <t>n/a</t>
  </si>
  <si>
    <t>3m3 Box Contract Tranche A</t>
  </si>
  <si>
    <t>Calder Demolition &amp; Land Clearance (OBC Model)</t>
  </si>
  <si>
    <t>LAETP Floc Retrievals</t>
  </si>
  <si>
    <t>ILW East Zone Phase 1 Land Excavation</t>
  </si>
  <si>
    <t>CNC Encrypted Comms</t>
  </si>
  <si>
    <t>Delivery Confidence Assessment
(DCA)</t>
  </si>
  <si>
    <t>35/10398</t>
  </si>
  <si>
    <t>35/10417</t>
  </si>
  <si>
    <t>Project Number</t>
  </si>
  <si>
    <t>FBC
(Oct-21)</t>
  </si>
  <si>
    <t>384.6
(to FBC)</t>
  </si>
  <si>
    <t>351.6
(to FBC)</t>
  </si>
  <si>
    <t>P3 
2022/23</t>
  </si>
  <si>
    <t>Business Case
(P50)</t>
  </si>
  <si>
    <t>Business Case
(P80)</t>
  </si>
  <si>
    <r>
      <t xml:space="preserve">Whole Life Cost P80 increased by £25.0m in line with Covid-19 impact drawdown. 
</t>
    </r>
    <r>
      <rPr>
        <i/>
        <u/>
        <sz val="9"/>
        <rFont val="Arial"/>
        <family val="2"/>
      </rPr>
      <t>Note</t>
    </r>
    <r>
      <rPr>
        <i/>
        <sz val="9"/>
        <rFont val="Arial"/>
        <family val="2"/>
      </rPr>
      <t>: No point in updating the BC dates (P50) and (P80) to reflect Covid-19 impact drawdown as forecast completion and cost would still be such that SRO DCA remains red. The route to green SRO DCA for this project is a resubmission Business Case which is currently expected to go to SL IRP in Nov 2022, following which it will go to NDA and HMG.</t>
    </r>
  </si>
  <si>
    <t>P4 2022/23</t>
  </si>
  <si>
    <t>Whole Life Cost P50 increased by £25.0m in line with Covid-19 impact drawdown (should have done this in P10 21/22)</t>
  </si>
  <si>
    <r>
      <t xml:space="preserve">Whole Life Cost P80 increased to £249.3m - no other changes requested. Note: no additional sanction released to the OpCo under this submission. </t>
    </r>
    <r>
      <rPr>
        <i/>
        <sz val="9"/>
        <rFont val="Arial"/>
        <family val="2"/>
      </rPr>
      <t xml:space="preserve">
</t>
    </r>
    <r>
      <rPr>
        <i/>
        <u/>
        <sz val="9"/>
        <rFont val="Arial"/>
        <family val="2"/>
      </rPr>
      <t>Note</t>
    </r>
    <r>
      <rPr>
        <i/>
        <sz val="9"/>
        <rFont val="Arial"/>
        <family val="2"/>
      </rPr>
      <t>: No point in updating the BC dates (P50) and (P80) to reflect Covid-19 impact drawdown as forecast completion and cost would still be such that SRO DCA remains red. The route to green SRO DCA for this project is a resubmission Business Case which is currently expected to be taken to TAP in Dec 2022.</t>
    </r>
  </si>
  <si>
    <t>Whole Life Cost P50 increased by £11.3m in line with Covid-19 impact drawdown (should have done this in P2 22/23).</t>
  </si>
  <si>
    <t>FBC
(Jul-22)</t>
  </si>
  <si>
    <t>P4</t>
  </si>
  <si>
    <t>BEP FBC Resubmission received CST approval 26 July 2022</t>
  </si>
  <si>
    <t>Both sanction values increased by £13.9m following the approach detailed within the NDA Covid-19 Sanction Request paper approved by HMT. Although the covid total impact was £38.9m the existing P80 contingency was used to partially offset the impact, thereby reducing the drawdown. Sellafield Ltd only requested NDA approval of the P50 (P80 is not required at this stage). £466.4 is the P80 figure identified in the Covid Sanction paper.</t>
  </si>
  <si>
    <t>Change Sanction Approved to NDA as £466.4m to align with the P80 (should have done this P12 21/22).</t>
  </si>
  <si>
    <t>To reflect HMT approval of FBC in Dec-21 and associated approval and release of sanction.</t>
  </si>
  <si>
    <t>Whole Life Cost P50 and P80 increased by £24.6m in line with Covid-19 impact drawdown (should have done this in P3 22/23).</t>
  </si>
  <si>
    <t>Whole Life Cost P50 increased by £21.6m in line with Covid-19 impact drawdown (should have done this in P10 21/22).
Project End Date P50 needs to be updated in line with the Covid-19 impact drawdown - i.e. aligned with the revised P80 date of 01-Dec-24. Have changed to current baseline P50 date of 10-Apr-24 (should have done this in P10 21/22).</t>
  </si>
  <si>
    <t>Project Delivery Directorate</t>
  </si>
  <si>
    <t>Value Stream: Spent Fuel Management</t>
  </si>
  <si>
    <t>Value Stream: Retrievals</t>
  </si>
  <si>
    <t>Value Stream: Remediation</t>
  </si>
  <si>
    <t>P5 2022/23</t>
  </si>
  <si>
    <t>Corrections provided by NDA Sanction Team</t>
  </si>
  <si>
    <t>P50 and P80 end date increased by 9 months in line with Covid-19 impact drawdown (should have done this in P3 22/23).</t>
  </si>
  <si>
    <t>P5 soft launch addition to MPPR, in line with HMT condition
Values from pg 3 of SL/IRP/20/092 - The P80 cost is inclusive of Covid impact and escalation. NDA has released P50 to SL at GIC 16 March 2021.</t>
  </si>
  <si>
    <t>P7
2022/23</t>
  </si>
  <si>
    <t>Whole life P50 increased by £5.43m to account for Covid-19 impact (please note SL Ltd starting position in paper SL/IRP/22/045 stated £1329.59m rather than the HMG approved £1330.0m - rounding issue - NDA to resend official correspondence taking into account approved value).
We note that there has been a new P80 date provided however not updated as request applies to P50 only and pending query to SL. Paper SL/IRP/22/045 suggests project completion date is 1 year earlier than in HMG approved business case.</t>
  </si>
  <si>
    <r>
      <t>Table of Changes</t>
    </r>
    <r>
      <rPr>
        <sz val="8"/>
        <color theme="1"/>
        <rFont val="Arial"/>
        <family val="2"/>
      </rPr>
      <t xml:space="preserve"> (vs Last Period)</t>
    </r>
  </si>
  <si>
    <t>EAC</t>
  </si>
  <si>
    <t>Forecast End Date</t>
  </si>
  <si>
    <t>Baseline P50 Cost</t>
  </si>
  <si>
    <t>Baseline P50 End Date</t>
  </si>
  <si>
    <t>Intermediate Level Waste East Zone Phase 1 Excavation</t>
  </si>
  <si>
    <t>FBC
(Jan-23)</t>
  </si>
  <si>
    <t>P10
2022/23</t>
  </si>
  <si>
    <t>Please note both P50 and P80 values quoted are inflated. See page 11 of the Full Business Case. Dates provided indicated only month and year so deferred to the end of each month for reporting purposes.</t>
  </si>
  <si>
    <t>FBC
(Apr-23)</t>
  </si>
  <si>
    <t>P1
2023/24</t>
  </si>
  <si>
    <t xml:space="preserve">Please note both P50 and P80 values quoted are inflated. See page 2, 8 &amp; 9 of the Full Business Case. Please note slight discrrepancy in paper with regards to P80 completion date. Paper quotes both Oct 27 and Nov 27. </t>
  </si>
  <si>
    <t>Plan</t>
  </si>
  <si>
    <t/>
  </si>
  <si>
    <t>Approved Business Case (BC) &amp; Sanction</t>
  </si>
  <si>
    <t>Cumulative vs. Current Baseline</t>
  </si>
  <si>
    <t>Project</t>
  </si>
  <si>
    <t>SRO Delivery Confidence Assessment</t>
  </si>
  <si>
    <t>Business Case Approval Date</t>
  </si>
  <si>
    <t>Business Case (P50)</t>
  </si>
  <si>
    <t>Business Case (P80)</t>
  </si>
  <si>
    <t>Sanction Approved to NDA</t>
  </si>
  <si>
    <t>Current Baseline In Effect From</t>
  </si>
  <si>
    <t>Estimate at Complete (EAC)</t>
  </si>
  <si>
    <t>Forecast vs. Last Period (Days)</t>
  </si>
  <si>
    <t>Budgeted Cost Work Scheduled
(BCWS)</t>
  </si>
  <si>
    <r>
      <rPr>
        <sz val="10"/>
        <color rgb="FFFFFFFF"/>
        <rFont val="Arial"/>
        <family val="2"/>
      </rPr>
      <t xml:space="preserve">Budgeted Cost Work Performed
</t>
    </r>
    <r>
      <rPr>
        <sz val="10"/>
        <color rgb="FFFFFFFF"/>
        <rFont val="Arial"/>
        <family val="2"/>
      </rPr>
      <t>(BCWP)</t>
    </r>
  </si>
  <si>
    <r>
      <rPr>
        <sz val="10"/>
        <color rgb="FFFFFFFF"/>
        <rFont val="Arial"/>
        <family val="2"/>
      </rPr>
      <t xml:space="preserve">Actual Cost Work Performed
</t>
    </r>
    <r>
      <rPr>
        <sz val="10"/>
        <color rgb="FFFFFFFF"/>
        <rFont val="Arial"/>
        <family val="2"/>
      </rPr>
      <t>(ACWP)</t>
    </r>
  </si>
  <si>
    <r>
      <rPr>
        <sz val="10"/>
        <color rgb="FFFFFFFF"/>
        <rFont val="Arial"/>
        <family val="2"/>
      </rPr>
      <t xml:space="preserve">Cost Perf. Index
</t>
    </r>
    <r>
      <rPr>
        <sz val="10"/>
        <color rgb="FFFFFFFF"/>
        <rFont val="Arial"/>
        <family val="2"/>
      </rPr>
      <t>(CPI)</t>
    </r>
  </si>
  <si>
    <r>
      <rPr>
        <sz val="10"/>
        <color rgb="FFFFFFFF"/>
        <rFont val="Arial"/>
        <family val="2"/>
      </rPr>
      <t xml:space="preserve">Schedule Perf. Index
</t>
    </r>
    <r>
      <rPr>
        <sz val="10"/>
        <color rgb="FFFFFFFF"/>
        <rFont val="Arial"/>
        <family val="2"/>
      </rPr>
      <t>(SPI)</t>
    </r>
  </si>
  <si>
    <t>OBC</t>
  </si>
  <si>
    <t>LAETP Floc Retrieval</t>
  </si>
  <si>
    <t>FBC</t>
  </si>
  <si>
    <t>ILW East Land Excavation</t>
  </si>
  <si>
    <t>Delivery Confidence Assessment (DCA)</t>
  </si>
  <si>
    <t>EAC vs. Last Period (Movement)</t>
  </si>
  <si>
    <t>Latest EAC</t>
  </si>
  <si>
    <t>Planned</t>
  </si>
  <si>
    <t>P8</t>
  </si>
  <si>
    <t>P9</t>
  </si>
  <si>
    <t>P10</t>
  </si>
  <si>
    <t>P11</t>
  </si>
  <si>
    <t>P7</t>
  </si>
  <si>
    <t>P12</t>
  </si>
  <si>
    <t>P12 EAC</t>
  </si>
  <si>
    <t>Trend</t>
  </si>
  <si>
    <t>Box Encapsulation Plant Product Store DIF</t>
  </si>
  <si>
    <t>Sellafield Product &amp; Residue SRP</t>
  </si>
  <si>
    <t>Range Accuracy</t>
  </si>
  <si>
    <t>Lightly Shielded Stores (LSS)</t>
  </si>
  <si>
    <t>FBC 
(May-23)</t>
  </si>
  <si>
    <t>P2
2023/24</t>
  </si>
  <si>
    <t>Please note both P50 and P80 values quoted are inflated. See page 2 &amp; 10 of the Full Business Case resubmission version 2. (Approved on 10 May 2023). Only month and year provided for P50 &amp; P80 completion dates, so reverted to the 1st of the month.</t>
  </si>
  <si>
    <t>Both sanction values increased by £24.620m in line with Covid-19 impact drawdown approved by GIC in June 22. Please be advised that the RAP Covid Impact request paper reported the P80 @£360.714m. Past approvals have been checked and £360m has been confirmed. There are ongoing discussions with SL to explore where the additional £714k has come from.</t>
  </si>
  <si>
    <t xml:space="preserve">Solid Intermediate Level Waste Encapsulation (SILWE) </t>
  </si>
  <si>
    <t>FBC
(Jun-20)</t>
  </si>
  <si>
    <t>Orginal business case requested £88.59m @P80 (pg8 Gate 3c Issue 003) - however this was rounded to £89m by NDA with an additional management reserve of £4.5m added, taking cumulative value to £93.5 @ P80 escalated. Please note no adjustments made to P50. GIC approval 17 June 2020.</t>
  </si>
  <si>
    <t>FBC
(Jun-21)</t>
  </si>
  <si>
    <t>P5 soft launch addition to MPPR, in line with HMT condition
Whole Life Cost P50 and P80 increased by £3.5m to account for Covid-19 Impact - see page 2 of GIC004.05a. Management reserve of £4.5m held by NDA Programme Director - Magnox. GIC approval 15 June 2021.</t>
  </si>
  <si>
    <t xml:space="preserve">Modular ILW Encapsulation Plant (MILWEP) </t>
  </si>
  <si>
    <t>FBC
(Feb-20)</t>
  </si>
  <si>
    <t xml:space="preserve">Please note the P50 values of £44.392m and £8.498 (pg2 paper SC115.04a) have been rounded by the NDA to £45m and £9m respectively.
Please note the P80 values of £1.928  (SC115.04a) has been rounded by NDA to £4m to incorporate additional contingency (£45m+£9m+£4m=£58).
P80 value = £58m + £3m management reserve held by NDA Programme Director - Magnox. </t>
  </si>
  <si>
    <t>P5 soft launch addition to MPPR, in line with HMT condition
Whole Life Cost P50 &amp; P80 increased by £6m to account for Covid-19 Impact - see page 2 of GIC004.04a. Management reserve of £3m held by NDA Programme Director - Magnox. GIC approval 15 June 2021.</t>
  </si>
  <si>
    <t>Trawsfynydd Reactor Safestores Height Reduction</t>
  </si>
  <si>
    <t>OBC
(Jul-22)</t>
  </si>
  <si>
    <t>P5
2022/23</t>
  </si>
  <si>
    <t>P5 soft launch addition to MPPR, in line with HMT condition
Following GIC approval in P4 (July 2022) project now added to report. Please note the P50 and P80 values quoted are inflated and there is a minor discrepancy within the business case caused by rounding down from £73.138m to £73m (see page 2 vs 10). BC ref</t>
  </si>
  <si>
    <t>NWS</t>
  </si>
  <si>
    <t>Repository Development Programme Tranche 1 Project</t>
  </si>
  <si>
    <t>OBC
(Jan-17)</t>
  </si>
  <si>
    <t>P5 soft launch addition to MPPR, in line with HMT condition.
Please note P50 figure does not include inflation whereas the P80 value includes inflation. OBC sanction release was £14.5m (Jan 2017) with 2 subsequest sanction releases in 2020 and 2022, taking the cumulative sanction released to £33.1m.</t>
  </si>
  <si>
    <t xml:space="preserve">GDF Seismic Studies </t>
  </si>
  <si>
    <t>P5 soft launch addition to MPPR, in line with HMT condition.
Please note both P50 and P80 values quoted are inflated. No P50 completion date indicated in the FBC Business Case, however project completion is stated and assumed as P80 completion. Post FBC further £1.5m released as part of resubmission, taking cumulative sanction released to £12.8m.</t>
  </si>
  <si>
    <t xml:space="preserve">Berkeley Blower House Remediation </t>
  </si>
  <si>
    <t>FBC
(Nov-22)</t>
  </si>
  <si>
    <t>P8
2022/23</t>
  </si>
  <si>
    <t>Please note both P50 and P80 values quoted are inflated. See page 5 of the update Full Business Case version 4.3. (Approved on 25 November 2022).</t>
  </si>
  <si>
    <t>Dungeness Boilers Removal</t>
  </si>
  <si>
    <t>OBC
(Nov-22)</t>
  </si>
  <si>
    <t>P9
2022/23</t>
  </si>
  <si>
    <t>Please note the sanction approved to NDA = 0 as no further sanction has been sought from HMG to proceed to FBC stage. The NDA has released £11.3m to Mx within its own delegations via GIC in September 2021. Dates/values quoted referenced on page 20: section 5.3, Option 3 which align with HMT approval (excluding metals recycling).</t>
  </si>
  <si>
    <t>GDF Major Permissions</t>
  </si>
  <si>
    <t>Please note both P50 and P80 values quoted are inflated. See page 9 of the Outline Business Case. The project end dates are scenario dependant, this reporting has been aligned to the more complex scenario resulting in a 2041/42 completion date. Please note that the less complex (simple) have a forecast project completion date of 2033/34 (see pg 34 section 7.4). The Business Case no sanction has been approved or is sought at this stage.</t>
  </si>
  <si>
    <t>Asbestos Innovation Partnership</t>
  </si>
  <si>
    <t>P50 Life cost taken from pag1 of the Business Case. P50 project end date provided by Project Team as no dates provided in Business Case.</t>
  </si>
  <si>
    <t xml:space="preserve">GDF Property Value Protection Scheme Tranche 2 </t>
  </si>
  <si>
    <t>P12
2022/23</t>
  </si>
  <si>
    <t>added by NWS</t>
  </si>
  <si>
    <t>SIXEP Receipt Facility</t>
  </si>
  <si>
    <t>Hinkley Point A Vault Retrieval and Packaging</t>
  </si>
  <si>
    <t>FBC
(Jul-23)</t>
  </si>
  <si>
    <t>P4
2023/24</t>
  </si>
  <si>
    <r>
      <t xml:space="preserve">Both P50 and P80 values quoted are inflated. See page 3 &amp; 43 of the Full Business Case for values and end dates.
</t>
    </r>
    <r>
      <rPr>
        <b/>
        <sz val="9"/>
        <color theme="1"/>
        <rFont val="Arial"/>
        <family val="2"/>
      </rPr>
      <t xml:space="preserve">Please note: </t>
    </r>
    <r>
      <rPr>
        <sz val="9"/>
        <color theme="1"/>
        <rFont val="Arial"/>
        <family val="2"/>
      </rPr>
      <t xml:space="preserve">HMT CST confirmed approval of the FBC and the project sanction of £151.6m, bringing the cumulative project sanction to £157.7m (escalated P80). </t>
    </r>
  </si>
  <si>
    <t>35/10505</t>
  </si>
  <si>
    <t>Approved Business Case 
and Sanction</t>
  </si>
  <si>
    <t>OBC
(Sep-23)</t>
  </si>
  <si>
    <t>Box Encapsulation Plant Product Store 2</t>
  </si>
  <si>
    <t>P6
2023/24</t>
  </si>
  <si>
    <t>Please be advised that the whole life cost values are at OBC stage therefore not approved, but provide indication of FBC direction of travel. Please note the RCF (inflated) value in the buisness case is £882m.
Sanction released to OpCo and NDA are cumulative, P50 = £151m and P80 = £347m (inclusive of previously released sanction of £35m).
Date extracted from 0.44v BEPPS2 OBC.</t>
  </si>
  <si>
    <t>35/09000</t>
  </si>
  <si>
    <t>FBC
(Oct-23)</t>
  </si>
  <si>
    <t>P8
23/24</t>
  </si>
  <si>
    <t>FBC Resubmission inclusive of OB and 1E only. Projects relating to 2E and 3E, although delegated to the NDA, are to be considered as being within a separate programme tranche, so in this instance the overall £1,098m referred to in the BC will not be reported against.</t>
  </si>
  <si>
    <t>Calder Land Clearance</t>
  </si>
  <si>
    <t>Heat Exchanger Deplanting - Main Project</t>
  </si>
  <si>
    <t>Cumulativf vs. Currfnt Basflinf</t>
  </si>
  <si>
    <t>Budgftfd Cost Work Schfdulfd
(BCWS)</t>
  </si>
  <si>
    <t>P80 drawdown request of £17m approved at Group Investment Committee 25 Ocotber 2023.</t>
  </si>
  <si>
    <t>Sellafield Security Enhancement Programme (SSEP)</t>
  </si>
  <si>
    <t>35/05684</t>
  </si>
  <si>
    <t>35/10188</t>
  </si>
  <si>
    <t>35/10342</t>
  </si>
  <si>
    <t>35/10351</t>
  </si>
  <si>
    <t>MSSS Upgrades for Retrievals &amp; Resilience</t>
  </si>
  <si>
    <t>MSSS SEP3 Rails &amp; Brackets</t>
  </si>
  <si>
    <t>Data Centre Replacement Project</t>
  </si>
  <si>
    <t>Enablers: Information Services Organisation (ISO)</t>
  </si>
  <si>
    <t>Security &amp; Resilience</t>
  </si>
  <si>
    <t>P9
2023/24</t>
  </si>
  <si>
    <t>OBC
(Mar-20)</t>
  </si>
  <si>
    <t>FBC
(not approved)</t>
  </si>
  <si>
    <t>Not approved</t>
  </si>
  <si>
    <t>OBC
(Jan-24)</t>
  </si>
  <si>
    <t>P10
2023/24</t>
  </si>
  <si>
    <t xml:space="preserve">BC values and dates taken from pg 7 of the OBC. Recieived approval at GIC on the 24 Janaury 2024. </t>
  </si>
  <si>
    <t>PBC</t>
  </si>
  <si>
    <t>THORP Receipt &amp; Storage Control Systems Replacement</t>
  </si>
  <si>
    <t>interim position as DESNZ have approved sanction but bc not yet approved by HMT CST</t>
  </si>
  <si>
    <t>-</t>
  </si>
  <si>
    <t>MSSS 2nd and 3rd Extension Sub-Programme</t>
  </si>
  <si>
    <t>PBC
(Oct-21)</t>
  </si>
  <si>
    <r>
      <t>added in P9. BC and Sanction data provided by SL.</t>
    </r>
    <r>
      <rPr>
        <sz val="9"/>
        <color rgb="FFFF0000"/>
        <rFont val="Arial"/>
        <family val="2"/>
      </rPr>
      <t xml:space="preserve"> SL figures amended by NDA Sanction Team as the 'Sanction approved to NDA' and 'Sanction Released to OpCo' were incorrect. OBC stage gate also amended to FBC (incorrect). The FBC was approved by DESNZ on 19 November 2020 at £48.3m. Following approval of SSEP Programme covid-19 impact of £27.313m an additional £299k was distributed to CNC OU increasing the P50 and P80 sanction approved. 
Latest sanction release to OpCo was approved by NDA 28 July 2023 (OR-2023-739) taking cumulative released to £48.6m (rounded in letter to £48.7m). 
Original FBC dates excluded Covid-19 impacts - stated on pg. 17 of the original FBC to HMG. </t>
    </r>
  </si>
  <si>
    <r>
      <t xml:space="preserve">Values extracted from (SL/IRP/23/27) - page 2.  </t>
    </r>
    <r>
      <rPr>
        <b/>
        <u/>
        <sz val="9"/>
        <color rgb="FFFF0000"/>
        <rFont val="Arial"/>
        <family val="2"/>
      </rPr>
      <t xml:space="preserve">PLEASE NOTE: FBC Resubmission has not yet been approved by HMT CST. </t>
    </r>
    <r>
      <rPr>
        <sz val="9"/>
        <color rgb="FFFF0000"/>
        <rFont val="Arial"/>
        <family val="2"/>
      </rPr>
      <t xml:space="preserve">
The whole life cost at P80 of £79m is inclusive of £8m provision to accommodate time related costs due to risk of approvals delay. </t>
    </r>
  </si>
  <si>
    <r>
      <t xml:space="preserve">added in P9. BC and Sanction data provided by SL. </t>
    </r>
    <r>
      <rPr>
        <sz val="9"/>
        <color rgb="FFFF0000"/>
        <rFont val="Arial"/>
        <family val="2"/>
      </rPr>
      <t>NDA Sanction team extracted data from SL/IRP/21/055 SSEP Covid-19 update paper includes a £901k increase and 7 week delay to original approval (P50 = £24.937m and P80 = £31.039m). Dates extracted from table Table 1 – SSEP Programme Position Spend and Forecast against Programme Business Case.</t>
    </r>
  </si>
  <si>
    <r>
      <t>added in P9. BC and Sanction data provided by SL.</t>
    </r>
    <r>
      <rPr>
        <sz val="9"/>
        <color rgb="FFFF0000"/>
        <rFont val="Arial"/>
        <family val="2"/>
      </rPr>
      <t xml:space="preserve"> SL figures corrected to account for the removal of £63.5 (P80) for the Cyber Project (March 2017), inflation uplift of £48m (P80) approved by BEIS in November 2018, drawdown of £25m management reserve into the P80, and the covid-19 uplift of £27.3m in October 2021 following HMG approval. These add and omits against the</t>
    </r>
    <r>
      <rPr>
        <b/>
        <sz val="9"/>
        <color rgb="FFFF0000"/>
        <rFont val="Arial"/>
        <family val="2"/>
      </rPr>
      <t xml:space="preserve"> P80 (£855m) </t>
    </r>
    <r>
      <rPr>
        <sz val="9"/>
        <color rgb="FFFF0000"/>
        <rFont val="Arial"/>
        <family val="2"/>
      </rPr>
      <t xml:space="preserve">take the sanction value to £891.8m (P80). The P50 value includes the removal of the Cyber project at P50 = £60.4m, inflation at P50 = £34m, covid at £27.3m with no management reserve addition against the original P50 </t>
    </r>
    <r>
      <rPr>
        <b/>
        <sz val="9"/>
        <color rgb="FFFF0000"/>
        <rFont val="Arial"/>
        <family val="2"/>
      </rPr>
      <t>£774.5m.</t>
    </r>
  </si>
  <si>
    <r>
      <t xml:space="preserve">PBC
</t>
    </r>
    <r>
      <rPr>
        <sz val="6"/>
        <color theme="1"/>
        <rFont val="Arial"/>
        <family val="2"/>
      </rPr>
      <t>(addendum)</t>
    </r>
  </si>
  <si>
    <t>35/10371</t>
  </si>
  <si>
    <t>Sludge Handling &amp; Export Plant</t>
  </si>
  <si>
    <t>35/10475</t>
  </si>
  <si>
    <t>Product Zone Power Supply</t>
  </si>
  <si>
    <t>35/09244</t>
  </si>
  <si>
    <t>FGFL Ventilation Extract System Upgrade</t>
  </si>
  <si>
    <t>35/09357</t>
  </si>
  <si>
    <t>PMF North Transfers Project</t>
  </si>
  <si>
    <t>35/10151</t>
  </si>
  <si>
    <t>FHP &amp; SIXEP Roof Replacement</t>
  </si>
  <si>
    <t>35/10401</t>
  </si>
  <si>
    <t>Decommissioning Encapsulation Plant</t>
  </si>
  <si>
    <t>35/10402</t>
  </si>
  <si>
    <t>Remote Handlable Intermediate Level Waste (RHILW)</t>
  </si>
  <si>
    <t>35/10192</t>
  </si>
  <si>
    <t>TR&amp;S Replacement Cooling System</t>
  </si>
  <si>
    <t>35/10523</t>
  </si>
  <si>
    <t>Sample Management Capability</t>
  </si>
  <si>
    <t>35/10563</t>
  </si>
  <si>
    <t>Substation 10 Replacement</t>
  </si>
  <si>
    <t>35/10564</t>
  </si>
  <si>
    <t>Substation 15 Replacement</t>
  </si>
  <si>
    <t>35/10565</t>
  </si>
  <si>
    <t>EMRMS (Emergency Management Radiological Monitoring System)</t>
  </si>
  <si>
    <t>35/10545</t>
  </si>
  <si>
    <t>Degradation of Pipebridge 57 (PB57) L14, L15, L16 Refurbishment</t>
  </si>
  <si>
    <t xml:space="preserve">  </t>
  </si>
  <si>
    <t>MPPR</t>
  </si>
  <si>
    <t>EXTENDED</t>
  </si>
  <si>
    <t>BLANK</t>
  </si>
  <si>
    <t>SL BOARD REPORT</t>
  </si>
  <si>
    <t>35/09248</t>
  </si>
  <si>
    <t>Substation 6 &amp; 7 Replacement</t>
  </si>
  <si>
    <t>35/10274</t>
  </si>
  <si>
    <t>MSSS Electrical Distribution Upgrade for Retrievals</t>
  </si>
  <si>
    <t>Substations 6 &amp; 7 Replacement</t>
  </si>
  <si>
    <t>35/10478</t>
  </si>
  <si>
    <t>.</t>
  </si>
  <si>
    <t xml:space="preserve">Project Number </t>
  </si>
  <si>
    <t>ASC Exit (PICTS)</t>
  </si>
  <si>
    <t>FBC
(Apr-24)</t>
  </si>
  <si>
    <t>P1
2024/25</t>
  </si>
  <si>
    <r>
      <t xml:space="preserve">Please note that the project has undergone descoping activities, reducing the P50 from £70.7m to £68.5m and the P80 from £76.7 to </t>
    </r>
    <r>
      <rPr>
        <i/>
        <sz val="9"/>
        <color theme="1"/>
        <rFont val="Arial"/>
        <family val="2"/>
      </rPr>
      <t>£7</t>
    </r>
    <r>
      <rPr>
        <sz val="9"/>
        <color theme="1"/>
        <rFont val="Arial"/>
        <family val="2"/>
      </rPr>
      <t xml:space="preserve">4.6m
*please note that the P80 date was not present within the P80 drawdown paper - date provided by SL direct. </t>
    </r>
  </si>
  <si>
    <t>FBC
(Jun-24)</t>
  </si>
  <si>
    <t>P3
2024/25</t>
  </si>
  <si>
    <t>The reason why the ‘released to OpCo’ and ‘approved to NDA’ are now the same is because HMT have introduced new approval conditions stating that any P80 drawdown (£10m between P50 and P80) now requires DESNZ approval which means that the £79m is not approved to NDA at this stage. This value will likely change in the next 3 months as SL make a request for P80 drawdown to NDA, and then we subsequently make a request to DESNZ, this is due at GIC in c. September 24</t>
  </si>
  <si>
    <r>
      <rPr>
        <b/>
        <sz val="9"/>
        <color rgb="FFFF0000"/>
        <rFont val="Arial"/>
        <family val="2"/>
      </rPr>
      <t>Andrew - could you please advise where the £803.4m value come from please?</t>
    </r>
    <r>
      <rPr>
        <b/>
        <u/>
        <sz val="9"/>
        <color rgb="FFFF0000"/>
        <rFont val="Arial"/>
        <family val="2"/>
      </rPr>
      <t xml:space="preserve">
PLEASE NOTE: the Programme addendum (Resubmission) has not yet been approved by HMT CST. </t>
    </r>
    <r>
      <rPr>
        <sz val="9"/>
        <color rgb="FFFF0000"/>
        <rFont val="Arial"/>
        <family val="2"/>
      </rPr>
      <t xml:space="preserve">Current indications are that DESNZ will approve £8m less than requested for whole life cyle P80 (stated in cell F93). 
P50 and P80 dates are based on latest completion date of the three remaining live projects within SSEP which is currently CNC OU Project dates.  </t>
    </r>
  </si>
  <si>
    <r>
      <t xml:space="preserve">PBC </t>
    </r>
    <r>
      <rPr>
        <sz val="6"/>
        <color theme="1"/>
        <rFont val="Arial"/>
        <family val="2"/>
      </rPr>
      <t>addendum</t>
    </r>
    <r>
      <rPr>
        <sz val="9"/>
        <color theme="1"/>
        <rFont val="Arial"/>
        <family val="2"/>
      </rPr>
      <t xml:space="preserve">
(Jun-24)</t>
    </r>
  </si>
  <si>
    <t>P3 
2024/25</t>
  </si>
  <si>
    <t>The £904m has been extracted from the medium scenario within the SSEP Addendum (section 8.3 of SL/IRP/23/060).
The £921.8m is being utilised as a proxy for the P80 as this has been agreed with SL and DESNZ as the upper value programme value not to be exceeded. The £928.8m has not been approved to the NDA or by DESNZ PIC.
Utilised same P50 and P80 dates based on latest completion date of the three remaining live projects within SSEP (as above).</t>
  </si>
  <si>
    <t>FBC
(Mar-22)</t>
  </si>
  <si>
    <t>FBC update
(Jun-24)</t>
  </si>
  <si>
    <t>P4 2024/25</t>
  </si>
  <si>
    <t>Update to BC Approval date on SL request</t>
  </si>
  <si>
    <t xml:space="preserve">Values taken from pg8, table 1 of Sanction Inflation paper SL IRP (23) 073. 
</t>
  </si>
  <si>
    <r>
      <t xml:space="preserve">Please note both P50 and P80 values quoted are inflated. See page 2, 8 &amp; 9 of the Full Business Case. Please note slight discrrepancy in paper with regards to P80 completion date. Paper quotes both Oct 27 and Nov 27. 
</t>
    </r>
    <r>
      <rPr>
        <b/>
        <sz val="9"/>
        <color theme="1"/>
        <rFont val="Arial"/>
        <family val="2"/>
      </rPr>
      <t>Please note the NDA Accounting Officer approved £90m (SL request + management reserve) only releasing £75m (P50) to the OpCo.</t>
    </r>
  </si>
  <si>
    <r>
      <t xml:space="preserve">Values taken from pg8, table 1 of Sanction Inflation paper SL IRP (23) 073.
</t>
    </r>
    <r>
      <rPr>
        <b/>
        <sz val="9"/>
        <color theme="1"/>
        <rFont val="Arial"/>
        <family val="2"/>
      </rPr>
      <t>Please note</t>
    </r>
    <r>
      <rPr>
        <sz val="9"/>
        <color theme="1"/>
        <rFont val="Arial"/>
        <family val="2"/>
      </rPr>
      <t xml:space="preserve"> it appears the inflation increase appears lower due to rounding of previous sanction values. P50 = £74.6m &amp; P80 = £79.1m.</t>
    </r>
  </si>
  <si>
    <t>SRO 
Delivery Confidence Assessment
(DCA)</t>
  </si>
  <si>
    <t>Portfolio Summary</t>
  </si>
  <si>
    <t>SL Project Services Functional Strategy Project Landscape Map (Coded by Principle Current Commercial Delivery Framework)
(Projects with Lifecycle Forecast over £20M)</t>
  </si>
  <si>
    <t xml:space="preserve">  Total Lifetime EAC Value of SL Projects over £20M = </t>
  </si>
  <si>
    <t>Project Delivery Directorate (PDD)</t>
  </si>
  <si>
    <t>Remediation</t>
  </si>
  <si>
    <t>Retrievals</t>
  </si>
  <si>
    <t>Site Management Projects (SMPro)</t>
  </si>
  <si>
    <t>Director / Lead: A. Sharples</t>
  </si>
  <si>
    <t xml:space="preserve">Lifecycle Value: </t>
  </si>
  <si>
    <t>Director / Lead: G. McCracken</t>
  </si>
  <si>
    <t>Director / Lead: A. Armett</t>
  </si>
  <si>
    <t>Director / Lead: M. Johns</t>
  </si>
  <si>
    <t>PC Lead: Lee Edgar &amp; SPCMs</t>
  </si>
  <si>
    <t>PC Lead: A Grainger</t>
  </si>
  <si>
    <t>PC Lead: J Kolbe</t>
  </si>
  <si>
    <t>PC Lead: J Irving</t>
  </si>
  <si>
    <t>Site Management</t>
  </si>
  <si>
    <t>Infrastructure</t>
  </si>
  <si>
    <t>PPP</t>
  </si>
  <si>
    <t>Legacy</t>
  </si>
  <si>
    <t>Director / Lead: J. Brocklebank</t>
  </si>
  <si>
    <t>Director / Lead: C. Mills</t>
  </si>
  <si>
    <t>N.B. Project very close to completion</t>
  </si>
  <si>
    <t>PC Lead: S Jackson</t>
  </si>
  <si>
    <t>Proj No:</t>
  </si>
  <si>
    <t>Title:</t>
  </si>
  <si>
    <t>SRO</t>
  </si>
  <si>
    <t>Jeremy Hunt</t>
  </si>
  <si>
    <t>SPA</t>
  </si>
  <si>
    <t>Phil Reeve</t>
  </si>
  <si>
    <t>Glenn McCracken</t>
  </si>
  <si>
    <t>Kevin Brown</t>
  </si>
  <si>
    <t>Gavin Askew</t>
  </si>
  <si>
    <t>Lifecycle P50:</t>
  </si>
  <si>
    <t>Rob Hargreaves</t>
  </si>
  <si>
    <t>Michael Askew</t>
  </si>
  <si>
    <t>Andrew Pringle</t>
  </si>
  <si>
    <t>Utilites</t>
  </si>
  <si>
    <t>Stuart Pearson</t>
  </si>
  <si>
    <t>Analytical Services</t>
  </si>
  <si>
    <t>N.B. Project paused</t>
  </si>
  <si>
    <t>Kathryn McCloghrie</t>
  </si>
  <si>
    <t>Principle Project Commercial Delivery Framework Key</t>
  </si>
  <si>
    <t>Stuart Latham</t>
  </si>
  <si>
    <t xml:space="preserve"> Programme and Project Partners (PPP)</t>
  </si>
  <si>
    <t xml:space="preserve"> Legacy Bespoke Contracts (ie. BEP JV)</t>
  </si>
  <si>
    <t>Carl Carruthers</t>
  </si>
  <si>
    <t xml:space="preserve"> Decommissioning Delivery Partner (DDP)</t>
  </si>
  <si>
    <t xml:space="preserve"> Design Services Alliance (DSA)</t>
  </si>
  <si>
    <t xml:space="preserve"> Infrastructure Services Alliance (ISA)</t>
  </si>
  <si>
    <t>Special Nuclear Materials (SNM)</t>
  </si>
  <si>
    <t>Director / Lead: P. Nichol</t>
  </si>
  <si>
    <t>N.B. Project known as SWMRF</t>
  </si>
  <si>
    <t>TBC</t>
  </si>
  <si>
    <t>Simon Bremer</t>
  </si>
  <si>
    <t>SNM Future Stores</t>
  </si>
  <si>
    <t>ISO</t>
  </si>
  <si>
    <t>Future PPP Pipeline Projects currently in Study Phase and not currently reflected as a gated project</t>
  </si>
  <si>
    <t>PC Lead: J Beetham / D Burns</t>
  </si>
  <si>
    <t>35/10489</t>
  </si>
  <si>
    <t>Commoc Data Environment (CDE)</t>
  </si>
  <si>
    <t>SRO
SPA</t>
  </si>
  <si>
    <t>Jeremy Hunt
Paul Nichol</t>
  </si>
  <si>
    <t>Spent Fual Management (SFM)</t>
  </si>
  <si>
    <t>RAP Option Selection</t>
  </si>
  <si>
    <t>Director / Lead: S. Pearson</t>
  </si>
  <si>
    <t>Dominic Fitzsimmons</t>
  </si>
  <si>
    <t>Steve Wordsworth</t>
  </si>
  <si>
    <t>Director / Lead: G. Slater</t>
  </si>
  <si>
    <t>Graeme Slater</t>
  </si>
  <si>
    <t xml:space="preserve"> </t>
  </si>
  <si>
    <t>SOC</t>
  </si>
  <si>
    <t>Business Case</t>
  </si>
  <si>
    <t>Programme:</t>
  </si>
  <si>
    <t>Spent Fuel Management (SFM)</t>
  </si>
  <si>
    <t>SNM Future State</t>
  </si>
  <si>
    <t>SIXEP Capability</t>
  </si>
  <si>
    <t>Decommissioning Higher Active Waste Capability (DHAWC)</t>
  </si>
  <si>
    <t>Land and Infrastructure Future State</t>
  </si>
  <si>
    <t>Common Data Environment (CDE)</t>
  </si>
  <si>
    <t>Unified Command &amp; Control</t>
  </si>
  <si>
    <t>No Programme</t>
  </si>
  <si>
    <t>Utilities and Future Energy</t>
  </si>
  <si>
    <t>Magnox Swarf Storage Silo</t>
  </si>
  <si>
    <t>AGROP</t>
  </si>
  <si>
    <t>Pile Fuel Cladding Silo</t>
  </si>
  <si>
    <t>First Generation Magnox Storage Pond</t>
  </si>
  <si>
    <t>Magnox Swarf Storage Silos</t>
  </si>
  <si>
    <t>Retrievals Value Stream Waste Capabilities</t>
  </si>
  <si>
    <t xml:space="preserve">*1 - Final Decommissioning </t>
  </si>
  <si>
    <t xml:space="preserve">N.B *1 - Final Decommissioning OU is not a programme in the new construct </t>
  </si>
  <si>
    <t>Occom</t>
  </si>
  <si>
    <t>Director / Lead: J. Millington</t>
  </si>
  <si>
    <t>C. Carruthers</t>
  </si>
  <si>
    <t xml:space="preserve">PC Lead: J Beetham </t>
  </si>
  <si>
    <t>SOC Approval Date</t>
  </si>
  <si>
    <t xml:space="preserve">50% cost increase </t>
  </si>
  <si>
    <t xml:space="preserve">50% time increase </t>
  </si>
  <si>
    <t xml:space="preserve">Value Stream: Operations Directorate - Project Office </t>
  </si>
  <si>
    <t>Pd02</t>
  </si>
  <si>
    <t>Business Case Approval Dates</t>
  </si>
  <si>
    <t xml:space="preserve">Previous Period </t>
  </si>
  <si>
    <t>Current Period</t>
  </si>
  <si>
    <r>
      <t>Table of Changes</t>
    </r>
    <r>
      <rPr>
        <sz val="10"/>
        <color theme="1"/>
        <rFont val="Arial"/>
        <family val="2"/>
      </rPr>
      <t xml:space="preserve"> (vs Last Period)</t>
    </r>
  </si>
  <si>
    <t>Value Stream: Site Projects Office</t>
  </si>
  <si>
    <t>Site Project Office</t>
  </si>
  <si>
    <t>Categorised / Value Streams</t>
  </si>
  <si>
    <t>PC Lead: Programme PCMs</t>
  </si>
  <si>
    <t>Pd03</t>
  </si>
  <si>
    <r>
      <t>n/a</t>
    </r>
    <r>
      <rPr>
        <b/>
        <sz val="9"/>
        <color theme="0"/>
        <rFont val="Arial"/>
        <family val="2"/>
      </rPr>
      <t>(1)</t>
    </r>
  </si>
  <si>
    <r>
      <t>n/a</t>
    </r>
    <r>
      <rPr>
        <sz val="9"/>
        <color theme="0"/>
        <rFont val="Arial"/>
        <family val="2"/>
      </rPr>
      <t>(1)</t>
    </r>
  </si>
  <si>
    <t>FBC
(Jul-19)</t>
  </si>
  <si>
    <t>FBC
(Oct-20)</t>
  </si>
  <si>
    <t>OBC
(Jul-23)</t>
  </si>
  <si>
    <t>OBC
(Dec-23)</t>
  </si>
  <si>
    <t>SOC
(Mar-22)</t>
  </si>
  <si>
    <t>SOC
(Feb-23)</t>
  </si>
  <si>
    <t>OBC
(Mar-25)</t>
  </si>
  <si>
    <t>FBC
(Mar-23)</t>
  </si>
  <si>
    <t>FBC
(Feb-23)</t>
  </si>
  <si>
    <t>FBC
(Oct-22)</t>
  </si>
  <si>
    <t>OBC
(Feb-21)</t>
  </si>
  <si>
    <t>OBC
(Aug-21)</t>
  </si>
  <si>
    <t>FBC
(Sep-16)</t>
  </si>
  <si>
    <t>N/A
(Mar-24)</t>
  </si>
  <si>
    <t>N/A
(Mar-25)</t>
  </si>
  <si>
    <t>SOC
(Sep-21)</t>
  </si>
  <si>
    <t>FBC
(Feb-16)</t>
  </si>
  <si>
    <t>FBC
(Mar-15)</t>
  </si>
  <si>
    <t>SOC
(Apr-24)</t>
  </si>
  <si>
    <t>SOC
(Feb-24)</t>
  </si>
  <si>
    <t>Pd04</t>
  </si>
  <si>
    <t>Pd05</t>
  </si>
  <si>
    <t>This project relates to the manufacture and installation of the Rails supporting Silo Emptying Plant 3 (SEP3) and is prioritised into zones, aligned with installation and retrievals. The first project benefit was delivered on the 6th February 2025 with the installation of the Zone 1 rails, ready for the start of SEP3 installation. The Delivery Confidence Assessment is Amber as full project delivery is now not forecast until after the P80 date of March 2027. The project is currently forecast to be delivered for less than the P80 sanction value of £21.8m, however ongoing supply chain issues are likely to impact this. The Baseline RAG status is Amber, this is due to strategic priorities and performance of a tier 3 supplier.  Following the supply chain contractor entering administration in June 2025, the project and commercial teams are working with the administrator to progress the retrieval of the part-manufactured equipment, secure a medium-term storage facility and identify an alternative supply chain partner to complete the packages. Lifetime EAC may deteriorate due to the impact of the supply chain issues. However, it is currently expected that the project can still be delivered within sanction value and within timescales acceptable to the critical path of the Magnox Swarf Storage Silo (MSSS) Programme and will not directly impact Sustained Retrievals as the Zone 3 rails are not a requirement for the installation of the SEP3 machine. For this reason the DCA &amp; Baseline RAG can be rated at Amber rather than Red. Capability &amp; Capacity RAG status is Amber due to the ongoing supply chain issues.</t>
  </si>
  <si>
    <t>Pd06</t>
  </si>
  <si>
    <t>Pd07</t>
  </si>
  <si>
    <t>Trend at Pd07</t>
  </si>
  <si>
    <t>Gate 5 SPER held 24th September 2025, Green rating achieved. Post Investment Appraisal (PIA) form to be discussed at GPOC on 12th November. Delivery Confidence Assessment Green. First project benefit complete;  Pile Fuel Cladding Silo (PFCS) and Magnox Swarf Storage Silo (MSSS), boxes delivered remains healthy to satisfy current demand for at least the next 24 months. EAC remains within sanction value. Baseline RAG remains green. Handover to Manufacturing Products Organisation (MPO) for future box manufacture complete. SL team have received all Darchem Engineering Limited (DEL) products and are working with Metalcraft SMC to provide concessions for remaining skips and open up tolerances for future products. Capability and Capacity RAG remains Green, all resource in place to close out project.</t>
  </si>
  <si>
    <t xml:space="preserve">The Electrical Distribution project is required to replace the aged and obsolete building electrical “Level 2” infrastructure with modern Power Distribution boards which will power the Silo Emptying Plant (SEP) machines throughout waste retrieval operation. The project is in the final stages of construction following energisation of the board and continues with load transfers. The first project benefit was realised in support of Magnox Swarf Storage Silo (MSSS) Facility resilience at the start of retrievals in April 2022. The Delivery Confidence Assessment is Amber with the date unlikely to be recovered but still forecast to complete within the business case P80 sanction (which has now been fully released to the project), with a close out date of March 2027. The Baseline RAG is also Amber with delivery beyond the baseline P50 date however transfer of all critical systems and power to SEP 1 and 2 have been delivered, ongoing load transfers address obsolescence issues on some existing equipment. The Baseline RAG status is Amber as not all load transfers will take place ahead of the baseline P50 date. Many of the remaining load transfers require outages and are now aligned with the programme integrated schedule to minimise disruption of plant. This schedule is, however, being pressured by the impact from current contractor strike action although the project  will mitigate this by adjusting the order of transfers where possible. Note: The Baseline is showing a much lower value than the sanction, as some previous early works were completed under a different project (Sanction transferred, but Baseline not included). Capability &amp; Capacity RAG status is Green.                                                                                                                                                                                                                                                                                                                                                                                                                                                                                                                                          </t>
  </si>
  <si>
    <t>This is a Portfolio of smaller tasks, all of which have been historically sanctioned locally, including Building roof replacement and upgrades to Building services. The project has been delivering the final tasks, upgrading some building electrical switchboards and refurbishment of steam supplies, before closing the project. The first project benefit was realised in support of Magnox Swarf Storage Silo (MSSS) Facility resilience, by delivering numerous building services upgrades, in support of the start of MSSS retrievals in April 2022. The Delivery Confidence Assessment remains Green as remaining work is low complexity and low cost. The P50 cost and schedule remains within P50 sanction, however, the overall end date has exceeded the Baseline March 2025 date as Change Control Request (CCR)'s were not implemented on previously approved Business Cases recognising this is a portfolio of smaller tasks. The Baseline RAG status remains Amber as we will deliver within cost but beyond the reported baseline P50 date. The work on this stream is protracted as it requires interfaces with outages and other tasks, it is generally lower priority against other areas of the MSSS Facility.  In period, the project did not achieve a window to complete Condensate system outage work. This was further impacted in October due to strike action and will continue to be so during strike action. Condensate system works will need to be halted and strategy for delivery will need to be revisited. Capability &amp; Capacity RAG status is Green</t>
  </si>
  <si>
    <t>The Data Centre Replacement Project is the design and build of a modern onsite data centre followed by the installation and migration of IT services from the legacy data centre.  The First Project Benefit has been realised as all applications &amp; network services have been migrated to the new data centre. Delivery Confidence Assessment is Red as the project has exceeded the P80 completion date of 16th May 2024. Current forecast completion of 10th August 2026 inclusive of Gate 5 SPER April 2026 and Post Investment Appraisal submission. Variations to existing scope reviewed with SPA, approval given to revise estimate and schedule to incorporate which will be followed by submission to ISO Change Board. The P50 cost and schedule; EAC ~£5.1m under P50 Sanction (not inclusive of studies); EAC increase £22k from last period following revision of Morgan Sindall Estimate at Completion. CE’s raised following design clarifications resulting in additional labour and materials &amp; site wide industrial action. The Baseline RAG status sits at Red as the schedule position is not recoverable. The delays to project completion are derived from handover requirements and lack of pre-ops. Plant Room A commissioning complete with minor snags, re-energisation to follow. All cold works complete for Plant Room B to accelerate installation. Gate 4 review completed, final information to be provided to assurance to allow for gate passthrough. Physical labelling activities have halted until completion of Morgan Sindall Isolator Rack works within plant rooms, these will recommence in January. All building systems under planned preventative maintenance arrangements which are underway. Capability &amp; Capacity RAG remains Green. Tri-Party Team (ISO, FM, and the Project) continue to collaborate effectively. AXIOM design resources retained to cover Intelligent Client Role for Isolator Rack installation.</t>
  </si>
  <si>
    <t xml:space="preserve">This project is to provide the long-term cooling requirements for Thorp Receipt and Storage (TR&amp;S) facility.  The first project benefit is to provide a modern and efficient cooling system to support the unconstrained &amp; timely import of the Advanced Gas Reactor (AGR) Fuel for Long Term Interim Safe Storage. This period, the Delivery Confidence Assessment remains Amber, following evaluation of the decision to relocate the cooling system from the South to East side of the building.  Baseline RAG status has changed to Amber this period whilst the project team continue a review the impact of the strategic change on the get to gate plan (movement of Plant and Equipment Room from Product Zone). The Capability and Capacity RAG remains Amber due to the resource shortfalls now affecting delivery confidence. Senior Project Engineering Manager, Project Controls (P/T) and Commercial lead are required, a Senior Project Manager and Project Controls Manager were appointed during Period 7.  </t>
  </si>
  <si>
    <t>SOC
(Sep-23)</t>
  </si>
  <si>
    <t>OBC
(Jan-25)</t>
  </si>
  <si>
    <t xml:space="preserve">N/A
</t>
  </si>
  <si>
    <t>N/A
(Aug-23)</t>
  </si>
  <si>
    <t>SOC
(Mar-24)</t>
  </si>
  <si>
    <t>SOC
(Nov-23)</t>
  </si>
  <si>
    <t>SOC
(Jan-24)</t>
  </si>
  <si>
    <t>N/A
(May-15)</t>
  </si>
  <si>
    <t>N/A
(Aug-18)</t>
  </si>
  <si>
    <t xml:space="preserve">The Encrypted Communications (EC) project will deliver the ability for the Civil Nuclear Constabulary (CNC), and other emergency responders utilising current Airwave and/or future Emergency Services Network, to clearly communicate with their Command and Control, both during routine patrols and in emergency response, within a number of identified facilities. The Delivery Confidence Assessment remains Red, since the forecast end date is outside of the Business Case P80 date due to the project currently being on hold pending a future scope delivery decision by the Security &amp; Resilience Programme. The project has to date provided a proven technical infrastructure solution to two initial facilities (which will fully operationalise in late 2025). The decision timeline for further scope delivery has been linked to the production by S&amp;R of Facility Security Plans and their associated Physical Security Vulnerability Assessments (PSVA), since this gives the most robust answer (for both the EC project and the PSVA process) in terms of need. The assessment work on Encrypted Comms project is now complete, resulting in a significant reduction in the project scope. The project EAC has therefore been reduced accordingly. Formal governance steps will conclude during Period 8. The Baseline status is Red, reflective of the current pause. The project has implemented a deferral change control reflecting the impact of the pause to the project; this is within SL delegation and went to the Group Investment Panel (GIC) for noting in late April. Capability and Capacity RAG is Green and it should be noted minimal resource is assigned as the project is on hold. </t>
  </si>
  <si>
    <t xml:space="preserve">BEPPS-DIF project is essential to remediation of Pile Fuel Cladding Silo (PFCS) and provides capability to receive and store waste from remediation work. PFCS boxes required for active commissioning all received in BEPPS-DIF. All physical activities relating to active commissioning now complete. Project is on close out of fault observations (FOBs) and remaining project scope. Duly Authorised Person (DAP) move to support Advanced Gas Reactor (AGR) / Encapsulated Product Store (EPS) transfers may challenge end date for commissioning and rectifying subsequent faults in parallel with plant operations. Project resources are substantially redeployed on other scope for Retrievals Operations keeping project spend to a minimum. Endorsement to operate is now planned for 31/03/2026. Delivery Confidence Assessment remains Amber. Baseline RAG remains Amber. Capability and Capacity RAG remains Green, project has resource to complete scope. The project completion date remains April 2026, which is aligned with the anticipated IRP date of the Post Investment Appraisal.                                                                                                                                                                                                                                                                                                                                                                                                                                                                                                                                            </t>
  </si>
  <si>
    <t>The SSAU project will provide infrastructure and equipment that will provide security and emergency response teams with a significantly improved capability to react to and manage security and/or emergency events on the Sellafield site. The first project benefit is equipment which, once operational in the command centre, will provide a significantly improved capability to react and manage security and/or emergency events on the Sellafield site - thereby complying with the standards, expectations and objectives set by nuclear regulators. The Delivery Confidence Assessment remains stable at Green recognising forecast delivery within the Projects P80 Sanction. The Baseline RAG has remained Red in period, as the Cost forecast remains beyond the P50 baseline. The Project is still however forecasting to deliver within the P80 Sanction released to Sellafield. In period the Lifecycle EAC has increased slightly, but still within the P80 Sanction, due to the Level 1 Commissioning Date and Legacy Building Migration moving out slightly from January 2026 to February 2026 due to minor technical issues found in commissioning and impact of the strikes leading to retention of commissioning resources for a further period.  In period good progress continues with commissioning with some issues delaying the work as they are resolved, the strike has reduce working time slightly each day but the team are working around this where possible.  The next stage of strikes will have an impact as scaffolding is required to access an area of fence which needs minor sensor repairs before commissioning.  The Amber rating on the Capability and Capacity RAG recognises that schedule adherence is reliant on skilled resources and the project team is now a very thin layer and any loss of resources would impact delivery.</t>
  </si>
  <si>
    <t>The Civil Nuclear Constabulary (CNC) Operational Unit project will provide one location on site to house all CNC personnel, with space allowance for future uplift of officers, whilst mitigating health and safety risks associated with the current facilities. The Delivery Confidence Assessment (DCA) is stable at Green as the Resubmission Full Business Case (FBC) has received approval from His Majesty’s Treasury (HMT) in June 2024. Bulk Construction is nearing completion but has been delayed until November, in part due to strike action and reprioritisation of resources to complete critical path works in the Level 1 Board rooms.  The completion of the Level 1 Board rooms was initially impacted by the replacement of the non-complaint glands, has been further impacted by the strike action as well as slower than anticipated progress of the other works required to be completed and higher level of snagging than anticipated following contractor and client inspections.  These delays have been compounded through the loss of opportunity to recover through additional weekend working due the Union imposed overtime ban related to the on-going industrial action. The completion and commissioning of the Level 1 Boards is the enabler for the release of all future commissioning works.  CNSL with support of Amentum Executives, have explored the opportunity to exploit the 120-day duration for Commissioning and Handover, this has seen more efficient planning of the commissioning phase, reducing the duration from 120 days to 93 days to maintain current forecast end date. On-site work continues to progress well, civils scope is focused on external works and building finishes, Control, Electrical &amp; Instrumentation (CE&amp;I) works is focused on ensuring the Level 1 boards are ready for commissioning with the Project working closely with Utilities. Heat, Ventilation and Air Conditioning (HVAC) installation works is almost complete. The Capability and Capacity RAG remains Green for the period with no current vacancies.</t>
  </si>
  <si>
    <t>The ILW EZ Phase 1 Excavation Project is a key enabler to allow the future major project Lightly Shielded Store 1 (LSS1) to commence construction and also de-risks LSS1 construction. The delays in issuing the Service Commencement Notification (SCN) and late Pre-Construction Information (PCI) caused a 4-month delay to the beginning of delivery, however the excavation work has now recovered. The first project benefit: This project delivers a number of benefits, both direct as a key enabler for LSS1, and indirect in adopting an Enterprise approach to zonal development. The Baseline remains green.  All issues have now been rectified.  All works are now complete and awaiting isolations to be removed before sign off. Walk rounds have taken place and a meeting to arrange the CTC transfer is being set up. Lifecycle EAC and the forecast date for close out of the Project remain stable. The Capability and Capacity RAG remains Green.</t>
  </si>
  <si>
    <t>The SIXEP Continuity Plant (SCP) is required to deliver a continued site effluent treatment capability in support of radioactive liquid effluent discharge permits, fuel pond management, high hazard reduction projects and the overall NDA mission. This project provides a replacement for the existing SIXEP Sea Discharge Treatment plant and is therefore mission critical to the safe operation of the site. The SRO Delivery Confidence Assessment (DCA) currently remains green however there is a significant risk posed by the impact of extraordinary inflation that has been incurred to date. This follows the decision made by PIC in Q2 24/25 to not approve the P80 Inflation Sanction relief for SCP. The NDA have released £108.7m sanction to SL from P80 as an interim measure to deal with the inflation impact, however this substantially erodes the P80 contingency. The first scope driven P80 drawdown for the project has been approved this quarter.  Combined, these two drawdowns result in a net £31M P80 contingency remaining. The SRO considers that this is likely to be insufficient for the next 4 years and has submitted a sanction release paper to the Department in September, with review pending.  Without this additional sanction the current DCA rating would change from Green to Red, hence this will be kept under review by the SRO throughout 2025/26. From a project performance perspective, the SRO DCA remains Green, echoed by National Infrastructure and Service Transformation Authority (NISTA) Green rating received in June 25/26. The Baseline RAG remains Green. Fabrication of off-site pipework planned for completion Q4 25/26. Site pipework and vessel install is progressing well in both the Effluent Treatment Cell (ETC) and Bulk Storage Tank (BST) cells. Both halves of the reception pumping tank now in position and welding has commenced within the ETC, marking another significant milestone for the project. marking another milestone for the project. Works continue to progress across all floors within the Service Building prior to handover over to Mechanical, Electrical, Instrumentation, Control &amp; Automation (MEICA) trades. Bulk Storage Tanks – welding of the first tank continues to progress in cell. Project Wide Objectives - PWO4 - Handover of BST cell to Commissioning,  PWO5 - Handover Services Building to Commissioning and PWO6 - Handover of ETC to Commissioning are all currently forecasting to be delayed with further impending strike action (Industrial Relations issues) however, these are not a threat to the critical path and project remains within P50. The last milestone on the journey is commencement of active commissioning (licence instrument approvals). Post scope driven P80 drawdown impact the baseline date is now 22nd July 2030 (P50) along with the P50 Lifecycle baseline end date moving to 21st October 2031. The forecast dates and lifecycle EAC remain stable.  The Capability and Capacity RAG remains Green with no issues to report.</t>
  </si>
  <si>
    <t>The Sellafield Security Enhancement Programme (SSEP) represents a series of interdependent security enhancement projects, which encompass site-wide improvement initiatives, and some facility-specific asset improvements. The Delivery Confidence Assessment remains Green. The NDA revised Programme Business Case value of £921.8m was released to SL in June 2024, with Department for Energy Security and Net Zero (DESNZ) PIC holding the upper range figure of £929.8m. The SSAU and CNC OU P80 sanction request submissions were approved at the NDA Group Investment Committee (GIC) in September 2024. The assessment work on Encrypted Comms project is complete resulting in a significant reduction in the project scope. The project EAC has therefore been reduced accordingly. Formal governance steps will conclude during period 8. The programme lifecycle EAC has therefore been reduced to reflect the EC position. The Programme Ready for FOC, based on the latest SSAU project data, remains forecast as March 2026 due to delays to the progression of the Legacy SMS migrations, which are scheduled to take place after the L1 commissioning of the new boundaries.. This is subject to ongoing reviews of the available operational, engineering and maintenance resources needed to review and sign off the various systems and assets being delivered by the projects to underpin the Custody Transfer Certificate (CTC). The overall outturn project delivery performance remains in line with sanctioned plans. Security Systems Architecture Upgrade (SSAU), Encrypted Comms (EC) &amp; Civil Nuclear Constabulary (CNC) Operational Unit (CNC OU) Projects (all reported as projects in their own right on the MPPR) are, based on the respective projects latest EAC figures, affordable within the released SSEP sanction. The Main Site Command Facility (MSCF) continues to improve its operational capability with Phases 1 &amp; 2 of the revised 3 Phase Capability Delivery Plan now complete. (Phase 1: The High Security Area (HSA)1 Boundary declared operational in March 2024 &amp; Phase 2: The achievement of a Green rating for the complex and challenging Level 1 Regulator Evaluated Demonstration Exercise in November 2024). As a consequence the Regulator confirmed in December 2024, Physical Security no longer needs to be monitored at the “Enhanced Level” and has therefore been returned to “Routine Level” with the Nuclear Site Security Plan (NSSP) and Security Improvement Schedule (SIS) updated accordingly; a significant achievement for the Sellafield Site. Phase 3 will achieve the agreed security outcomes and associated security risk reduction benefits by no later than May 2027 for Full Operating Capability (FOC). The latest programme forecast aligns with the current CNC OU P80 sanction date of 31 July 2026. The programme remains within its sanctioned tolerances.</t>
  </si>
  <si>
    <t>ê</t>
  </si>
  <si>
    <t>é</t>
  </si>
  <si>
    <r>
      <rPr>
        <b/>
        <sz val="9"/>
        <rFont val="Arial"/>
        <family val="2"/>
      </rPr>
      <t xml:space="preserve">Project Lifecycle: Stage 4 'Deliver'. </t>
    </r>
    <r>
      <rPr>
        <sz val="9"/>
        <rFont val="Arial"/>
        <family val="2"/>
      </rPr>
      <t xml:space="preserve">The project benefit is the provision of a stable supply. The SRO Delivery Confidence Assessment (DCA) remains Green, representing stable delivery of route to closeout. Construction was completed in January 2025 with final SL commissioning commencing as planned.  Gate 5 Sellafield Project Execution Review (SPER) actions continue to be progressed with the majority dependent on completion of SL scope. The P50 Completion cost has increased in period due to final design costs received. The P50 schedule has increased in period as this has now been aligned to the latest Post Investment Appraisal (PIA) governance now confirmed for December 2025. The Baseline RAG status remains Green. Capability &amp; Capacity RAG has improved to Green in period as all fault observations and PIA SPER actions have been closed. </t>
    </r>
  </si>
  <si>
    <t>This project will provide safe and secure storage capacity for Contact Handleable Intermediate Level Waste (CHILW) packages until final treatment and disposal. The first project benefit will be receipt of the first package. The CHILW Programme Brief has been endorsed by the SL Enterprise Development Committee (EDC); this includes the LSS1 revised preferred option which incorporates identified optimisation opportunities. The Outline Business Case (OBC) Strategic and Economic Cases have been endorsed in principle by the Enterprise Development Committee (EDC). The project are revising the OBC baseline to align to both the updated preferred option and affordability assumptions. Sellafield Project Execution Review (SPER) commenced in Period 6 for stages 1&amp;2 and is forecast to complete Q3 FY2025/2026, leading to SL Investment Review Panel (IRP) in Q4 FY2025/2026. Current sanction approval gives the project financial coverage until Q4 2026/2027. This sanction enables conclusion of the Appraise &amp; Select phase whilst progressing the Define stage design in parallel, which will maintain momentum on the project critical path until the OBC is approved by HMT during FY2026/2027. Key interfaces will be funded by the Enterprise and provided prior to site establishment, including provision of services to the construction site (power is becoming critical due to lead times of equipment). The Lifecycle EAC decrease, in period, is an error that will be corrected next month.  The Baseline and Lifecycle EAC will be updated once the OBC CCR has been implemented. The Capability and Capacity RAG remains Green.</t>
  </si>
  <si>
    <t>The overall intent of the LAETP (Low Active Effluent Treatment Plant) Floc (flocculant) Retrieval project is to provide the necessary equipment, documentation, knowledge transfer and training to enable the Alpha Operations teams to safely and effectively remove circa 86m3 of non-adhered (loose) floc from four existing and degrading Holding Tanks located on the Sellafield site. The project benefit is handover of the retrieval’s equipment to the Alpha Remediation Operations team, the project provides the capability to retrieve floc from the four storage tanks. This benefit remains on track to be delivered within the strategic tolerances of the civil tank substantiation and Low-Active Effluent Management Group (LAEMG) downstream plant availability. Delivery Confidence Assessment remains at Amber due to the forecast project end date which is now 12 months later than the P80 date in the approved business case and uncertainty around the projects ability to stay within the P80 costs however cost forecast currently remains within the sanction approved to NDA. The project is executing planned recovery activities, along with a sanction drawdown timeline and is tracking to meet these commitments. The NDA GIC approved the drawdown of available sanction of £90.2M and 337 additional days, this subject to an additional hold point for further assurance towards the end of construction. This follows a project reset which included revised delivery strategy and amendments to contract. A Change Control Request (CCR) is forecast to be implemented for Period 9. The Project faces difficulty in several areas including contractor performance Cumbria Nuclear Solutions Limited (CNSL), credible and realistic schedule and estimate, contract management, management of change, design delivery and organisational structures (SL and CNSL). Output of the updated schedule is now reflected in outward reporting hence the significant change in project end date, this update reflects the model output which has been assured during a joint SL and NDA project review. The project forecast and subsequent impact on Key Decommissioning Milestone (KDM) Removal of non-adhered Floc by June 2030 is currently being assessed and will be evaluated in the coming periods. The Baseline RAG will be Amber on CCR implementation in Period 9 (currently Red). The project continues to face challenges in delivery and in period has been affected by recent industrial action at the Sellafield site, ongoing strike action continues to impact progress and poses significant risk to future delivery. Attention remains on completing detailed design to de-risk the remainder of the construction scope, a key focus is now on the United Kingdom Conformity Assessed (UKCA) A marking strategy for the equipment following the end of the current contract arrangements, maturity will be assessed at the wrap up Multi Disciplined Design Review (MDDR) in February 2026, where CNSL will hand over the work completed to date. Issues have been encountered in fabrication of key process modules; timely completion of these final procurements is key to enabling the remainder of the construction work. Capability and Capacity RAG is Amber, the self-delivery team following descope has largely been secured, Commissioning Request For Quote (RFQ) will mobilise remaining capability Period 9.</t>
  </si>
  <si>
    <t>Pile 1 Chimney Demolition Project Phase 2F, to demolish the chimney contaminated during 1957 fire, is organised into 3 separate sub-projects. The first two, Filter Gallery Demolition and Diffuser Demolition are now complete, and the project is now in its final stage, Barrel Demolition. Barrel Demolition is the removal and disposal of the Barrel section of the chimney, using a unique specifically designed platform for demolition access with lifting operations supported by the existing Tower crane. Delivery Confidence Assessment remains amber based on current forecast completion being beyond Business Case P80 date, the position is supported by an independent project assurance review carried out in September 2025 for which the output also rated the project at Amber. As communicated to Nuclear Decommissioning Authority (NDA)  Board in 2023, the project, following receipt of a conservative tender return for whole of Barrel Demolition that pressured business case tolerances, has adopted a phased approach to ensure learning and opportunities from Integrated Works Testing (IWT) is understood prior to future contract awards for the Installation and Commissioning of the Suspended Platform Incremental Descent (SPIDA) developed by ADAPT and Barrel Demolition scope. The Estimate At Completion (EAC)  forecast remains at £148.9m. This is beyond the current sanctioned P80 value of £139.6m. The Project has been identified as being a candidate to receive inflation relief which would adjust the P80 sanction value up to £149m, however there is no clear decision on this at present. The request for Installation &amp; Commissioning is £15m (P50 escalated). This will take the project beyond the current sanction P50 value of £116.57m and therefore will require P80 drawdown through the NDA or inflation relief to continue. A P80 Drawdown paper has been prepared and submitted to Final Decommissioning Sanction Board for consideration. A full revision of the existing baseline schedule/cost will be developed once IWT (July 2026) is complete and critical learning is obtained (i.e. from demolition demonstration) and future uncertainty is reduced. The first project benefit milestone (based on completion date) is on track. The P50 Delivery date remains April 2033. In IWT, the opportunities to mitigate last period's full schedule impacts have progressed to plan in period and means the P50 completion date for IWT remains early July 2026, with critical path elements completing early June 2026. The Baseline RAG remains Red as the forecast project end date is after the P50 baseline. License instrument submission forecast remains Q4 2025/26. Capability and Capacity RAG remains Green.</t>
  </si>
  <si>
    <t>In October 2023, the Magnox Swarf Storage Silos (MSSS) Retrievals Programme received re-sanctioning approval, establishing an overall upper funding limit of £1,098m. As part of that endorsement, a revised management framework and sanctioning strategy was introduced to govern the MSSS 2nd Extension (2E) &amp; 3rd Extension (3E) Tranche, as discrete projects. These projects are delivering critical enablers that will facilitate the commencement of waste retrieval operations from Silo Emptying Plant (SEP) 3. They have an upper sanction limit of £200m. The key enablers included are 1) SEP3; Complete design/rectification, installation and commissioning of the machine and associated components. 2) Final manufacture and installation scope for the Nitrogen Inlet system. 3) 2E Liquor Level management system.  4) The remaining Packages required to support full retrievals. The programme has prioritised the OB/FE and as a result the expected specialist resources (e.g. design capability) will not be available to concurrently deliver SEP3. Without further action the delivery will take substantially longer, challenging tolerances. To address this SL is pursuing an alternative delivery model with a fully integrated programme partner that is expected to increase efficiency and critically access a different part of the skill market we have previously failed to harness. As Nuclear Decommissioning Solutions have now been appointed as Lot 3 partner we are working on the alternative delivery strategy. This appears credible with a significant opportunity to protect or improve the schedule. Therefore the Delivery Confidence Assessment remains Amber. There has been no change to the EAC during this period. The project remains in the early stages of its lifecycle, with only six of the nine 2E/3E projects sanctioned, and a total released value of £64.4m. While future cost and schedule pressures are anticipated, the project is forecasting lifecycle EAC within the sanctioned upper limit of £200m and to timelines that align with the critical path of the Magnox Swarf Storage Silo (MSSS) Programme and as such, no direct impact is expected on sustained retrievals. The capability and capacity RAG is Red driven by resource constraints and commercial disruption following the administration of a key supply chain partner. In response, the integrated team is actively working with administrators to recover part-manufactured equipment, having identified secure interim storage, and identified a replacement supplier to complete outstanding packages, with direct award contract placements expected next period. This disruption has led to increased in-year expenditure due to associated recovery and transition costs. The Baseline RAG status is Amber, reflecting anticipated impacts from ongoing commercial challenges and supply chain, but also in acknowledgement of the recovery plan currently being enacted by the project team to ensure delivery of packages in support of the programme requirements.</t>
  </si>
  <si>
    <t>The Electrical Distribution Network Upgrade Project (EDNUP) relates to the refurbishment of the Sellafield Site’s electricity network. The project will bolster the emergency power generation capability and improve site resilience which is important particularly in the event of a National Grid failure. The Delivery Confidence Assessment remains at Amber noting that the latest forecast for completion exceeds the current P80.  An update paper was acknowledged at NDA GIC in June 2025, which noted that a P80 draw down will be necessary  to enable continuity of project delivery (current forecast required in 2026/27 Q1).  The full lifecycle cost forecast is stable in period although under significant increasing pressure from strike delay costs and further realised risks with in-ground conditions and increases in subcontract costs.  The further review of the P50 to P80 delta and inflationary impact will be included in the next sanction request.  The schedule is stable with no overall movement to the end date in period, although realised risks and strike action are impacting schedule float. The baseline RAG remains Amber as the project completion date is beyond the P50 baseline. The current P50 baseline and approved NDA sanction differs as a result of indexation and historical positive cost variance on the project pre implementation of change control associated with the Full Business Case (FBC) resubmission. The project plan and progress to date indicates a steady recovery of the variance.  Grid Transformer 2 has now been re-energised and grid power is now available to the new Sub111, which is the first new substation asset to be delivered by EDNUP, with grid connection allowing for future asset risk reduction benefits . Cable route construction is progressing on multiple fronts, including a ringfenced risk mitigation advanced dig team who are discovering a significant number of uncharted services and obstructions. Reoccurrences of radiological contamination are hindering interconnector critical path progress and causing reducing overall project float. A peer assist has identified opportunities to improve delivery arrangements in future changeover stages and interconnector delivery, which will be developed over the coming periods.   Strike action has impacted several workfaces including the temporary cable installation which will mitigate delays to electrical isolations necessary for excavations near aged buried cables.  Management and characterisation of waste from the site continues to be onerous.  The Capability and Capacity RAG remains at Amber in period due to Pre-Operations, Construction and Protection Engineer resource issues, which are now becoming critical, with timescales for backfill still to be determined.</t>
  </si>
  <si>
    <t>Full Retrievals Project 1 (FRP1) will provide capability to continue progress made in Pile Fuel Cladding Silo (PFCS) Early Retrievals Project and is delivering the first 5 of 18 scope areas required to complete Full Retrievals operations. The first project benefit is a reduction in radiological risk to workers, public and the environment, which is an overall programme benefit included in the FRP1 Business Case with a forecast date of 2030, which has been communicated via the Enterprise Benefit Register. The benefit can only be realised after the start of Full Retrievals operations, not only the completion of FRP1. P80 sanction approved 29th April 2024, taking cumulative sanction released to £74.6m “not to exceed value of £75m” for the re-scoped project at the request of NDA Accounting Officer. The Delivery Confidence Assessment remains Amber. This is based on the current forecast project end date of November 2025. The lifetime EAC remains at £72.5m, with the actual cost at completion to be confirmed next period, following close out of final accounting and Gate 5.  Baseline RAG also remains Amber, which reflects the current forecast end date of November 2025, 5 months later than current baseline. The P50 baseline is slightly greater than the sanction released due to indexation. In period the Post Investment Appraisal (PIA) was endorsed at PFCS Programme Board, with actions placed at Retrievals Portfolio Board to provide updates to the paper, and feedback for approval at Retrievals weekly team meeting. The gate 5 SPER was held on 21st October 2025, achieving a rating of Green for cost &amp; schedule, and Amber for requirements and resources. There is no risk to project close-out on the basis that the amber ratings will be managed in the Programme’s forward strategy for full retrievals capability. The project is progressing the SPER findings and Retrievals Board actions ahead of the Readiness review, which would confirm readiness for PIA submission to the December Gated Project Oversight Committee (GPOC). Close out activities have not been impacted by the recent strike action. The Capability and Capacity RAG remains Green with no issues to report.</t>
  </si>
  <si>
    <t>This project enables retrievals in Magnox Swarf Storage Silos (MSSS) Original Building and the 1st Extension. This includes completion of Silo Emptying Plant (SEP) 2 and SEP 1. The first project benefit was completed in 2022, enabling the successful start of Retrievals from SEP 2. The Delivery Confidence Assessment remains Amber in light of challenges to the SEP1 commissioning schedule, although in the context of the full project, issues appear resolvable and should not threaten P80 values. The project has reviewed assumptions underpinning the SEP 1 inactive and active commissioning and based on the feedback is taking steps to address perceived delivery gaps, including addressing potential inefficiencies in the approach to commissioning and pre-operations (teams shape and size, working patterns etc). Challenges in delivering commissioning tasks ahead of the SEP1 move between compartments later this year resulted in an impact on YE BCWP and additional commissioning resource usage resulted in an EAC increase in period. This flowed through to a minor movement of the planned first skip out date in November 2027. The Baseline RAG status remains Amber. This period, the project continued to deliver commissioning activities on SEP1, although efficiency was impacted by strike action.  On SEP2 raking was successfully completed, which has resulted in a level waste bed for retrievals later this FY.  The Project team also commenced a review to inform configuration management across SEP1 and SEP2, with a focus on the activities required to close out SEP2. The Vent project has continued to work through inactive commissioning scope, with utilities supporting next period for energisation of new capability in the Lateral Restraint Tower. Although there is a significant negative cost variance between the EAC and Baseline, £64.3m of this was historical (prior to 2022) and although included in the current sanction, is not included in the Baseline. The Capability and Capacity remains Green, based on the assumption that resources will be made available to support the prioritised Original Building/1st Extension scope. Design capability resource requests are to be submitted in November. Several programme requirements need to be delivered in parallel with the retrievals project scope to enable a full retrieval capability, this includes the Skip Fill Optimisation opportunity and key SEP Machine improvements such as to manage large items, deal with pressurised containers and manage waste craters. The project and programme are working together to minimise the impact of implementation of this scope, (which is additional to the sanctioned Business Case), on the project deliverables.</t>
  </si>
  <si>
    <t>The scope of the Heat Exchanger (HEx) Deplanting 1 project is the removal and laydown of the first 6 Calder Hall Heat Exchangers, as an enabler for land clearance in preparation for a new Site Ion Exchange Effluent Plant (SIXEP) operating facility; subsequent disposal of these initial 6 Heat Exchangers and the deplanting &amp; disposal of the remaining 10 Heat Exchangers is out-with this project. The Delivery Confidence Assessment is Green, as both lifecycle costs and end date remain within the approved P80 position. The Baseline RAG has moved to Green following approval and implementation of a recent change control to align with the Business Case revised Commercial strategy (6 month delay with no change to scope/cost), December 2029 (P50) and December 2030 (P80) project completion dates are now confirmed. In period, the laydown area design continues to mature with an Interpretative report now received from the Boreholes work, which confirms assumptions made during the in parallel completion of key design documents.  Although a small amount of re-work is necessary, nothing fundamental has been identified and the project is anticipating design review completion by the end of December 2025, allowing enough time to place an Invitation To Tender (ITT) through the Decommissioning and Nuclear Waste Partnership (DNWP) framework by 2nd February 2026 (Ops plan milestone) which remains on target.  On the main lifting contract, as previously reported, the evaluations have been completed and a successful candidate identified.  Reviews prior to sign off of the evaluation report are ongoing which has delayed issue of the tender letters/standstill period of 7 days prior to contract award, this is now anticipated in Period 8 (award). Capability and Capacity, following the Change Control implementation, is now Green whilst the project work towards placement of the main HEx1 lifting contract.</t>
  </si>
  <si>
    <t xml:space="preserve">The BEP Project provides the Magnox Swarf Storage Silos (MSSS) Programme the capability to receive, package, inspect, and transfer Intermediate Level Waste to interim stores. At completion, BEP will enable waste retrieval at pace, to maintain an As Low as Reasonably Practicable (ALARP) position, a fundamental requirement of Sellafield Ltd site license conditions.  The first project benefit: Regulatory approval to Start Active Commissioning is forecast 10th August 2027.  Estimated date for first MSSS box into BEP and Active Commissioning of MSSS waste is November 2027, with benefits realisation associated with the start of Operations April 2028.  Project Completion including governance is currently forecast as August 2028, within the period of ‘up to 12 months’ after the Start of Active Commissioning defined in the approved Resubmitted Business Case.  The Delivery Confidence Assessment (DCA) has changed to Amber to recognise the Project challenges that are being managed, the Baseline RAG remains Amber.  Lifetime EAC is beyond sanction P50 but within sanction P80 cost. The preparation of a P80 Drawdown is underway, targeting executive decisions by end of this calendar year.  There is no change in period to the Start Active Commissioning forecast and lifecycle EAC.  The project acknowledges pressure on the forecast P50 position following cost growth and schedule slippage in the deterministic Joint Venture (JV) EAC and programme from the impact of Fault Observations (FOBs) on critical path commissioning activities and on-going construction delays impacting the handover of Safety Transfer Certificates (STCs) to commissioning.   These delays reflect the projects strategic decision to target more complex STCs first with the majority of these STCs due to be delivered in the coming months. Whilst these delays have resulted in deterministic float erosion and caused a narrowing of the forecasted range (August to November 2027 and £1,445m to £1,475m) confidence remains in delivering within P80 parameters.  Highlights in period the handover of 250 STC (WTC Decontamination &amp; Maintenance) from Construction to Commissioning achieved .  Grout Plant Engineering Orders (EOs) and Technical Requisitions (TRs) complete.  The Capability and Capacity status remains Green this period as the project continues the transition from Construction to Commissioning, with resource transition plans developed.
</t>
  </si>
  <si>
    <t>The Sellafield Product &amp; Residue Store Retreatment Plant (SRP) project is a key element of the Sellafield Ltd ‘Special Nuclear Materials (SNM) Future State Programme’. The SRP is a complex major project required to provide the capability to receive special nuclear material in existing packages, from existing stores on the Sellafield site, and process the material into a form and package suitable for safe and secure long-term interim storage. The SRO Delivery Confidence Assessment (DCA) has moved from Green to Amber against the P80 cost and schedule from the Full Business Case (FBC) approved by HMG in July 2021. This is primarily reflective of the previously reported emerging issue relating to legislative changes to Passive Fire Protection standards, following the implementation of the Building Safety Act 2022. This Act represents a major regulatory shift in the UK construction industry, particularly in fire safety aiming to improve accountability and safety following the Grenfell Tower Inquiry. The impact of the Passive Fire Protection standards will require a significant amount of engineering design rework and additional installation work in the facility; the main impact is expected to be on the timescales to achieve readiness of the facility for Glove box installation, which has now become the critical path. The initial assessment has been carried out and is currently being quantified and assured and an assessment is also being made as to how this issue should be considered in terms of the projects current P80 sanctioned cost and schedule.  Additionally, as previously reported the project has been impacted by extraordinary inflation incurred to date. Following the DESNZ PIC decision in Q2 24/25 to postpone the £164.6m Inflation Sanction relief, the project has had to absorb inflationary costs using its existing contingency. As a result, £128.9m of the P50–P80 sanctioned contingency has been utilised, leaving £190m remaining. This erosion of contingency increases the likelihood of a future re-sanction request for additional P50–P80 funding, particularly as further events may arise that impact the remaining contingency. The project will be requesting P80 cost and schedule relief to DESNZ PIC when appropriate. Key recommendations and actions from the last Gate 0/ Annual Review have been addressed and a review of the effectiveness of the close out actions will be carried out in Quarter 4. These  included the requirement to ensure sufficient design engineering resource was in place to support safety case, and mitigation of the risk of delays relating to furnace manufacture (impacting installation of both Glove Boxes and MEICA equipment). The Capability and Capacity RAG status remains Amber with ongoing challenges in recruitment principally across several disciplines including construction, engineering, commissioning, and quality. Finally, the successful active commissioning and future operations of the SRP facility are contingent upon several dependencies managed within the SNM Future State Programme. A critical dependency is the availability of SNM analytical capability, which is essential to support both commissioning and ongoing operational activities. To address this, a dedicated project is being developed and delivered through the PPP to ensure the required analytical capability is in place. The SNM Future State Programme team is responsible for managing all dependencies associated with SRP, with the overarching goal of ensuring that all necessary capabilities are aligned and available to enable the delivery of SRP outcomes and the realisation of associated benefits.</t>
  </si>
  <si>
    <t>The Box Encapsulation Plant Product Store 2 (BEPPS2) is a critical enabler for continued high hazard retrievals from the Magnox Swarf Storage Silo (MSSS) and Pile Fuel Cladding Silo (PFCS). It will provide modern, safe and secure long term interim storage for approximately 7,500 packages of Intermediate Level Waste. The strategic requirement has been confirmed. The first project benefit is the ability to receive packages from MSSS and PFCS without constraining hazard reduction programmes. The Senior Responsible Owner (SRO) Delivery Confidence Assessment is Green and the project remains on track against its P50 cost and schedule targets. The project is in the Define Phase, progressing detailed design for transition to civil construction and procurement of long-lead items. The critical path runs through civil construction, mechanical and electrical installation, and commissioning. A sub-critical path flows through the Multi-Disciplinary Design Review (MDDR), which will confirm design maturity and support release of the Outline Business Case (OBC) sanction hold point. The MDDR will be held during Period 8. Engagement with Programme and Project Partnership (PPP) Key Delivery Partners is ongoing to underpin delivery phase planning, cost estimation, and Quantitative Risk Analysis (QRA), informing the Full Business Case (FBC) submission planned for FY2026/27. Site establishment and bulk excavation works are progressing well. The civil construction contract delivery strategy is under review by PPP to ensure value for money. The SPI reflects both historic design delays due to historic resource constraints and the non-utilisation of risk and estimating uncertainty. The forthcoming OBC sanction hold point release submission (January 2026 to IRP &amp; GIC and March 2026 to DESNZ PIC) will include updates on the lifecycle cost estimates that will be underpinned by an updated QRA and will reflect proactive management of opportunities and realisation of threats during the Define Stage. Capability RAG remains Green.</t>
  </si>
  <si>
    <t xml:space="preserve">The Receipt Facility will provide additional waste storage capacity until a final waste treatment capability is available to maintain effluent treatment operations and support mission critical activities. The project benefit is the provision of this additional storage capacity. The Strategic Outline Case (SOC) indicates start of active commissioning in 2038. The SOC was approved at Group Investment Committee (GIC) November 2024 with the supporting change control being approved by the NDA and implemented in pd12 FY24/2520. An additional £24m sanction (cumulative £53m) was approved which will take the project to approval of Preferred Option (June 2026 P50, the project is looking to accelerate this to the end of this calendar year) which will include input from the Pumpable Intermediate Level Waste (PILW) study output. The Baseline RAG remains Green. The full lifecycle EAC (£920.1m) is unchanged from last month.  This remains marginally higher than the baseline (£919.6m) due to a legacy issue whereby early feasibility scope had to remain on the study project, as part of the first Change Control Record (CCR) in 2023. Work continues on the Enabling Works ground investigation (a separate project) with further progress on other areas of the enabling works design packs (The Enabling Works have now transitioned to PPP). The Enterprise Development Committee (EDC) has approved the Straight to Treatment decision and now the RF project (this project) is starting to ramp down and the new SWMTF (SIXEP Waste Management Treatment Facility) project commencing.  This is being funded by this project pending an Investment Review Panel (IRP) paper for re-use of existing sanction that will be presented at the December IRP and GIC meetings.  Capability and Capacity RAG remains Green. </t>
  </si>
  <si>
    <t xml:space="preserve">Within the THORP Receipt and Store (R&amp;S) and Feed pond areas, pond handler machines manoeuvre flasks or skips within the inlet, main and feed ponds, these are the Inlet Pond Handler (IPH); the Main Pond Handler (MPH); the Rack Transfer Machine (RTM). These machines provide the essential material move capability to support fuel reprocessing operations.  Each of these pond handlers is controlled by programmable controller systems installed in the late 1980s, which are now obsolete, and spares are increasingly difficult to source. The Delivery Confidence Assessment remains Red, reflecting the history of the project which has suffered several scope and strategy challenges from programme, preventing progress and impacting the baseline. The project was split into six discrete Work Packages, with a phased delivery and sanction strategy, as a single portfolio approved through local Operational Unit Sentencing Board (OUSB) and accepted at the Investment Review Panel (IRP) February 2015. Three  of the six work packs had not progressed in over eighteen months due to scope and strategy changes emerging from the programme and a Change Control Request (CCR) has been implemented to remove this scope. The remainder of the scope is currently under consideration for a further CCR with baseline management.  Project cost forecast increase due to internal labour forecast, resulting from extra effort in period to collaboratively progress design assurance to ascertain suitable way forward.  Capability and Capacity RAG remains Green, reflecting the scope of 35/10188. Resources are assigned to support deliverability </t>
  </si>
  <si>
    <t xml:space="preserve">The Ventilation Extract System Upgrade (VESU) project is required to replace the existing ventilation system in Special Nuclear Materials (SNM), the current system is in a degraded state and requires replacement. The first project benefit is the capability of a new ventilation system that meets all regulations and enables safe operations. Project Lifecycle: Stage 3 - Define stage via continuity funding whilst proceeding through sanction. The Delivery Confidence Assessment RAG remains Green.  An Infrastructure and Projects Authority (IPA) style review took place in May 2025 and achieved an Amber/Green.  The Outline Business Case (OBC) predicted to be at Government Q4 2025/26. Completed Investment Review Panel (IRP) in October 2025. now progressing to NDA GIC November 2025. The baseline RAG is Amber and will remain Amber until the OBC Change Control request (CCR) is implemented (Q4 2025/26). There is a discrepancy of £950k for costs prior to Performance Plan 2014, this is under review by reporting team, the EAC is to be reviewed as no change was expected this period. Schedule is reflective of the requirement to proceed to Government to secure sanction. Capability &amp; Capacity RAG is Amber due to delay in securing sanction which places resources at risk. </t>
  </si>
  <si>
    <t>The Plutonium Management Facility (PMF) North Transfers Project will deliver the capability to retrieve and transport Safety Function Class (SFC) 1 packages from Special Nuclear Materials (SNM) North Stores to the Sellafield Product and Residue Store Retreatment Plant (SRP), enabling the retreatment and repackaging of plutonium for long term, safe and secure storage. The Delivery Confidence Assessment is Green based on the recent re-baseline, which was approved October 2025. This change was requested by programme following scope change which required additional engineering and safety assessments. Current SRP delivery dates are unaffected by this change. Baseline RAG rating is Green following the approval of the Investment Review Panel (IRP) paper. A Change Control request (CCR) for this change was implemented in October 2025. The project remains on track to realise project and NDA benefits. The capability and capacity RAG status is Green due to adequate resources being in place to deliver the scope. North Transfers Project will commence get to gate activities in November 2025.</t>
  </si>
  <si>
    <t>The scope of this project is to remove and replace the existing Fuel Handling Plant (FHP) and Site Ion Exchange Effluent Plant (SIXEP) roofs with a new Kalzip Roof. The first project benefit to be realised will be the completion of the SIXEP Roof, enabling them to continue in delivery of their mission through to completion with the same benefit being realised for FHP some years later. The Delivery Confidence Assessment is Green following the approval of the revised OBC at OUSB. The Baseline is Green and will remain green for the foreseeable future, SPER has been completed this period with minimal findings so remains on track for IRP in December. The Capability &amp; Capacity RAG has remained at Amber. This will move to green once approval is gained at IRP and the contracts are in place to progress this project through to completion, not expected until Q4 FY 2025/26. Whole Life EAC has increased inline with Estimate produced for FBC. The FBC is scheduled to go to the Investment Review Committee (IRP) on the 1st December 2025, with CCR implementation forecast for February 2026.</t>
  </si>
  <si>
    <r>
      <rPr>
        <b/>
        <sz val="9"/>
        <rFont val="Arial"/>
        <family val="2"/>
      </rPr>
      <t>Project Lifecycle: Stage 1 'Feasibility'</t>
    </r>
    <r>
      <rPr>
        <sz val="9"/>
        <rFont val="Arial"/>
        <family val="2"/>
      </rPr>
      <t>. The project benefit is the provision of a stable supply. The SRO Delivery Confidence Assessment (DCA) remains Green, representing progress against shortlisting activities. The Strategic Outline Case SPER in August 25, resulted in a red rating, all actions have been Closed Out and the learning transferred to Substation 10. Investment Review Panel is planned for January 2026, with an expected change control this financial year following approval of the business case in February 2026 at NDA Group Investment Committee. The P50 completion cost has minor changes &lt;£10k. The P50 schedule position has been maintained. The Baseline RAG status remains Green. Capability &amp; Capacity RAG status remains Green.</t>
    </r>
  </si>
  <si>
    <t>Sludge Handling &amp; Export Plant aims to provide a capability to receive and process sludge from Sludge Packaging Plant 1 (SPP1) and export it to a downstream facility to enable the safe treatment into a suitable waste form/product for interim storage. Delivery Confidence Assessment is Amber, the project is still within its appraise and select phase and uncertainty will remain until Outline Business Case (OBC) assurance and governance is complete. This has management oversight and is being worked through accordingly. The down-selected preferred solution (Option 1 -Sludge dewatering in a 500-litre drum in a flask and export to Waste Encapsulation Plant (WEP) for conditioning and interim storage of the resultant waste product in Encapsulated Product Store 3 (EPS3)) is now being further developed in parallel to project planning to support submission of the OBC. Ground investigation work is completed and awaiting final reports. Schedule has been updated in line with GIC paper approval for OBC May 2026 (forecast date) and remains within P50 sanction date of June 2026. Now in delivery of the integrated PDD assurance activities, Triage requirements, NDA lifecycle cost review and transition plans, monitored through detailed get to gate plan. A progressively assured estimate build has been agreed, target completion end of November 2025, this remains challenging. Get to gate assurance schedule is now under change control with PPP intervention points 1A and 1B and Triage carried out. Project are now addressing outputs. Cumulative sanction released to the project is £30.6m to deliver OBC (forecast May 2026) at SL Investment Review Panel (IRP). SL IRP are currently holding a further £7.442m bringing the overall sanction to £38.1m. Baseline RAG is Amber to reflect the current forecast OBC date of May 2026 being later than the current baseline. A Change Control Request will be prepared and implemented to update the baseline following OBC Approval.  Capability and Capacity remains amber. Internal project resource challenges remain, however have addressed Construction PM, Commercial Lead and Environmental and Sustainability resources. Further ramp up to support transition to PPP has been put on hold. Additional assurance requirements remain a capacity challenge to balance with delivery. Programme resources have been identified and mobilised to support the ‘get to gate’ plan. Programme continues to assess the output of the first pass schedule date, now reviewed 2036/37 (active commissioning) and cost range of £438m base cost to Reference Class Forecast (RCF) £900m with respect to the construction/ assessment of the economic case.</t>
  </si>
  <si>
    <t>The Emergency Management Radiological Monitoring System (EMRMS) Project is being developed to replace both the Site Perimeter Monitoring System (SPMS) and the Site Emergency Monitoring Point System (SEMPS) which are both beyond their designed lifespans. The Delivery Confidence Assessment (DCA) remains Green that represents delivery against the Strategic Outline Case (SOC) that was approved by the Environment, Safety and Security (E&amp;SS) Asset Management and Oversight Committee (AMOC) in September 2023 and storyboard approval at Security and Resilience (S&amp;R) Operating Unit Sentencing board (OUSB) in March 2024. The project Outline Requirements Specification (ORS) and Project Functional Specifications (PFS) have both been approved, however, upon review by the requirements Management Capability it was deemed that some improvements could be made and these are being incorporated before the next gate. The next project benefit which is the Single Viable Option (SVO) was agreed in March 2025. The project has developed and assured a Single Preferred (engineering) Solution (SPS) which will be subjected to an Infrastructure Design Engineering assurance review in November 2025. The project team augmentation for the key supply chain proposal is complete, noting this has been approved at Infrastructure Strategic Alliance (ISA) Change Board and noted at S&amp;R Ops Board in December 2024 and now includes Sellafield Project Execution Review (SPER) support from the relevant Responsible Engineers (RE’s). The end of phase date is now deemed to be April 2026 and has been affected by the resource augmentation and design impact assessment which highlighted the need, agreed (6th June 2025) at the PFS review, for capturing the Plume Assessment recommendations. The Outline Business Case (OBC) development has recommenced on confirmation of the supply chain resource augmentation, capture of the Plume Assessment recommendations and development of the Delivery Strategy. Although additional scope and the requirements are better understood, and are being addressed, the Delivery Confidence Assessment and baseline RAG status remains green as a new estimate has been developed. Capability and Capacity RAG status remains Green as the impact assessment is fully understood as this has affected the proposed SPER and Sanction request dates. The team are aligning the EAC forecast with the P50 estimate to enable stable forecasting up to the next maturity point, therefore the forecast has increased by £0.4m this month but stayed within the P50 limit. Additional resources may be required in the run up to gate.</t>
  </si>
  <si>
    <t>The existing site electrical distribution network is expected to be overloaded in c2030. The Product Zone Power Supply Project (PZPSP) exists to improve electrical distribution system reliability through installation of new modular substations and interconnectors that will complete the site end state network upgrades (Substation 78) and provide capacity to feed the new Product Zone areas of site (Substation 48). The first project benefit is enabling the completion of the end state network. Project Lifecycle: Stage 2 'Appraise &amp; Select'. The SRO Delivery Confidence Assessment (DCA) remains Green, representing delivery against the Strategic Outline Case (SOC) approved by the Nuclear Decommissioning Authority (NDA). The P50 completion cost has minor change in period &lt;10k. The P50 schedule has been maintained in period. The Baseline RAG status has improved to Green this period, now Programme have had the Strategic Timing paper approved at the Enterprise Development Committee to defer the PZPS - Substation 48 scope, as the requirements will not be available until a decision point in 2027. This will result in a configuration change control this financial year to remove this scope from the project to a placeholder baseline in the future. An updated Project Functional Specification has been issued to the project to progress the site end state network upgrades scope (Substation 78) and can continue to progress to the Outline Business Case (OBC) preparation, Appraise &amp; Select stage, with a change control to align to the OBC expected to follow in 2026/27. Capability &amp; Capacity are Green as there are no current resource issues on the Project.</t>
  </si>
  <si>
    <r>
      <rPr>
        <b/>
        <sz val="9"/>
        <rFont val="Arial"/>
        <family val="2"/>
      </rPr>
      <t>Project Lifecycle: Stage 1 'Feasibility'</t>
    </r>
    <r>
      <rPr>
        <sz val="9"/>
        <rFont val="Arial"/>
        <family val="2"/>
      </rPr>
      <t>.  The project benefit is the provision of a stable supply.  The SRO Delivery Confidence Assessment (DCA) remains Green, representing progress against shortlisting activities. The P50 completion cost has minor changes &lt;£10k. The P50 schedule position has been maintained in period as we are preparing for the Strategic Outline Case. The Strategic Outline Case Single Phase SPER was completed in October 2025. Post period end, a Green rating and 0 critical findings have been confirmed. Investment Review Panel is planned for January 2026, and an expected Change Control this financial year following approval of the business case in February 2026 at NDA Group Investment Committee. The Baseline RAG status remains Green. Capability &amp; Capacity RAG status remains Green.</t>
    </r>
  </si>
  <si>
    <r>
      <rPr>
        <b/>
        <sz val="9"/>
        <rFont val="Arial"/>
        <family val="2"/>
      </rPr>
      <t xml:space="preserve">Project Lifecycle: Stage 2 'Appraise &amp; Select'.  </t>
    </r>
    <r>
      <rPr>
        <sz val="9"/>
        <rFont val="Arial"/>
        <family val="2"/>
      </rPr>
      <t xml:space="preserve">Pipebridge 57 spans the river Calder from East to West of site. The civil structure and services carried across it have been exposed to coastal conditions and are in an advanced state of degradation. The PB57 project exists to provide continuity of Mechanical &amp; Control, Electrical &amp; Instrumentation (CE&amp;I) services currently supplied by PB57 to end users across the site network and to remove risk to the SL &amp; external environment resulting from bridge and support collapse as it reaches end of life. The first project benefit focusses on achievement of the successful diversion of key services from PB57 whilst maintaining continuity of services to end users. The Delivery Confidence Assessment (DCA) remains stable (N/A due to no requirement for Strategic Outline Case (SOC)). The Baseline RAG been improved in period to Green due to the review of the stress modelling to underpin and present an optimised solution to mitigate the risk sooner. The project is currently reviewing the delivery strategy inline with these discussions and a Change Control Record (CCR) will follow next financial year in alignment to the Outline Business Case (OBC). The P50 completion cost has minor changes in period &lt;£10k and the schedule position has been maintained. The Capability &amp; Capacity RAG status remains Green. </t>
    </r>
  </si>
  <si>
    <t>The scope of the Calder Land Clearance (CLC) project is to demolish 4 major structures on the Calder Hall site to base slab level, to enable new capabilities to be built to support the Site Ion Exchange Effluent Plant (SIXEP). To date, 3 of the 4 major structures have been demolished – Turbine Hall A remains to be done. The Delivery Confidence Assessment remains Red, due to significant Turbine Hall A asbestos removal activities undertaken in FY23/24, 24/25 and 25/26, extending the scheduled completion date past P80 of the original Business Case; as a result, the project benefit – land being available to Sites Ion Exchange Effluent Plant (SIXEP) Waste Management Receipt Facility (SWMRF) Project - is delayed until Summer 2027 (note the project end date is 6 months later due to SL project close out activities). This new date is not currently impinging SWMRF planned work, and regular communications between projects continues to ensure if an impact is forecast, mitigations can be developed. To minimise impact to the SIXEP programme, agreements are now in place for early access to the West of the CLC site, to allow SIXEP drilling programme to commence, currently mobilizing (October 2025). Although a mitigator to the SIXEP schedule, providing West of site access introduces two new risks to the CLC project: firstly, the timely transfer of land back to CLC to complete demolition; and, secondly, the land constraints for laydown of waste during de-plant and demolition. These risks are currently not reflected within the CLC schedule. Stakeholder engagement with SIXEP is aiming to avoid an impact for transferring land back at the appropriate time, whilst additional land has been identified for CLC use to mitigate land constraints. 
There is no change to the P50 lifecycle schedule or cost  the Baseline RAG remains Red due to schedule forecast. This is due to the Turbine Hall A asbestos removal activities extending the scheduled completion date beyond the baseline P50. A Change Control Request (CCR) is being developed for implementation in period 9 to include the additional asbestos removal scope. It is expected that the delivery confidence assessment, baseline RAG and CPI will go Green. In Period,  the Contractor continues with asbestos cleaning specifically within Turbine 4 trench, and Turbine 1. In period slippage of -61 days is due to: The issue of trench cleaning taking longer than planned – problem solving is ongoing to understand options to prevent further schedule extensions, or recover, if possible; the removal of all planned weekend work from the schedule due to work to rule until February 2026 and further Industrial Action, which is a Sellafield risk under this contract. Compensation Events (CEs) are expected and may impact the lifecycle costs once understood. The Capability and Capacity RAG is now Amber due to the trench cleaning issue. The lifecycle remains unchanged this period.</t>
  </si>
  <si>
    <t>OBC
 (Mar-25)</t>
  </si>
  <si>
    <t>FBC
 (Oct-23)</t>
  </si>
  <si>
    <t>FBC
 (Feb-24)</t>
  </si>
  <si>
    <t>FBC
 (Nov-23)</t>
  </si>
  <si>
    <t>FBC
 (Jan-23)</t>
  </si>
  <si>
    <t>FBC Add.
 (Mar-21)</t>
  </si>
  <si>
    <t>FBC
 (May-24)</t>
  </si>
  <si>
    <t>FBC
 (Apr-22)</t>
  </si>
  <si>
    <t>FBC
 (Oct-24)</t>
  </si>
  <si>
    <t>OBC
 (Oct-25)</t>
  </si>
  <si>
    <t>FBC Re.
 (Nov-24)</t>
  </si>
  <si>
    <t>FBC
 (Oct-25)</t>
  </si>
  <si>
    <t>FBC
 (Sep-24)</t>
  </si>
  <si>
    <t>FBC
 (Mar-23)</t>
  </si>
  <si>
    <t>FBC
 (Jan-24)</t>
  </si>
  <si>
    <t>OBC
 (Mar-23)</t>
  </si>
  <si>
    <t>FBC 
(Jun-24)</t>
  </si>
  <si>
    <t>PBC 
(Jun-24)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</si>
</sst>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7">
    <numFmt numFmtId="164" formatCode="_(* #,##0.00_);_(* \(#,##0.00\);_(* &quot;-&quot;??_);_(@_)"/>
    <numFmt numFmtId="165" formatCode="#,##0.0_ ;\-#,##0.0\ "/>
    <numFmt numFmtId="166" formatCode="#,##0_ ;\-#,##0\ "/>
    <numFmt numFmtId="167" formatCode="0.0%"/>
    <numFmt numFmtId="168" formatCode="0.0;\(0.0\)"/>
    <numFmt numFmtId="169" formatCode="0.0"/>
    <numFmt numFmtId="170" formatCode="[$-10409]mmm\ \-\ yy"/>
    <numFmt numFmtId="171" formatCode="[$-10409]mmm\ \-\ yyyy"/>
    <numFmt numFmtId="172" formatCode="[$-10409]#,##0.0,,;\(#,##0.0,,\);&quot;-&quot;"/>
    <numFmt numFmtId="173" formatCode="[$-10409]#,##0;\-#,##0"/>
    <numFmt numFmtId="174" formatCode="[$-10409]0.00;\(0.00\)"/>
    <numFmt numFmtId="175" formatCode="[$-10409]0.00%"/>
    <numFmt numFmtId="176" formatCode="#,##0.0"/>
    <numFmt numFmtId="177" formatCode="&quot;£&quot;#,##0"/>
    <numFmt numFmtId="178" formatCode="&quot;£&quot;#,##0.00"/>
    <numFmt numFmtId="179" formatCode="0.00000"/>
    <numFmt numFmtId="180" formatCode="0;\-0\ ;&quot;-&quot;"/>
  </numFmts>
  <fonts count="83" x14ac:knownFonts="1">
    <font>
      <sz val="11"/>
      <color theme="1"/>
      <name val="Calibri"/>
      <family val="2"/>
      <scheme val="minor"/>
    </font>
    <font>
      <sz val="11"/>
      <color theme="1"/>
      <name val="Calibri"/>
      <family val="2"/>
      <scheme val="minor"/>
    </font>
    <font>
      <sz val="9"/>
      <color theme="1"/>
      <name val="Arial"/>
      <family val="2"/>
    </font>
    <font>
      <b/>
      <sz val="9"/>
      <color theme="1"/>
      <name val="Arial"/>
      <family val="2"/>
    </font>
    <font>
      <sz val="9"/>
      <color rgb="FFFF0000"/>
      <name val="Arial"/>
      <family val="2"/>
    </font>
    <font>
      <b/>
      <sz val="9"/>
      <color theme="0"/>
      <name val="Arial"/>
      <family val="2"/>
    </font>
    <font>
      <sz val="9"/>
      <name val="Arial"/>
      <family val="2"/>
    </font>
    <font>
      <b/>
      <sz val="11"/>
      <color theme="1"/>
      <name val="Calibri"/>
      <family val="2"/>
      <scheme val="minor"/>
    </font>
    <font>
      <sz val="10"/>
      <color theme="1"/>
      <name val="Arial"/>
      <family val="2"/>
    </font>
    <font>
      <b/>
      <sz val="10"/>
      <color rgb="FF000000"/>
      <name val="Arial"/>
      <family val="2"/>
    </font>
    <font>
      <b/>
      <sz val="10"/>
      <color rgb="FF00B050"/>
      <name val="Arial"/>
      <family val="2"/>
    </font>
    <font>
      <sz val="10"/>
      <color rgb="FF000000"/>
      <name val="Arial"/>
      <family val="2"/>
    </font>
    <font>
      <b/>
      <sz val="10"/>
      <color rgb="FFFFC000"/>
      <name val="Arial"/>
      <family val="2"/>
    </font>
    <font>
      <b/>
      <sz val="10"/>
      <color rgb="FFFF0000"/>
      <name val="Arial"/>
      <family val="2"/>
    </font>
    <font>
      <i/>
      <sz val="9"/>
      <name val="Arial"/>
      <family val="2"/>
    </font>
    <font>
      <b/>
      <sz val="11"/>
      <color theme="0"/>
      <name val="Calibri"/>
      <family val="2"/>
      <scheme val="minor"/>
    </font>
    <font>
      <b/>
      <i/>
      <sz val="9"/>
      <color theme="1"/>
      <name val="Arial"/>
      <family val="2"/>
    </font>
    <font>
      <b/>
      <sz val="9"/>
      <name val="Arial"/>
      <family val="2"/>
    </font>
    <font>
      <sz val="9"/>
      <color theme="0"/>
      <name val="Arial"/>
      <family val="2"/>
    </font>
    <font>
      <sz val="16"/>
      <name val="Wingdings"/>
      <charset val="2"/>
    </font>
    <font>
      <b/>
      <sz val="9"/>
      <color rgb="FFFF0000"/>
      <name val="Arial"/>
      <family val="2"/>
    </font>
    <font>
      <sz val="8"/>
      <name val="Arial"/>
      <family val="2"/>
    </font>
    <font>
      <i/>
      <u/>
      <sz val="9"/>
      <name val="Arial"/>
      <family val="2"/>
    </font>
    <font>
      <b/>
      <sz val="10"/>
      <color theme="1"/>
      <name val="Arial"/>
      <family val="2"/>
    </font>
    <font>
      <b/>
      <sz val="8"/>
      <color rgb="FF000000"/>
      <name val="Arial"/>
      <family val="2"/>
    </font>
    <font>
      <sz val="8"/>
      <color theme="1"/>
      <name val="Arial"/>
      <family val="2"/>
    </font>
    <font>
      <b/>
      <sz val="8"/>
      <name val="Arial"/>
      <family val="2"/>
    </font>
    <font>
      <b/>
      <sz val="8"/>
      <color theme="1"/>
      <name val="Arial"/>
      <family val="2"/>
    </font>
    <font>
      <sz val="8"/>
      <color theme="0"/>
      <name val="Arial"/>
      <family val="2"/>
    </font>
    <font>
      <sz val="8"/>
      <name val="Wingdings"/>
      <charset val="2"/>
    </font>
    <font>
      <sz val="9"/>
      <color rgb="FFFFC000"/>
      <name val="Arial"/>
      <family val="2"/>
    </font>
    <font>
      <sz val="11"/>
      <color rgb="FF000000"/>
      <name val="Calibri"/>
      <family val="2"/>
      <scheme val="minor"/>
    </font>
    <font>
      <sz val="11"/>
      <name val="Calibri"/>
      <family val="2"/>
    </font>
    <font>
      <sz val="10"/>
      <color rgb="FFFFFFFF"/>
      <name val="Arial"/>
      <family val="2"/>
    </font>
    <font>
      <sz val="10"/>
      <color rgb="FFFFFFFF"/>
      <name val="Segoe UI"/>
      <family val="2"/>
    </font>
    <font>
      <b/>
      <sz val="10"/>
      <color rgb="FF000000"/>
      <name val="Segoe UI"/>
      <family val="2"/>
    </font>
    <font>
      <sz val="10"/>
      <color rgb="FF000000"/>
      <name val="Segoe UI"/>
      <family val="2"/>
    </font>
    <font>
      <sz val="10"/>
      <color rgb="FFFF0000"/>
      <name val="Arial"/>
      <family val="2"/>
    </font>
    <font>
      <sz val="10"/>
      <color rgb="FF008000"/>
      <name val="Arial"/>
      <family val="2"/>
    </font>
    <font>
      <sz val="10"/>
      <color rgb="FFFFA500"/>
      <name val="Arial"/>
      <family val="2"/>
    </font>
    <font>
      <b/>
      <sz val="8"/>
      <color theme="0"/>
      <name val="Arial"/>
      <family val="2"/>
    </font>
    <font>
      <sz val="8"/>
      <color theme="1"/>
      <name val="Calibri"/>
      <family val="2"/>
      <scheme val="minor"/>
    </font>
    <font>
      <sz val="12"/>
      <name val="Wingdings"/>
      <charset val="2"/>
    </font>
    <font>
      <sz val="9"/>
      <color theme="1"/>
      <name val="Wingdings"/>
      <charset val="2"/>
    </font>
    <font>
      <sz val="10"/>
      <name val="Arial"/>
      <family val="2"/>
    </font>
    <font>
      <sz val="20"/>
      <name val="Wingdings 3"/>
      <family val="1"/>
      <charset val="2"/>
    </font>
    <font>
      <i/>
      <sz val="9"/>
      <color rgb="FFFF0000"/>
      <name val="Arial"/>
      <family val="2"/>
    </font>
    <font>
      <sz val="8"/>
      <name val="Calibri"/>
      <family val="2"/>
      <scheme val="minor"/>
    </font>
    <font>
      <sz val="9"/>
      <color theme="1"/>
      <name val="Verdana"/>
      <family val="2"/>
    </font>
    <font>
      <b/>
      <u/>
      <sz val="9"/>
      <color rgb="FFFF0000"/>
      <name val="Arial"/>
      <family val="2"/>
    </font>
    <font>
      <sz val="6"/>
      <color theme="1"/>
      <name val="Arial"/>
      <family val="2"/>
    </font>
    <font>
      <i/>
      <sz val="9"/>
      <color theme="1"/>
      <name val="Arial"/>
      <family val="2"/>
    </font>
    <font>
      <sz val="11"/>
      <name val="Calibri"/>
      <family val="2"/>
      <scheme val="minor"/>
    </font>
    <font>
      <sz val="11"/>
      <color rgb="FFFF0000"/>
      <name val="Calibri"/>
      <family val="2"/>
      <scheme val="minor"/>
    </font>
    <font>
      <sz val="14"/>
      <color theme="1"/>
      <name val="Arial"/>
      <family val="2"/>
    </font>
    <font>
      <sz val="8"/>
      <color rgb="FFFF0000"/>
      <name val="Arial"/>
      <family val="2"/>
    </font>
    <font>
      <b/>
      <sz val="20"/>
      <color theme="1"/>
      <name val="Arial"/>
      <family val="2"/>
    </font>
    <font>
      <sz val="20"/>
      <color theme="1"/>
      <name val="Arial"/>
      <family val="2"/>
    </font>
    <font>
      <b/>
      <sz val="12"/>
      <name val="Arial"/>
      <family val="2"/>
    </font>
    <font>
      <b/>
      <u/>
      <sz val="10"/>
      <color theme="1"/>
      <name val="Calibri"/>
      <family val="2"/>
      <scheme val="minor"/>
    </font>
    <font>
      <sz val="10"/>
      <color theme="1"/>
      <name val="Calibri"/>
      <family val="2"/>
      <scheme val="minor"/>
    </font>
    <font>
      <b/>
      <sz val="10"/>
      <color theme="1"/>
      <name val="Calibri"/>
      <family val="2"/>
      <scheme val="minor"/>
    </font>
    <font>
      <b/>
      <sz val="10"/>
      <color theme="0" tint="-0.14999847407452621"/>
      <name val="Calibri"/>
      <family val="2"/>
      <scheme val="minor"/>
    </font>
    <font>
      <sz val="10"/>
      <name val="Calibri"/>
      <family val="2"/>
      <scheme val="minor"/>
    </font>
    <font>
      <sz val="10"/>
      <color rgb="FFFF0000"/>
      <name val="Calibri"/>
      <family val="2"/>
      <scheme val="minor"/>
    </font>
    <font>
      <b/>
      <u/>
      <sz val="14"/>
      <color theme="1"/>
      <name val="Calibri"/>
      <family val="2"/>
      <scheme val="minor"/>
    </font>
    <font>
      <b/>
      <sz val="12"/>
      <color theme="1"/>
      <name val="Calibri"/>
      <family val="2"/>
      <scheme val="minor"/>
    </font>
    <font>
      <b/>
      <sz val="14"/>
      <color theme="1"/>
      <name val="Calibri"/>
      <family val="2"/>
      <scheme val="minor"/>
    </font>
    <font>
      <b/>
      <sz val="8.5"/>
      <color theme="0"/>
      <name val="Arial"/>
      <family val="2"/>
    </font>
    <font>
      <sz val="20"/>
      <color theme="0"/>
      <name val="Arial"/>
      <family val="2"/>
    </font>
    <font>
      <b/>
      <sz val="10"/>
      <color rgb="FFFF0000"/>
      <name val="Calibri"/>
      <family val="2"/>
      <scheme val="minor"/>
    </font>
    <font>
      <b/>
      <u/>
      <sz val="16"/>
      <color rgb="FFFF0000"/>
      <name val="Calibri"/>
      <family val="2"/>
      <scheme val="minor"/>
    </font>
    <font>
      <b/>
      <i/>
      <sz val="16"/>
      <color rgb="FFFF0000"/>
      <name val="Calibri"/>
      <family val="2"/>
      <scheme val="minor"/>
    </font>
    <font>
      <b/>
      <i/>
      <sz val="9"/>
      <name val="Arial"/>
      <family val="2"/>
    </font>
    <font>
      <sz val="6"/>
      <name val="Arial"/>
      <family val="2"/>
    </font>
    <font>
      <sz val="9.3000000000000007"/>
      <color theme="1"/>
      <name val="Calibri"/>
      <family val="2"/>
      <scheme val="minor"/>
    </font>
    <font>
      <b/>
      <sz val="20"/>
      <name val="Arial"/>
      <family val="2"/>
    </font>
    <font>
      <b/>
      <sz val="11"/>
      <color theme="0"/>
      <name val="Calibri"/>
      <family val="2"/>
    </font>
    <font>
      <sz val="9"/>
      <color indexed="81"/>
      <name val="Tahoma"/>
      <family val="2"/>
    </font>
    <font>
      <b/>
      <sz val="9"/>
      <color indexed="81"/>
      <name val="Tahoma"/>
      <family val="2"/>
    </font>
    <font>
      <sz val="9.5"/>
      <color theme="1"/>
      <name val="Arial"/>
      <family val="2"/>
    </font>
    <font>
      <b/>
      <sz val="18"/>
      <name val="Calibri"/>
      <family val="2"/>
    </font>
    <font>
      <sz val="9"/>
      <color rgb="FF00B050"/>
      <name val="Arial"/>
      <family val="2"/>
    </font>
  </fonts>
  <fills count="32">
    <fill>
      <patternFill patternType="none"/>
    </fill>
    <fill>
      <patternFill patternType="gray125"/>
    </fill>
    <fill>
      <patternFill patternType="solid">
        <fgColor theme="0"/>
        <bgColor indexed="64"/>
      </patternFill>
    </fill>
    <fill>
      <patternFill patternType="solid">
        <fgColor theme="0" tint="-4.9989318521683403E-2"/>
        <bgColor indexed="64"/>
      </patternFill>
    </fill>
    <fill>
      <patternFill patternType="solid">
        <fgColor theme="8" tint="-0.499984740745262"/>
        <bgColor indexed="64"/>
      </patternFill>
    </fill>
    <fill>
      <patternFill patternType="solid">
        <fgColor rgb="FFFFFF00"/>
        <bgColor indexed="64"/>
      </patternFill>
    </fill>
    <fill>
      <patternFill patternType="solid">
        <fgColor rgb="FF1F4E78"/>
        <bgColor indexed="64"/>
      </patternFill>
    </fill>
    <fill>
      <patternFill patternType="solid">
        <fgColor rgb="FF92D050"/>
        <bgColor indexed="64"/>
      </patternFill>
    </fill>
    <fill>
      <patternFill patternType="solid">
        <fgColor theme="0" tint="-0.249977111117893"/>
        <bgColor indexed="64"/>
      </patternFill>
    </fill>
    <fill>
      <patternFill patternType="solid">
        <fgColor rgb="FFCC0000"/>
        <bgColor indexed="64"/>
      </patternFill>
    </fill>
    <fill>
      <patternFill patternType="solid">
        <fgColor rgb="FFFFFFCC"/>
        <bgColor indexed="64"/>
      </patternFill>
    </fill>
    <fill>
      <patternFill patternType="solid">
        <fgColor theme="8" tint="0.79998168889431442"/>
        <bgColor indexed="64"/>
      </patternFill>
    </fill>
    <fill>
      <patternFill patternType="solid">
        <fgColor rgb="FFFFC000"/>
        <bgColor indexed="64"/>
      </patternFill>
    </fill>
    <fill>
      <patternFill patternType="solid">
        <fgColor theme="0" tint="-0.499984740745262"/>
        <bgColor indexed="64"/>
      </patternFill>
    </fill>
    <fill>
      <patternFill patternType="solid">
        <fgColor theme="2" tint="-9.9978637043366805E-2"/>
        <bgColor indexed="64"/>
      </patternFill>
    </fill>
    <fill>
      <patternFill patternType="solid">
        <fgColor rgb="FF00B050"/>
        <bgColor indexed="64"/>
      </patternFill>
    </fill>
    <fill>
      <patternFill patternType="solid">
        <fgColor rgb="FFD0CECE"/>
        <bgColor indexed="64"/>
      </patternFill>
    </fill>
    <fill>
      <patternFill patternType="solid">
        <fgColor theme="1"/>
        <bgColor indexed="64"/>
      </patternFill>
    </fill>
    <fill>
      <patternFill patternType="solid">
        <fgColor theme="0" tint="-0.14999847407452621"/>
        <bgColor indexed="64"/>
      </patternFill>
    </fill>
    <fill>
      <patternFill patternType="solid">
        <fgColor rgb="FF00303C"/>
        <bgColor rgb="FF00303C"/>
      </patternFill>
    </fill>
    <fill>
      <patternFill patternType="solid">
        <fgColor rgb="FFFFA500"/>
        <bgColor rgb="FFFFA500"/>
      </patternFill>
    </fill>
    <fill>
      <patternFill patternType="solid">
        <fgColor rgb="FFFFFFFF"/>
        <bgColor rgb="FFFFFFFF"/>
      </patternFill>
    </fill>
    <fill>
      <patternFill patternType="solid">
        <fgColor rgb="FF008000"/>
        <bgColor rgb="FF008000"/>
      </patternFill>
    </fill>
    <fill>
      <patternFill patternType="solid">
        <fgColor rgb="FFFF0000"/>
        <bgColor rgb="FFFF0000"/>
      </patternFill>
    </fill>
    <fill>
      <patternFill patternType="solid">
        <fgColor theme="5" tint="0.79998168889431442"/>
        <bgColor indexed="64"/>
      </patternFill>
    </fill>
    <fill>
      <patternFill patternType="solid">
        <fgColor rgb="FFFF0000"/>
        <bgColor indexed="64"/>
      </patternFill>
    </fill>
    <fill>
      <patternFill patternType="solid">
        <fgColor theme="4" tint="0.59999389629810485"/>
        <bgColor indexed="64"/>
      </patternFill>
    </fill>
    <fill>
      <patternFill patternType="solid">
        <fgColor theme="7" tint="0.59999389629810485"/>
        <bgColor indexed="64"/>
      </patternFill>
    </fill>
    <fill>
      <patternFill patternType="solid">
        <fgColor theme="9" tint="0.39997558519241921"/>
        <bgColor indexed="64"/>
      </patternFill>
    </fill>
    <fill>
      <patternFill patternType="solid">
        <fgColor rgb="FF00B0F0"/>
        <bgColor indexed="64"/>
      </patternFill>
    </fill>
    <fill>
      <patternFill patternType="solid">
        <fgColor rgb="FFFFCCFF"/>
        <bgColor indexed="64"/>
      </patternFill>
    </fill>
    <fill>
      <patternFill patternType="solid">
        <fgColor theme="4" tint="0.39997558519241921"/>
        <bgColor indexed="64"/>
      </patternFill>
    </fill>
  </fills>
  <borders count="87">
    <border>
      <left/>
      <right/>
      <top/>
      <bottom/>
      <diagonal/>
    </border>
    <border>
      <left/>
      <right style="thin">
        <color theme="0"/>
      </right>
      <top/>
      <bottom/>
      <diagonal/>
    </border>
    <border>
      <left/>
      <right style="thin">
        <color theme="0"/>
      </right>
      <top/>
      <bottom style="thin">
        <color theme="0"/>
      </bottom>
      <diagonal/>
    </border>
    <border>
      <left style="thin">
        <color theme="0"/>
      </left>
      <right style="thin">
        <color theme="0"/>
      </right>
      <top/>
      <bottom style="thin">
        <color theme="0"/>
      </bottom>
      <diagonal/>
    </border>
    <border>
      <left/>
      <right style="thin">
        <color theme="0"/>
      </right>
      <top style="thin">
        <color theme="0"/>
      </top>
      <bottom/>
      <diagonal/>
    </border>
    <border>
      <left style="thin">
        <color theme="0"/>
      </left>
      <right style="thin">
        <color theme="0"/>
      </right>
      <top style="thin">
        <color theme="0"/>
      </top>
      <bottom/>
      <diagonal/>
    </border>
    <border>
      <left style="thin">
        <color theme="0"/>
      </left>
      <right/>
      <top/>
      <bottom style="thin">
        <color theme="0"/>
      </bottom>
      <diagonal/>
    </border>
    <border>
      <left style="thin">
        <color theme="0"/>
      </left>
      <right/>
      <top style="thin">
        <color theme="0"/>
      </top>
      <bottom style="thin">
        <color theme="0"/>
      </bottom>
      <diagonal/>
    </border>
    <border>
      <left style="thin">
        <color theme="0"/>
      </left>
      <right/>
      <top style="thin">
        <color theme="0"/>
      </top>
      <bottom/>
      <diagonal/>
    </border>
    <border>
      <left style="thin">
        <color theme="0"/>
      </left>
      <right style="thin">
        <color theme="0"/>
      </right>
      <top/>
      <bottom/>
      <diagonal/>
    </border>
    <border>
      <left/>
      <right/>
      <top/>
      <bottom style="thin">
        <color theme="0"/>
      </bottom>
      <diagonal/>
    </border>
    <border>
      <left/>
      <right/>
      <top style="thin">
        <color theme="0"/>
      </top>
      <bottom style="thin">
        <color theme="0"/>
      </bottom>
      <diagonal/>
    </border>
    <border>
      <left style="thin">
        <color indexed="64"/>
      </left>
      <right style="thin">
        <color indexed="64"/>
      </right>
      <top style="thin">
        <color indexed="64"/>
      </top>
      <bottom style="thin">
        <color indexed="64"/>
      </bottom>
      <diagonal/>
    </border>
    <border>
      <left/>
      <right/>
      <top style="thin">
        <color theme="0"/>
      </top>
      <bottom/>
      <diagonal/>
    </border>
    <border>
      <left style="thin">
        <color theme="0"/>
      </left>
      <right style="thin">
        <color theme="0"/>
      </right>
      <top style="thin">
        <color theme="0"/>
      </top>
      <bottom style="thin">
        <color theme="0"/>
      </bottom>
      <diagonal/>
    </border>
    <border>
      <left/>
      <right style="thin">
        <color theme="0"/>
      </right>
      <top style="thin">
        <color theme="0"/>
      </top>
      <bottom style="thin">
        <color theme="0"/>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style="thin">
        <color auto="1"/>
      </right>
      <top/>
      <bottom style="thin">
        <color auto="1"/>
      </bottom>
      <diagonal/>
    </border>
    <border>
      <left style="thin">
        <color auto="1"/>
      </left>
      <right/>
      <top/>
      <bottom style="thin">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diagonal/>
    </border>
    <border>
      <left/>
      <right style="thin">
        <color indexed="64"/>
      </right>
      <top style="medium">
        <color indexed="64"/>
      </top>
      <bottom/>
      <diagonal/>
    </border>
    <border>
      <left/>
      <right style="thin">
        <color indexed="64"/>
      </right>
      <top/>
      <bottom style="medium">
        <color indexed="64"/>
      </bottom>
      <diagonal/>
    </border>
    <border>
      <left style="thin">
        <color indexed="64"/>
      </left>
      <right style="thin">
        <color indexed="64"/>
      </right>
      <top style="medium">
        <color indexed="64"/>
      </top>
      <bottom/>
      <diagonal/>
    </border>
    <border>
      <left style="thin">
        <color indexed="64"/>
      </left>
      <right style="thin">
        <color indexed="64"/>
      </right>
      <top/>
      <bottom style="medium">
        <color indexed="64"/>
      </bottom>
      <diagonal/>
    </border>
    <border>
      <left style="medium">
        <color indexed="64"/>
      </left>
      <right style="thin">
        <color indexed="64"/>
      </right>
      <top style="medium">
        <color indexed="64"/>
      </top>
      <bottom/>
      <diagonal/>
    </border>
    <border>
      <left style="medium">
        <color indexed="64"/>
      </left>
      <right style="thin">
        <color indexed="64"/>
      </right>
      <top/>
      <bottom style="medium">
        <color indexed="64"/>
      </bottom>
      <diagonal/>
    </border>
    <border>
      <left style="thin">
        <color auto="1"/>
      </left>
      <right style="thin">
        <color auto="1"/>
      </right>
      <top/>
      <bottom style="thin">
        <color auto="1"/>
      </bottom>
      <diagonal/>
    </border>
    <border>
      <left style="thin">
        <color auto="1"/>
      </left>
      <right style="thin">
        <color auto="1"/>
      </right>
      <top style="thin">
        <color auto="1"/>
      </top>
      <bottom/>
      <diagonal/>
    </border>
    <border>
      <left style="thin">
        <color indexed="64"/>
      </left>
      <right style="medium">
        <color indexed="64"/>
      </right>
      <top style="medium">
        <color indexed="64"/>
      </top>
      <bottom/>
      <diagonal/>
    </border>
    <border>
      <left style="thin">
        <color indexed="64"/>
      </left>
      <right style="medium">
        <color indexed="64"/>
      </right>
      <top/>
      <bottom style="medium">
        <color indexed="64"/>
      </bottom>
      <diagonal/>
    </border>
    <border>
      <left/>
      <right style="medium">
        <color indexed="64"/>
      </right>
      <top/>
      <bottom/>
      <diagonal/>
    </border>
    <border>
      <left style="medium">
        <color indexed="64"/>
      </left>
      <right/>
      <top/>
      <bottom/>
      <diagonal/>
    </border>
    <border>
      <left/>
      <right style="thin">
        <color indexed="64"/>
      </right>
      <top/>
      <bottom/>
      <diagonal/>
    </border>
    <border>
      <left style="thin">
        <color indexed="64"/>
      </left>
      <right style="thin">
        <color indexed="64"/>
      </right>
      <top/>
      <bottom/>
      <diagonal/>
    </border>
    <border>
      <left style="medium">
        <color indexed="64"/>
      </left>
      <right style="thin">
        <color indexed="64"/>
      </right>
      <top/>
      <bottom/>
      <diagonal/>
    </border>
    <border>
      <left/>
      <right/>
      <top style="medium">
        <color indexed="64"/>
      </top>
      <bottom style="medium">
        <color indexed="64"/>
      </bottom>
      <diagonal/>
    </border>
    <border>
      <left style="thin">
        <color theme="0"/>
      </left>
      <right/>
      <top/>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top style="thin">
        <color auto="1"/>
      </top>
      <bottom/>
      <diagonal/>
    </border>
    <border>
      <left style="thin">
        <color auto="1"/>
      </left>
      <right/>
      <top style="thin">
        <color auto="1"/>
      </top>
      <bottom/>
      <diagonal/>
    </border>
    <border>
      <left style="medium">
        <color indexed="64"/>
      </left>
      <right style="medium">
        <color indexed="64"/>
      </right>
      <top style="medium">
        <color indexed="64"/>
      </top>
      <bottom style="medium">
        <color indexed="64"/>
      </bottom>
      <diagonal/>
    </border>
    <border>
      <left style="thin">
        <color rgb="FFD3D3D3"/>
      </left>
      <right style="thin">
        <color rgb="FFD3D3D3"/>
      </right>
      <top style="thin">
        <color rgb="FFD3D3D3"/>
      </top>
      <bottom/>
      <diagonal/>
    </border>
    <border>
      <left style="thin">
        <color rgb="FFD3D3D3"/>
      </left>
      <right style="thin">
        <color rgb="FFD3D3D3"/>
      </right>
      <top style="thin">
        <color rgb="FFD3D3D3"/>
      </top>
      <bottom style="thin">
        <color rgb="FFD3D3D3"/>
      </bottom>
      <diagonal/>
    </border>
    <border>
      <left/>
      <right/>
      <top style="thin">
        <color rgb="FFD3D3D3"/>
      </top>
      <bottom style="thin">
        <color rgb="FFD3D3D3"/>
      </bottom>
      <diagonal/>
    </border>
    <border>
      <left/>
      <right style="thin">
        <color rgb="FFD3D3D3"/>
      </right>
      <top style="thin">
        <color rgb="FFD3D3D3"/>
      </top>
      <bottom style="thin">
        <color rgb="FFD3D3D3"/>
      </bottom>
      <diagonal/>
    </border>
    <border>
      <left style="thin">
        <color rgb="FFD3D3D3"/>
      </left>
      <right style="thin">
        <color rgb="FFD3D3D3"/>
      </right>
      <top/>
      <bottom/>
      <diagonal/>
    </border>
    <border>
      <left/>
      <right style="thin">
        <color rgb="FFD3D3D3"/>
      </right>
      <top style="thin">
        <color rgb="FFD3D3D3"/>
      </top>
      <bottom/>
      <diagonal/>
    </border>
    <border>
      <left/>
      <right style="thin">
        <color rgb="FFD3D3D3"/>
      </right>
      <top/>
      <bottom/>
      <diagonal/>
    </border>
    <border>
      <left style="thin">
        <color rgb="FFD3D3D3"/>
      </left>
      <right style="thin">
        <color rgb="FFD3D3D3"/>
      </right>
      <top/>
      <bottom style="thin">
        <color rgb="FFD3D3D3"/>
      </bottom>
      <diagonal/>
    </border>
    <border>
      <left/>
      <right style="thin">
        <color rgb="FFD3D3D3"/>
      </right>
      <top/>
      <bottom style="thin">
        <color rgb="FFD3D3D3"/>
      </bottom>
      <diagonal/>
    </border>
    <border>
      <left/>
      <right/>
      <top style="thin">
        <color rgb="FFD3D3D3"/>
      </top>
      <bottom/>
      <diagonal/>
    </border>
    <border>
      <left style="medium">
        <color theme="8" tint="-0.499984740745262"/>
      </left>
      <right/>
      <top style="medium">
        <color theme="8" tint="-0.499984740745262"/>
      </top>
      <bottom style="medium">
        <color theme="8" tint="-0.499984740745262"/>
      </bottom>
      <diagonal/>
    </border>
    <border>
      <left/>
      <right/>
      <top style="medium">
        <color theme="8" tint="-0.499984740745262"/>
      </top>
      <bottom style="medium">
        <color theme="8" tint="-0.499984740745262"/>
      </bottom>
      <diagonal/>
    </border>
    <border>
      <left/>
      <right style="medium">
        <color theme="8" tint="-0.499984740745262"/>
      </right>
      <top style="medium">
        <color theme="8" tint="-0.499984740745262"/>
      </top>
      <bottom style="medium">
        <color theme="8" tint="-0.499984740745262"/>
      </bottom>
      <diagonal/>
    </border>
    <border>
      <left style="thin">
        <color indexed="64"/>
      </left>
      <right/>
      <top/>
      <bottom/>
      <diagonal/>
    </border>
    <border>
      <left style="thin">
        <color indexed="64"/>
      </left>
      <right style="thin">
        <color theme="0"/>
      </right>
      <top style="thin">
        <color indexed="64"/>
      </top>
      <bottom/>
      <diagonal/>
    </border>
    <border>
      <left/>
      <right style="thin">
        <color theme="0"/>
      </right>
      <top style="thin">
        <color indexed="64"/>
      </top>
      <bottom/>
      <diagonal/>
    </border>
    <border>
      <left style="thin">
        <color theme="0"/>
      </left>
      <right/>
      <top style="thin">
        <color indexed="64"/>
      </top>
      <bottom style="thin">
        <color theme="0"/>
      </bottom>
      <diagonal/>
    </border>
    <border>
      <left/>
      <right style="thin">
        <color theme="0"/>
      </right>
      <top style="thin">
        <color indexed="64"/>
      </top>
      <bottom style="thin">
        <color theme="0"/>
      </bottom>
      <diagonal/>
    </border>
    <border>
      <left/>
      <right/>
      <top style="thin">
        <color indexed="64"/>
      </top>
      <bottom style="thin">
        <color theme="0"/>
      </bottom>
      <diagonal/>
    </border>
    <border>
      <left style="thin">
        <color theme="0"/>
      </left>
      <right/>
      <top style="thin">
        <color indexed="64"/>
      </top>
      <bottom/>
      <diagonal/>
    </border>
    <border>
      <left style="thin">
        <color indexed="64"/>
      </left>
      <right style="thin">
        <color theme="0"/>
      </right>
      <top/>
      <bottom/>
      <diagonal/>
    </border>
    <border>
      <left style="thin">
        <color rgb="FFD3D3D3"/>
      </left>
      <right/>
      <top style="thin">
        <color rgb="FFD3D3D3"/>
      </top>
      <bottom/>
      <diagonal/>
    </border>
    <border>
      <left/>
      <right/>
      <top/>
      <bottom style="thin">
        <color indexed="64"/>
      </bottom>
      <diagonal/>
    </border>
    <border>
      <left/>
      <right style="thin">
        <color indexed="64"/>
      </right>
      <top style="thin">
        <color indexed="64"/>
      </top>
      <bottom style="medium">
        <color indexed="64"/>
      </bottom>
      <diagonal/>
    </border>
    <border>
      <left style="medium">
        <color indexed="64"/>
      </left>
      <right style="thin">
        <color indexed="64"/>
      </right>
      <top/>
      <bottom style="thin">
        <color indexed="64"/>
      </bottom>
      <diagonal/>
    </border>
    <border>
      <left style="medium">
        <color indexed="64"/>
      </left>
      <right style="thin">
        <color indexed="64"/>
      </right>
      <top style="thin">
        <color indexed="64"/>
      </top>
      <bottom/>
      <diagonal/>
    </border>
    <border>
      <left style="medium">
        <color indexed="64"/>
      </left>
      <right/>
      <top/>
      <bottom style="thin">
        <color indexed="64"/>
      </bottom>
      <diagonal/>
    </border>
    <border>
      <left style="mediumDashed">
        <color indexed="64"/>
      </left>
      <right/>
      <top/>
      <bottom/>
      <diagonal/>
    </border>
    <border>
      <left style="mediumDashed">
        <color indexed="64"/>
      </left>
      <right/>
      <top style="mediumDashed">
        <color indexed="64"/>
      </top>
      <bottom/>
      <diagonal/>
    </border>
    <border>
      <left/>
      <right style="mediumDashed">
        <color indexed="64"/>
      </right>
      <top style="mediumDashed">
        <color indexed="64"/>
      </top>
      <bottom/>
      <diagonal/>
    </border>
    <border>
      <left/>
      <right style="mediumDashed">
        <color indexed="64"/>
      </right>
      <top/>
      <bottom/>
      <diagonal/>
    </border>
    <border>
      <left/>
      <right/>
      <top style="mediumDashed">
        <color indexed="64"/>
      </top>
      <bottom/>
      <diagonal/>
    </border>
    <border>
      <left style="mediumDashed">
        <color indexed="64"/>
      </left>
      <right/>
      <top/>
      <bottom style="mediumDashed">
        <color indexed="64"/>
      </bottom>
      <diagonal/>
    </border>
    <border>
      <left/>
      <right style="mediumDashed">
        <color indexed="64"/>
      </right>
      <top/>
      <bottom style="mediumDashed">
        <color indexed="64"/>
      </bottom>
      <diagonal/>
    </border>
    <border>
      <left style="thin">
        <color rgb="FFD3D3D3"/>
      </left>
      <right/>
      <top style="thin">
        <color rgb="FFD3D3D3"/>
      </top>
      <bottom style="thin">
        <color rgb="FFD3D3D3"/>
      </bottom>
      <diagonal/>
    </border>
    <border>
      <left style="thin">
        <color rgb="FFD3D3D3"/>
      </left>
      <right/>
      <top/>
      <bottom style="thin">
        <color rgb="FFD3D3D3"/>
      </bottom>
      <diagonal/>
    </border>
    <border>
      <left style="thin">
        <color theme="0" tint="-0.249977111117893"/>
      </left>
      <right style="thin">
        <color theme="0" tint="-0.249977111117893"/>
      </right>
      <top style="thin">
        <color theme="0" tint="-0.249977111117893"/>
      </top>
      <bottom style="thin">
        <color theme="0" tint="-0.249977111117893"/>
      </bottom>
      <diagonal/>
    </border>
  </borders>
  <cellStyleXfs count="37">
    <xf numFmtId="0" fontId="0" fillId="0" borderId="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0" fontId="31" fillId="0" borderId="0"/>
    <xf numFmtId="9"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0" fontId="48" fillId="0" borderId="0"/>
    <xf numFmtId="0" fontId="1" fillId="0" borderId="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cellStyleXfs>
  <cellXfs count="856">
    <xf numFmtId="0" fontId="0" fillId="0" borderId="0" xfId="0"/>
    <xf numFmtId="0" fontId="2" fillId="2" borderId="0" xfId="0" applyFont="1" applyFill="1" applyAlignment="1">
      <alignment horizontal="center" vertical="center" wrapText="1"/>
    </xf>
    <xf numFmtId="0" fontId="2" fillId="2" borderId="0" xfId="0" applyFont="1" applyFill="1" applyAlignment="1">
      <alignment horizontal="left" vertical="center" wrapText="1" indent="1"/>
    </xf>
    <xf numFmtId="0" fontId="3" fillId="2" borderId="0" xfId="0" applyFont="1" applyFill="1" applyAlignment="1">
      <alignment horizontal="left" vertical="center" wrapText="1" indent="1"/>
    </xf>
    <xf numFmtId="165" fontId="2" fillId="3" borderId="0" xfId="1" applyNumberFormat="1" applyFont="1" applyFill="1" applyBorder="1" applyAlignment="1">
      <alignment horizontal="center" vertical="center" wrapText="1"/>
    </xf>
    <xf numFmtId="165" fontId="6" fillId="2" borderId="0" xfId="1" applyNumberFormat="1" applyFont="1" applyFill="1" applyBorder="1" applyAlignment="1">
      <alignment horizontal="center" vertical="center" wrapText="1"/>
    </xf>
    <xf numFmtId="17" fontId="2" fillId="2" borderId="0" xfId="0" applyNumberFormat="1" applyFont="1" applyFill="1" applyAlignment="1">
      <alignment horizontal="center" vertical="center" wrapText="1"/>
    </xf>
    <xf numFmtId="165" fontId="6" fillId="3" borderId="0" xfId="1" applyNumberFormat="1" applyFont="1" applyFill="1" applyBorder="1" applyAlignment="1">
      <alignment horizontal="center" vertical="center" wrapText="1"/>
    </xf>
    <xf numFmtId="165" fontId="2" fillId="2" borderId="0" xfId="1" applyNumberFormat="1" applyFont="1" applyFill="1" applyBorder="1" applyAlignment="1">
      <alignment horizontal="center" vertical="center" wrapText="1"/>
    </xf>
    <xf numFmtId="0" fontId="8" fillId="2" borderId="0" xfId="0" applyFont="1" applyFill="1"/>
    <xf numFmtId="0" fontId="9" fillId="2" borderId="0" xfId="0" applyFont="1" applyFill="1" applyAlignment="1">
      <alignment horizontal="left" vertical="center" readingOrder="1"/>
    </xf>
    <xf numFmtId="0" fontId="8" fillId="2" borderId="0" xfId="0" applyFont="1" applyFill="1" applyAlignment="1">
      <alignment horizontal="left" vertical="center" indent="1" readingOrder="1"/>
    </xf>
    <xf numFmtId="0" fontId="8" fillId="2" borderId="0" xfId="0" applyFont="1" applyFill="1" applyAlignment="1">
      <alignment horizontal="left" vertical="center" indent="6" readingOrder="1"/>
    </xf>
    <xf numFmtId="17" fontId="4" fillId="2" borderId="0" xfId="0" applyNumberFormat="1" applyFont="1" applyFill="1" applyAlignment="1">
      <alignment horizontal="center" vertical="center" wrapText="1"/>
    </xf>
    <xf numFmtId="165" fontId="4" fillId="2" borderId="0" xfId="1" applyNumberFormat="1" applyFont="1" applyFill="1" applyBorder="1" applyAlignment="1">
      <alignment horizontal="center" vertical="center" wrapText="1"/>
    </xf>
    <xf numFmtId="0" fontId="2" fillId="2" borderId="0" xfId="0" applyFont="1" applyFill="1" applyAlignment="1">
      <alignment vertical="center" wrapText="1"/>
    </xf>
    <xf numFmtId="165" fontId="2" fillId="7" borderId="0" xfId="1" applyNumberFormat="1" applyFont="1" applyFill="1" applyBorder="1" applyAlignment="1">
      <alignment horizontal="center" vertical="center" wrapText="1"/>
    </xf>
    <xf numFmtId="0" fontId="0" fillId="0" borderId="10" xfId="0" applyBorder="1" applyAlignment="1">
      <alignment vertical="center" wrapText="1"/>
    </xf>
    <xf numFmtId="0" fontId="5" fillId="4"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5" fillId="2" borderId="8" xfId="0" applyFont="1" applyFill="1" applyBorder="1" applyAlignment="1">
      <alignment horizontal="center" vertical="center" wrapText="1"/>
    </xf>
    <xf numFmtId="0" fontId="2" fillId="2" borderId="12" xfId="0" applyFont="1" applyFill="1" applyBorder="1" applyAlignment="1">
      <alignment vertical="center" wrapText="1"/>
    </xf>
    <xf numFmtId="17" fontId="2" fillId="2" borderId="12" xfId="0" applyNumberFormat="1" applyFont="1" applyFill="1" applyBorder="1" applyAlignment="1">
      <alignment horizontal="center" vertical="center" wrapText="1"/>
    </xf>
    <xf numFmtId="0" fontId="6" fillId="2" borderId="12" xfId="0" applyFont="1" applyFill="1" applyBorder="1" applyAlignment="1">
      <alignment vertical="center" wrapText="1"/>
    </xf>
    <xf numFmtId="0" fontId="14" fillId="2" borderId="0" xfId="0" applyFont="1" applyFill="1" applyAlignment="1">
      <alignment vertical="center" wrapText="1"/>
    </xf>
    <xf numFmtId="165" fontId="6" fillId="7" borderId="0" xfId="1" applyNumberFormat="1" applyFont="1" applyFill="1" applyBorder="1" applyAlignment="1">
      <alignment horizontal="center" vertical="center" wrapText="1"/>
    </xf>
    <xf numFmtId="14" fontId="2" fillId="2" borderId="0" xfId="0" applyNumberFormat="1" applyFont="1" applyFill="1" applyAlignment="1">
      <alignment vertical="center" wrapText="1"/>
    </xf>
    <xf numFmtId="0" fontId="5" fillId="2" borderId="14" xfId="0" applyFont="1" applyFill="1" applyBorder="1" applyAlignment="1">
      <alignment horizontal="center" vertical="center" wrapText="1"/>
    </xf>
    <xf numFmtId="0" fontId="0" fillId="2" borderId="14" xfId="0" applyFill="1" applyBorder="1" applyAlignment="1">
      <alignment horizontal="center" vertical="center" wrapText="1"/>
    </xf>
    <xf numFmtId="0" fontId="5" fillId="2" borderId="5" xfId="0" applyFont="1" applyFill="1" applyBorder="1" applyAlignment="1">
      <alignment horizontal="center" vertical="center" wrapText="1"/>
    </xf>
    <xf numFmtId="168" fontId="6" fillId="2" borderId="0" xfId="1" applyNumberFormat="1" applyFont="1" applyFill="1" applyBorder="1" applyAlignment="1">
      <alignment horizontal="center" vertical="center" wrapText="1"/>
    </xf>
    <xf numFmtId="168" fontId="20" fillId="2" borderId="0" xfId="1" applyNumberFormat="1" applyFont="1" applyFill="1" applyBorder="1" applyAlignment="1">
      <alignment horizontal="center" vertical="center" wrapText="1"/>
    </xf>
    <xf numFmtId="165" fontId="20" fillId="2" borderId="0" xfId="1" applyNumberFormat="1" applyFont="1" applyFill="1" applyBorder="1" applyAlignment="1">
      <alignment horizontal="center" vertical="center" wrapText="1"/>
    </xf>
    <xf numFmtId="0" fontId="5" fillId="4" borderId="14" xfId="0" applyFont="1" applyFill="1" applyBorder="1" applyAlignment="1">
      <alignment horizontal="center" vertical="center" wrapText="1"/>
    </xf>
    <xf numFmtId="17" fontId="6" fillId="3" borderId="0" xfId="0" applyNumberFormat="1" applyFont="1" applyFill="1" applyAlignment="1">
      <alignment horizontal="center" vertical="center" wrapText="1"/>
    </xf>
    <xf numFmtId="14" fontId="5" fillId="4" borderId="14" xfId="0" applyNumberFormat="1" applyFont="1" applyFill="1" applyBorder="1" applyAlignment="1">
      <alignment horizontal="center" vertical="center" wrapText="1"/>
    </xf>
    <xf numFmtId="14" fontId="5" fillId="4" borderId="5" xfId="0" applyNumberFormat="1" applyFont="1" applyFill="1" applyBorder="1" applyAlignment="1">
      <alignment horizontal="center" vertical="center" wrapText="1"/>
    </xf>
    <xf numFmtId="14" fontId="2" fillId="2" borderId="0" xfId="0" applyNumberFormat="1" applyFont="1" applyFill="1" applyAlignment="1">
      <alignment horizontal="center" vertical="center" wrapText="1"/>
    </xf>
    <xf numFmtId="14" fontId="6" fillId="3" borderId="0" xfId="0" applyNumberFormat="1" applyFont="1" applyFill="1" applyAlignment="1">
      <alignment horizontal="center" vertical="center" wrapText="1"/>
    </xf>
    <xf numFmtId="17" fontId="6" fillId="2" borderId="0" xfId="0" applyNumberFormat="1" applyFont="1" applyFill="1" applyAlignment="1">
      <alignment horizontal="center" vertical="center" wrapText="1"/>
    </xf>
    <xf numFmtId="165" fontId="6" fillId="2" borderId="12" xfId="0" applyNumberFormat="1" applyFont="1" applyFill="1" applyBorder="1" applyAlignment="1">
      <alignment vertical="center" wrapText="1"/>
    </xf>
    <xf numFmtId="0" fontId="2" fillId="5" borderId="0" xfId="0" applyFont="1" applyFill="1" applyAlignment="1">
      <alignment horizontal="center" vertical="center" wrapText="1"/>
    </xf>
    <xf numFmtId="0" fontId="16" fillId="2" borderId="0" xfId="0" applyFont="1" applyFill="1" applyAlignment="1">
      <alignment horizontal="left" vertical="center" wrapText="1"/>
    </xf>
    <xf numFmtId="0" fontId="5" fillId="2" borderId="3" xfId="0" applyFont="1" applyFill="1" applyBorder="1" applyAlignment="1">
      <alignment horizontal="center" vertical="center" wrapText="1"/>
    </xf>
    <xf numFmtId="0" fontId="2" fillId="2" borderId="14" xfId="0" applyFont="1" applyFill="1" applyBorder="1" applyAlignment="1">
      <alignment horizontal="center" vertical="center" wrapText="1"/>
    </xf>
    <xf numFmtId="0" fontId="3" fillId="2" borderId="0" xfId="0" applyFont="1" applyFill="1" applyAlignment="1">
      <alignment horizontal="center" vertical="center" wrapText="1"/>
    </xf>
    <xf numFmtId="0" fontId="2" fillId="2" borderId="5" xfId="0" applyFont="1" applyFill="1" applyBorder="1" applyAlignment="1">
      <alignment horizontal="center" vertical="center" wrapText="1"/>
    </xf>
    <xf numFmtId="165" fontId="2" fillId="3" borderId="17" xfId="1" applyNumberFormat="1" applyFont="1" applyFill="1" applyBorder="1" applyAlignment="1" applyProtection="1">
      <alignment horizontal="center" vertical="center" wrapText="1"/>
    </xf>
    <xf numFmtId="165" fontId="6" fillId="3" borderId="17" xfId="1" applyNumberFormat="1" applyFont="1" applyFill="1" applyBorder="1" applyAlignment="1" applyProtection="1">
      <alignment horizontal="center" vertical="center" wrapText="1"/>
    </xf>
    <xf numFmtId="165" fontId="4" fillId="2" borderId="17" xfId="1" applyNumberFormat="1" applyFont="1" applyFill="1" applyBorder="1" applyAlignment="1" applyProtection="1">
      <alignment horizontal="center" vertical="center" wrapText="1"/>
    </xf>
    <xf numFmtId="166" fontId="6" fillId="3" borderId="17" xfId="1" applyNumberFormat="1" applyFont="1" applyFill="1" applyBorder="1" applyAlignment="1" applyProtection="1">
      <alignment horizontal="center" vertical="center" wrapText="1"/>
    </xf>
    <xf numFmtId="165" fontId="6" fillId="11" borderId="17" xfId="1" applyNumberFormat="1" applyFont="1" applyFill="1" applyBorder="1" applyAlignment="1" applyProtection="1">
      <alignment horizontal="center" vertical="center" wrapText="1"/>
    </xf>
    <xf numFmtId="165" fontId="6" fillId="10" borderId="31" xfId="1" applyNumberFormat="1" applyFont="1" applyFill="1" applyBorder="1" applyAlignment="1" applyProtection="1">
      <alignment horizontal="center" vertical="center" wrapText="1"/>
    </xf>
    <xf numFmtId="0" fontId="0" fillId="2" borderId="0" xfId="0" applyFill="1"/>
    <xf numFmtId="0" fontId="5" fillId="4" borderId="8" xfId="0" applyFont="1" applyFill="1" applyBorder="1" applyAlignment="1">
      <alignment horizontal="center" vertical="center" wrapText="1"/>
    </xf>
    <xf numFmtId="14" fontId="6" fillId="7" borderId="0" xfId="0" applyNumberFormat="1" applyFont="1" applyFill="1" applyAlignment="1">
      <alignment horizontal="center" vertical="center" wrapText="1"/>
    </xf>
    <xf numFmtId="15" fontId="14" fillId="2" borderId="0" xfId="0" applyNumberFormat="1" applyFont="1" applyFill="1" applyAlignment="1">
      <alignment vertical="center" wrapText="1"/>
    </xf>
    <xf numFmtId="15" fontId="2" fillId="2" borderId="0" xfId="0" applyNumberFormat="1" applyFont="1" applyFill="1" applyAlignment="1">
      <alignment vertical="center" wrapText="1"/>
    </xf>
    <xf numFmtId="15" fontId="2" fillId="2" borderId="0" xfId="0" applyNumberFormat="1" applyFont="1" applyFill="1" applyAlignment="1">
      <alignment horizontal="center" vertical="center" wrapText="1"/>
    </xf>
    <xf numFmtId="0" fontId="11" fillId="2" borderId="0" xfId="0" applyFont="1" applyFill="1" applyAlignment="1">
      <alignment horizontal="left" vertical="center" readingOrder="1"/>
    </xf>
    <xf numFmtId="0" fontId="6" fillId="2" borderId="0" xfId="0" applyFont="1" applyFill="1" applyAlignment="1" applyProtection="1">
      <alignment horizontal="left" vertical="center" wrapText="1" indent="1"/>
      <protection locked="0"/>
    </xf>
    <xf numFmtId="17" fontId="2" fillId="3" borderId="0" xfId="0" applyNumberFormat="1" applyFont="1" applyFill="1" applyAlignment="1">
      <alignment horizontal="center" vertical="center" wrapText="1"/>
    </xf>
    <xf numFmtId="15" fontId="2" fillId="3" borderId="0" xfId="0" applyNumberFormat="1" applyFont="1" applyFill="1" applyAlignment="1">
      <alignment horizontal="center" vertical="center" wrapText="1"/>
    </xf>
    <xf numFmtId="0" fontId="5" fillId="4" borderId="9" xfId="0" applyFont="1" applyFill="1" applyBorder="1" applyAlignment="1">
      <alignment horizontal="center" vertical="center" wrapText="1"/>
    </xf>
    <xf numFmtId="0" fontId="5" fillId="4" borderId="3" xfId="0" applyFont="1" applyFill="1" applyBorder="1" applyAlignment="1">
      <alignment horizontal="center" vertical="center" wrapText="1"/>
    </xf>
    <xf numFmtId="0" fontId="5" fillId="4" borderId="6" xfId="0" applyFont="1" applyFill="1" applyBorder="1" applyAlignment="1">
      <alignment horizontal="center" vertical="center" wrapText="1"/>
    </xf>
    <xf numFmtId="0" fontId="5" fillId="4" borderId="43" xfId="0" applyFont="1" applyFill="1" applyBorder="1" applyAlignment="1">
      <alignment horizontal="center" vertical="center" wrapText="1"/>
    </xf>
    <xf numFmtId="17" fontId="6" fillId="2" borderId="12" xfId="0" applyNumberFormat="1" applyFont="1" applyFill="1" applyBorder="1" applyAlignment="1">
      <alignment horizontal="center" vertical="center" wrapText="1"/>
    </xf>
    <xf numFmtId="15" fontId="2" fillId="7" borderId="0" xfId="0" applyNumberFormat="1" applyFont="1" applyFill="1" applyAlignment="1">
      <alignment horizontal="center" vertical="center" wrapText="1"/>
    </xf>
    <xf numFmtId="165" fontId="2" fillId="2" borderId="0" xfId="0" applyNumberFormat="1" applyFont="1" applyFill="1" applyAlignment="1">
      <alignment vertical="center" wrapText="1"/>
    </xf>
    <xf numFmtId="17" fontId="2" fillId="7" borderId="0" xfId="0" applyNumberFormat="1" applyFont="1" applyFill="1" applyAlignment="1">
      <alignment horizontal="center" vertical="center" wrapText="1"/>
    </xf>
    <xf numFmtId="169" fontId="2" fillId="3" borderId="17" xfId="0" applyNumberFormat="1" applyFont="1" applyFill="1" applyBorder="1" applyAlignment="1">
      <alignment horizontal="center" vertical="center" wrapText="1"/>
    </xf>
    <xf numFmtId="0" fontId="6" fillId="2" borderId="42" xfId="0" applyFont="1" applyFill="1" applyBorder="1" applyAlignment="1" applyProtection="1">
      <alignment horizontal="left" vertical="center" wrapText="1" indent="1"/>
      <protection locked="0"/>
    </xf>
    <xf numFmtId="15" fontId="6" fillId="7" borderId="0" xfId="0" applyNumberFormat="1" applyFont="1" applyFill="1" applyAlignment="1">
      <alignment horizontal="center" vertical="center" wrapText="1"/>
    </xf>
    <xf numFmtId="15" fontId="6" fillId="2" borderId="0" xfId="0" applyNumberFormat="1" applyFont="1" applyFill="1" applyAlignment="1">
      <alignment horizontal="center" vertical="center" wrapText="1"/>
    </xf>
    <xf numFmtId="15" fontId="6" fillId="3" borderId="0" xfId="0" applyNumberFormat="1" applyFont="1" applyFill="1" applyAlignment="1">
      <alignment horizontal="center" vertical="center" wrapText="1"/>
    </xf>
    <xf numFmtId="165" fontId="6" fillId="0" borderId="29" xfId="1" applyNumberFormat="1" applyFont="1" applyFill="1" applyBorder="1" applyAlignment="1" applyProtection="1">
      <alignment horizontal="center" vertical="center" wrapText="1"/>
    </xf>
    <xf numFmtId="0" fontId="6" fillId="2" borderId="0" xfId="0" applyFont="1" applyFill="1" applyBorder="1" applyAlignment="1">
      <alignment horizontal="left" vertical="center" wrapText="1" indent="1"/>
    </xf>
    <xf numFmtId="0" fontId="4" fillId="2" borderId="0" xfId="0" applyFont="1" applyFill="1" applyBorder="1" applyAlignment="1">
      <alignment horizontal="left" vertical="center" wrapText="1" indent="1"/>
    </xf>
    <xf numFmtId="0" fontId="2" fillId="2" borderId="0" xfId="0" applyFont="1" applyFill="1" applyBorder="1" applyAlignment="1">
      <alignment horizontal="center" vertical="center" wrapText="1"/>
    </xf>
    <xf numFmtId="0" fontId="2" fillId="2" borderId="0" xfId="0" applyFont="1" applyFill="1" applyBorder="1" applyAlignment="1">
      <alignment vertical="center" wrapText="1"/>
    </xf>
    <xf numFmtId="0" fontId="5" fillId="2" borderId="0" xfId="0" applyFont="1" applyFill="1" applyBorder="1" applyAlignment="1">
      <alignment horizontal="left" vertical="center" wrapText="1" indent="1"/>
    </xf>
    <xf numFmtId="0" fontId="5" fillId="2" borderId="0" xfId="0" applyFont="1" applyFill="1" applyBorder="1" applyAlignment="1">
      <alignment horizontal="center" vertical="center" wrapText="1"/>
    </xf>
    <xf numFmtId="0" fontId="26" fillId="2" borderId="12" xfId="0" applyFont="1" applyFill="1" applyBorder="1" applyAlignment="1">
      <alignment horizontal="left" vertical="center" wrapText="1" indent="1"/>
    </xf>
    <xf numFmtId="165" fontId="28" fillId="9" borderId="12" xfId="1" applyNumberFormat="1" applyFont="1" applyFill="1" applyBorder="1" applyAlignment="1" applyProtection="1">
      <alignment horizontal="center" vertical="center" wrapText="1"/>
      <protection locked="0"/>
    </xf>
    <xf numFmtId="0" fontId="29" fillId="2" borderId="12" xfId="0" applyFont="1" applyFill="1" applyBorder="1" applyAlignment="1" applyProtection="1">
      <alignment horizontal="center" vertical="center" wrapText="1"/>
      <protection locked="0"/>
    </xf>
    <xf numFmtId="2" fontId="21" fillId="2" borderId="12" xfId="0" applyNumberFormat="1" applyFont="1" applyFill="1" applyBorder="1" applyAlignment="1">
      <alignment horizontal="center" vertical="center" wrapText="1"/>
    </xf>
    <xf numFmtId="0" fontId="27" fillId="0" borderId="12" xfId="0" applyFont="1" applyBorder="1" applyAlignment="1">
      <alignment horizontal="left" vertical="center" wrapText="1" indent="1"/>
    </xf>
    <xf numFmtId="0" fontId="27" fillId="2" borderId="12" xfId="0" applyFont="1" applyFill="1" applyBorder="1" applyAlignment="1">
      <alignment horizontal="left" vertical="center" wrapText="1" indent="1"/>
    </xf>
    <xf numFmtId="2" fontId="6" fillId="18" borderId="17" xfId="0" applyNumberFormat="1" applyFont="1" applyFill="1" applyBorder="1" applyAlignment="1">
      <alignment horizontal="center" vertical="center" wrapText="1"/>
    </xf>
    <xf numFmtId="0" fontId="0" fillId="0" borderId="0" xfId="0"/>
    <xf numFmtId="0" fontId="2" fillId="2" borderId="0" xfId="0" applyFont="1" applyFill="1" applyAlignment="1">
      <alignment horizontal="center" vertical="center" wrapText="1"/>
    </xf>
    <xf numFmtId="15" fontId="6" fillId="7" borderId="0" xfId="1" applyNumberFormat="1" applyFont="1" applyFill="1" applyBorder="1" applyAlignment="1">
      <alignment horizontal="center" vertical="center" wrapText="1"/>
    </xf>
    <xf numFmtId="0" fontId="4" fillId="2" borderId="0" xfId="0" applyFont="1" applyFill="1" applyAlignment="1">
      <alignment vertical="center" wrapText="1"/>
    </xf>
    <xf numFmtId="0" fontId="4" fillId="2" borderId="0" xfId="0" applyFont="1" applyFill="1" applyBorder="1" applyAlignment="1" applyProtection="1">
      <alignment horizontal="left" vertical="center" wrapText="1" indent="1"/>
      <protection locked="0"/>
    </xf>
    <xf numFmtId="0" fontId="6" fillId="2" borderId="0" xfId="0" applyFont="1" applyFill="1" applyBorder="1" applyAlignment="1" applyProtection="1">
      <alignment horizontal="left" vertical="center" wrapText="1" indent="1"/>
      <protection locked="0"/>
    </xf>
    <xf numFmtId="0" fontId="3" fillId="0" borderId="16" xfId="0" applyFont="1" applyFill="1" applyBorder="1" applyAlignment="1">
      <alignment horizontal="center" vertical="center" wrapText="1"/>
    </xf>
    <xf numFmtId="2" fontId="30" fillId="3" borderId="17" xfId="0" applyNumberFormat="1" applyFont="1" applyFill="1" applyBorder="1" applyAlignment="1">
      <alignment horizontal="center" vertical="center" wrapText="1"/>
    </xf>
    <xf numFmtId="0" fontId="33" fillId="19" borderId="50" xfId="0" applyFont="1" applyFill="1" applyBorder="1" applyAlignment="1">
      <alignment vertical="top" wrapText="1" readingOrder="1"/>
    </xf>
    <xf numFmtId="0" fontId="11" fillId="19" borderId="50" xfId="0" applyFont="1" applyFill="1" applyBorder="1" applyAlignment="1">
      <alignment horizontal="center" vertical="center" wrapText="1" readingOrder="1"/>
    </xf>
    <xf numFmtId="0" fontId="11" fillId="19" borderId="54" xfId="0" applyFont="1" applyFill="1" applyBorder="1" applyAlignment="1">
      <alignment vertical="top" wrapText="1" readingOrder="1"/>
    </xf>
    <xf numFmtId="0" fontId="11" fillId="19" borderId="54" xfId="0" applyFont="1" applyFill="1" applyBorder="1" applyAlignment="1">
      <alignment horizontal="center" vertical="top" wrapText="1" readingOrder="1"/>
    </xf>
    <xf numFmtId="0" fontId="11" fillId="19" borderId="54" xfId="0" applyFont="1" applyFill="1" applyBorder="1" applyAlignment="1">
      <alignment horizontal="center" vertical="center" wrapText="1" readingOrder="1"/>
    </xf>
    <xf numFmtId="0" fontId="33" fillId="19" borderId="50" xfId="0" applyFont="1" applyFill="1" applyBorder="1" applyAlignment="1">
      <alignment horizontal="center" wrapText="1" readingOrder="1"/>
    </xf>
    <xf numFmtId="0" fontId="33" fillId="19" borderId="57" xfId="0" applyFont="1" applyFill="1" applyBorder="1" applyAlignment="1">
      <alignment horizontal="center" vertical="top" wrapText="1" readingOrder="1"/>
    </xf>
    <xf numFmtId="0" fontId="33" fillId="19" borderId="54" xfId="0" applyFont="1" applyFill="1" applyBorder="1" applyAlignment="1">
      <alignment horizontal="center" vertical="center" wrapText="1" readingOrder="1"/>
    </xf>
    <xf numFmtId="0" fontId="33" fillId="19" borderId="0" xfId="0" applyFont="1" applyFill="1" applyAlignment="1">
      <alignment horizontal="center" vertical="center" wrapText="1" readingOrder="1"/>
    </xf>
    <xf numFmtId="0" fontId="33" fillId="19" borderId="54" xfId="0" applyFont="1" applyFill="1" applyBorder="1" applyAlignment="1">
      <alignment horizontal="center" vertical="top" wrapText="1" readingOrder="1"/>
    </xf>
    <xf numFmtId="0" fontId="33" fillId="19" borderId="57" xfId="0" applyFont="1" applyFill="1" applyBorder="1" applyAlignment="1">
      <alignment horizontal="center" vertical="center" wrapText="1" readingOrder="1"/>
    </xf>
    <xf numFmtId="0" fontId="35" fillId="0" borderId="51" xfId="0" applyFont="1" applyBorder="1" applyAlignment="1">
      <alignment horizontal="left" vertical="top" wrapText="1" readingOrder="1"/>
    </xf>
    <xf numFmtId="0" fontId="11" fillId="20" borderId="51" xfId="0" applyFont="1" applyFill="1" applyBorder="1" applyAlignment="1">
      <alignment horizontal="center" vertical="center" wrapText="1" readingOrder="1"/>
    </xf>
    <xf numFmtId="0" fontId="36" fillId="0" borderId="51" xfId="0" applyFont="1" applyBorder="1" applyAlignment="1">
      <alignment horizontal="center" vertical="center" wrapText="1" readingOrder="1"/>
    </xf>
    <xf numFmtId="170" fontId="36" fillId="0" borderId="51" xfId="0" applyNumberFormat="1" applyFont="1" applyBorder="1" applyAlignment="1">
      <alignment horizontal="center" vertical="center" wrapText="1" readingOrder="1"/>
    </xf>
    <xf numFmtId="170" fontId="11" fillId="0" borderId="51" xfId="0" applyNumberFormat="1" applyFont="1" applyBorder="1" applyAlignment="1">
      <alignment horizontal="center" vertical="center" wrapText="1" readingOrder="1"/>
    </xf>
    <xf numFmtId="0" fontId="11" fillId="0" borderId="51" xfId="0" applyFont="1" applyBorder="1" applyAlignment="1">
      <alignment horizontal="center" vertical="center" wrapText="1" readingOrder="1"/>
    </xf>
    <xf numFmtId="171" fontId="11" fillId="0" borderId="51" xfId="0" applyNumberFormat="1" applyFont="1" applyBorder="1" applyAlignment="1">
      <alignment horizontal="center" vertical="center" wrapText="1" readingOrder="1"/>
    </xf>
    <xf numFmtId="173" fontId="11" fillId="0" borderId="51" xfId="0" applyNumberFormat="1" applyFont="1" applyBorder="1" applyAlignment="1">
      <alignment horizontal="center" vertical="center" wrapText="1" readingOrder="1"/>
    </xf>
    <xf numFmtId="174" fontId="37" fillId="0" borderId="51" xfId="0" applyNumberFormat="1" applyFont="1" applyBorder="1" applyAlignment="1">
      <alignment horizontal="center" vertical="center" wrapText="1" readingOrder="1"/>
    </xf>
    <xf numFmtId="174" fontId="39" fillId="0" borderId="51" xfId="0" applyNumberFormat="1" applyFont="1" applyBorder="1" applyAlignment="1">
      <alignment horizontal="center" vertical="center" wrapText="1" readingOrder="1"/>
    </xf>
    <xf numFmtId="175" fontId="11" fillId="0" borderId="51" xfId="0" applyNumberFormat="1" applyFont="1" applyBorder="1" applyAlignment="1">
      <alignment horizontal="center" vertical="center" wrapText="1" readingOrder="1"/>
    </xf>
    <xf numFmtId="174" fontId="38" fillId="0" borderId="51" xfId="0" applyNumberFormat="1" applyFont="1" applyBorder="1" applyAlignment="1">
      <alignment horizontal="center" vertical="center" wrapText="1" readingOrder="1"/>
    </xf>
    <xf numFmtId="0" fontId="2" fillId="2" borderId="0" xfId="0" applyFont="1" applyFill="1" applyAlignment="1">
      <alignment horizontal="center" vertical="center" wrapText="1"/>
    </xf>
    <xf numFmtId="0" fontId="2" fillId="2" borderId="0" xfId="0" applyFont="1" applyFill="1" applyAlignment="1">
      <alignment horizontal="left" vertical="center" wrapText="1" indent="1"/>
    </xf>
    <xf numFmtId="0" fontId="5" fillId="4" borderId="5" xfId="0" applyFont="1" applyFill="1" applyBorder="1" applyAlignment="1">
      <alignment horizontal="center" vertical="center" wrapText="1"/>
    </xf>
    <xf numFmtId="0" fontId="5" fillId="0" borderId="1" xfId="0" applyFont="1" applyBorder="1" applyAlignment="1">
      <alignment horizontal="left" vertical="center" wrapText="1" indent="1"/>
    </xf>
    <xf numFmtId="0" fontId="2" fillId="0" borderId="0" xfId="0" applyFont="1" applyAlignment="1">
      <alignment horizontal="center" vertical="center" wrapText="1"/>
    </xf>
    <xf numFmtId="0" fontId="5" fillId="0" borderId="0" xfId="0" applyFont="1" applyAlignment="1">
      <alignment horizontal="center" vertical="center" wrapText="1"/>
    </xf>
    <xf numFmtId="0" fontId="5" fillId="0" borderId="1" xfId="0" applyFont="1" applyBorder="1" applyAlignment="1">
      <alignment horizontal="center" vertical="center" wrapText="1"/>
    </xf>
    <xf numFmtId="0" fontId="5" fillId="0" borderId="14" xfId="0" applyFont="1" applyBorder="1" applyAlignment="1">
      <alignment horizontal="center" vertical="center" wrapText="1"/>
    </xf>
    <xf numFmtId="0" fontId="5" fillId="0" borderId="5" xfId="0" applyFont="1" applyBorder="1" applyAlignment="1">
      <alignment horizontal="center" vertical="center" wrapText="1"/>
    </xf>
    <xf numFmtId="0" fontId="5" fillId="0" borderId="8" xfId="0" applyFont="1" applyBorder="1" applyAlignment="1">
      <alignment horizontal="center" vertical="center" wrapText="1"/>
    </xf>
    <xf numFmtId="0" fontId="0" fillId="0" borderId="7" xfId="0" applyBorder="1" applyAlignment="1">
      <alignment horizontal="center" vertical="center" wrapText="1"/>
    </xf>
    <xf numFmtId="0" fontId="5" fillId="2" borderId="13" xfId="0" applyFont="1" applyFill="1" applyBorder="1" applyAlignment="1">
      <alignment horizontal="center" vertical="center" wrapText="1"/>
    </xf>
    <xf numFmtId="0" fontId="23" fillId="14" borderId="42" xfId="0" applyFont="1" applyFill="1" applyBorder="1" applyAlignment="1">
      <alignment vertical="center" wrapText="1"/>
    </xf>
    <xf numFmtId="0" fontId="0" fillId="0" borderId="45" xfId="0" applyBorder="1"/>
    <xf numFmtId="0" fontId="23" fillId="0" borderId="0" xfId="0" applyFont="1" applyAlignment="1">
      <alignment horizontal="center" vertical="center" wrapText="1"/>
    </xf>
    <xf numFmtId="0" fontId="40" fillId="4" borderId="1" xfId="0" applyFont="1" applyFill="1" applyBorder="1" applyAlignment="1">
      <alignment horizontal="left" vertical="center" wrapText="1" indent="1"/>
    </xf>
    <xf numFmtId="0" fontId="41" fillId="0" borderId="39" xfId="0" applyFont="1" applyBorder="1"/>
    <xf numFmtId="0" fontId="40" fillId="4" borderId="33" xfId="0" applyFont="1" applyFill="1" applyBorder="1" applyAlignment="1">
      <alignment horizontal="center" vertical="center" wrapText="1"/>
    </xf>
    <xf numFmtId="0" fontId="41" fillId="0" borderId="0" xfId="0" applyFont="1"/>
    <xf numFmtId="0" fontId="40" fillId="4" borderId="40" xfId="0" applyFont="1" applyFill="1" applyBorder="1" applyAlignment="1">
      <alignment horizontal="center" vertical="center" wrapText="1"/>
    </xf>
    <xf numFmtId="0" fontId="41" fillId="0" borderId="40" xfId="0" applyFont="1" applyBorder="1"/>
    <xf numFmtId="0" fontId="2" fillId="2" borderId="12" xfId="0" applyFont="1" applyFill="1" applyBorder="1" applyAlignment="1">
      <alignment horizontal="center" vertical="center" wrapText="1"/>
    </xf>
    <xf numFmtId="0" fontId="6" fillId="2" borderId="12" xfId="0" applyFont="1" applyFill="1" applyBorder="1" applyAlignment="1">
      <alignment horizontal="left" vertical="center" wrapText="1" indent="1"/>
    </xf>
    <xf numFmtId="0" fontId="2" fillId="2" borderId="40" xfId="0" applyFont="1" applyFill="1" applyBorder="1" applyAlignment="1">
      <alignment vertical="center" wrapText="1"/>
    </xf>
    <xf numFmtId="165" fontId="18" fillId="9" borderId="12" xfId="1" applyNumberFormat="1" applyFont="1" applyFill="1" applyBorder="1" applyAlignment="1" applyProtection="1">
      <alignment horizontal="center" vertical="center" wrapText="1"/>
      <protection locked="0"/>
    </xf>
    <xf numFmtId="165" fontId="18" fillId="0" borderId="12" xfId="1" applyNumberFormat="1" applyFont="1" applyFill="1" applyBorder="1" applyAlignment="1" applyProtection="1">
      <alignment horizontal="center" vertical="center" wrapText="1"/>
      <protection locked="0"/>
    </xf>
    <xf numFmtId="0" fontId="42" fillId="2" borderId="12" xfId="0" applyFont="1" applyFill="1" applyBorder="1" applyAlignment="1" applyProtection="1">
      <alignment horizontal="center" vertical="center" wrapText="1"/>
      <protection locked="0"/>
    </xf>
    <xf numFmtId="165" fontId="18" fillId="9" borderId="24" xfId="1" applyNumberFormat="1" applyFont="1" applyFill="1" applyBorder="1" applyAlignment="1" applyProtection="1">
      <alignment horizontal="center" vertical="center" wrapText="1"/>
      <protection locked="0"/>
    </xf>
    <xf numFmtId="17" fontId="4" fillId="2" borderId="63" xfId="0" applyNumberFormat="1" applyFont="1" applyFill="1" applyBorder="1" applyAlignment="1">
      <alignment horizontal="center" vertical="center" wrapText="1"/>
    </xf>
    <xf numFmtId="165" fontId="6" fillId="3" borderId="12" xfId="1" applyNumberFormat="1" applyFont="1" applyFill="1" applyBorder="1" applyAlignment="1" applyProtection="1">
      <alignment horizontal="center" vertical="center" wrapText="1"/>
    </xf>
    <xf numFmtId="165" fontId="6" fillId="11" borderId="12" xfId="1" applyNumberFormat="1" applyFont="1" applyFill="1" applyBorder="1" applyAlignment="1" applyProtection="1">
      <alignment horizontal="center" vertical="center" wrapText="1"/>
    </xf>
    <xf numFmtId="0" fontId="2" fillId="2" borderId="63" xfId="0" applyFont="1" applyFill="1" applyBorder="1" applyAlignment="1">
      <alignment vertical="center" wrapText="1"/>
    </xf>
    <xf numFmtId="167" fontId="6" fillId="3" borderId="12" xfId="0" applyNumberFormat="1" applyFont="1" applyFill="1" applyBorder="1" applyAlignment="1">
      <alignment horizontal="center" vertical="center" wrapText="1"/>
    </xf>
    <xf numFmtId="167" fontId="6" fillId="11" borderId="12" xfId="0" applyNumberFormat="1" applyFont="1" applyFill="1" applyBorder="1" applyAlignment="1">
      <alignment horizontal="center" vertical="center" wrapText="1"/>
    </xf>
    <xf numFmtId="0" fontId="2" fillId="0" borderId="12" xfId="0" applyFont="1" applyBorder="1" applyAlignment="1">
      <alignment horizontal="left" vertical="center" wrapText="1" indent="1"/>
    </xf>
    <xf numFmtId="0" fontId="2" fillId="2" borderId="12" xfId="0" applyFont="1" applyFill="1" applyBorder="1" applyAlignment="1">
      <alignment horizontal="left" vertical="center" wrapText="1" indent="1"/>
    </xf>
    <xf numFmtId="165" fontId="6" fillId="24" borderId="12" xfId="1" applyNumberFormat="1" applyFont="1" applyFill="1" applyBorder="1" applyAlignment="1" applyProtection="1">
      <alignment horizontal="center" vertical="center" wrapText="1"/>
    </xf>
    <xf numFmtId="165" fontId="18" fillId="0" borderId="0" xfId="1" applyNumberFormat="1" applyFont="1" applyFill="1" applyBorder="1" applyAlignment="1" applyProtection="1">
      <alignment horizontal="center" vertical="center" wrapText="1"/>
      <protection locked="0"/>
    </xf>
    <xf numFmtId="165" fontId="6" fillId="0" borderId="0" xfId="1" applyNumberFormat="1" applyFont="1" applyFill="1" applyBorder="1" applyAlignment="1" applyProtection="1">
      <alignment horizontal="center" vertical="center" wrapText="1"/>
    </xf>
    <xf numFmtId="0" fontId="23" fillId="2" borderId="0" xfId="0" applyFont="1" applyFill="1" applyAlignment="1">
      <alignment horizontal="center" vertical="center" wrapText="1"/>
    </xf>
    <xf numFmtId="0" fontId="2" fillId="2" borderId="39" xfId="0" applyFont="1" applyFill="1" applyBorder="1" applyAlignment="1">
      <alignment vertical="center" wrapText="1"/>
    </xf>
    <xf numFmtId="0" fontId="23" fillId="0" borderId="47" xfId="0" applyFont="1" applyBorder="1" applyAlignment="1">
      <alignment vertical="center" wrapText="1"/>
    </xf>
    <xf numFmtId="0" fontId="0" fillId="0" borderId="0" xfId="0" applyAlignment="1">
      <alignment horizontal="right"/>
    </xf>
    <xf numFmtId="9" fontId="0" fillId="0" borderId="0" xfId="6" applyFont="1"/>
    <xf numFmtId="9" fontId="0" fillId="25" borderId="0" xfId="6" applyFont="1" applyFill="1"/>
    <xf numFmtId="9" fontId="0" fillId="0" borderId="0" xfId="6" applyFont="1" applyFill="1"/>
    <xf numFmtId="9" fontId="0" fillId="7" borderId="0" xfId="6" applyFont="1" applyFill="1"/>
    <xf numFmtId="9" fontId="0" fillId="12" borderId="0" xfId="6" applyFont="1" applyFill="1"/>
    <xf numFmtId="0" fontId="6" fillId="2" borderId="0" xfId="0" applyFont="1" applyFill="1" applyAlignment="1">
      <alignment vertical="center" wrapText="1"/>
    </xf>
    <xf numFmtId="15" fontId="6" fillId="2" borderId="0" xfId="0" applyNumberFormat="1" applyFont="1" applyFill="1" applyAlignment="1">
      <alignment vertical="center" wrapText="1"/>
    </xf>
    <xf numFmtId="15" fontId="6" fillId="2" borderId="0" xfId="1" applyNumberFormat="1" applyFont="1" applyFill="1" applyBorder="1" applyAlignment="1">
      <alignment horizontal="center" vertical="center" wrapText="1"/>
    </xf>
    <xf numFmtId="0" fontId="0" fillId="0" borderId="0" xfId="0"/>
    <xf numFmtId="0" fontId="2" fillId="2" borderId="0" xfId="0" applyFont="1" applyFill="1" applyAlignment="1">
      <alignment horizontal="center" vertical="center" wrapText="1"/>
    </xf>
    <xf numFmtId="0" fontId="43" fillId="2" borderId="12" xfId="0" applyNumberFormat="1" applyFont="1" applyFill="1" applyBorder="1" applyAlignment="1">
      <alignment horizontal="center" vertical="center" wrapText="1"/>
    </xf>
    <xf numFmtId="0" fontId="43" fillId="2" borderId="12" xfId="0" applyFont="1" applyFill="1" applyBorder="1" applyAlignment="1">
      <alignment horizontal="center" vertical="center" wrapText="1"/>
    </xf>
    <xf numFmtId="0" fontId="0" fillId="0" borderId="10" xfId="0" applyBorder="1" applyAlignment="1">
      <alignment vertical="center" wrapText="1"/>
    </xf>
    <xf numFmtId="0" fontId="2" fillId="2" borderId="0" xfId="0" applyFont="1" applyFill="1" applyAlignment="1">
      <alignment horizontal="center" vertical="center" wrapText="1"/>
    </xf>
    <xf numFmtId="0" fontId="2" fillId="2" borderId="0" xfId="0" applyFont="1" applyFill="1" applyAlignment="1">
      <alignment horizontal="left" vertical="center" wrapText="1" indent="1"/>
    </xf>
    <xf numFmtId="169" fontId="6" fillId="3" borderId="17" xfId="0" applyNumberFormat="1" applyFont="1" applyFill="1" applyBorder="1" applyAlignment="1">
      <alignment horizontal="center" vertical="center" wrapText="1"/>
    </xf>
    <xf numFmtId="167" fontId="6" fillId="3" borderId="17" xfId="6" applyNumberFormat="1" applyFont="1" applyFill="1" applyBorder="1" applyAlignment="1" applyProtection="1">
      <alignment horizontal="center" vertical="center" wrapText="1"/>
    </xf>
    <xf numFmtId="2" fontId="6" fillId="5" borderId="17" xfId="0" applyNumberFormat="1" applyFont="1" applyFill="1" applyBorder="1" applyAlignment="1">
      <alignment horizontal="center" vertical="center" wrapText="1"/>
    </xf>
    <xf numFmtId="0" fontId="36" fillId="21" borderId="51" xfId="0" applyFont="1" applyFill="1" applyBorder="1" applyAlignment="1">
      <alignment horizontal="center" vertical="center" wrapText="1" readingOrder="1"/>
    </xf>
    <xf numFmtId="172" fontId="11" fillId="0" borderId="51" xfId="0" applyNumberFormat="1" applyFont="1" applyBorder="1" applyAlignment="1">
      <alignment horizontal="center" vertical="center" wrapText="1" readingOrder="1"/>
    </xf>
    <xf numFmtId="0" fontId="44" fillId="23" borderId="51" xfId="0" applyFont="1" applyFill="1" applyBorder="1" applyAlignment="1">
      <alignment horizontal="center" vertical="center" wrapText="1" readingOrder="1"/>
    </xf>
    <xf numFmtId="0" fontId="36" fillId="21" borderId="51" xfId="0" applyFont="1" applyFill="1" applyBorder="1" applyAlignment="1">
      <alignment vertical="top" wrapText="1" readingOrder="1"/>
    </xf>
    <xf numFmtId="0" fontId="45" fillId="21" borderId="51" xfId="0" applyFont="1" applyFill="1" applyBorder="1" applyAlignment="1">
      <alignment horizontal="center" vertical="center" wrapText="1"/>
    </xf>
    <xf numFmtId="0" fontId="37" fillId="0" borderId="51" xfId="0" applyFont="1" applyBorder="1" applyAlignment="1">
      <alignment horizontal="center" vertical="center" wrapText="1" readingOrder="1"/>
    </xf>
    <xf numFmtId="0" fontId="39" fillId="0" borderId="51" xfId="0" applyFont="1" applyBorder="1" applyAlignment="1">
      <alignment horizontal="center" vertical="center" wrapText="1" readingOrder="1"/>
    </xf>
    <xf numFmtId="0" fontId="44" fillId="22" borderId="51" xfId="0" applyFont="1" applyFill="1" applyBorder="1" applyAlignment="1">
      <alignment horizontal="center" vertical="center" wrapText="1" readingOrder="1"/>
    </xf>
    <xf numFmtId="0" fontId="33" fillId="0" borderId="51" xfId="0" applyFont="1" applyBorder="1" applyAlignment="1">
      <alignment horizontal="center" vertical="center" wrapText="1" readingOrder="1"/>
    </xf>
    <xf numFmtId="0" fontId="44" fillId="0" borderId="51" xfId="0" applyFont="1" applyBorder="1" applyAlignment="1">
      <alignment horizontal="center" vertical="center" wrapText="1" readingOrder="1"/>
    </xf>
    <xf numFmtId="0" fontId="44" fillId="20" borderId="51" xfId="0" applyFont="1" applyFill="1" applyBorder="1" applyAlignment="1">
      <alignment horizontal="center" vertical="center" wrapText="1" readingOrder="1"/>
    </xf>
    <xf numFmtId="0" fontId="38" fillId="0" borderId="51" xfId="0" applyFont="1" applyBorder="1" applyAlignment="1">
      <alignment horizontal="center" vertical="center" wrapText="1" readingOrder="1"/>
    </xf>
    <xf numFmtId="0" fontId="25" fillId="2" borderId="12" xfId="0" applyFont="1" applyFill="1" applyBorder="1" applyAlignment="1">
      <alignment horizontal="center" vertical="center" wrapText="1"/>
    </xf>
    <xf numFmtId="0" fontId="2" fillId="2" borderId="0" xfId="0" applyFont="1" applyFill="1" applyBorder="1" applyAlignment="1">
      <alignment horizontal="left" vertical="center" wrapText="1" indent="1"/>
    </xf>
    <xf numFmtId="0" fontId="5" fillId="2" borderId="63" xfId="0" applyFont="1" applyFill="1" applyBorder="1" applyAlignment="1">
      <alignment horizontal="left" vertical="center" wrapText="1" indent="1"/>
    </xf>
    <xf numFmtId="0" fontId="0" fillId="0" borderId="0" xfId="0" applyFill="1"/>
    <xf numFmtId="0" fontId="40" fillId="0" borderId="0" xfId="0" applyFont="1" applyFill="1" applyBorder="1" applyAlignment="1">
      <alignment horizontal="left" vertical="center" wrapText="1" indent="1"/>
    </xf>
    <xf numFmtId="0" fontId="41" fillId="0" borderId="0" xfId="0" applyFont="1" applyFill="1" applyBorder="1"/>
    <xf numFmtId="0" fontId="40" fillId="0" borderId="0" xfId="0" applyFont="1" applyFill="1" applyBorder="1" applyAlignment="1">
      <alignment horizontal="center" vertical="center" wrapText="1"/>
    </xf>
    <xf numFmtId="0" fontId="41" fillId="0" borderId="0" xfId="0" applyFont="1" applyFill="1"/>
    <xf numFmtId="0" fontId="41" fillId="0" borderId="0" xfId="0" applyFont="1" applyFill="1" applyBorder="1" applyAlignment="1">
      <alignment horizontal="center" vertical="center" wrapText="1"/>
    </xf>
    <xf numFmtId="0" fontId="23" fillId="0" borderId="0" xfId="0" applyFont="1" applyFill="1" applyBorder="1" applyAlignment="1">
      <alignment horizontal="center" vertical="center" wrapText="1"/>
    </xf>
    <xf numFmtId="0" fontId="23" fillId="0" borderId="0" xfId="0" applyFont="1" applyFill="1" applyBorder="1" applyAlignment="1">
      <alignment vertical="center" wrapText="1"/>
    </xf>
    <xf numFmtId="0" fontId="0" fillId="0" borderId="0" xfId="0" applyFill="1" applyBorder="1"/>
    <xf numFmtId="0" fontId="2" fillId="0" borderId="0" xfId="0" applyFont="1" applyFill="1" applyBorder="1" applyAlignment="1">
      <alignment horizontal="center" vertical="center" wrapText="1"/>
    </xf>
    <xf numFmtId="0" fontId="6" fillId="0" borderId="0" xfId="0" applyFont="1" applyFill="1" applyBorder="1" applyAlignment="1">
      <alignment horizontal="left" vertical="center" wrapText="1" indent="1"/>
    </xf>
    <xf numFmtId="0" fontId="2" fillId="0" borderId="0" xfId="0" applyFont="1" applyFill="1" applyBorder="1" applyAlignment="1">
      <alignment vertical="center" wrapText="1"/>
    </xf>
    <xf numFmtId="0" fontId="42" fillId="0" borderId="0" xfId="0" applyFont="1" applyFill="1" applyBorder="1" applyAlignment="1" applyProtection="1">
      <alignment horizontal="center" vertical="center" wrapText="1"/>
      <protection locked="0"/>
    </xf>
    <xf numFmtId="17" fontId="4" fillId="0" borderId="0" xfId="0" applyNumberFormat="1" applyFont="1" applyFill="1" applyBorder="1" applyAlignment="1">
      <alignment horizontal="center" vertical="center" wrapText="1"/>
    </xf>
    <xf numFmtId="17" fontId="4" fillId="0" borderId="0" xfId="0" applyNumberFormat="1" applyFont="1" applyFill="1" applyAlignment="1">
      <alignment horizontal="center" vertical="center" wrapText="1"/>
    </xf>
    <xf numFmtId="0" fontId="2" fillId="0" borderId="0" xfId="0" applyFont="1" applyFill="1" applyAlignment="1">
      <alignment vertical="center" wrapText="1"/>
    </xf>
    <xf numFmtId="167" fontId="6" fillId="0" borderId="0" xfId="0" applyNumberFormat="1" applyFont="1" applyFill="1" applyBorder="1" applyAlignment="1">
      <alignment horizontal="center" vertical="center" wrapText="1"/>
    </xf>
    <xf numFmtId="0" fontId="40" fillId="4" borderId="1" xfId="0" applyFont="1" applyFill="1" applyBorder="1" applyAlignment="1">
      <alignment horizontal="center" vertical="center" wrapText="1"/>
    </xf>
    <xf numFmtId="0" fontId="17" fillId="0" borderId="16" xfId="0" applyFont="1" applyFill="1" applyBorder="1" applyAlignment="1">
      <alignment horizontal="center" vertical="center" wrapText="1"/>
    </xf>
    <xf numFmtId="165" fontId="6" fillId="0" borderId="12" xfId="1" applyNumberFormat="1" applyFont="1" applyFill="1" applyBorder="1" applyAlignment="1" applyProtection="1">
      <alignment horizontal="center" vertical="center" wrapText="1"/>
      <protection locked="0"/>
    </xf>
    <xf numFmtId="0" fontId="0" fillId="0" borderId="0" xfId="0"/>
    <xf numFmtId="165" fontId="18" fillId="9" borderId="12" xfId="1" applyNumberFormat="1" applyFont="1" applyFill="1" applyBorder="1" applyAlignment="1" applyProtection="1">
      <alignment horizontal="center" vertical="center" wrapText="1"/>
    </xf>
    <xf numFmtId="175" fontId="44" fillId="0" borderId="51" xfId="0" applyNumberFormat="1" applyFont="1" applyBorder="1" applyAlignment="1">
      <alignment horizontal="center" vertical="center" wrapText="1" readingOrder="1"/>
    </xf>
    <xf numFmtId="165" fontId="6" fillId="0" borderId="17" xfId="1" applyNumberFormat="1" applyFont="1" applyFill="1" applyBorder="1" applyAlignment="1" applyProtection="1">
      <alignment horizontal="center" vertical="center" wrapText="1"/>
    </xf>
    <xf numFmtId="167" fontId="6" fillId="0" borderId="17" xfId="0" applyNumberFormat="1" applyFont="1" applyFill="1" applyBorder="1" applyAlignment="1">
      <alignment horizontal="center" vertical="center" wrapText="1"/>
    </xf>
    <xf numFmtId="0" fontId="32" fillId="0" borderId="0" xfId="0" applyFont="1"/>
    <xf numFmtId="0" fontId="11" fillId="19" borderId="50" xfId="0" applyFont="1" applyFill="1" applyBorder="1" applyAlignment="1">
      <alignment horizontal="center" wrapText="1" readingOrder="1"/>
    </xf>
    <xf numFmtId="0" fontId="33" fillId="19" borderId="51" xfId="0" applyFont="1" applyFill="1" applyBorder="1" applyAlignment="1">
      <alignment horizontal="center" vertical="center" wrapText="1" readingOrder="1"/>
    </xf>
    <xf numFmtId="0" fontId="11" fillId="19" borderId="54" xfId="0" applyFont="1" applyFill="1" applyBorder="1" applyAlignment="1">
      <alignment horizontal="center" wrapText="1" readingOrder="1"/>
    </xf>
    <xf numFmtId="0" fontId="11" fillId="19" borderId="50" xfId="0" applyFont="1" applyFill="1" applyBorder="1" applyAlignment="1">
      <alignment vertical="top" wrapText="1" readingOrder="1"/>
    </xf>
    <xf numFmtId="0" fontId="2" fillId="2" borderId="0" xfId="0" applyFont="1" applyFill="1" applyAlignment="1">
      <alignment horizontal="left" vertical="center" wrapText="1" indent="1"/>
    </xf>
    <xf numFmtId="0" fontId="0" fillId="0" borderId="0" xfId="0"/>
    <xf numFmtId="0" fontId="17" fillId="0" borderId="16" xfId="5" applyFont="1" applyBorder="1" applyAlignment="1">
      <alignment horizontal="center" vertical="center"/>
    </xf>
    <xf numFmtId="165" fontId="18" fillId="9" borderId="0" xfId="1" applyNumberFormat="1" applyFont="1" applyFill="1" applyBorder="1" applyAlignment="1" applyProtection="1">
      <alignment horizontal="center" vertical="center" wrapText="1"/>
      <protection locked="0"/>
    </xf>
    <xf numFmtId="17" fontId="4" fillId="2" borderId="0" xfId="0" applyNumberFormat="1" applyFont="1" applyFill="1" applyBorder="1" applyAlignment="1">
      <alignment horizontal="center" vertical="center" wrapText="1"/>
    </xf>
    <xf numFmtId="165" fontId="6" fillId="3" borderId="0" xfId="1" applyNumberFormat="1" applyFont="1" applyFill="1" applyBorder="1" applyAlignment="1" applyProtection="1">
      <alignment horizontal="center" vertical="center" wrapText="1"/>
    </xf>
    <xf numFmtId="165" fontId="6" fillId="11" borderId="0" xfId="1" applyNumberFormat="1" applyFont="1" applyFill="1" applyBorder="1" applyAlignment="1" applyProtection="1">
      <alignment horizontal="center" vertical="center" wrapText="1"/>
    </xf>
    <xf numFmtId="167" fontId="6" fillId="3" borderId="0" xfId="0" applyNumberFormat="1" applyFont="1" applyFill="1" applyBorder="1" applyAlignment="1">
      <alignment horizontal="center" vertical="center" wrapText="1"/>
    </xf>
    <xf numFmtId="167" fontId="6" fillId="11" borderId="0" xfId="0" applyNumberFormat="1" applyFont="1" applyFill="1" applyBorder="1" applyAlignment="1">
      <alignment horizontal="center" vertical="center" wrapText="1"/>
    </xf>
    <xf numFmtId="14" fontId="6" fillId="2" borderId="0" xfId="1" applyNumberFormat="1" applyFont="1" applyFill="1" applyBorder="1" applyAlignment="1">
      <alignment horizontal="center" vertical="center" wrapText="1"/>
    </xf>
    <xf numFmtId="0" fontId="2" fillId="2" borderId="0" xfId="0" applyFont="1" applyFill="1" applyAlignment="1">
      <alignment horizontal="center" vertical="center" wrapText="1"/>
    </xf>
    <xf numFmtId="0" fontId="2" fillId="2" borderId="0" xfId="0" applyFont="1" applyFill="1" applyAlignment="1">
      <alignment horizontal="left" vertical="center" wrapText="1" indent="1"/>
    </xf>
    <xf numFmtId="0" fontId="0" fillId="0" borderId="0" xfId="0"/>
    <xf numFmtId="0" fontId="2" fillId="0" borderId="12" xfId="0" applyFont="1" applyBorder="1" applyAlignment="1">
      <alignment vertical="center" wrapText="1"/>
    </xf>
    <xf numFmtId="169" fontId="2" fillId="3" borderId="17" xfId="1" applyNumberFormat="1" applyFont="1" applyFill="1" applyBorder="1" applyAlignment="1" applyProtection="1">
      <alignment horizontal="center" vertical="center" wrapText="1"/>
    </xf>
    <xf numFmtId="176" fontId="2" fillId="3" borderId="17" xfId="0" applyNumberFormat="1" applyFont="1" applyFill="1" applyBorder="1" applyAlignment="1">
      <alignment horizontal="center" vertical="center" wrapText="1"/>
    </xf>
    <xf numFmtId="165" fontId="18" fillId="9" borderId="17" xfId="1" applyNumberFormat="1" applyFont="1" applyFill="1" applyBorder="1" applyAlignment="1" applyProtection="1">
      <alignment horizontal="center" vertical="center" wrapText="1"/>
    </xf>
    <xf numFmtId="0" fontId="19" fillId="2" borderId="17" xfId="0" applyFont="1" applyFill="1" applyBorder="1" applyAlignment="1" applyProtection="1">
      <alignment horizontal="center" vertical="center" wrapText="1"/>
    </xf>
    <xf numFmtId="0" fontId="19" fillId="3" borderId="17" xfId="0" applyFont="1" applyFill="1" applyBorder="1" applyAlignment="1" applyProtection="1">
      <alignment horizontal="center" vertical="center" wrapText="1"/>
    </xf>
    <xf numFmtId="165" fontId="18" fillId="9" borderId="18" xfId="1" applyNumberFormat="1" applyFont="1" applyFill="1" applyBorder="1" applyAlignment="1" applyProtection="1">
      <alignment horizontal="center" vertical="center" wrapText="1"/>
    </xf>
    <xf numFmtId="0" fontId="17" fillId="0" borderId="16" xfId="0" applyFont="1" applyFill="1" applyBorder="1" applyAlignment="1" applyProtection="1">
      <alignment horizontal="center" vertical="center" wrapText="1"/>
    </xf>
    <xf numFmtId="0" fontId="2" fillId="2" borderId="17" xfId="0" applyFont="1" applyFill="1" applyBorder="1" applyAlignment="1" applyProtection="1">
      <alignment horizontal="center" vertical="center" wrapText="1"/>
    </xf>
    <xf numFmtId="0" fontId="2" fillId="2" borderId="17" xfId="0" applyFont="1" applyFill="1" applyBorder="1" applyAlignment="1" applyProtection="1">
      <alignment vertical="center" wrapText="1"/>
    </xf>
    <xf numFmtId="17" fontId="4" fillId="2" borderId="17" xfId="0" applyNumberFormat="1" applyFont="1" applyFill="1" applyBorder="1" applyAlignment="1" applyProtection="1">
      <alignment horizontal="center" vertical="center" wrapText="1"/>
    </xf>
    <xf numFmtId="17" fontId="2" fillId="3" borderId="17" xfId="0" applyNumberFormat="1" applyFont="1" applyFill="1" applyBorder="1" applyAlignment="1" applyProtection="1">
      <alignment horizontal="center" vertical="center" wrapText="1"/>
    </xf>
    <xf numFmtId="169" fontId="2" fillId="3" borderId="17" xfId="0" applyNumberFormat="1" applyFont="1" applyFill="1" applyBorder="1" applyAlignment="1" applyProtection="1">
      <alignment horizontal="center" vertical="center" wrapText="1"/>
    </xf>
    <xf numFmtId="15" fontId="2" fillId="3" borderId="17" xfId="0" applyNumberFormat="1" applyFont="1" applyFill="1" applyBorder="1" applyAlignment="1" applyProtection="1">
      <alignment horizontal="center" vertical="center" wrapText="1"/>
    </xf>
    <xf numFmtId="17" fontId="6" fillId="3" borderId="17" xfId="0" applyNumberFormat="1" applyFont="1" applyFill="1" applyBorder="1" applyAlignment="1" applyProtection="1">
      <alignment horizontal="center" vertical="center" wrapText="1"/>
    </xf>
    <xf numFmtId="2" fontId="6" fillId="3" borderId="17" xfId="0" applyNumberFormat="1" applyFont="1" applyFill="1" applyBorder="1" applyAlignment="1" applyProtection="1">
      <alignment horizontal="center" vertical="center" wrapText="1"/>
    </xf>
    <xf numFmtId="2" fontId="6" fillId="18" borderId="17" xfId="0" applyNumberFormat="1" applyFont="1" applyFill="1" applyBorder="1" applyAlignment="1" applyProtection="1">
      <alignment horizontal="center" vertical="center" wrapText="1"/>
    </xf>
    <xf numFmtId="167" fontId="6" fillId="3" borderId="17" xfId="0" applyNumberFormat="1" applyFont="1" applyFill="1" applyBorder="1" applyAlignment="1" applyProtection="1">
      <alignment horizontal="center" vertical="center" wrapText="1"/>
    </xf>
    <xf numFmtId="167" fontId="6" fillId="11" borderId="17" xfId="0" applyNumberFormat="1" applyFont="1" applyFill="1" applyBorder="1" applyAlignment="1" applyProtection="1">
      <alignment horizontal="center" vertical="center" wrapText="1"/>
    </xf>
    <xf numFmtId="15" fontId="6" fillId="3" borderId="17" xfId="0" applyNumberFormat="1" applyFont="1" applyFill="1" applyBorder="1" applyAlignment="1" applyProtection="1">
      <alignment horizontal="center" vertical="center" wrapText="1"/>
    </xf>
    <xf numFmtId="0" fontId="3" fillId="0" borderId="16" xfId="0" applyFont="1" applyFill="1" applyBorder="1" applyAlignment="1" applyProtection="1">
      <alignment horizontal="center" vertical="center" wrapText="1"/>
    </xf>
    <xf numFmtId="10" fontId="6" fillId="3" borderId="17" xfId="0" applyNumberFormat="1" applyFont="1" applyFill="1" applyBorder="1" applyAlignment="1" applyProtection="1">
      <alignment horizontal="center" vertical="center" wrapText="1"/>
    </xf>
    <xf numFmtId="17" fontId="46" fillId="2" borderId="17" xfId="0" applyNumberFormat="1" applyFont="1" applyFill="1" applyBorder="1" applyAlignment="1" applyProtection="1">
      <alignment horizontal="center" vertical="center" wrapText="1"/>
    </xf>
    <xf numFmtId="1" fontId="2" fillId="3" borderId="17" xfId="0" applyNumberFormat="1" applyFont="1" applyFill="1" applyBorder="1" applyAlignment="1" applyProtection="1">
      <alignment horizontal="center" vertical="center" wrapText="1"/>
    </xf>
    <xf numFmtId="0" fontId="2" fillId="2" borderId="0" xfId="0" applyFont="1" applyFill="1" applyAlignment="1">
      <alignment horizontal="left" vertical="center" wrapText="1" indent="1"/>
    </xf>
    <xf numFmtId="17" fontId="4" fillId="2" borderId="0" xfId="0" applyNumberFormat="1" applyFont="1" applyFill="1" applyAlignment="1">
      <alignment horizontal="center" vertical="center" wrapText="1"/>
    </xf>
    <xf numFmtId="0" fontId="2" fillId="2" borderId="0" xfId="0" applyFont="1" applyFill="1" applyAlignment="1">
      <alignment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5" fillId="2" borderId="8" xfId="0" applyFont="1" applyFill="1" applyBorder="1" applyAlignment="1">
      <alignment horizontal="center" vertical="center" wrapText="1"/>
    </xf>
    <xf numFmtId="17" fontId="2" fillId="3" borderId="0" xfId="0" applyNumberFormat="1" applyFont="1" applyFill="1" applyAlignment="1">
      <alignment horizontal="center" vertical="center" wrapText="1"/>
    </xf>
    <xf numFmtId="0" fontId="2" fillId="2" borderId="12" xfId="0" applyFont="1" applyFill="1" applyBorder="1" applyAlignment="1">
      <alignment vertical="center" wrapText="1"/>
    </xf>
    <xf numFmtId="17" fontId="2" fillId="2" borderId="12" xfId="0" applyNumberFormat="1" applyFont="1" applyFill="1" applyBorder="1" applyAlignment="1">
      <alignment horizontal="center" vertical="center" wrapText="1"/>
    </xf>
    <xf numFmtId="0" fontId="6" fillId="2" borderId="12" xfId="0" applyFont="1" applyFill="1" applyBorder="1" applyAlignment="1">
      <alignment vertical="center" wrapText="1"/>
    </xf>
    <xf numFmtId="165" fontId="6" fillId="2" borderId="12" xfId="0" applyNumberFormat="1" applyFont="1" applyFill="1" applyBorder="1" applyAlignment="1">
      <alignment vertical="center" wrapText="1"/>
    </xf>
    <xf numFmtId="14" fontId="2" fillId="2" borderId="0" xfId="0" applyNumberFormat="1" applyFont="1" applyFill="1" applyAlignment="1">
      <alignment vertical="center" wrapText="1"/>
    </xf>
    <xf numFmtId="165" fontId="2" fillId="2" borderId="0" xfId="0" applyNumberFormat="1" applyFont="1" applyFill="1" applyAlignment="1">
      <alignment vertical="center" wrapText="1"/>
    </xf>
    <xf numFmtId="17" fontId="6" fillId="2" borderId="12" xfId="0" applyNumberFormat="1" applyFont="1" applyFill="1" applyBorder="1" applyAlignment="1">
      <alignment horizontal="center" vertical="center" wrapText="1"/>
    </xf>
    <xf numFmtId="0" fontId="6" fillId="2" borderId="0" xfId="0" applyFont="1" applyFill="1" applyAlignment="1">
      <alignment vertical="center" wrapText="1"/>
    </xf>
    <xf numFmtId="14" fontId="6" fillId="2" borderId="0" xfId="0" applyNumberFormat="1" applyFont="1" applyFill="1" applyAlignment="1">
      <alignment vertical="center" wrapText="1"/>
    </xf>
    <xf numFmtId="14" fontId="6" fillId="2" borderId="0" xfId="0" applyNumberFormat="1" applyFont="1" applyFill="1" applyAlignment="1">
      <alignment horizontal="center" vertical="center" wrapText="1"/>
    </xf>
    <xf numFmtId="14" fontId="2" fillId="3" borderId="0" xfId="0" applyNumberFormat="1" applyFont="1" applyFill="1" applyAlignment="1">
      <alignment horizontal="center" vertical="center" wrapText="1"/>
    </xf>
    <xf numFmtId="14" fontId="2" fillId="2" borderId="0" xfId="0" applyNumberFormat="1" applyFont="1" applyFill="1" applyAlignment="1">
      <alignment horizontal="center" vertical="center" wrapText="1"/>
    </xf>
    <xf numFmtId="14" fontId="3" fillId="2" borderId="0" xfId="0" applyNumberFormat="1" applyFont="1" applyFill="1" applyAlignment="1">
      <alignment horizontal="left" vertical="center" wrapText="1" indent="1"/>
    </xf>
    <xf numFmtId="14" fontId="6" fillId="3" borderId="0" xfId="0" applyNumberFormat="1" applyFont="1" applyFill="1" applyAlignment="1">
      <alignment horizontal="center" vertical="center" wrapText="1"/>
    </xf>
    <xf numFmtId="0" fontId="2" fillId="5" borderId="12" xfId="0" applyFont="1" applyFill="1" applyBorder="1" applyAlignment="1">
      <alignment vertical="center" wrapText="1"/>
    </xf>
    <xf numFmtId="0" fontId="4" fillId="5" borderId="12" xfId="0" applyFont="1" applyFill="1" applyBorder="1" applyAlignment="1">
      <alignment vertical="center" wrapText="1"/>
    </xf>
    <xf numFmtId="0" fontId="2" fillId="2" borderId="0" xfId="0" applyFont="1" applyFill="1" applyAlignment="1">
      <alignment horizontal="center" vertical="center" wrapText="1"/>
    </xf>
    <xf numFmtId="0" fontId="4" fillId="2" borderId="0" xfId="0" applyFont="1" applyFill="1" applyBorder="1" applyAlignment="1" applyProtection="1">
      <alignment horizontal="left" vertical="center" wrapText="1" indent="1"/>
    </xf>
    <xf numFmtId="0" fontId="17" fillId="0" borderId="16" xfId="5" applyFont="1" applyFill="1" applyBorder="1" applyAlignment="1">
      <alignment horizontal="center" vertical="center"/>
    </xf>
    <xf numFmtId="0" fontId="40" fillId="4" borderId="33" xfId="0" applyFont="1" applyFill="1" applyBorder="1" applyAlignment="1">
      <alignment horizontal="center" vertical="center" wrapText="1"/>
    </xf>
    <xf numFmtId="0" fontId="0" fillId="0" borderId="0" xfId="0"/>
    <xf numFmtId="0" fontId="0" fillId="0" borderId="0" xfId="0"/>
    <xf numFmtId="0" fontId="0" fillId="0" borderId="0" xfId="0"/>
    <xf numFmtId="165" fontId="6" fillId="24" borderId="0" xfId="1" applyNumberFormat="1" applyFont="1" applyFill="1" applyBorder="1" applyAlignment="1" applyProtection="1">
      <alignment horizontal="center" vertical="center" wrapText="1"/>
    </xf>
    <xf numFmtId="0" fontId="0" fillId="0" borderId="0" xfId="0"/>
    <xf numFmtId="2" fontId="2" fillId="3" borderId="17" xfId="0" applyNumberFormat="1" applyFont="1" applyFill="1" applyBorder="1" applyAlignment="1" applyProtection="1">
      <alignment horizontal="center" vertical="center" wrapText="1"/>
    </xf>
    <xf numFmtId="0" fontId="5" fillId="4" borderId="5" xfId="0" applyFont="1" applyFill="1" applyBorder="1" applyAlignment="1">
      <alignment horizontal="center" vertical="center" wrapText="1"/>
    </xf>
    <xf numFmtId="0" fontId="18" fillId="2" borderId="0" xfId="0" applyFont="1" applyFill="1" applyAlignment="1">
      <alignment vertical="center" wrapText="1"/>
    </xf>
    <xf numFmtId="0" fontId="2" fillId="2" borderId="0" xfId="0" applyFont="1" applyFill="1" applyAlignment="1">
      <alignment horizontal="center" vertical="center" wrapText="1"/>
    </xf>
    <xf numFmtId="0" fontId="57" fillId="2" borderId="0" xfId="0" applyFont="1" applyFill="1" applyAlignment="1">
      <alignment vertical="center" wrapText="1"/>
    </xf>
    <xf numFmtId="0" fontId="2" fillId="2" borderId="0" xfId="0" applyFont="1" applyFill="1" applyAlignment="1">
      <alignment horizontal="left" vertical="center" wrapText="1" indent="1"/>
    </xf>
    <xf numFmtId="0" fontId="3" fillId="2" borderId="0" xfId="0" applyFont="1" applyFill="1" applyAlignment="1">
      <alignment horizontal="left" vertical="center" wrapText="1" indent="1"/>
    </xf>
    <xf numFmtId="17" fontId="2" fillId="2" borderId="0" xfId="0" applyNumberFormat="1" applyFont="1" applyFill="1" applyAlignment="1">
      <alignment horizontal="center" vertical="center" wrapText="1"/>
    </xf>
    <xf numFmtId="17" fontId="4" fillId="2" borderId="0" xfId="0" applyNumberFormat="1" applyFont="1" applyFill="1" applyAlignment="1">
      <alignment horizontal="center" vertical="center" wrapText="1"/>
    </xf>
    <xf numFmtId="0" fontId="2" fillId="2" borderId="0" xfId="0" applyFont="1" applyFill="1" applyAlignment="1">
      <alignment vertical="center" wrapText="1"/>
    </xf>
    <xf numFmtId="0" fontId="33" fillId="19" borderId="50" xfId="0" applyFont="1" applyFill="1" applyBorder="1" applyAlignment="1">
      <alignment vertical="top" wrapText="1" readingOrder="1"/>
    </xf>
    <xf numFmtId="0" fontId="11" fillId="19" borderId="50" xfId="0" applyFont="1" applyFill="1" applyBorder="1" applyAlignment="1">
      <alignment horizontal="center" vertical="center" wrapText="1" readingOrder="1"/>
    </xf>
    <xf numFmtId="0" fontId="11" fillId="19" borderId="54" xfId="0" applyFont="1" applyFill="1" applyBorder="1" applyAlignment="1">
      <alignment vertical="top" wrapText="1" readingOrder="1"/>
    </xf>
    <xf numFmtId="0" fontId="11" fillId="19" borderId="54" xfId="0" applyFont="1" applyFill="1" applyBorder="1" applyAlignment="1">
      <alignment horizontal="center" vertical="top" wrapText="1" readingOrder="1"/>
    </xf>
    <xf numFmtId="0" fontId="11" fillId="19" borderId="54" xfId="0" applyFont="1" applyFill="1" applyBorder="1" applyAlignment="1">
      <alignment horizontal="center" vertical="center" wrapText="1" readingOrder="1"/>
    </xf>
    <xf numFmtId="0" fontId="33" fillId="19" borderId="50" xfId="0" applyFont="1" applyFill="1" applyBorder="1" applyAlignment="1">
      <alignment horizontal="center" wrapText="1" readingOrder="1"/>
    </xf>
    <xf numFmtId="0" fontId="33" fillId="19" borderId="57" xfId="0" applyFont="1" applyFill="1" applyBorder="1" applyAlignment="1">
      <alignment horizontal="center" vertical="top" wrapText="1" readingOrder="1"/>
    </xf>
    <xf numFmtId="0" fontId="33" fillId="19" borderId="54" xfId="0" applyFont="1" applyFill="1" applyBorder="1" applyAlignment="1">
      <alignment horizontal="center" vertical="center" wrapText="1" readingOrder="1"/>
    </xf>
    <xf numFmtId="0" fontId="33" fillId="19" borderId="0" xfId="0" applyFont="1" applyFill="1" applyAlignment="1">
      <alignment horizontal="center" vertical="center" wrapText="1" readingOrder="1"/>
    </xf>
    <xf numFmtId="0" fontId="33" fillId="19" borderId="54" xfId="0" applyFont="1" applyFill="1" applyBorder="1" applyAlignment="1">
      <alignment horizontal="center" vertical="top" wrapText="1" readingOrder="1"/>
    </xf>
    <xf numFmtId="0" fontId="33" fillId="19" borderId="57" xfId="0" applyFont="1" applyFill="1" applyBorder="1" applyAlignment="1">
      <alignment horizontal="center" vertical="center" wrapText="1" readingOrder="1"/>
    </xf>
    <xf numFmtId="175" fontId="11" fillId="0" borderId="51" xfId="0" applyNumberFormat="1" applyFont="1" applyBorder="1" applyAlignment="1">
      <alignment horizontal="center" vertical="center" wrapText="1" readingOrder="1"/>
    </xf>
    <xf numFmtId="0" fontId="35" fillId="0" borderId="51" xfId="0" applyFont="1" applyBorder="1" applyAlignment="1">
      <alignment horizontal="left" vertical="top" wrapText="1" readingOrder="1"/>
    </xf>
    <xf numFmtId="0" fontId="11" fillId="20" borderId="51" xfId="0" applyFont="1" applyFill="1" applyBorder="1" applyAlignment="1">
      <alignment horizontal="center" vertical="center" wrapText="1" readingOrder="1"/>
    </xf>
    <xf numFmtId="0" fontId="36" fillId="21" borderId="51" xfId="0" applyFont="1" applyFill="1" applyBorder="1" applyAlignment="1">
      <alignment horizontal="center" vertical="center" wrapText="1" readingOrder="1"/>
    </xf>
    <xf numFmtId="0" fontId="36" fillId="0" borderId="51" xfId="0" applyFont="1" applyBorder="1" applyAlignment="1">
      <alignment horizontal="center" vertical="center" wrapText="1" readingOrder="1"/>
    </xf>
    <xf numFmtId="170" fontId="36" fillId="0" borderId="51" xfId="0" applyNumberFormat="1" applyFont="1" applyBorder="1" applyAlignment="1">
      <alignment horizontal="center" vertical="center" wrapText="1" readingOrder="1"/>
    </xf>
    <xf numFmtId="172" fontId="11" fillId="0" borderId="51" xfId="0" applyNumberFormat="1" applyFont="1" applyBorder="1" applyAlignment="1">
      <alignment horizontal="center" vertical="center" wrapText="1" readingOrder="1"/>
    </xf>
    <xf numFmtId="170" fontId="11" fillId="0" borderId="51" xfId="0" applyNumberFormat="1" applyFont="1" applyBorder="1" applyAlignment="1">
      <alignment horizontal="center" vertical="center" wrapText="1" readingOrder="1"/>
    </xf>
    <xf numFmtId="0" fontId="44" fillId="23" borderId="51" xfId="0" applyFont="1" applyFill="1" applyBorder="1" applyAlignment="1">
      <alignment horizontal="center" vertical="center" wrapText="1" readingOrder="1"/>
    </xf>
    <xf numFmtId="171" fontId="11" fillId="0" borderId="51" xfId="0" applyNumberFormat="1" applyFont="1" applyBorder="1" applyAlignment="1">
      <alignment horizontal="center" vertical="center" wrapText="1" readingOrder="1"/>
    </xf>
    <xf numFmtId="173" fontId="11" fillId="0" borderId="51" xfId="0" applyNumberFormat="1" applyFont="1" applyBorder="1" applyAlignment="1">
      <alignment horizontal="center" vertical="center" wrapText="1" readingOrder="1"/>
    </xf>
    <xf numFmtId="174" fontId="37" fillId="0" borderId="51" xfId="0" applyNumberFormat="1" applyFont="1" applyBorder="1" applyAlignment="1">
      <alignment horizontal="center" vertical="center" wrapText="1" readingOrder="1"/>
    </xf>
    <xf numFmtId="174" fontId="39" fillId="0" borderId="51" xfId="0" applyNumberFormat="1" applyFont="1" applyBorder="1" applyAlignment="1">
      <alignment horizontal="center" vertical="center" wrapText="1" readingOrder="1"/>
    </xf>
    <xf numFmtId="0" fontId="36" fillId="21" borderId="51" xfId="0" applyFont="1" applyFill="1" applyBorder="1" applyAlignment="1">
      <alignment vertical="top" wrapText="1" readingOrder="1"/>
    </xf>
    <xf numFmtId="0" fontId="45" fillId="21" borderId="51" xfId="0" applyFont="1" applyFill="1" applyBorder="1" applyAlignment="1">
      <alignment horizontal="center" vertical="center" wrapText="1"/>
    </xf>
    <xf numFmtId="0" fontId="11" fillId="0" borderId="51" xfId="0" applyFont="1" applyBorder="1" applyAlignment="1">
      <alignment horizontal="center" vertical="center" wrapText="1" readingOrder="1"/>
    </xf>
    <xf numFmtId="0" fontId="37" fillId="0" borderId="51" xfId="0" applyFont="1" applyBorder="1" applyAlignment="1">
      <alignment horizontal="center" vertical="center" wrapText="1" readingOrder="1"/>
    </xf>
    <xf numFmtId="0" fontId="39" fillId="0" borderId="51" xfId="0" applyFont="1" applyBorder="1" applyAlignment="1">
      <alignment horizontal="center" vertical="center" wrapText="1" readingOrder="1"/>
    </xf>
    <xf numFmtId="0" fontId="44" fillId="20" borderId="51" xfId="0" applyFont="1" applyFill="1" applyBorder="1" applyAlignment="1">
      <alignment horizontal="center" vertical="center" wrapText="1" readingOrder="1"/>
    </xf>
    <xf numFmtId="0" fontId="44" fillId="22" borderId="51" xfId="0" applyFont="1" applyFill="1" applyBorder="1" applyAlignment="1">
      <alignment horizontal="center" vertical="center" wrapText="1" readingOrder="1"/>
    </xf>
    <xf numFmtId="0" fontId="33" fillId="0" borderId="51" xfId="0" applyFont="1" applyBorder="1" applyAlignment="1">
      <alignment horizontal="center" vertical="center" wrapText="1" readingOrder="1"/>
    </xf>
    <xf numFmtId="174" fontId="38" fillId="0" borderId="51" xfId="0" applyNumberFormat="1" applyFont="1" applyBorder="1" applyAlignment="1">
      <alignment horizontal="center" vertical="center" wrapText="1" readingOrder="1"/>
    </xf>
    <xf numFmtId="0" fontId="38" fillId="0" borderId="51" xfId="0" applyFont="1" applyBorder="1" applyAlignment="1">
      <alignment horizontal="center" vertical="center" wrapText="1" readingOrder="1"/>
    </xf>
    <xf numFmtId="0" fontId="44" fillId="0" borderId="51" xfId="0" applyFont="1" applyBorder="1" applyAlignment="1">
      <alignment horizontal="center" vertical="center" wrapText="1" readingOrder="1"/>
    </xf>
    <xf numFmtId="0" fontId="60" fillId="0" borderId="0" xfId="0" applyFont="1"/>
    <xf numFmtId="178" fontId="62" fillId="0" borderId="0" xfId="0" applyNumberFormat="1" applyFont="1" applyAlignment="1">
      <alignment horizontal="center" wrapText="1"/>
    </xf>
    <xf numFmtId="0" fontId="62" fillId="0" borderId="0" xfId="0" applyFont="1" applyAlignment="1">
      <alignment horizontal="left"/>
    </xf>
    <xf numFmtId="0" fontId="59" fillId="0" borderId="0" xfId="0" applyFont="1" applyAlignment="1">
      <alignment horizontal="center" wrapText="1"/>
    </xf>
    <xf numFmtId="0" fontId="60" fillId="0" borderId="0" xfId="0" applyFont="1" applyAlignment="1">
      <alignment vertical="center"/>
    </xf>
    <xf numFmtId="0" fontId="60" fillId="0" borderId="0" xfId="0" applyFont="1" applyAlignment="1">
      <alignment vertical="center" wrapText="1"/>
    </xf>
    <xf numFmtId="0" fontId="7" fillId="0" borderId="44" xfId="0" applyFont="1" applyBorder="1" applyAlignment="1">
      <alignment vertical="center"/>
    </xf>
    <xf numFmtId="0" fontId="7" fillId="0" borderId="42" xfId="0" applyFont="1" applyBorder="1" applyAlignment="1">
      <alignment vertical="center"/>
    </xf>
    <xf numFmtId="0" fontId="7" fillId="0" borderId="45" xfId="0" applyFont="1" applyBorder="1" applyAlignment="1">
      <alignment vertical="center"/>
    </xf>
    <xf numFmtId="0" fontId="7" fillId="0" borderId="20" xfId="0" applyFont="1" applyBorder="1" applyAlignment="1">
      <alignment vertical="center" wrapText="1"/>
    </xf>
    <xf numFmtId="0" fontId="7" fillId="0" borderId="20" xfId="0" applyFont="1" applyBorder="1" applyAlignment="1">
      <alignment vertical="center"/>
    </xf>
    <xf numFmtId="177" fontId="7" fillId="0" borderId="21" xfId="0" applyNumberFormat="1" applyFont="1" applyBorder="1" applyAlignment="1">
      <alignment vertical="center"/>
    </xf>
    <xf numFmtId="0" fontId="7" fillId="0" borderId="42" xfId="0" applyFont="1" applyBorder="1" applyAlignment="1">
      <alignment vertical="center" wrapText="1"/>
    </xf>
    <xf numFmtId="0" fontId="7" fillId="0" borderId="17" xfId="0" applyFont="1" applyBorder="1" applyAlignment="1">
      <alignment vertical="center" wrapText="1"/>
    </xf>
    <xf numFmtId="0" fontId="7" fillId="0" borderId="17" xfId="0" applyFont="1" applyBorder="1" applyAlignment="1">
      <alignment vertical="center"/>
    </xf>
    <xf numFmtId="177" fontId="7" fillId="0" borderId="0" xfId="0" applyNumberFormat="1" applyFont="1" applyAlignment="1">
      <alignment vertical="center"/>
    </xf>
    <xf numFmtId="0" fontId="7" fillId="0" borderId="16" xfId="0" applyFont="1" applyBorder="1" applyAlignment="1">
      <alignment vertical="center"/>
    </xf>
    <xf numFmtId="0" fontId="7" fillId="0" borderId="0" xfId="0" applyFont="1" applyAlignment="1">
      <alignment vertical="center"/>
    </xf>
    <xf numFmtId="177" fontId="7" fillId="0" borderId="0" xfId="0" applyNumberFormat="1" applyFont="1" applyAlignment="1">
      <alignment vertical="center" wrapText="1"/>
    </xf>
    <xf numFmtId="0" fontId="60" fillId="0" borderId="72" xfId="0" applyFont="1" applyBorder="1" applyAlignment="1">
      <alignment vertical="center"/>
    </xf>
    <xf numFmtId="0" fontId="60" fillId="0" borderId="22" xfId="0" applyFont="1" applyBorder="1" applyAlignment="1">
      <alignment vertical="center"/>
    </xf>
    <xf numFmtId="0" fontId="60" fillId="0" borderId="72" xfId="0" applyFont="1" applyBorder="1" applyAlignment="1">
      <alignment vertical="center" wrapText="1"/>
    </xf>
    <xf numFmtId="0" fontId="60" fillId="0" borderId="17" xfId="0" applyFont="1" applyBorder="1" applyAlignment="1">
      <alignment vertical="center" wrapText="1"/>
    </xf>
    <xf numFmtId="0" fontId="60" fillId="0" borderId="27" xfId="0" applyFont="1" applyBorder="1" applyAlignment="1">
      <alignment vertical="center"/>
    </xf>
    <xf numFmtId="0" fontId="60" fillId="0" borderId="17" xfId="0" applyFont="1" applyBorder="1" applyAlignment="1">
      <alignment vertical="center"/>
    </xf>
    <xf numFmtId="0" fontId="60" fillId="0" borderId="28" xfId="0" applyFont="1" applyBorder="1" applyAlignment="1">
      <alignment vertical="center"/>
    </xf>
    <xf numFmtId="0" fontId="60" fillId="0" borderId="73" xfId="0" applyFont="1" applyBorder="1" applyAlignment="1">
      <alignment vertical="center"/>
    </xf>
    <xf numFmtId="0" fontId="60" fillId="0" borderId="39" xfId="0" applyFont="1" applyBorder="1" applyAlignment="1">
      <alignment vertical="center"/>
    </xf>
    <xf numFmtId="0" fontId="60" fillId="0" borderId="74" xfId="0" applyFont="1" applyBorder="1" applyAlignment="1">
      <alignment vertical="center"/>
    </xf>
    <xf numFmtId="0" fontId="0" fillId="0" borderId="20" xfId="0" applyBorder="1" applyAlignment="1">
      <alignment vertical="center"/>
    </xf>
    <xf numFmtId="0" fontId="0" fillId="0" borderId="42" xfId="0" applyBorder="1" applyAlignment="1">
      <alignment vertical="center" wrapText="1"/>
    </xf>
    <xf numFmtId="0" fontId="0" fillId="0" borderId="45" xfId="0" applyBorder="1" applyAlignment="1">
      <alignment vertical="center"/>
    </xf>
    <xf numFmtId="0" fontId="61" fillId="0" borderId="0" xfId="0" applyFont="1" applyAlignment="1">
      <alignment vertical="center"/>
    </xf>
    <xf numFmtId="0" fontId="0" fillId="0" borderId="0" xfId="0" applyAlignment="1">
      <alignment vertical="center"/>
    </xf>
    <xf numFmtId="177" fontId="0" fillId="0" borderId="0" xfId="0" applyNumberFormat="1" applyAlignment="1">
      <alignment vertical="center"/>
    </xf>
    <xf numFmtId="0" fontId="60" fillId="26" borderId="16" xfId="0" applyFont="1" applyFill="1" applyBorder="1" applyAlignment="1">
      <alignment vertical="center"/>
    </xf>
    <xf numFmtId="0" fontId="60" fillId="26" borderId="18" xfId="0" applyFont="1" applyFill="1" applyBorder="1" applyAlignment="1">
      <alignment horizontal="left" vertical="center" wrapText="1"/>
    </xf>
    <xf numFmtId="0" fontId="60" fillId="27" borderId="16" xfId="0" applyFont="1" applyFill="1" applyBorder="1" applyAlignment="1">
      <alignment vertical="center"/>
    </xf>
    <xf numFmtId="0" fontId="60" fillId="27" borderId="18" xfId="0" applyFont="1" applyFill="1" applyBorder="1" applyAlignment="1">
      <alignment horizontal="left" vertical="center" wrapText="1"/>
    </xf>
    <xf numFmtId="0" fontId="60" fillId="28" borderId="16" xfId="0" applyFont="1" applyFill="1" applyBorder="1" applyAlignment="1">
      <alignment vertical="center"/>
    </xf>
    <xf numFmtId="0" fontId="60" fillId="28" borderId="18" xfId="0" applyFont="1" applyFill="1" applyBorder="1" applyAlignment="1">
      <alignment horizontal="left" vertical="center" wrapText="1"/>
    </xf>
    <xf numFmtId="0" fontId="60" fillId="29" borderId="16" xfId="0" applyFont="1" applyFill="1" applyBorder="1" applyAlignment="1">
      <alignment vertical="center"/>
    </xf>
    <xf numFmtId="0" fontId="60" fillId="29" borderId="18" xfId="0" applyFont="1" applyFill="1" applyBorder="1" applyAlignment="1">
      <alignment horizontal="left" vertical="center" wrapText="1"/>
    </xf>
    <xf numFmtId="0" fontId="60" fillId="26" borderId="38" xfId="0" applyFont="1" applyFill="1" applyBorder="1" applyAlignment="1">
      <alignment vertical="center"/>
    </xf>
    <xf numFmtId="0" fontId="60" fillId="26" borderId="37" xfId="0" applyFont="1" applyFill="1" applyBorder="1" applyAlignment="1">
      <alignment horizontal="left" vertical="center" wrapText="1"/>
    </xf>
    <xf numFmtId="0" fontId="60" fillId="27" borderId="38" xfId="0" applyFont="1" applyFill="1" applyBorder="1" applyAlignment="1">
      <alignment vertical="center"/>
    </xf>
    <xf numFmtId="0" fontId="60" fillId="27" borderId="37" xfId="0" applyFont="1" applyFill="1" applyBorder="1" applyAlignment="1">
      <alignment horizontal="left" vertical="center" wrapText="1"/>
    </xf>
    <xf numFmtId="0" fontId="60" fillId="28" borderId="38" xfId="0" applyFont="1" applyFill="1" applyBorder="1" applyAlignment="1">
      <alignment vertical="center"/>
    </xf>
    <xf numFmtId="0" fontId="60" fillId="28" borderId="37" xfId="0" applyFont="1" applyFill="1" applyBorder="1" applyAlignment="1">
      <alignment horizontal="left" vertical="center" wrapText="1"/>
    </xf>
    <xf numFmtId="0" fontId="60" fillId="29" borderId="38" xfId="0" applyFont="1" applyFill="1" applyBorder="1" applyAlignment="1">
      <alignment vertical="center"/>
    </xf>
    <xf numFmtId="0" fontId="60" fillId="29" borderId="37" xfId="0" applyFont="1" applyFill="1" applyBorder="1" applyAlignment="1">
      <alignment horizontal="left" vertical="center" wrapText="1"/>
    </xf>
    <xf numFmtId="0" fontId="60" fillId="0" borderId="63" xfId="0" applyFont="1" applyBorder="1" applyAlignment="1">
      <alignment vertical="center"/>
    </xf>
    <xf numFmtId="0" fontId="63" fillId="26" borderId="38" xfId="0" applyFont="1" applyFill="1" applyBorder="1" applyAlignment="1">
      <alignment vertical="center"/>
    </xf>
    <xf numFmtId="0" fontId="61" fillId="27" borderId="38" xfId="0" applyFont="1" applyFill="1" applyBorder="1" applyAlignment="1">
      <alignment vertical="center"/>
    </xf>
    <xf numFmtId="0" fontId="60" fillId="26" borderId="19" xfId="0" applyFont="1" applyFill="1" applyBorder="1" applyAlignment="1">
      <alignment vertical="center"/>
    </xf>
    <xf numFmtId="177" fontId="60" fillId="26" borderId="21" xfId="0" applyNumberFormat="1" applyFont="1" applyFill="1" applyBorder="1" applyAlignment="1">
      <alignment horizontal="left" vertical="center" wrapText="1"/>
    </xf>
    <xf numFmtId="0" fontId="60" fillId="27" borderId="19" xfId="0" applyFont="1" applyFill="1" applyBorder="1" applyAlignment="1">
      <alignment vertical="center"/>
    </xf>
    <xf numFmtId="177" fontId="60" fillId="27" borderId="21" xfId="0" applyNumberFormat="1" applyFont="1" applyFill="1" applyBorder="1" applyAlignment="1">
      <alignment horizontal="left" vertical="center" wrapText="1"/>
    </xf>
    <xf numFmtId="0" fontId="60" fillId="28" borderId="19" xfId="0" applyFont="1" applyFill="1" applyBorder="1" applyAlignment="1">
      <alignment vertical="center"/>
    </xf>
    <xf numFmtId="177" fontId="60" fillId="28" borderId="21" xfId="0" applyNumberFormat="1" applyFont="1" applyFill="1" applyBorder="1" applyAlignment="1">
      <alignment horizontal="left" vertical="center" wrapText="1"/>
    </xf>
    <xf numFmtId="0" fontId="60" fillId="29" borderId="19" xfId="0" applyFont="1" applyFill="1" applyBorder="1" applyAlignment="1">
      <alignment vertical="center"/>
    </xf>
    <xf numFmtId="177" fontId="60" fillId="29" borderId="21" xfId="0" applyNumberFormat="1" applyFont="1" applyFill="1" applyBorder="1" applyAlignment="1">
      <alignment horizontal="left" vertical="center" wrapText="1"/>
    </xf>
    <xf numFmtId="0" fontId="60" fillId="30" borderId="16" xfId="0" applyFont="1" applyFill="1" applyBorder="1" applyAlignment="1">
      <alignment vertical="center"/>
    </xf>
    <xf numFmtId="0" fontId="60" fillId="30" borderId="18" xfId="0" applyFont="1" applyFill="1" applyBorder="1" applyAlignment="1">
      <alignment horizontal="left" vertical="center" wrapText="1"/>
    </xf>
    <xf numFmtId="0" fontId="60" fillId="30" borderId="38" xfId="0" applyFont="1" applyFill="1" applyBorder="1" applyAlignment="1">
      <alignment vertical="center"/>
    </xf>
    <xf numFmtId="0" fontId="60" fillId="30" borderId="37" xfId="0" applyFont="1" applyFill="1" applyBorder="1" applyAlignment="1">
      <alignment horizontal="left" vertical="center" wrapText="1"/>
    </xf>
    <xf numFmtId="177" fontId="60" fillId="0" borderId="0" xfId="0" applyNumberFormat="1" applyFont="1" applyAlignment="1">
      <alignment horizontal="left" vertical="center" wrapText="1"/>
    </xf>
    <xf numFmtId="0" fontId="61" fillId="28" borderId="38" xfId="0" applyFont="1" applyFill="1" applyBorder="1" applyAlignment="1">
      <alignment vertical="center"/>
    </xf>
    <xf numFmtId="0" fontId="60" fillId="30" borderId="19" xfId="0" applyFont="1" applyFill="1" applyBorder="1" applyAlignment="1">
      <alignment vertical="center"/>
    </xf>
    <xf numFmtId="177" fontId="60" fillId="30" borderId="21" xfId="0" applyNumberFormat="1" applyFont="1" applyFill="1" applyBorder="1" applyAlignment="1">
      <alignment horizontal="left" vertical="center" wrapText="1"/>
    </xf>
    <xf numFmtId="0" fontId="60" fillId="30" borderId="37" xfId="0" applyFont="1" applyFill="1" applyBorder="1" applyAlignment="1">
      <alignment vertical="center"/>
    </xf>
    <xf numFmtId="0" fontId="60" fillId="18" borderId="16" xfId="0" applyFont="1" applyFill="1" applyBorder="1" applyAlignment="1">
      <alignment vertical="center"/>
    </xf>
    <xf numFmtId="0" fontId="60" fillId="18" borderId="18" xfId="0" applyFont="1" applyFill="1" applyBorder="1" applyAlignment="1">
      <alignment horizontal="left" vertical="center" wrapText="1"/>
    </xf>
    <xf numFmtId="0" fontId="60" fillId="18" borderId="38" xfId="0" applyFont="1" applyFill="1" applyBorder="1" applyAlignment="1">
      <alignment vertical="center"/>
    </xf>
    <xf numFmtId="0" fontId="60" fillId="18" borderId="37" xfId="0" applyFont="1" applyFill="1" applyBorder="1" applyAlignment="1">
      <alignment horizontal="left" vertical="center" wrapText="1"/>
    </xf>
    <xf numFmtId="0" fontId="60" fillId="18" borderId="19" xfId="0" applyFont="1" applyFill="1" applyBorder="1" applyAlignment="1">
      <alignment vertical="center"/>
    </xf>
    <xf numFmtId="177" fontId="60" fillId="18" borderId="21" xfId="0" applyNumberFormat="1" applyFont="1" applyFill="1" applyBorder="1" applyAlignment="1">
      <alignment horizontal="left" vertical="center" wrapText="1"/>
    </xf>
    <xf numFmtId="0" fontId="60" fillId="0" borderId="75" xfId="0" applyFont="1" applyBorder="1" applyAlignment="1">
      <alignment vertical="center"/>
    </xf>
    <xf numFmtId="0" fontId="60" fillId="0" borderId="0" xfId="0" applyFont="1" applyAlignment="1">
      <alignment horizontal="left" vertical="center"/>
    </xf>
    <xf numFmtId="0" fontId="60" fillId="0" borderId="41" xfId="0" applyFont="1" applyBorder="1" applyAlignment="1">
      <alignment vertical="center"/>
    </xf>
    <xf numFmtId="177" fontId="60" fillId="26" borderId="49" xfId="0" applyNumberFormat="1" applyFont="1" applyFill="1" applyBorder="1" applyAlignment="1">
      <alignment horizontal="left" vertical="center"/>
    </xf>
    <xf numFmtId="0" fontId="60" fillId="27" borderId="49" xfId="0" applyFont="1" applyFill="1" applyBorder="1" applyAlignment="1">
      <alignment horizontal="left" vertical="center"/>
    </xf>
    <xf numFmtId="0" fontId="60" fillId="28" borderId="49" xfId="0" applyFont="1" applyFill="1" applyBorder="1" applyAlignment="1">
      <alignment vertical="center"/>
    </xf>
    <xf numFmtId="0" fontId="60" fillId="0" borderId="76" xfId="0" applyFont="1" applyBorder="1" applyAlignment="1">
      <alignment vertical="center"/>
    </xf>
    <xf numFmtId="0" fontId="60" fillId="30" borderId="49" xfId="0" applyFont="1" applyFill="1" applyBorder="1" applyAlignment="1">
      <alignment vertical="center"/>
    </xf>
    <xf numFmtId="0" fontId="60" fillId="29" borderId="49" xfId="0" applyFont="1" applyFill="1" applyBorder="1" applyAlignment="1">
      <alignment vertical="center"/>
    </xf>
    <xf numFmtId="0" fontId="60" fillId="0" borderId="77" xfId="0" applyFont="1" applyBorder="1" applyAlignment="1">
      <alignment vertical="center"/>
    </xf>
    <xf numFmtId="0" fontId="64" fillId="0" borderId="0" xfId="0" applyFont="1" applyAlignment="1">
      <alignment vertical="center" wrapText="1"/>
    </xf>
    <xf numFmtId="0" fontId="60" fillId="0" borderId="26" xfId="0" applyFont="1" applyBorder="1" applyAlignment="1">
      <alignment vertical="center"/>
    </xf>
    <xf numFmtId="0" fontId="64" fillId="31" borderId="78" xfId="0" applyFont="1" applyFill="1" applyBorder="1" applyAlignment="1">
      <alignment vertical="center"/>
    </xf>
    <xf numFmtId="0" fontId="64" fillId="31" borderId="79" xfId="0" applyFont="1" applyFill="1" applyBorder="1" applyAlignment="1">
      <alignment horizontal="left" vertical="center" wrapText="1"/>
    </xf>
    <xf numFmtId="0" fontId="64" fillId="31" borderId="77" xfId="0" applyFont="1" applyFill="1" applyBorder="1" applyAlignment="1">
      <alignment vertical="center"/>
    </xf>
    <xf numFmtId="0" fontId="64" fillId="31" borderId="80" xfId="0" applyFont="1" applyFill="1" applyBorder="1" applyAlignment="1">
      <alignment horizontal="left" vertical="center" wrapText="1"/>
    </xf>
    <xf numFmtId="0" fontId="60" fillId="0" borderId="81" xfId="0" applyFont="1" applyBorder="1" applyAlignment="1">
      <alignment vertical="center"/>
    </xf>
    <xf numFmtId="0" fontId="64" fillId="31" borderId="82" xfId="0" applyFont="1" applyFill="1" applyBorder="1" applyAlignment="1">
      <alignment vertical="center"/>
    </xf>
    <xf numFmtId="177" fontId="64" fillId="31" borderId="83" xfId="0" applyNumberFormat="1" applyFont="1" applyFill="1" applyBorder="1" applyAlignment="1">
      <alignment horizontal="left" vertical="center" wrapText="1"/>
    </xf>
    <xf numFmtId="0" fontId="60" fillId="0" borderId="0" xfId="0" applyFont="1" applyAlignment="1">
      <alignment wrapText="1"/>
    </xf>
    <xf numFmtId="0" fontId="64" fillId="0" borderId="0" xfId="0" applyFont="1" applyAlignment="1">
      <alignment vertical="center"/>
    </xf>
    <xf numFmtId="0" fontId="60" fillId="0" borderId="79" xfId="0" applyFont="1" applyBorder="1" applyAlignment="1">
      <alignment vertical="center"/>
    </xf>
    <xf numFmtId="0" fontId="60" fillId="30" borderId="38" xfId="0" applyFont="1" applyFill="1" applyBorder="1" applyAlignment="1">
      <alignment vertical="center" wrapText="1"/>
    </xf>
    <xf numFmtId="0" fontId="60" fillId="0" borderId="80" xfId="0" applyFont="1" applyBorder="1" applyAlignment="1">
      <alignment vertical="center"/>
    </xf>
    <xf numFmtId="0" fontId="0" fillId="0" borderId="0" xfId="0" applyAlignment="1">
      <alignment horizontal="center" vertical="center"/>
    </xf>
    <xf numFmtId="0" fontId="60" fillId="0" borderId="0" xfId="0" applyFont="1" applyAlignment="1">
      <alignment horizontal="left" vertical="center" wrapText="1"/>
    </xf>
    <xf numFmtId="0" fontId="60" fillId="0" borderId="83" xfId="0" applyFont="1" applyBorder="1" applyAlignment="1">
      <alignment vertical="center"/>
    </xf>
    <xf numFmtId="0" fontId="0" fillId="0" borderId="42" xfId="0" applyBorder="1" applyAlignment="1">
      <alignment vertical="center"/>
    </xf>
    <xf numFmtId="0" fontId="65" fillId="0" borderId="0" xfId="0" applyFont="1" applyAlignment="1">
      <alignment horizontal="left" vertical="center"/>
    </xf>
    <xf numFmtId="0" fontId="61" fillId="0" borderId="74" xfId="0" applyFont="1" applyBorder="1" applyAlignment="1">
      <alignment vertical="center"/>
    </xf>
    <xf numFmtId="0" fontId="61" fillId="0" borderId="23" xfId="0" applyFont="1" applyBorder="1" applyAlignment="1">
      <alignment vertical="center"/>
    </xf>
    <xf numFmtId="0" fontId="61" fillId="0" borderId="39" xfId="0" applyFont="1" applyBorder="1" applyAlignment="1">
      <alignment vertical="center"/>
    </xf>
    <xf numFmtId="177" fontId="66" fillId="0" borderId="49" xfId="0" applyNumberFormat="1" applyFont="1" applyBorder="1" applyAlignment="1">
      <alignment horizontal="center" wrapText="1"/>
    </xf>
    <xf numFmtId="177" fontId="66" fillId="0" borderId="21" xfId="0" applyNumberFormat="1" applyFont="1" applyBorder="1" applyAlignment="1">
      <alignment vertical="center"/>
    </xf>
    <xf numFmtId="177" fontId="66" fillId="0" borderId="21" xfId="0" applyNumberFormat="1" applyFont="1" applyBorder="1" applyAlignment="1">
      <alignment vertical="center" wrapText="1"/>
    </xf>
    <xf numFmtId="0" fontId="36" fillId="0" borderId="51" xfId="0" applyFont="1" applyBorder="1" applyAlignment="1">
      <alignment horizontal="left" vertical="top" wrapText="1" readingOrder="1"/>
    </xf>
    <xf numFmtId="0" fontId="32" fillId="0" borderId="52" xfId="0" applyFont="1" applyBorder="1" applyAlignment="1">
      <alignment vertical="top" wrapText="1"/>
    </xf>
    <xf numFmtId="0" fontId="32" fillId="0" borderId="53" xfId="0" applyFont="1" applyBorder="1" applyAlignment="1">
      <alignment vertical="top" wrapText="1"/>
    </xf>
    <xf numFmtId="0" fontId="32" fillId="0" borderId="0" xfId="0" applyFont="1"/>
    <xf numFmtId="0" fontId="11" fillId="19" borderId="50" xfId="0" applyFont="1" applyFill="1" applyBorder="1" applyAlignment="1">
      <alignment horizontal="center" wrapText="1" readingOrder="1"/>
    </xf>
    <xf numFmtId="0" fontId="33" fillId="19" borderId="51" xfId="0" applyFont="1" applyFill="1" applyBorder="1" applyAlignment="1">
      <alignment horizontal="center" vertical="center" wrapText="1" readingOrder="1"/>
    </xf>
    <xf numFmtId="0" fontId="11" fillId="19" borderId="54" xfId="0" applyFont="1" applyFill="1" applyBorder="1" applyAlignment="1">
      <alignment horizontal="center" wrapText="1" readingOrder="1"/>
    </xf>
    <xf numFmtId="0" fontId="11" fillId="19" borderId="50" xfId="0" applyFont="1" applyFill="1" applyBorder="1" applyAlignment="1">
      <alignment vertical="top" wrapText="1" readingOrder="1"/>
    </xf>
    <xf numFmtId="0" fontId="0" fillId="0" borderId="10" xfId="0" applyBorder="1" applyAlignment="1">
      <alignment vertical="center" wrapText="1"/>
    </xf>
    <xf numFmtId="0" fontId="2" fillId="2" borderId="0" xfId="0" applyFont="1" applyFill="1" applyAlignment="1">
      <alignment horizontal="center" vertical="center" wrapText="1"/>
    </xf>
    <xf numFmtId="0" fontId="69" fillId="2" borderId="0" xfId="0" applyFont="1" applyFill="1" applyAlignment="1">
      <alignment vertical="center" wrapText="1"/>
    </xf>
    <xf numFmtId="0" fontId="18" fillId="2" borderId="0" xfId="0" applyFont="1" applyFill="1" applyBorder="1" applyAlignment="1">
      <alignment vertical="center" wrapText="1"/>
    </xf>
    <xf numFmtId="0" fontId="2" fillId="2" borderId="0" xfId="0" applyFont="1" applyFill="1" applyAlignment="1">
      <alignment vertical="center" wrapText="1"/>
    </xf>
    <xf numFmtId="0" fontId="6" fillId="2" borderId="0" xfId="0" applyFont="1" applyFill="1" applyAlignment="1" applyProtection="1">
      <alignment horizontal="left" vertical="center" wrapText="1" indent="1"/>
      <protection locked="0"/>
    </xf>
    <xf numFmtId="0" fontId="2" fillId="2" borderId="0" xfId="0" applyFont="1" applyFill="1" applyAlignment="1">
      <alignment horizontal="center" vertical="center" wrapText="1"/>
    </xf>
    <xf numFmtId="0" fontId="59" fillId="0" borderId="0" xfId="0" applyFont="1" applyAlignment="1">
      <alignment horizontal="center" wrapText="1"/>
    </xf>
    <xf numFmtId="0" fontId="7" fillId="0" borderId="44" xfId="0" applyFont="1" applyBorder="1" applyAlignment="1">
      <alignment horizontal="center" vertical="center"/>
    </xf>
    <xf numFmtId="0" fontId="7" fillId="0" borderId="42" xfId="0" applyFont="1" applyBorder="1" applyAlignment="1">
      <alignment horizontal="center" vertical="center"/>
    </xf>
    <xf numFmtId="0" fontId="7" fillId="0" borderId="45" xfId="0" applyFont="1" applyBorder="1" applyAlignment="1">
      <alignment horizontal="center" vertical="center"/>
    </xf>
    <xf numFmtId="0" fontId="7" fillId="0" borderId="44" xfId="0" applyFont="1" applyBorder="1" applyAlignment="1">
      <alignment horizontal="left" vertical="center"/>
    </xf>
    <xf numFmtId="0" fontId="7" fillId="0" borderId="42" xfId="0" applyFont="1" applyBorder="1" applyAlignment="1">
      <alignment horizontal="left" vertical="center"/>
    </xf>
    <xf numFmtId="17" fontId="2" fillId="3" borderId="17" xfId="0" applyNumberFormat="1" applyFont="1" applyFill="1" applyBorder="1" applyAlignment="1">
      <alignment horizontal="center" wrapText="1"/>
    </xf>
    <xf numFmtId="0" fontId="59" fillId="0" borderId="0" xfId="0" applyFont="1" applyAlignment="1">
      <alignment horizontal="center" vertical="center" wrapText="1"/>
    </xf>
    <xf numFmtId="0" fontId="60" fillId="0" borderId="0" xfId="0" applyFont="1" applyAlignment="1">
      <alignment horizontal="center" vertical="center"/>
    </xf>
    <xf numFmtId="0" fontId="7" fillId="0" borderId="19" xfId="0" applyFont="1" applyBorder="1" applyAlignment="1">
      <alignment vertical="center"/>
    </xf>
    <xf numFmtId="0" fontId="7" fillId="0" borderId="21" xfId="0" applyFont="1" applyBorder="1" applyAlignment="1">
      <alignment vertical="center"/>
    </xf>
    <xf numFmtId="0" fontId="7" fillId="0" borderId="20" xfId="0" applyFont="1" applyBorder="1" applyAlignment="1">
      <alignment horizontal="center" vertical="center"/>
    </xf>
    <xf numFmtId="0" fontId="7" fillId="0" borderId="0" xfId="0" applyFont="1" applyAlignment="1">
      <alignment horizontal="center" vertical="center"/>
    </xf>
    <xf numFmtId="0" fontId="61" fillId="0" borderId="23" xfId="0" applyFont="1" applyBorder="1" applyAlignment="1">
      <alignment horizontal="center" vertical="center"/>
    </xf>
    <xf numFmtId="0" fontId="61" fillId="0" borderId="0" xfId="0" applyFont="1" applyAlignment="1">
      <alignment horizontal="center" vertical="center"/>
    </xf>
    <xf numFmtId="0" fontId="70" fillId="0" borderId="0" xfId="0" applyFont="1" applyAlignment="1">
      <alignment horizontal="center" vertical="center"/>
    </xf>
    <xf numFmtId="0" fontId="71" fillId="0" borderId="0" xfId="0" applyFont="1" applyAlignment="1">
      <alignment vertical="center" wrapText="1"/>
    </xf>
    <xf numFmtId="0" fontId="72" fillId="0" borderId="0" xfId="0" applyFont="1" applyAlignment="1">
      <alignment horizontal="left"/>
    </xf>
    <xf numFmtId="0" fontId="60" fillId="0" borderId="0" xfId="0" applyFont="1" applyAlignment="1">
      <alignment horizontal="center"/>
    </xf>
    <xf numFmtId="0" fontId="60" fillId="0" borderId="0" xfId="0" applyNumberFormat="1" applyFont="1" applyBorder="1" applyAlignment="1"/>
    <xf numFmtId="0" fontId="6" fillId="2" borderId="0" xfId="0" applyFont="1" applyFill="1" applyBorder="1" applyAlignment="1" applyProtection="1">
      <alignment horizontal="left" vertical="center" wrapText="1" indent="1"/>
    </xf>
    <xf numFmtId="0" fontId="73" fillId="2" borderId="0" xfId="0" applyFont="1" applyFill="1" applyAlignment="1">
      <alignment horizontal="left" vertical="center" wrapText="1"/>
    </xf>
    <xf numFmtId="0" fontId="6" fillId="2" borderId="0" xfId="0" applyFont="1" applyFill="1" applyAlignment="1">
      <alignment horizontal="left" vertical="center" wrapText="1" indent="1"/>
    </xf>
    <xf numFmtId="0" fontId="17" fillId="0" borderId="17" xfId="0" applyFont="1" applyBorder="1" applyAlignment="1">
      <alignment vertical="top" wrapText="1"/>
    </xf>
    <xf numFmtId="0" fontId="17" fillId="0" borderId="17" xfId="0" applyFont="1" applyBorder="1" applyAlignment="1">
      <alignment vertical="center" wrapText="1"/>
    </xf>
    <xf numFmtId="0" fontId="17" fillId="0" borderId="17" xfId="0" applyFont="1" applyBorder="1" applyAlignment="1">
      <alignment horizontal="left" vertical="center" wrapText="1"/>
    </xf>
    <xf numFmtId="0" fontId="17" fillId="0" borderId="17" xfId="0" applyFont="1" applyBorder="1" applyAlignment="1" applyProtection="1">
      <alignment horizontal="left" vertical="center" wrapText="1"/>
    </xf>
    <xf numFmtId="0" fontId="32" fillId="0" borderId="0" xfId="0" applyFont="1"/>
    <xf numFmtId="0" fontId="74" fillId="2" borderId="0" xfId="0" applyFont="1" applyFill="1" applyAlignment="1">
      <alignment vertical="center" wrapText="1"/>
    </xf>
    <xf numFmtId="0" fontId="32" fillId="0" borderId="0" xfId="0" applyFont="1" applyAlignment="1">
      <alignment horizontal="center" vertical="top"/>
    </xf>
    <xf numFmtId="0" fontId="0" fillId="0" borderId="0" xfId="0" applyFont="1" applyAlignment="1">
      <alignment horizontal="center" vertical="top" wrapText="1"/>
    </xf>
    <xf numFmtId="14" fontId="2" fillId="2" borderId="0" xfId="0" applyNumberFormat="1" applyFont="1" applyFill="1" applyAlignment="1">
      <alignment vertical="center" wrapText="1"/>
    </xf>
    <xf numFmtId="0" fontId="2" fillId="2" borderId="0" xfId="0" applyFont="1" applyFill="1" applyAlignment="1">
      <alignment horizontal="left" vertical="center" wrapText="1" indent="1"/>
    </xf>
    <xf numFmtId="0" fontId="3" fillId="2" borderId="0" xfId="0" applyFont="1" applyFill="1" applyAlignment="1">
      <alignment horizontal="left" vertical="center" wrapText="1" indent="1"/>
    </xf>
    <xf numFmtId="17" fontId="2" fillId="2" borderId="0" xfId="0" applyNumberFormat="1" applyFont="1" applyFill="1" applyAlignment="1">
      <alignment horizontal="center" vertical="center" wrapText="1"/>
    </xf>
    <xf numFmtId="17" fontId="4" fillId="2" borderId="0" xfId="0" applyNumberFormat="1" applyFont="1" applyFill="1" applyAlignment="1">
      <alignment horizontal="center" vertical="center" wrapText="1"/>
    </xf>
    <xf numFmtId="0" fontId="2" fillId="2" borderId="0" xfId="0" applyFont="1" applyFill="1" applyAlignment="1">
      <alignment vertical="center" wrapText="1"/>
    </xf>
    <xf numFmtId="0" fontId="16" fillId="2" borderId="0" xfId="0" applyFont="1" applyFill="1" applyAlignment="1">
      <alignment horizontal="left" vertical="center" wrapText="1"/>
    </xf>
    <xf numFmtId="0" fontId="5" fillId="2" borderId="3" xfId="0" applyFont="1" applyFill="1" applyBorder="1" applyAlignment="1">
      <alignment horizontal="center" vertical="center" wrapText="1"/>
    </xf>
    <xf numFmtId="0" fontId="5" fillId="2" borderId="14" xfId="0" applyFont="1" applyFill="1" applyBorder="1" applyAlignment="1">
      <alignment horizontal="center" vertical="center" wrapText="1"/>
    </xf>
    <xf numFmtId="0" fontId="2" fillId="2" borderId="14" xfId="0" applyFont="1" applyFill="1" applyBorder="1" applyAlignment="1">
      <alignment horizontal="center" vertical="center" wrapText="1"/>
    </xf>
    <xf numFmtId="0" fontId="3" fillId="2" borderId="0" xfId="0" applyFont="1" applyFill="1" applyAlignment="1">
      <alignment horizontal="center" vertical="center" wrapText="1"/>
    </xf>
    <xf numFmtId="0" fontId="0" fillId="2" borderId="14" xfId="0" applyFill="1" applyBorder="1" applyAlignment="1">
      <alignment horizontal="center" vertical="center" wrapText="1"/>
    </xf>
    <xf numFmtId="0" fontId="5" fillId="2" borderId="5" xfId="0" applyFont="1" applyFill="1" applyBorder="1" applyAlignment="1">
      <alignment horizontal="center" vertical="center" wrapText="1"/>
    </xf>
    <xf numFmtId="0" fontId="2" fillId="2" borderId="5" xfId="0" applyFont="1" applyFill="1" applyBorder="1" applyAlignment="1">
      <alignment horizontal="center" vertical="center" wrapText="1"/>
    </xf>
    <xf numFmtId="0" fontId="17" fillId="5" borderId="34" xfId="0" applyFont="1" applyFill="1" applyBorder="1" applyAlignment="1">
      <alignment horizontal="center" vertical="center" wrapText="1"/>
    </xf>
    <xf numFmtId="0" fontId="19" fillId="2" borderId="0" xfId="0" applyFont="1" applyFill="1" applyAlignment="1">
      <alignment horizontal="center" vertical="center" wrapText="1"/>
    </xf>
    <xf numFmtId="167" fontId="20" fillId="2" borderId="0" xfId="0" applyNumberFormat="1" applyFont="1" applyFill="1" applyAlignment="1">
      <alignment horizontal="center" vertical="center" wrapText="1"/>
    </xf>
    <xf numFmtId="0" fontId="6" fillId="2" borderId="0" xfId="0" applyFont="1" applyFill="1" applyAlignment="1">
      <alignment horizontal="center" vertical="center" wrapText="1"/>
    </xf>
    <xf numFmtId="0" fontId="0" fillId="2" borderId="0" xfId="0" applyFill="1"/>
    <xf numFmtId="9" fontId="17" fillId="2" borderId="0" xfId="0" applyNumberFormat="1" applyFont="1" applyFill="1" applyAlignment="1">
      <alignment horizontal="center" vertical="center" wrapText="1"/>
    </xf>
    <xf numFmtId="0" fontId="17" fillId="5" borderId="26" xfId="0" applyFont="1" applyFill="1" applyBorder="1" applyAlignment="1">
      <alignment horizontal="center" vertical="center" wrapText="1"/>
    </xf>
    <xf numFmtId="14" fontId="17" fillId="5" borderId="25" xfId="0" applyNumberFormat="1" applyFont="1" applyFill="1" applyBorder="1" applyAlignment="1">
      <alignment horizontal="center" vertical="center" wrapText="1"/>
    </xf>
    <xf numFmtId="0" fontId="6" fillId="2" borderId="0" xfId="0" applyFont="1" applyFill="1" applyAlignment="1" applyProtection="1">
      <alignment horizontal="left" vertical="center" wrapText="1" indent="1"/>
      <protection locked="0"/>
    </xf>
    <xf numFmtId="0" fontId="52" fillId="2" borderId="0" xfId="0" applyFont="1" applyFill="1" applyAlignment="1" applyProtection="1">
      <alignment horizontal="left" vertical="center" wrapText="1" indent="1"/>
      <protection locked="0"/>
    </xf>
    <xf numFmtId="0" fontId="3" fillId="11" borderId="0" xfId="0" applyFont="1" applyFill="1" applyAlignment="1">
      <alignment horizontal="left" vertical="center" wrapText="1" indent="1"/>
    </xf>
    <xf numFmtId="0" fontId="2" fillId="11" borderId="0" xfId="0" applyFont="1" applyFill="1" applyAlignment="1">
      <alignment horizontal="center" vertical="center" wrapText="1"/>
    </xf>
    <xf numFmtId="0" fontId="2" fillId="11" borderId="0" xfId="0" applyFont="1" applyFill="1" applyAlignment="1">
      <alignment vertical="center" wrapText="1"/>
    </xf>
    <xf numFmtId="14" fontId="2" fillId="0" borderId="0" xfId="0" applyNumberFormat="1" applyFont="1" applyAlignment="1">
      <alignment vertical="center" wrapText="1"/>
    </xf>
    <xf numFmtId="0" fontId="5" fillId="6" borderId="8" xfId="0" applyFont="1" applyFill="1" applyBorder="1" applyAlignment="1">
      <alignment horizontal="center" vertical="center" wrapText="1"/>
    </xf>
    <xf numFmtId="0" fontId="25" fillId="2" borderId="34" xfId="0" applyFont="1" applyFill="1" applyBorder="1" applyAlignment="1">
      <alignment vertical="center" wrapText="1"/>
    </xf>
    <xf numFmtId="0" fontId="25" fillId="2" borderId="40" xfId="0" applyFont="1" applyFill="1" applyBorder="1" applyAlignment="1">
      <alignment vertical="center" wrapText="1"/>
    </xf>
    <xf numFmtId="17" fontId="55" fillId="2" borderId="40" xfId="0" applyNumberFormat="1" applyFont="1" applyFill="1" applyBorder="1" applyAlignment="1">
      <alignment horizontal="center" vertical="center" wrapText="1"/>
    </xf>
    <xf numFmtId="17" fontId="55" fillId="2" borderId="33" xfId="0" applyNumberFormat="1" applyFont="1" applyFill="1" applyBorder="1" applyAlignment="1">
      <alignment horizontal="center" vertical="center" wrapText="1"/>
    </xf>
    <xf numFmtId="166" fontId="25" fillId="0" borderId="12" xfId="0" applyNumberFormat="1" applyFont="1" applyBorder="1" applyAlignment="1">
      <alignment vertical="center" wrapText="1"/>
    </xf>
    <xf numFmtId="0" fontId="3" fillId="0" borderId="16" xfId="0" applyFont="1" applyBorder="1" applyAlignment="1">
      <alignment horizontal="left" vertical="center" wrapText="1" indent="1"/>
    </xf>
    <xf numFmtId="0" fontId="2" fillId="2" borderId="17" xfId="0" applyFont="1" applyFill="1" applyBorder="1" applyAlignment="1">
      <alignment vertical="center" wrapText="1"/>
    </xf>
    <xf numFmtId="17" fontId="4" fillId="2" borderId="17" xfId="0" applyNumberFormat="1" applyFont="1" applyFill="1" applyBorder="1" applyAlignment="1">
      <alignment horizontal="center" vertical="center" wrapText="1"/>
    </xf>
    <xf numFmtId="17" fontId="2" fillId="3" borderId="17" xfId="0" applyNumberFormat="1" applyFont="1" applyFill="1" applyBorder="1" applyAlignment="1">
      <alignment horizontal="center" vertical="center" wrapText="1"/>
    </xf>
    <xf numFmtId="15" fontId="2" fillId="3" borderId="17" xfId="0" applyNumberFormat="1" applyFont="1" applyFill="1" applyBorder="1" applyAlignment="1">
      <alignment horizontal="center" vertical="center" wrapText="1"/>
    </xf>
    <xf numFmtId="2" fontId="6" fillId="3" borderId="17" xfId="0" applyNumberFormat="1" applyFont="1" applyFill="1" applyBorder="1" applyAlignment="1">
      <alignment horizontal="center" vertical="center" wrapText="1"/>
    </xf>
    <xf numFmtId="0" fontId="2" fillId="2" borderId="17" xfId="0" applyFont="1" applyFill="1" applyBorder="1" applyAlignment="1">
      <alignment horizontal="center" vertical="center" wrapText="1"/>
    </xf>
    <xf numFmtId="165" fontId="2" fillId="2" borderId="17" xfId="0" applyNumberFormat="1" applyFont="1" applyFill="1" applyBorder="1" applyAlignment="1">
      <alignment horizontal="center" vertical="center" wrapText="1"/>
    </xf>
    <xf numFmtId="0" fontId="2" fillId="2" borderId="18" xfId="0" applyFont="1" applyFill="1" applyBorder="1" applyAlignment="1">
      <alignment horizontal="center" vertical="center" wrapText="1"/>
    </xf>
    <xf numFmtId="15" fontId="2" fillId="10" borderId="17" xfId="0" applyNumberFormat="1" applyFont="1" applyFill="1" applyBorder="1" applyAlignment="1">
      <alignment horizontal="center" vertical="center" wrapText="1"/>
    </xf>
    <xf numFmtId="1" fontId="6" fillId="0" borderId="35" xfId="0" applyNumberFormat="1" applyFont="1" applyBorder="1" applyAlignment="1">
      <alignment horizontal="center" vertical="center" wrapText="1"/>
    </xf>
    <xf numFmtId="0" fontId="2" fillId="2" borderId="20" xfId="0" applyFont="1" applyFill="1" applyBorder="1" applyAlignment="1">
      <alignment horizontal="center" vertical="center" wrapText="1"/>
    </xf>
    <xf numFmtId="0" fontId="2" fillId="2" borderId="20" xfId="0" applyFont="1" applyFill="1" applyBorder="1" applyAlignment="1">
      <alignment vertical="center" wrapText="1"/>
    </xf>
    <xf numFmtId="0" fontId="2" fillId="2" borderId="30" xfId="0" applyFont="1" applyFill="1" applyBorder="1" applyAlignment="1">
      <alignment horizontal="center" vertical="center" wrapText="1"/>
    </xf>
    <xf numFmtId="0" fontId="2" fillId="2" borderId="21" xfId="0" applyFont="1" applyFill="1" applyBorder="1" applyAlignment="1">
      <alignment horizontal="center" vertical="center" wrapText="1"/>
    </xf>
    <xf numFmtId="14" fontId="2" fillId="2" borderId="21" xfId="0" applyNumberFormat="1" applyFont="1" applyFill="1" applyBorder="1" applyAlignment="1">
      <alignment vertical="center" wrapText="1"/>
    </xf>
    <xf numFmtId="14" fontId="2" fillId="0" borderId="36" xfId="0" applyNumberFormat="1" applyFont="1" applyBorder="1" applyAlignment="1">
      <alignment vertical="center" wrapText="1"/>
    </xf>
    <xf numFmtId="0" fontId="3" fillId="2" borderId="16" xfId="0" applyFont="1" applyFill="1" applyBorder="1" applyAlignment="1">
      <alignment horizontal="left" vertical="center" wrapText="1" indent="1"/>
    </xf>
    <xf numFmtId="15" fontId="2" fillId="10" borderId="35" xfId="0" applyNumberFormat="1" applyFont="1" applyFill="1" applyBorder="1" applyAlignment="1">
      <alignment horizontal="center" vertical="center" wrapText="1"/>
    </xf>
    <xf numFmtId="2" fontId="17" fillId="2" borderId="0" xfId="0" applyNumberFormat="1" applyFont="1" applyFill="1" applyAlignment="1">
      <alignment horizontal="center" vertical="center" wrapText="1"/>
    </xf>
    <xf numFmtId="17" fontId="6" fillId="3" borderId="17" xfId="0" applyNumberFormat="1" applyFont="1" applyFill="1" applyBorder="1" applyAlignment="1">
      <alignment horizontal="center" vertical="center" wrapText="1"/>
    </xf>
    <xf numFmtId="15" fontId="6" fillId="3" borderId="17" xfId="0" applyNumberFormat="1" applyFont="1" applyFill="1" applyBorder="1" applyAlignment="1">
      <alignment horizontal="center" vertical="center" wrapText="1"/>
    </xf>
    <xf numFmtId="0" fontId="17" fillId="0" borderId="16" xfId="0" applyFont="1" applyBorder="1" applyAlignment="1">
      <alignment horizontal="left" vertical="center" wrapText="1" indent="1"/>
    </xf>
    <xf numFmtId="172" fontId="2" fillId="2" borderId="0" xfId="0" applyNumberFormat="1" applyFont="1" applyFill="1" applyAlignment="1">
      <alignment horizontal="center" vertical="center" wrapText="1"/>
    </xf>
    <xf numFmtId="176" fontId="25" fillId="0" borderId="12" xfId="0" applyNumberFormat="1" applyFont="1" applyBorder="1" applyAlignment="1">
      <alignment vertical="center" wrapText="1"/>
    </xf>
    <xf numFmtId="0" fontId="52" fillId="0" borderId="0" xfId="0" applyFont="1" applyAlignment="1" applyProtection="1">
      <alignment horizontal="left" vertical="center" wrapText="1" indent="1"/>
      <protection locked="0"/>
    </xf>
    <xf numFmtId="0" fontId="54" fillId="2" borderId="17" xfId="0" applyFont="1" applyFill="1" applyBorder="1" applyAlignment="1">
      <alignment horizontal="center" vertical="center" wrapText="1"/>
    </xf>
    <xf numFmtId="172" fontId="2" fillId="2" borderId="16" xfId="0" applyNumberFormat="1" applyFont="1" applyFill="1" applyBorder="1" applyAlignment="1">
      <alignment horizontal="center" vertical="center" wrapText="1"/>
    </xf>
    <xf numFmtId="172" fontId="2" fillId="2" borderId="27" xfId="0" applyNumberFormat="1" applyFont="1" applyFill="1" applyBorder="1" applyAlignment="1">
      <alignment horizontal="center" vertical="center" wrapText="1"/>
    </xf>
    <xf numFmtId="172" fontId="2" fillId="2" borderId="29" xfId="0" applyNumberFormat="1" applyFont="1" applyFill="1" applyBorder="1" applyAlignment="1">
      <alignment horizontal="center" vertical="center" wrapText="1"/>
    </xf>
    <xf numFmtId="172" fontId="2" fillId="2" borderId="19" xfId="0" applyNumberFormat="1" applyFont="1" applyFill="1" applyBorder="1" applyAlignment="1">
      <alignment horizontal="center" vertical="center" wrapText="1"/>
    </xf>
    <xf numFmtId="172" fontId="2" fillId="2" borderId="28" xfId="0" applyNumberFormat="1" applyFont="1" applyFill="1" applyBorder="1" applyAlignment="1">
      <alignment horizontal="center" vertical="center" wrapText="1"/>
    </xf>
    <xf numFmtId="172" fontId="2" fillId="2" borderId="30" xfId="0" applyNumberFormat="1" applyFont="1" applyFill="1" applyBorder="1" applyAlignment="1">
      <alignment horizontal="center" vertical="center" wrapText="1"/>
    </xf>
    <xf numFmtId="172" fontId="2" fillId="2" borderId="32" xfId="0" applyNumberFormat="1" applyFont="1" applyFill="1" applyBorder="1" applyAlignment="1">
      <alignment horizontal="center" vertical="center" wrapText="1"/>
    </xf>
    <xf numFmtId="172" fontId="2" fillId="0" borderId="30" xfId="0" applyNumberFormat="1" applyFont="1" applyBorder="1" applyAlignment="1">
      <alignment horizontal="center" vertical="center" wrapText="1"/>
    </xf>
    <xf numFmtId="0" fontId="53" fillId="2" borderId="0" xfId="0" applyFont="1" applyFill="1" applyAlignment="1" applyProtection="1">
      <alignment horizontal="left" vertical="center" wrapText="1" indent="1"/>
      <protection locked="0"/>
    </xf>
    <xf numFmtId="172" fontId="2" fillId="0" borderId="0" xfId="0" applyNumberFormat="1" applyFont="1" applyAlignment="1">
      <alignment horizontal="center" vertical="center" wrapText="1"/>
    </xf>
    <xf numFmtId="0" fontId="18" fillId="2" borderId="0" xfId="0" applyFont="1" applyFill="1" applyAlignment="1">
      <alignment horizontal="center" vertical="center" wrapText="1"/>
    </xf>
    <xf numFmtId="2" fontId="6" fillId="2" borderId="0" xfId="0" applyNumberFormat="1" applyFont="1" applyFill="1" applyAlignment="1">
      <alignment horizontal="center" vertical="center" wrapText="1"/>
    </xf>
    <xf numFmtId="167" fontId="6" fillId="2" borderId="0" xfId="0" applyNumberFormat="1" applyFont="1" applyFill="1" applyAlignment="1">
      <alignment horizontal="center" vertical="center" wrapText="1"/>
    </xf>
    <xf numFmtId="167" fontId="6" fillId="11" borderId="17" xfId="0" applyNumberFormat="1" applyFont="1" applyFill="1" applyBorder="1" applyAlignment="1">
      <alignment horizontal="center" vertical="center" wrapText="1"/>
    </xf>
    <xf numFmtId="167" fontId="6" fillId="3" borderId="17" xfId="0" applyNumberFormat="1" applyFont="1" applyFill="1" applyBorder="1" applyAlignment="1">
      <alignment horizontal="center" vertical="center" wrapText="1"/>
    </xf>
    <xf numFmtId="165" fontId="2" fillId="2" borderId="0" xfId="1" applyNumberFormat="1" applyFont="1" applyFill="1" applyBorder="1" applyAlignment="1" applyProtection="1">
      <alignment horizontal="center" vertical="center" wrapText="1"/>
    </xf>
    <xf numFmtId="165" fontId="4" fillId="2" borderId="0" xfId="1" applyNumberFormat="1" applyFont="1" applyFill="1" applyBorder="1" applyAlignment="1" applyProtection="1">
      <alignment horizontal="center" vertical="center" wrapText="1"/>
    </xf>
    <xf numFmtId="165" fontId="6" fillId="2" borderId="0" xfId="1" applyNumberFormat="1" applyFont="1" applyFill="1" applyBorder="1" applyAlignment="1" applyProtection="1">
      <alignment horizontal="center" vertical="center" wrapText="1"/>
    </xf>
    <xf numFmtId="165" fontId="17" fillId="2" borderId="0" xfId="1" applyNumberFormat="1" applyFont="1" applyFill="1" applyBorder="1" applyAlignment="1" applyProtection="1">
      <alignment horizontal="center" vertical="center" wrapText="1"/>
    </xf>
    <xf numFmtId="165" fontId="20" fillId="2" borderId="0" xfId="1" applyNumberFormat="1" applyFont="1" applyFill="1" applyBorder="1" applyAlignment="1" applyProtection="1">
      <alignment horizontal="center" vertical="center" wrapText="1"/>
    </xf>
    <xf numFmtId="168" fontId="6" fillId="2" borderId="0" xfId="1" applyNumberFormat="1" applyFont="1" applyFill="1" applyBorder="1" applyAlignment="1" applyProtection="1">
      <alignment horizontal="center" vertical="center" wrapText="1"/>
    </xf>
    <xf numFmtId="168" fontId="17" fillId="2" borderId="0" xfId="1" applyNumberFormat="1" applyFont="1" applyFill="1" applyBorder="1" applyAlignment="1" applyProtection="1">
      <alignment horizontal="center" vertical="center" wrapText="1"/>
    </xf>
    <xf numFmtId="168" fontId="20" fillId="2" borderId="0" xfId="1" applyNumberFormat="1" applyFont="1" applyFill="1" applyBorder="1" applyAlignment="1" applyProtection="1">
      <alignment horizontal="center" vertical="center" wrapText="1"/>
    </xf>
    <xf numFmtId="0" fontId="0" fillId="0" borderId="0" xfId="0" applyAlignment="1">
      <alignment horizontal="center" vertical="top" wrapText="1"/>
    </xf>
    <xf numFmtId="0" fontId="32" fillId="0" borderId="0" xfId="0" applyFont="1" applyAlignment="1">
      <alignment horizontal="center" vertical="center"/>
    </xf>
    <xf numFmtId="15" fontId="2" fillId="3" borderId="17" xfId="0" applyNumberFormat="1" applyFont="1" applyFill="1" applyBorder="1" applyAlignment="1" applyProtection="1">
      <alignment horizontal="center" vertical="center" wrapText="1"/>
      <protection locked="0"/>
    </xf>
    <xf numFmtId="0" fontId="17" fillId="0" borderId="17" xfId="0" applyFont="1" applyFill="1" applyBorder="1" applyAlignment="1">
      <alignment vertical="center" wrapText="1"/>
    </xf>
    <xf numFmtId="0" fontId="17" fillId="0" borderId="17" xfId="0" applyFont="1" applyFill="1" applyBorder="1" applyAlignment="1" applyProtection="1">
      <alignment vertical="center" wrapText="1"/>
    </xf>
    <xf numFmtId="0" fontId="17" fillId="0" borderId="17" xfId="0" applyFont="1" applyBorder="1" applyAlignment="1" applyProtection="1">
      <alignment vertical="center" wrapText="1"/>
    </xf>
    <xf numFmtId="0" fontId="17" fillId="2" borderId="17" xfId="0" applyFont="1" applyFill="1" applyBorder="1" applyAlignment="1" applyProtection="1">
      <alignment vertical="center" wrapText="1"/>
    </xf>
    <xf numFmtId="172" fontId="2" fillId="3" borderId="17" xfId="1" applyNumberFormat="1" applyFont="1" applyFill="1" applyBorder="1" applyAlignment="1" applyProtection="1">
      <alignment horizontal="center" vertical="center" wrapText="1"/>
    </xf>
    <xf numFmtId="0" fontId="7" fillId="0" borderId="42" xfId="0" applyFont="1" applyBorder="1" applyAlignment="1">
      <alignment horizontal="left" vertical="center"/>
    </xf>
    <xf numFmtId="0" fontId="7" fillId="0" borderId="45" xfId="0" applyFont="1" applyBorder="1" applyAlignment="1">
      <alignment horizontal="left" vertical="center"/>
    </xf>
    <xf numFmtId="0" fontId="60" fillId="0" borderId="0" xfId="0" applyFont="1" applyBorder="1" applyAlignment="1">
      <alignment vertical="center"/>
    </xf>
    <xf numFmtId="0" fontId="7" fillId="0" borderId="0" xfId="0" applyFont="1" applyBorder="1" applyAlignment="1">
      <alignment vertical="center"/>
    </xf>
    <xf numFmtId="0" fontId="0" fillId="0" borderId="0" xfId="0" applyBorder="1" applyAlignment="1">
      <alignment vertical="center" wrapText="1"/>
    </xf>
    <xf numFmtId="0" fontId="75" fillId="29" borderId="37" xfId="0" applyFont="1" applyFill="1" applyBorder="1" applyAlignment="1">
      <alignment horizontal="left" vertical="center" wrapText="1"/>
    </xf>
    <xf numFmtId="0" fontId="32" fillId="0" borderId="0" xfId="0" applyFont="1"/>
    <xf numFmtId="9" fontId="2" fillId="3" borderId="17" xfId="6" applyFont="1" applyFill="1" applyBorder="1" applyAlignment="1" applyProtection="1">
      <alignment horizontal="center" vertical="center" wrapText="1"/>
      <protection locked="0"/>
    </xf>
    <xf numFmtId="0" fontId="2" fillId="2" borderId="0" xfId="0" applyFont="1" applyFill="1" applyAlignment="1">
      <alignment horizontal="center" vertical="center" wrapText="1"/>
    </xf>
    <xf numFmtId="0" fontId="77" fillId="17" borderId="86" xfId="0" applyFont="1" applyFill="1" applyBorder="1" applyAlignment="1">
      <alignment horizontal="center" vertical="center" wrapText="1"/>
    </xf>
    <xf numFmtId="0" fontId="32" fillId="24" borderId="86" xfId="0" applyFont="1" applyFill="1" applyBorder="1" applyAlignment="1">
      <alignment horizontal="center" vertical="center" wrapText="1"/>
    </xf>
    <xf numFmtId="0" fontId="32" fillId="0" borderId="0" xfId="0" applyFont="1" applyFill="1"/>
    <xf numFmtId="0" fontId="77" fillId="17" borderId="0" xfId="0" applyFont="1" applyFill="1" applyAlignment="1">
      <alignment horizontal="center" vertical="center"/>
    </xf>
    <xf numFmtId="15" fontId="2" fillId="2" borderId="0" xfId="0" applyNumberFormat="1" applyFont="1" applyFill="1" applyBorder="1" applyAlignment="1">
      <alignment horizontal="center" vertical="center" wrapText="1"/>
    </xf>
    <xf numFmtId="0" fontId="2" fillId="2" borderId="33" xfId="0" applyFont="1" applyFill="1" applyBorder="1" applyAlignment="1">
      <alignment horizontal="center" vertical="center" wrapText="1"/>
    </xf>
    <xf numFmtId="15" fontId="2" fillId="2" borderId="34" xfId="0" applyNumberFormat="1" applyFont="1" applyFill="1" applyBorder="1" applyAlignment="1">
      <alignment horizontal="center" vertical="center" wrapText="1"/>
    </xf>
    <xf numFmtId="15" fontId="2" fillId="2" borderId="33" xfId="0" applyNumberFormat="1" applyFont="1" applyFill="1" applyBorder="1" applyAlignment="1">
      <alignment horizontal="center" vertical="center" wrapText="1"/>
    </xf>
    <xf numFmtId="169" fontId="2" fillId="0" borderId="0" xfId="0" applyNumberFormat="1" applyFont="1" applyFill="1" applyBorder="1" applyAlignment="1">
      <alignment horizontal="center" vertical="center" wrapText="1"/>
    </xf>
    <xf numFmtId="1" fontId="2" fillId="0" borderId="0" xfId="0" applyNumberFormat="1" applyFont="1" applyFill="1" applyBorder="1" applyAlignment="1">
      <alignment horizontal="center" vertical="center" wrapText="1"/>
    </xf>
    <xf numFmtId="169" fontId="2" fillId="0" borderId="34" xfId="0" applyNumberFormat="1" applyFont="1" applyFill="1" applyBorder="1" applyAlignment="1">
      <alignment horizontal="center" vertical="center" wrapText="1"/>
    </xf>
    <xf numFmtId="169" fontId="2" fillId="0" borderId="33" xfId="0" applyNumberFormat="1" applyFont="1" applyFill="1" applyBorder="1" applyAlignment="1">
      <alignment horizontal="center" vertical="center" wrapText="1"/>
    </xf>
    <xf numFmtId="1" fontId="2" fillId="0" borderId="34" xfId="0" applyNumberFormat="1" applyFont="1" applyFill="1" applyBorder="1" applyAlignment="1">
      <alignment horizontal="center" vertical="center" wrapText="1"/>
    </xf>
    <xf numFmtId="1" fontId="2" fillId="0" borderId="33" xfId="0" applyNumberFormat="1" applyFont="1" applyFill="1" applyBorder="1" applyAlignment="1">
      <alignment horizontal="center" vertical="center" wrapText="1"/>
    </xf>
    <xf numFmtId="0" fontId="8" fillId="2" borderId="12" xfId="0" applyFont="1" applyFill="1" applyBorder="1" applyAlignment="1">
      <alignment horizontal="center" vertical="center" wrapText="1"/>
    </xf>
    <xf numFmtId="176" fontId="8" fillId="0" borderId="12" xfId="0" applyNumberFormat="1" applyFont="1" applyBorder="1" applyAlignment="1">
      <alignment vertical="center" wrapText="1"/>
    </xf>
    <xf numFmtId="166" fontId="8" fillId="0" borderId="12" xfId="0" applyNumberFormat="1" applyFont="1" applyBorder="1" applyAlignment="1">
      <alignment vertical="center" wrapText="1"/>
    </xf>
    <xf numFmtId="0" fontId="8" fillId="2" borderId="12" xfId="0" applyFont="1" applyFill="1" applyBorder="1" applyAlignment="1">
      <alignment vertical="center" wrapText="1"/>
    </xf>
    <xf numFmtId="15" fontId="6" fillId="2" borderId="33" xfId="0" applyNumberFormat="1" applyFont="1" applyFill="1" applyBorder="1" applyAlignment="1">
      <alignment horizontal="center" vertical="center" wrapText="1"/>
    </xf>
    <xf numFmtId="169" fontId="6" fillId="0" borderId="33" xfId="0" applyNumberFormat="1" applyFont="1" applyFill="1" applyBorder="1" applyAlignment="1">
      <alignment horizontal="center" vertical="center" wrapText="1"/>
    </xf>
    <xf numFmtId="1" fontId="6" fillId="0" borderId="33" xfId="0" applyNumberFormat="1" applyFont="1" applyFill="1" applyBorder="1" applyAlignment="1">
      <alignment horizontal="center" vertical="center" wrapText="1"/>
    </xf>
    <xf numFmtId="0" fontId="2" fillId="14" borderId="25" xfId="0" applyFont="1" applyFill="1" applyBorder="1" applyAlignment="1">
      <alignment horizontal="center" vertical="center" wrapText="1"/>
    </xf>
    <xf numFmtId="15" fontId="2" fillId="14" borderId="46" xfId="0" applyNumberFormat="1" applyFont="1" applyFill="1" applyBorder="1" applyAlignment="1">
      <alignment horizontal="center" vertical="center" wrapText="1"/>
    </xf>
    <xf numFmtId="169" fontId="2" fillId="14" borderId="46" xfId="0" applyNumberFormat="1" applyFont="1" applyFill="1" applyBorder="1" applyAlignment="1">
      <alignment horizontal="center" vertical="center" wrapText="1"/>
    </xf>
    <xf numFmtId="1" fontId="2" fillId="14" borderId="24" xfId="0" applyNumberFormat="1" applyFont="1" applyFill="1" applyBorder="1" applyAlignment="1">
      <alignment horizontal="center" vertical="center" wrapText="1"/>
    </xf>
    <xf numFmtId="0" fontId="0" fillId="0" borderId="0" xfId="0" applyFill="1" applyAlignment="1">
      <alignment horizontal="center" vertical="top" wrapText="1"/>
    </xf>
    <xf numFmtId="166" fontId="2" fillId="3" borderId="17" xfId="1" applyNumberFormat="1" applyFont="1" applyFill="1" applyBorder="1" applyAlignment="1" applyProtection="1">
      <alignment horizontal="center" vertical="center" wrapText="1"/>
    </xf>
    <xf numFmtId="0" fontId="81" fillId="0" borderId="0" xfId="0" applyFont="1"/>
    <xf numFmtId="179" fontId="0" fillId="0" borderId="0" xfId="0" applyNumberFormat="1"/>
    <xf numFmtId="0" fontId="2" fillId="2" borderId="0" xfId="0" applyFont="1" applyFill="1" applyAlignment="1">
      <alignment horizontal="center" vertical="center" wrapText="1"/>
    </xf>
    <xf numFmtId="165" fontId="2" fillId="2" borderId="34" xfId="0" applyNumberFormat="1" applyFont="1" applyFill="1" applyBorder="1" applyAlignment="1">
      <alignment horizontal="center" vertical="center" wrapText="1"/>
    </xf>
    <xf numFmtId="0" fontId="80" fillId="2" borderId="12" xfId="0" applyFont="1" applyFill="1" applyBorder="1" applyAlignment="1">
      <alignment vertical="center" wrapText="1"/>
    </xf>
    <xf numFmtId="169" fontId="80" fillId="2" borderId="12" xfId="0" applyNumberFormat="1" applyFont="1" applyFill="1" applyBorder="1" applyAlignment="1">
      <alignment vertical="center" wrapText="1"/>
    </xf>
    <xf numFmtId="1" fontId="80" fillId="2" borderId="12" xfId="0" applyNumberFormat="1" applyFont="1" applyFill="1" applyBorder="1" applyAlignment="1">
      <alignment vertical="center" wrapText="1"/>
    </xf>
    <xf numFmtId="165" fontId="80" fillId="2" borderId="12" xfId="0" applyNumberFormat="1" applyFont="1" applyFill="1" applyBorder="1" applyAlignment="1">
      <alignment vertical="center" wrapText="1"/>
    </xf>
    <xf numFmtId="165" fontId="82" fillId="15" borderId="18" xfId="1" applyNumberFormat="1" applyFont="1" applyFill="1" applyBorder="1" applyAlignment="1" applyProtection="1">
      <alignment horizontal="center" vertical="center" wrapText="1"/>
    </xf>
    <xf numFmtId="0" fontId="2" fillId="6" borderId="10" xfId="0" applyFont="1" applyFill="1" applyBorder="1" applyAlignment="1">
      <alignment horizontal="center" vertical="center" wrapText="1"/>
    </xf>
    <xf numFmtId="0" fontId="2" fillId="5" borderId="12" xfId="0" applyFont="1" applyFill="1" applyBorder="1" applyAlignment="1">
      <alignment horizontal="center" vertical="center" wrapText="1"/>
    </xf>
    <xf numFmtId="0" fontId="2" fillId="2" borderId="0" xfId="0" applyFont="1" applyFill="1" applyAlignment="1">
      <alignment horizontal="center" vertical="center" wrapText="1"/>
    </xf>
    <xf numFmtId="0" fontId="6" fillId="2" borderId="33" xfId="0" applyFont="1" applyFill="1" applyBorder="1" applyAlignment="1">
      <alignment horizontal="center" vertical="center" wrapText="1"/>
    </xf>
    <xf numFmtId="180" fontId="2" fillId="0" borderId="34" xfId="0" applyNumberFormat="1" applyFont="1" applyFill="1" applyBorder="1" applyAlignment="1">
      <alignment horizontal="center" vertical="center" wrapText="1"/>
    </xf>
    <xf numFmtId="15" fontId="2" fillId="0" borderId="0" xfId="0" applyNumberFormat="1" applyFont="1" applyFill="1" applyBorder="1" applyAlignment="1">
      <alignment horizontal="center" vertical="center" wrapText="1"/>
    </xf>
    <xf numFmtId="15" fontId="6" fillId="0" borderId="0" xfId="0" applyNumberFormat="1" applyFont="1" applyFill="1" applyBorder="1" applyAlignment="1">
      <alignment horizontal="center" vertical="center" wrapText="1"/>
    </xf>
    <xf numFmtId="0" fontId="2" fillId="2" borderId="63" xfId="0" applyFont="1" applyFill="1" applyBorder="1" applyAlignment="1">
      <alignment horizontal="center" vertical="center" wrapText="1"/>
    </xf>
    <xf numFmtId="15" fontId="2" fillId="14" borderId="24" xfId="0" applyNumberFormat="1" applyFont="1" applyFill="1" applyBorder="1" applyAlignment="1">
      <alignment horizontal="center" vertical="center" wrapText="1"/>
    </xf>
    <xf numFmtId="15" fontId="2" fillId="2" borderId="39" xfId="0" applyNumberFormat="1" applyFont="1" applyFill="1" applyBorder="1" applyAlignment="1">
      <alignment horizontal="center" vertical="center" wrapText="1"/>
    </xf>
    <xf numFmtId="0" fontId="18" fillId="2" borderId="0" xfId="0" applyFont="1" applyFill="1" applyAlignment="1" applyProtection="1">
      <alignment vertical="center" wrapText="1"/>
    </xf>
    <xf numFmtId="0" fontId="40" fillId="4" borderId="33" xfId="0" applyFont="1" applyFill="1" applyBorder="1" applyAlignment="1">
      <alignment horizontal="center" vertical="center" wrapText="1"/>
    </xf>
    <xf numFmtId="15" fontId="2" fillId="10" borderId="17" xfId="0" quotePrefix="1" applyNumberFormat="1" applyFont="1" applyFill="1" applyBorder="1" applyAlignment="1">
      <alignment horizontal="center" vertical="center" wrapText="1"/>
    </xf>
    <xf numFmtId="0" fontId="33" fillId="19" borderId="51" xfId="0" applyFont="1" applyFill="1" applyBorder="1" applyAlignment="1">
      <alignment horizontal="center" vertical="center" wrapText="1" readingOrder="1"/>
    </xf>
    <xf numFmtId="0" fontId="32" fillId="0" borderId="0" xfId="0" applyFont="1"/>
    <xf numFmtId="0" fontId="11" fillId="19" borderId="50" xfId="0" applyFont="1" applyFill="1" applyBorder="1" applyAlignment="1">
      <alignment horizontal="center" wrapText="1" readingOrder="1"/>
    </xf>
    <xf numFmtId="0" fontId="11" fillId="19" borderId="54" xfId="0" applyFont="1" applyFill="1" applyBorder="1" applyAlignment="1">
      <alignment horizontal="center" wrapText="1" readingOrder="1"/>
    </xf>
    <xf numFmtId="0" fontId="2" fillId="2" borderId="0" xfId="0" applyFont="1" applyFill="1" applyAlignment="1">
      <alignment horizontal="center" vertical="center" wrapText="1"/>
    </xf>
    <xf numFmtId="0" fontId="2" fillId="2" borderId="0" xfId="0" applyFont="1" applyFill="1" applyAlignment="1">
      <alignment horizontal="center" vertical="center" wrapText="1"/>
    </xf>
    <xf numFmtId="0" fontId="25" fillId="2" borderId="12" xfId="0" applyFont="1" applyFill="1" applyBorder="1" applyAlignment="1">
      <alignment horizontal="center" vertical="center" wrapText="1"/>
    </xf>
    <xf numFmtId="0" fontId="40" fillId="4" borderId="33" xfId="0" applyFont="1" applyFill="1" applyBorder="1" applyAlignment="1">
      <alignment horizontal="center" vertical="center" wrapText="1"/>
    </xf>
    <xf numFmtId="0" fontId="36" fillId="21" borderId="52" xfId="0" applyFont="1" applyFill="1" applyBorder="1" applyAlignment="1">
      <alignment vertical="top" wrapText="1" readingOrder="1"/>
    </xf>
    <xf numFmtId="0" fontId="45" fillId="21" borderId="52" xfId="0" applyFont="1" applyFill="1" applyBorder="1" applyAlignment="1">
      <alignment horizontal="center" vertical="center" wrapText="1"/>
    </xf>
    <xf numFmtId="0" fontId="36" fillId="0" borderId="52" xfId="0" applyFont="1" applyBorder="1" applyAlignment="1">
      <alignment horizontal="center" vertical="center" wrapText="1" readingOrder="1"/>
    </xf>
    <xf numFmtId="0" fontId="11" fillId="0" borderId="52" xfId="0" applyFont="1" applyBorder="1" applyAlignment="1">
      <alignment horizontal="center" vertical="center" wrapText="1" readingOrder="1"/>
    </xf>
    <xf numFmtId="0" fontId="37" fillId="0" borderId="52" xfId="0" applyFont="1" applyBorder="1" applyAlignment="1">
      <alignment horizontal="center" vertical="center" wrapText="1" readingOrder="1"/>
    </xf>
    <xf numFmtId="0" fontId="33" fillId="0" borderId="53" xfId="0" applyFont="1" applyBorder="1" applyAlignment="1">
      <alignment horizontal="center" vertical="center" wrapText="1" readingOrder="1"/>
    </xf>
    <xf numFmtId="0" fontId="5" fillId="4" borderId="5" xfId="0" applyFont="1" applyFill="1" applyBorder="1" applyAlignment="1">
      <alignment horizontal="center" vertical="center" wrapText="1"/>
    </xf>
    <xf numFmtId="0" fontId="5" fillId="4" borderId="14" xfId="0" applyFont="1" applyFill="1" applyBorder="1" applyAlignment="1">
      <alignment horizontal="center" vertical="center" wrapText="1"/>
    </xf>
    <xf numFmtId="0" fontId="5" fillId="6" borderId="5" xfId="0" applyFont="1" applyFill="1" applyBorder="1" applyAlignment="1">
      <alignment horizontal="center" vertical="center" wrapText="1"/>
    </xf>
    <xf numFmtId="0" fontId="17" fillId="5" borderId="24" xfId="0" applyFont="1" applyFill="1" applyBorder="1" applyAlignment="1">
      <alignment horizontal="center" vertical="center" wrapText="1"/>
    </xf>
    <xf numFmtId="0" fontId="0" fillId="0" borderId="0" xfId="0"/>
    <xf numFmtId="0" fontId="7" fillId="0" borderId="44" xfId="0" applyFont="1" applyBorder="1" applyAlignment="1">
      <alignment horizontal="left" vertical="center"/>
    </xf>
    <xf numFmtId="0" fontId="7" fillId="0" borderId="42" xfId="0" applyFont="1" applyBorder="1" applyAlignment="1">
      <alignment horizontal="left" vertical="center"/>
    </xf>
    <xf numFmtId="0" fontId="7" fillId="0" borderId="45" xfId="0" applyFont="1" applyBorder="1" applyAlignment="1">
      <alignment horizontal="left" vertical="center"/>
    </xf>
    <xf numFmtId="0" fontId="7" fillId="0" borderId="44" xfId="0" applyFont="1" applyBorder="1" applyAlignment="1">
      <alignment horizontal="left" vertical="center"/>
    </xf>
    <xf numFmtId="0" fontId="7" fillId="0" borderId="42" xfId="0" applyFont="1" applyBorder="1" applyAlignment="1">
      <alignment horizontal="left" vertical="center"/>
    </xf>
    <xf numFmtId="0" fontId="7" fillId="0" borderId="45" xfId="0" applyFont="1" applyBorder="1" applyAlignment="1">
      <alignment horizontal="left" vertical="center"/>
    </xf>
    <xf numFmtId="0" fontId="7" fillId="0" borderId="44" xfId="0" applyFont="1" applyBorder="1" applyAlignment="1">
      <alignment horizontal="center" vertical="center"/>
    </xf>
    <xf numFmtId="0" fontId="7" fillId="0" borderId="42" xfId="0" applyFont="1" applyBorder="1" applyAlignment="1">
      <alignment horizontal="center" vertical="center"/>
    </xf>
    <xf numFmtId="0" fontId="7" fillId="0" borderId="45" xfId="0" applyFont="1" applyBorder="1" applyAlignment="1">
      <alignment horizontal="center" vertical="center"/>
    </xf>
    <xf numFmtId="0" fontId="65" fillId="0" borderId="0" xfId="0" applyFont="1" applyAlignment="1">
      <alignment horizontal="center" wrapText="1"/>
    </xf>
    <xf numFmtId="0" fontId="59" fillId="0" borderId="0" xfId="0" applyFont="1" applyAlignment="1">
      <alignment horizontal="center" wrapText="1"/>
    </xf>
    <xf numFmtId="0" fontId="67" fillId="0" borderId="0" xfId="0" applyFont="1" applyAlignment="1">
      <alignment horizontal="left"/>
    </xf>
    <xf numFmtId="0" fontId="67" fillId="0" borderId="37" xfId="0" applyFont="1" applyBorder="1" applyAlignment="1">
      <alignment horizontal="left"/>
    </xf>
    <xf numFmtId="0" fontId="64" fillId="0" borderId="0" xfId="0" applyFont="1" applyAlignment="1">
      <alignment horizontal="left" vertical="center" wrapText="1"/>
    </xf>
    <xf numFmtId="0" fontId="61" fillId="26" borderId="44" xfId="0" applyFont="1" applyFill="1" applyBorder="1" applyAlignment="1">
      <alignment horizontal="center" vertical="center"/>
    </xf>
    <xf numFmtId="0" fontId="61" fillId="26" borderId="45" xfId="0" applyFont="1" applyFill="1" applyBorder="1" applyAlignment="1">
      <alignment horizontal="center" vertical="center"/>
    </xf>
    <xf numFmtId="0" fontId="61" fillId="0" borderId="44" xfId="0" applyFont="1" applyBorder="1" applyAlignment="1">
      <alignment horizontal="center" vertical="center"/>
    </xf>
    <xf numFmtId="0" fontId="61" fillId="0" borderId="45" xfId="0" applyFont="1" applyBorder="1" applyAlignment="1">
      <alignment horizontal="center" vertical="center"/>
    </xf>
    <xf numFmtId="0" fontId="80" fillId="2" borderId="12" xfId="0" applyFont="1" applyFill="1" applyBorder="1" applyAlignment="1">
      <alignment vertical="center" wrapText="1"/>
    </xf>
    <xf numFmtId="0" fontId="5" fillId="8" borderId="12" xfId="0" applyFont="1" applyFill="1" applyBorder="1" applyAlignment="1">
      <alignment horizontal="center" vertical="center" wrapText="1"/>
    </xf>
    <xf numFmtId="0" fontId="80" fillId="2" borderId="25" xfId="0" applyFont="1" applyFill="1" applyBorder="1" applyAlignment="1">
      <alignment vertical="center" wrapText="1"/>
    </xf>
    <xf numFmtId="0" fontId="80" fillId="2" borderId="46" xfId="0" applyFont="1" applyFill="1" applyBorder="1" applyAlignment="1">
      <alignment vertical="center" wrapText="1"/>
    </xf>
    <xf numFmtId="0" fontId="80" fillId="2" borderId="24" xfId="0" applyFont="1" applyFill="1" applyBorder="1" applyAlignment="1">
      <alignment vertical="center" wrapText="1"/>
    </xf>
    <xf numFmtId="0" fontId="80" fillId="2" borderId="12" xfId="0" applyFont="1" applyFill="1" applyBorder="1" applyAlignment="1">
      <alignment horizontal="left" vertical="center" wrapText="1"/>
    </xf>
    <xf numFmtId="0" fontId="23" fillId="2" borderId="12" xfId="0" applyFont="1" applyFill="1" applyBorder="1" applyAlignment="1">
      <alignment horizontal="center" vertical="center" wrapText="1"/>
    </xf>
    <xf numFmtId="0" fontId="2" fillId="5" borderId="12" xfId="0" applyFont="1" applyFill="1" applyBorder="1" applyAlignment="1">
      <alignment horizontal="center" vertical="center" wrapText="1"/>
    </xf>
    <xf numFmtId="0" fontId="2" fillId="5" borderId="48" xfId="0" applyFont="1" applyFill="1" applyBorder="1" applyAlignment="1">
      <alignment horizontal="center" vertical="center" wrapText="1"/>
    </xf>
    <xf numFmtId="0" fontId="2" fillId="5" borderId="47" xfId="0" applyFont="1" applyFill="1" applyBorder="1" applyAlignment="1">
      <alignment horizontal="center" vertical="center" wrapText="1"/>
    </xf>
    <xf numFmtId="0" fontId="2" fillId="5" borderId="26" xfId="0" applyFont="1" applyFill="1" applyBorder="1" applyAlignment="1">
      <alignment horizontal="center" vertical="center" wrapText="1"/>
    </xf>
    <xf numFmtId="0" fontId="2" fillId="5" borderId="23" xfId="0" applyFont="1" applyFill="1" applyBorder="1" applyAlignment="1">
      <alignment horizontal="center" vertical="center" wrapText="1"/>
    </xf>
    <xf numFmtId="0" fontId="2" fillId="5" borderId="72" xfId="0" applyFont="1" applyFill="1" applyBorder="1" applyAlignment="1">
      <alignment horizontal="center" vertical="center" wrapText="1"/>
    </xf>
    <xf numFmtId="0" fontId="2" fillId="5" borderId="22" xfId="0" applyFont="1" applyFill="1" applyBorder="1" applyAlignment="1">
      <alignment horizontal="center" vertical="center" wrapText="1"/>
    </xf>
    <xf numFmtId="0" fontId="2" fillId="5" borderId="25" xfId="0" applyFont="1" applyFill="1" applyBorder="1" applyAlignment="1">
      <alignment horizontal="center" vertical="center" wrapText="1"/>
    </xf>
    <xf numFmtId="0" fontId="2" fillId="5" borderId="24" xfId="0" applyFont="1" applyFill="1" applyBorder="1" applyAlignment="1">
      <alignment horizontal="center" vertical="center" wrapText="1"/>
    </xf>
    <xf numFmtId="0" fontId="5" fillId="6" borderId="10" xfId="0" applyFont="1" applyFill="1" applyBorder="1" applyAlignment="1">
      <alignment horizontal="center" vertical="center" wrapText="1"/>
    </xf>
    <xf numFmtId="0" fontId="5" fillId="6" borderId="2" xfId="0" applyFont="1" applyFill="1" applyBorder="1" applyAlignment="1">
      <alignment horizontal="center" vertical="center" wrapText="1"/>
    </xf>
    <xf numFmtId="0" fontId="6" fillId="2" borderId="19" xfId="0" applyFont="1" applyFill="1" applyBorder="1" applyAlignment="1" applyProtection="1">
      <alignment horizontal="left" vertical="center" wrapText="1" indent="1"/>
    </xf>
    <xf numFmtId="0" fontId="6" fillId="2" borderId="20" xfId="0" applyFont="1" applyFill="1" applyBorder="1" applyAlignment="1" applyProtection="1">
      <alignment horizontal="left" vertical="center" wrapText="1" indent="1"/>
    </xf>
    <xf numFmtId="0" fontId="6" fillId="2" borderId="21" xfId="0" applyFont="1" applyFill="1" applyBorder="1" applyAlignment="1" applyProtection="1">
      <alignment horizontal="left" vertical="center" wrapText="1" indent="1"/>
    </xf>
    <xf numFmtId="0" fontId="6" fillId="2" borderId="19" xfId="0" applyFont="1" applyFill="1" applyBorder="1" applyAlignment="1" applyProtection="1">
      <alignment horizontal="left" vertical="center" wrapText="1" indent="1"/>
      <protection locked="0"/>
    </xf>
    <xf numFmtId="0" fontId="4" fillId="2" borderId="20" xfId="0" applyFont="1" applyFill="1" applyBorder="1" applyAlignment="1" applyProtection="1">
      <alignment horizontal="left" vertical="center" wrapText="1" indent="1"/>
      <protection locked="0"/>
    </xf>
    <xf numFmtId="0" fontId="4" fillId="2" borderId="21" xfId="0" applyFont="1" applyFill="1" applyBorder="1" applyAlignment="1" applyProtection="1">
      <alignment horizontal="left" vertical="center" wrapText="1" indent="1"/>
      <protection locked="0"/>
    </xf>
    <xf numFmtId="0" fontId="6" fillId="2" borderId="20" xfId="0" applyFont="1" applyFill="1" applyBorder="1" applyAlignment="1" applyProtection="1">
      <alignment horizontal="left" vertical="center" wrapText="1" indent="1"/>
      <protection locked="0"/>
    </xf>
    <xf numFmtId="0" fontId="6" fillId="2" borderId="21" xfId="0" applyFont="1" applyFill="1" applyBorder="1" applyAlignment="1" applyProtection="1">
      <alignment horizontal="left" vertical="center" wrapText="1" indent="1"/>
      <protection locked="0"/>
    </xf>
    <xf numFmtId="0" fontId="5" fillId="4" borderId="7" xfId="0" applyFont="1" applyFill="1" applyBorder="1" applyAlignment="1">
      <alignment horizontal="center" vertical="center" wrapText="1"/>
    </xf>
    <xf numFmtId="0" fontId="5" fillId="4" borderId="15" xfId="0" applyFont="1" applyFill="1" applyBorder="1" applyAlignment="1">
      <alignment horizontal="center" vertical="center" wrapText="1"/>
    </xf>
    <xf numFmtId="0" fontId="5" fillId="4" borderId="14" xfId="0" applyFont="1" applyFill="1" applyBorder="1" applyAlignment="1">
      <alignment horizontal="center" vertical="center" wrapText="1"/>
    </xf>
    <xf numFmtId="0" fontId="0" fillId="0" borderId="14" xfId="0" applyBorder="1" applyAlignment="1">
      <alignment horizontal="center" vertical="center" wrapText="1"/>
    </xf>
    <xf numFmtId="0" fontId="5" fillId="4" borderId="11" xfId="0" applyFont="1" applyFill="1" applyBorder="1" applyAlignment="1">
      <alignment horizontal="center" vertical="center" wrapText="1"/>
    </xf>
    <xf numFmtId="0" fontId="56" fillId="14" borderId="44" xfId="0" applyFont="1" applyFill="1" applyBorder="1" applyAlignment="1">
      <alignment horizontal="center" vertical="center" wrapText="1"/>
    </xf>
    <xf numFmtId="0" fontId="56" fillId="14" borderId="42" xfId="0" applyFont="1" applyFill="1" applyBorder="1" applyAlignment="1">
      <alignment horizontal="center" vertical="center" wrapText="1"/>
    </xf>
    <xf numFmtId="0" fontId="56" fillId="14" borderId="45" xfId="0" applyFont="1" applyFill="1" applyBorder="1" applyAlignment="1">
      <alignment horizontal="center" vertical="center" wrapText="1"/>
    </xf>
    <xf numFmtId="0" fontId="76" fillId="14" borderId="44" xfId="0" applyFont="1" applyFill="1" applyBorder="1" applyAlignment="1">
      <alignment horizontal="center" vertical="center" wrapText="1"/>
    </xf>
    <xf numFmtId="0" fontId="76" fillId="14" borderId="42" xfId="0" applyFont="1" applyFill="1" applyBorder="1" applyAlignment="1">
      <alignment horizontal="center" vertical="center" wrapText="1"/>
    </xf>
    <xf numFmtId="0" fontId="76" fillId="14" borderId="45" xfId="0" applyFont="1" applyFill="1" applyBorder="1" applyAlignment="1">
      <alignment horizontal="center" vertical="center" wrapText="1"/>
    </xf>
    <xf numFmtId="0" fontId="5" fillId="4" borderId="5" xfId="0" applyFont="1" applyFill="1" applyBorder="1" applyAlignment="1">
      <alignment horizontal="center" vertical="center" wrapText="1"/>
    </xf>
    <xf numFmtId="0" fontId="5" fillId="4" borderId="1" xfId="0" applyFont="1" applyFill="1" applyBorder="1" applyAlignment="1">
      <alignment horizontal="left" vertical="center" wrapText="1" indent="1"/>
    </xf>
    <xf numFmtId="0" fontId="5" fillId="4" borderId="6" xfId="0" applyFont="1" applyFill="1" applyBorder="1" applyAlignment="1">
      <alignment horizontal="center" vertical="center" wrapText="1"/>
    </xf>
    <xf numFmtId="0" fontId="5" fillId="4" borderId="10" xfId="0" applyFont="1" applyFill="1" applyBorder="1" applyAlignment="1">
      <alignment horizontal="center" vertical="center" wrapText="1"/>
    </xf>
    <xf numFmtId="0" fontId="58" fillId="2" borderId="44" xfId="0" applyFont="1" applyFill="1" applyBorder="1" applyAlignment="1" applyProtection="1">
      <alignment horizontal="center" vertical="center" wrapText="1"/>
    </xf>
    <xf numFmtId="0" fontId="17" fillId="2" borderId="42" xfId="0" applyFont="1" applyFill="1" applyBorder="1" applyAlignment="1" applyProtection="1">
      <alignment horizontal="center" vertical="center" wrapText="1"/>
    </xf>
    <xf numFmtId="0" fontId="17" fillId="2" borderId="45" xfId="0" applyFont="1" applyFill="1" applyBorder="1" applyAlignment="1" applyProtection="1">
      <alignment horizontal="center" vertical="center" wrapText="1"/>
    </xf>
    <xf numFmtId="0" fontId="5" fillId="6" borderId="13" xfId="0" applyFont="1" applyFill="1" applyBorder="1" applyAlignment="1">
      <alignment horizontal="center" vertical="center" wrapText="1"/>
    </xf>
    <xf numFmtId="0" fontId="5" fillId="6" borderId="4" xfId="0" applyFont="1" applyFill="1" applyBorder="1" applyAlignment="1">
      <alignment horizontal="center" vertical="center" wrapText="1"/>
    </xf>
    <xf numFmtId="0" fontId="5" fillId="6" borderId="0" xfId="0" applyFont="1" applyFill="1" applyAlignment="1">
      <alignment horizontal="center" vertical="center" wrapText="1"/>
    </xf>
    <xf numFmtId="0" fontId="5" fillId="6" borderId="1" xfId="0" applyFont="1" applyFill="1" applyBorder="1" applyAlignment="1">
      <alignment horizontal="center" vertical="center" wrapText="1"/>
    </xf>
    <xf numFmtId="0" fontId="5" fillId="6" borderId="15" xfId="0" applyFont="1" applyFill="1" applyBorder="1" applyAlignment="1">
      <alignment horizontal="center" vertical="center" wrapText="1"/>
    </xf>
    <xf numFmtId="0" fontId="5" fillId="6" borderId="7" xfId="0" applyFont="1" applyFill="1" applyBorder="1" applyAlignment="1">
      <alignment horizontal="center" vertical="center" wrapText="1"/>
    </xf>
    <xf numFmtId="0" fontId="0" fillId="0" borderId="11" xfId="0" applyBorder="1" applyAlignment="1">
      <alignment horizontal="center" vertical="center" wrapText="1"/>
    </xf>
    <xf numFmtId="0" fontId="0" fillId="0" borderId="15" xfId="0" applyBorder="1" applyAlignment="1">
      <alignment horizontal="center" vertical="center" wrapText="1"/>
    </xf>
    <xf numFmtId="0" fontId="8" fillId="2" borderId="25" xfId="0" applyFont="1" applyFill="1" applyBorder="1" applyAlignment="1">
      <alignment horizontal="center" vertical="center" wrapText="1"/>
    </xf>
    <xf numFmtId="0" fontId="8" fillId="2" borderId="46" xfId="0" applyFont="1" applyFill="1" applyBorder="1" applyAlignment="1">
      <alignment horizontal="center" vertical="center" wrapText="1"/>
    </xf>
    <xf numFmtId="0" fontId="8" fillId="2" borderId="24" xfId="0" applyFont="1" applyFill="1" applyBorder="1" applyAlignment="1">
      <alignment horizontal="center" vertical="center" wrapText="1"/>
    </xf>
    <xf numFmtId="0" fontId="2" fillId="2" borderId="19" xfId="0" applyFont="1" applyFill="1" applyBorder="1" applyAlignment="1" applyProtection="1">
      <alignment horizontal="left" vertical="center" wrapText="1" indent="1"/>
      <protection locked="0"/>
    </xf>
    <xf numFmtId="0" fontId="0" fillId="0" borderId="10" xfId="0" applyBorder="1" applyAlignment="1">
      <alignment vertical="center" wrapText="1"/>
    </xf>
    <xf numFmtId="0" fontId="68" fillId="6" borderId="5" xfId="0" applyFont="1" applyFill="1" applyBorder="1" applyAlignment="1">
      <alignment horizontal="center" vertical="center" wrapText="1"/>
    </xf>
    <xf numFmtId="0" fontId="68" fillId="6" borderId="9" xfId="0" applyFont="1" applyFill="1" applyBorder="1" applyAlignment="1">
      <alignment horizontal="center" vertical="center" wrapText="1"/>
    </xf>
    <xf numFmtId="0" fontId="5" fillId="4" borderId="9" xfId="0" applyFont="1" applyFill="1" applyBorder="1" applyAlignment="1">
      <alignment horizontal="center" vertical="center" wrapText="1"/>
    </xf>
    <xf numFmtId="0" fontId="68" fillId="6" borderId="4" xfId="0" applyFont="1" applyFill="1" applyBorder="1" applyAlignment="1">
      <alignment horizontal="center" vertical="center" wrapText="1"/>
    </xf>
    <xf numFmtId="0" fontId="68" fillId="6" borderId="1" xfId="0" applyFont="1" applyFill="1" applyBorder="1" applyAlignment="1">
      <alignment horizontal="center" vertical="center" wrapText="1"/>
    </xf>
    <xf numFmtId="0" fontId="5" fillId="4" borderId="3" xfId="0" applyFont="1" applyFill="1" applyBorder="1" applyAlignment="1">
      <alignment horizontal="center" vertical="center" wrapText="1"/>
    </xf>
    <xf numFmtId="0" fontId="5" fillId="6" borderId="0" xfId="0" applyFont="1" applyFill="1" applyAlignment="1">
      <alignment horizontal="center" vertical="center" textRotation="90" wrapText="1"/>
    </xf>
    <xf numFmtId="17" fontId="3" fillId="8" borderId="12" xfId="0" applyNumberFormat="1" applyFont="1" applyFill="1" applyBorder="1" applyAlignment="1">
      <alignment horizontal="center" vertical="center" wrapText="1"/>
    </xf>
    <xf numFmtId="17" fontId="7" fillId="8" borderId="12" xfId="0" applyNumberFormat="1" applyFont="1" applyFill="1" applyBorder="1" applyAlignment="1">
      <alignment horizontal="center" vertical="center" wrapText="1"/>
    </xf>
    <xf numFmtId="0" fontId="3" fillId="8" borderId="12" xfId="0" applyFont="1" applyFill="1" applyBorder="1" applyAlignment="1">
      <alignment vertical="center" wrapText="1"/>
    </xf>
    <xf numFmtId="0" fontId="7" fillId="8" borderId="12" xfId="0" applyFont="1" applyFill="1" applyBorder="1" applyAlignment="1">
      <alignment vertical="center" wrapText="1"/>
    </xf>
    <xf numFmtId="0" fontId="5" fillId="6" borderId="5" xfId="0" applyFont="1" applyFill="1" applyBorder="1" applyAlignment="1">
      <alignment horizontal="center" vertical="center" wrapText="1"/>
    </xf>
    <xf numFmtId="0" fontId="5" fillId="6" borderId="9" xfId="0" applyFont="1" applyFill="1" applyBorder="1" applyAlignment="1">
      <alignment horizontal="center" vertical="center" wrapText="1"/>
    </xf>
    <xf numFmtId="0" fontId="15" fillId="6" borderId="10" xfId="0" applyFont="1" applyFill="1" applyBorder="1" applyAlignment="1">
      <alignment horizontal="center" vertical="center" wrapText="1"/>
    </xf>
    <xf numFmtId="14" fontId="5" fillId="6" borderId="4" xfId="0" applyNumberFormat="1" applyFont="1" applyFill="1" applyBorder="1" applyAlignment="1">
      <alignment horizontal="center" vertical="center" wrapText="1"/>
    </xf>
    <xf numFmtId="14" fontId="5" fillId="6" borderId="1" xfId="0" applyNumberFormat="1" applyFont="1" applyFill="1" applyBorder="1" applyAlignment="1">
      <alignment horizontal="center" vertical="center" wrapText="1"/>
    </xf>
    <xf numFmtId="0" fontId="77" fillId="17" borderId="0" xfId="0" applyFont="1" applyFill="1" applyAlignment="1">
      <alignment horizontal="center" vertical="center"/>
    </xf>
    <xf numFmtId="0" fontId="77" fillId="17" borderId="0" xfId="0" applyFont="1" applyFill="1" applyAlignment="1">
      <alignment horizontal="center" vertical="top"/>
    </xf>
    <xf numFmtId="0" fontId="33" fillId="19" borderId="51" xfId="0" applyFont="1" applyFill="1" applyBorder="1" applyAlignment="1">
      <alignment horizontal="center" wrapText="1" readingOrder="1"/>
    </xf>
    <xf numFmtId="0" fontId="32" fillId="0" borderId="52" xfId="0" applyFont="1" applyBorder="1" applyAlignment="1">
      <alignment vertical="top" wrapText="1"/>
    </xf>
    <xf numFmtId="0" fontId="32" fillId="0" borderId="53" xfId="0" applyFont="1" applyBorder="1" applyAlignment="1">
      <alignment vertical="top" wrapText="1"/>
    </xf>
    <xf numFmtId="0" fontId="33" fillId="19" borderId="51" xfId="0" applyFont="1" applyFill="1" applyBorder="1" applyAlignment="1">
      <alignment horizontal="center" vertical="center" wrapText="1" readingOrder="1"/>
    </xf>
    <xf numFmtId="0" fontId="11" fillId="19" borderId="54" xfId="0" applyFont="1" applyFill="1" applyBorder="1" applyAlignment="1">
      <alignment horizontal="center" wrapText="1" readingOrder="1"/>
    </xf>
    <xf numFmtId="0" fontId="32" fillId="0" borderId="56" xfId="0" applyFont="1" applyBorder="1" applyAlignment="1">
      <alignment vertical="top" wrapText="1"/>
    </xf>
    <xf numFmtId="0" fontId="77" fillId="17" borderId="86" xfId="0" applyFont="1" applyFill="1" applyBorder="1" applyAlignment="1">
      <alignment horizontal="center" vertical="center" wrapText="1"/>
    </xf>
    <xf numFmtId="0" fontId="36" fillId="0" borderId="51" xfId="0" applyFont="1" applyBorder="1" applyAlignment="1">
      <alignment horizontal="left" vertical="top" wrapText="1" readingOrder="1"/>
    </xf>
    <xf numFmtId="0" fontId="34" fillId="19" borderId="51" xfId="0" applyFont="1" applyFill="1" applyBorder="1" applyAlignment="1">
      <alignment horizontal="center" vertical="top" wrapText="1" readingOrder="1"/>
    </xf>
    <xf numFmtId="0" fontId="11" fillId="19" borderId="50" xfId="0" applyFont="1" applyFill="1" applyBorder="1" applyAlignment="1">
      <alignment vertical="top" wrapText="1" readingOrder="1"/>
    </xf>
    <xf numFmtId="0" fontId="32" fillId="0" borderId="55" xfId="0" applyFont="1" applyBorder="1" applyAlignment="1">
      <alignment vertical="top" wrapText="1"/>
    </xf>
    <xf numFmtId="0" fontId="33" fillId="19" borderId="51" xfId="0" applyFont="1" applyFill="1" applyBorder="1" applyAlignment="1">
      <alignment horizontal="center" vertical="top" wrapText="1" readingOrder="1"/>
    </xf>
    <xf numFmtId="0" fontId="34" fillId="19" borderId="57" xfId="0" applyFont="1" applyFill="1" applyBorder="1" applyAlignment="1">
      <alignment horizontal="center" vertical="top" wrapText="1" readingOrder="1"/>
    </xf>
    <xf numFmtId="0" fontId="32" fillId="0" borderId="58" xfId="0" applyFont="1" applyBorder="1" applyAlignment="1">
      <alignment vertical="top" wrapText="1"/>
    </xf>
    <xf numFmtId="0" fontId="33" fillId="19" borderId="0" xfId="0" applyFont="1" applyFill="1" applyAlignment="1">
      <alignment horizontal="center" vertical="top" wrapText="1" readingOrder="1"/>
    </xf>
    <xf numFmtId="0" fontId="32" fillId="0" borderId="0" xfId="0" applyFont="1"/>
    <xf numFmtId="0" fontId="34" fillId="19" borderId="54" xfId="0" applyFont="1" applyFill="1" applyBorder="1" applyAlignment="1">
      <alignment horizontal="center" vertical="top" wrapText="1" readingOrder="1"/>
    </xf>
    <xf numFmtId="0" fontId="33" fillId="19" borderId="85" xfId="0" applyFont="1" applyFill="1" applyBorder="1" applyAlignment="1">
      <alignment horizontal="center" vertical="top" wrapText="1" readingOrder="1"/>
    </xf>
    <xf numFmtId="0" fontId="33" fillId="19" borderId="58" xfId="0" applyFont="1" applyFill="1" applyBorder="1" applyAlignment="1">
      <alignment horizontal="center" vertical="top" wrapText="1" readingOrder="1"/>
    </xf>
    <xf numFmtId="0" fontId="11" fillId="19" borderId="0" xfId="0" applyFont="1" applyFill="1" applyAlignment="1">
      <alignment horizontal="center" wrapText="1" readingOrder="1"/>
    </xf>
    <xf numFmtId="0" fontId="11" fillId="19" borderId="50" xfId="0" applyFont="1" applyFill="1" applyBorder="1" applyAlignment="1">
      <alignment horizontal="center" wrapText="1" readingOrder="1"/>
    </xf>
    <xf numFmtId="0" fontId="36" fillId="0" borderId="59" xfId="0" applyFont="1" applyBorder="1" applyAlignment="1">
      <alignment horizontal="left" vertical="top" wrapText="1" readingOrder="1"/>
    </xf>
    <xf numFmtId="0" fontId="32" fillId="0" borderId="59" xfId="0" applyFont="1" applyBorder="1" applyAlignment="1">
      <alignment vertical="top" wrapText="1"/>
    </xf>
    <xf numFmtId="0" fontId="36" fillId="0" borderId="84" xfId="0" applyFont="1" applyBorder="1" applyAlignment="1">
      <alignment horizontal="left" vertical="top" wrapText="1" readingOrder="1"/>
    </xf>
    <xf numFmtId="0" fontId="36" fillId="0" borderId="52" xfId="0" applyFont="1" applyBorder="1" applyAlignment="1">
      <alignment horizontal="left" vertical="top" wrapText="1" readingOrder="1"/>
    </xf>
    <xf numFmtId="0" fontId="36" fillId="0" borderId="53" xfId="0" applyFont="1" applyBorder="1" applyAlignment="1">
      <alignment horizontal="left" vertical="top" wrapText="1" readingOrder="1"/>
    </xf>
    <xf numFmtId="0" fontId="36" fillId="0" borderId="71" xfId="0" applyFont="1" applyBorder="1" applyAlignment="1">
      <alignment horizontal="center" vertical="top" wrapText="1" readingOrder="1"/>
    </xf>
    <xf numFmtId="0" fontId="36" fillId="0" borderId="59" xfId="0" applyFont="1" applyBorder="1" applyAlignment="1">
      <alignment horizontal="center" vertical="top" wrapText="1" readingOrder="1"/>
    </xf>
    <xf numFmtId="0" fontId="5" fillId="6" borderId="69" xfId="0" applyFont="1" applyFill="1" applyBorder="1" applyAlignment="1">
      <alignment horizontal="center" vertical="center" wrapText="1"/>
    </xf>
    <xf numFmtId="0" fontId="5" fillId="6" borderId="26" xfId="0" applyFont="1" applyFill="1" applyBorder="1" applyAlignment="1">
      <alignment horizontal="center" vertical="center" wrapText="1"/>
    </xf>
    <xf numFmtId="0" fontId="5" fillId="6" borderId="43" xfId="0" applyFont="1" applyFill="1" applyBorder="1" applyAlignment="1">
      <alignment horizontal="center" vertical="center" wrapText="1"/>
    </xf>
    <xf numFmtId="0" fontId="5" fillId="6" borderId="39" xfId="0" applyFont="1" applyFill="1" applyBorder="1" applyAlignment="1">
      <alignment horizontal="center" vertical="center" wrapText="1"/>
    </xf>
    <xf numFmtId="0" fontId="24" fillId="16" borderId="63" xfId="0" applyFont="1" applyFill="1" applyBorder="1" applyAlignment="1">
      <alignment horizontal="center" vertical="center" wrapText="1" readingOrder="1"/>
    </xf>
    <xf numFmtId="0" fontId="24" fillId="16" borderId="0" xfId="0" applyFont="1" applyFill="1" applyBorder="1" applyAlignment="1">
      <alignment horizontal="center" vertical="center" wrapText="1" readingOrder="1"/>
    </xf>
    <xf numFmtId="0" fontId="24" fillId="16" borderId="39" xfId="0" applyFont="1" applyFill="1" applyBorder="1" applyAlignment="1">
      <alignment horizontal="center" vertical="center" wrapText="1" readingOrder="1"/>
    </xf>
    <xf numFmtId="0" fontId="5" fillId="6" borderId="0" xfId="0" applyFont="1" applyFill="1" applyBorder="1" applyAlignment="1">
      <alignment horizontal="center" vertical="center" wrapText="1"/>
    </xf>
    <xf numFmtId="0" fontId="5" fillId="4" borderId="64" xfId="0" applyFont="1" applyFill="1" applyBorder="1" applyAlignment="1">
      <alignment horizontal="left" vertical="center" wrapText="1" indent="1"/>
    </xf>
    <xf numFmtId="0" fontId="5" fillId="4" borderId="70" xfId="0" applyFont="1" applyFill="1" applyBorder="1" applyAlignment="1">
      <alignment horizontal="left" vertical="center" wrapText="1" indent="1"/>
    </xf>
    <xf numFmtId="0" fontId="5" fillId="4" borderId="65" xfId="0" applyFont="1" applyFill="1" applyBorder="1" applyAlignment="1">
      <alignment horizontal="left" vertical="center" wrapText="1" indent="1"/>
    </xf>
    <xf numFmtId="0" fontId="5" fillId="4" borderId="66" xfId="0" applyFont="1" applyFill="1" applyBorder="1" applyAlignment="1">
      <alignment horizontal="center" vertical="center" wrapText="1"/>
    </xf>
    <xf numFmtId="0" fontId="0" fillId="0" borderId="67" xfId="0" applyBorder="1" applyAlignment="1">
      <alignment vertical="center" wrapText="1"/>
    </xf>
    <xf numFmtId="0" fontId="5" fillId="6" borderId="66" xfId="0" applyFont="1" applyFill="1" applyBorder="1" applyAlignment="1">
      <alignment horizontal="center" vertical="center" wrapText="1"/>
    </xf>
    <xf numFmtId="0" fontId="5" fillId="6" borderId="68" xfId="0" applyFont="1" applyFill="1" applyBorder="1" applyAlignment="1">
      <alignment horizontal="center" vertical="center" wrapText="1"/>
    </xf>
    <xf numFmtId="0" fontId="5" fillId="6" borderId="67" xfId="0" applyFont="1" applyFill="1" applyBorder="1" applyAlignment="1">
      <alignment horizontal="center" vertical="center" wrapText="1"/>
    </xf>
    <xf numFmtId="0" fontId="25" fillId="2" borderId="12" xfId="0" applyFont="1" applyFill="1" applyBorder="1" applyAlignment="1">
      <alignment horizontal="left" vertical="center" wrapText="1"/>
    </xf>
    <xf numFmtId="0" fontId="5" fillId="13" borderId="2" xfId="0" applyFont="1" applyFill="1" applyBorder="1" applyAlignment="1">
      <alignment horizontal="center" vertical="center" wrapText="1"/>
    </xf>
    <xf numFmtId="0" fontId="5" fillId="13" borderId="3" xfId="0" applyFont="1" applyFill="1" applyBorder="1" applyAlignment="1">
      <alignment horizontal="center" vertical="center" wrapText="1"/>
    </xf>
    <xf numFmtId="0" fontId="5" fillId="13" borderId="6" xfId="0" applyFont="1" applyFill="1" applyBorder="1" applyAlignment="1">
      <alignment horizontal="center" vertical="center" wrapText="1"/>
    </xf>
    <xf numFmtId="0" fontId="5" fillId="13" borderId="15" xfId="0" applyFont="1" applyFill="1" applyBorder="1" applyAlignment="1">
      <alignment horizontal="center" vertical="center" wrapText="1"/>
    </xf>
    <xf numFmtId="0" fontId="5" fillId="13" borderId="14" xfId="0" applyFont="1" applyFill="1" applyBorder="1" applyAlignment="1">
      <alignment horizontal="center" vertical="center" wrapText="1"/>
    </xf>
    <xf numFmtId="0" fontId="5" fillId="13" borderId="7" xfId="0" applyFont="1" applyFill="1" applyBorder="1" applyAlignment="1">
      <alignment horizontal="center" vertical="center" wrapText="1"/>
    </xf>
    <xf numFmtId="0" fontId="5" fillId="4" borderId="1" xfId="0" applyFont="1" applyFill="1" applyBorder="1" applyAlignment="1">
      <alignment horizontal="center" vertical="center" wrapText="1"/>
    </xf>
    <xf numFmtId="0" fontId="5" fillId="4" borderId="7" xfId="0" applyFont="1" applyFill="1" applyBorder="1" applyAlignment="1">
      <alignment horizontal="center" vertical="center"/>
    </xf>
    <xf numFmtId="0" fontId="5" fillId="4" borderId="15" xfId="0" applyFont="1" applyFill="1" applyBorder="1" applyAlignment="1">
      <alignment horizontal="center" vertical="center"/>
    </xf>
    <xf numFmtId="0" fontId="5" fillId="6" borderId="3" xfId="0" applyFont="1" applyFill="1" applyBorder="1" applyAlignment="1">
      <alignment horizontal="center" vertical="center" wrapText="1"/>
    </xf>
    <xf numFmtId="0" fontId="3" fillId="5" borderId="22" xfId="0" applyFont="1" applyFill="1" applyBorder="1" applyAlignment="1">
      <alignment horizontal="center" vertical="center" wrapText="1"/>
    </xf>
    <xf numFmtId="0" fontId="3" fillId="5" borderId="23" xfId="0" applyFont="1" applyFill="1" applyBorder="1" applyAlignment="1">
      <alignment horizontal="center" vertical="center" wrapText="1"/>
    </xf>
    <xf numFmtId="0" fontId="3" fillId="5" borderId="24" xfId="0" applyFont="1" applyFill="1" applyBorder="1" applyAlignment="1">
      <alignment horizontal="center" vertical="center" wrapText="1"/>
    </xf>
    <xf numFmtId="0" fontId="3" fillId="5" borderId="25" xfId="0" applyFont="1" applyFill="1" applyBorder="1" applyAlignment="1">
      <alignment horizontal="center" vertical="center" wrapText="1"/>
    </xf>
    <xf numFmtId="0" fontId="3" fillId="5" borderId="33" xfId="0" applyFont="1" applyFill="1" applyBorder="1" applyAlignment="1">
      <alignment horizontal="center" vertical="center" wrapText="1"/>
    </xf>
    <xf numFmtId="0" fontId="3" fillId="5" borderId="12" xfId="0" applyFont="1" applyFill="1" applyBorder="1" applyAlignment="1">
      <alignment horizontal="center" vertical="center" wrapText="1"/>
    </xf>
    <xf numFmtId="0" fontId="5" fillId="6" borderId="11" xfId="0" applyFont="1" applyFill="1" applyBorder="1" applyAlignment="1">
      <alignment horizontal="center" vertical="center" wrapText="1"/>
    </xf>
    <xf numFmtId="0" fontId="17" fillId="5" borderId="24" xfId="0" applyFont="1" applyFill="1" applyBorder="1" applyAlignment="1">
      <alignment horizontal="center" vertical="center" wrapText="1"/>
    </xf>
    <xf numFmtId="0" fontId="0" fillId="0" borderId="12" xfId="0" applyBorder="1" applyAlignment="1">
      <alignment horizontal="center" vertical="center" wrapText="1"/>
    </xf>
    <xf numFmtId="0" fontId="17" fillId="5" borderId="12" xfId="0" applyFont="1" applyFill="1" applyBorder="1" applyAlignment="1">
      <alignment horizontal="center" vertical="center" wrapText="1"/>
    </xf>
    <xf numFmtId="0" fontId="0" fillId="0" borderId="25" xfId="0" applyBorder="1" applyAlignment="1">
      <alignment horizontal="center" vertical="center" wrapText="1"/>
    </xf>
    <xf numFmtId="0" fontId="5" fillId="13" borderId="4" xfId="0" applyFont="1" applyFill="1" applyBorder="1" applyAlignment="1">
      <alignment horizontal="center" vertical="center" wrapText="1"/>
    </xf>
    <xf numFmtId="0" fontId="5" fillId="13" borderId="5" xfId="0" applyFont="1" applyFill="1" applyBorder="1" applyAlignment="1">
      <alignment horizontal="center" vertical="center" wrapText="1"/>
    </xf>
    <xf numFmtId="0" fontId="5" fillId="13" borderId="8" xfId="0" applyFont="1" applyFill="1" applyBorder="1" applyAlignment="1">
      <alignment horizontal="center" vertical="center" wrapText="1"/>
    </xf>
    <xf numFmtId="0" fontId="2" fillId="2" borderId="20" xfId="0" applyFont="1" applyFill="1" applyBorder="1" applyAlignment="1" applyProtection="1">
      <alignment horizontal="left" vertical="center" wrapText="1" indent="1"/>
      <protection locked="0"/>
    </xf>
    <xf numFmtId="0" fontId="2" fillId="2" borderId="21" xfId="0" applyFont="1" applyFill="1" applyBorder="1" applyAlignment="1" applyProtection="1">
      <alignment horizontal="left" vertical="center" wrapText="1" indent="1"/>
      <protection locked="0"/>
    </xf>
    <xf numFmtId="0" fontId="3" fillId="2" borderId="12" xfId="0" applyFont="1" applyFill="1" applyBorder="1" applyAlignment="1">
      <alignment horizontal="center" vertical="center" wrapText="1"/>
    </xf>
    <xf numFmtId="0" fontId="25" fillId="2" borderId="25" xfId="0" applyFont="1" applyFill="1" applyBorder="1" applyAlignment="1">
      <alignment horizontal="center" vertical="center" wrapText="1"/>
    </xf>
    <xf numFmtId="0" fontId="25" fillId="2" borderId="46" xfId="0" applyFont="1" applyFill="1" applyBorder="1" applyAlignment="1">
      <alignment horizontal="center" vertical="center" wrapText="1"/>
    </xf>
    <xf numFmtId="0" fontId="25" fillId="2" borderId="24" xfId="0" applyFont="1" applyFill="1" applyBorder="1" applyAlignment="1">
      <alignment horizontal="center" vertical="center" wrapText="1"/>
    </xf>
    <xf numFmtId="0" fontId="40" fillId="4" borderId="40" xfId="0" applyFont="1" applyFill="1" applyBorder="1" applyAlignment="1">
      <alignment horizontal="center" vertical="center" wrapText="1"/>
    </xf>
    <xf numFmtId="0" fontId="41" fillId="0" borderId="40" xfId="0" applyFont="1" applyBorder="1" applyAlignment="1">
      <alignment horizontal="center" vertical="center" wrapText="1"/>
    </xf>
    <xf numFmtId="0" fontId="40" fillId="4" borderId="33" xfId="0" applyFont="1" applyFill="1" applyBorder="1" applyAlignment="1">
      <alignment horizontal="center" vertical="center" wrapText="1"/>
    </xf>
    <xf numFmtId="0" fontId="41" fillId="0" borderId="33" xfId="0" applyFont="1" applyBorder="1" applyAlignment="1">
      <alignment horizontal="center" vertical="center" wrapText="1"/>
    </xf>
    <xf numFmtId="0" fontId="5" fillId="4" borderId="43" xfId="0" applyFont="1" applyFill="1" applyBorder="1" applyAlignment="1">
      <alignment horizontal="center" vertical="center" wrapText="1"/>
    </xf>
    <xf numFmtId="0" fontId="0" fillId="0" borderId="0" xfId="0" applyAlignment="1">
      <alignment horizontal="center" vertical="center" wrapText="1"/>
    </xf>
    <xf numFmtId="0" fontId="0" fillId="0" borderId="0" xfId="0"/>
    <xf numFmtId="0" fontId="5" fillId="4" borderId="8" xfId="0" applyFont="1" applyFill="1" applyBorder="1" applyAlignment="1">
      <alignment horizontal="center" vertical="center" wrapText="1"/>
    </xf>
    <xf numFmtId="0" fontId="5" fillId="4" borderId="13" xfId="0" applyFont="1" applyFill="1" applyBorder="1" applyAlignment="1">
      <alignment horizontal="center" vertical="center" wrapText="1"/>
    </xf>
    <xf numFmtId="0" fontId="0" fillId="0" borderId="13" xfId="0" applyBorder="1" applyAlignment="1">
      <alignment horizontal="center" vertical="center" wrapText="1"/>
    </xf>
    <xf numFmtId="0" fontId="0" fillId="0" borderId="4" xfId="0" applyBorder="1" applyAlignment="1">
      <alignment horizontal="center" vertical="center" wrapText="1"/>
    </xf>
    <xf numFmtId="0" fontId="23" fillId="14" borderId="44" xfId="0" applyFont="1" applyFill="1" applyBorder="1" applyAlignment="1">
      <alignment horizontal="center" vertical="center" wrapText="1"/>
    </xf>
    <xf numFmtId="0" fontId="23" fillId="14" borderId="42" xfId="0" applyFont="1" applyFill="1" applyBorder="1" applyAlignment="1">
      <alignment horizontal="center" vertical="center" wrapText="1"/>
    </xf>
    <xf numFmtId="0" fontId="23" fillId="14" borderId="45" xfId="0" applyFont="1" applyFill="1" applyBorder="1" applyAlignment="1">
      <alignment horizontal="center" vertical="center" wrapText="1"/>
    </xf>
    <xf numFmtId="0" fontId="5" fillId="6" borderId="60" xfId="0" applyFont="1" applyFill="1" applyBorder="1" applyAlignment="1">
      <alignment horizontal="center" vertical="center" wrapText="1"/>
    </xf>
    <xf numFmtId="0" fontId="5" fillId="6" borderId="61" xfId="0" applyFont="1" applyFill="1" applyBorder="1" applyAlignment="1">
      <alignment horizontal="center" vertical="center" wrapText="1"/>
    </xf>
    <xf numFmtId="0" fontId="5" fillId="6" borderId="62" xfId="0" applyFont="1" applyFill="1" applyBorder="1" applyAlignment="1">
      <alignment horizontal="center" vertical="center" wrapText="1"/>
    </xf>
    <xf numFmtId="0" fontId="40" fillId="4" borderId="23" xfId="0" applyFont="1" applyFill="1" applyBorder="1" applyAlignment="1">
      <alignment horizontal="center" vertical="center" wrapText="1"/>
    </xf>
    <xf numFmtId="0" fontId="40" fillId="4" borderId="22" xfId="0" applyFont="1" applyFill="1" applyBorder="1" applyAlignment="1">
      <alignment horizontal="center" vertical="center" wrapText="1"/>
    </xf>
  </cellXfs>
  <cellStyles count="37">
    <cellStyle name="Comma" xfId="1" builtinId="3"/>
    <cellStyle name="Comma 116" xfId="17" xr:uid="{E9EA4B67-A1D2-4B87-8769-BF08A5BB7E85}"/>
    <cellStyle name="Comma 116 2" xfId="23" xr:uid="{C05DC98B-6CE2-48BC-AD02-5DF69CF22287}"/>
    <cellStyle name="Comma 116 3" xfId="29" xr:uid="{39672D8A-5410-4245-AE52-EE1D1DBC4476}"/>
    <cellStyle name="Comma 116 4" xfId="35" xr:uid="{F28ECA9C-C190-4EF3-944E-8F87BC6B15CF}"/>
    <cellStyle name="Comma 2" xfId="2" xr:uid="{18A1189D-944F-4D9C-8A6C-2064ED3D7439}"/>
    <cellStyle name="Comma 2 2" xfId="4" xr:uid="{073C9B23-202B-4923-80B5-F3398ED86583}"/>
    <cellStyle name="Comma 2 2 2" xfId="9" xr:uid="{19D6D3A3-3056-461B-8E9E-1CFC7D5F18B2}"/>
    <cellStyle name="Comma 2 2 3" xfId="15" xr:uid="{E8AB9DA0-106E-43DD-B6B7-9BC449ACC915}"/>
    <cellStyle name="Comma 2 2 4" xfId="21" xr:uid="{A284DEF6-65B1-46F1-9807-2156473A4C7C}"/>
    <cellStyle name="Comma 2 2 5" xfId="27" xr:uid="{DDCFC646-1769-4DC6-9AC7-7E24B8AD15E8}"/>
    <cellStyle name="Comma 2 2 6" xfId="33" xr:uid="{38693E3A-FD6C-4597-97BC-368A51F542FF}"/>
    <cellStyle name="Comma 2 3" xfId="12" xr:uid="{A098D041-CEB1-449B-89E9-95F4DE8B277F}"/>
    <cellStyle name="Comma 2 3 2" xfId="16" xr:uid="{BF46D1E1-0A39-4EE2-9309-71F3F8FF30F4}"/>
    <cellStyle name="Comma 2 3 3" xfId="22" xr:uid="{18109F74-9011-48EB-80D0-9CE2F1C38C2A}"/>
    <cellStyle name="Comma 2 3 4" xfId="28" xr:uid="{E8B73A17-2ECA-4A88-9158-F63CFC20E61B}"/>
    <cellStyle name="Comma 2 3 5" xfId="34" xr:uid="{5970495C-3B75-440E-89E2-722F1A274259}"/>
    <cellStyle name="Comma 2 4" xfId="8" xr:uid="{27C73C91-784F-461D-9AB7-FA39E3851290}"/>
    <cellStyle name="Comma 2 5" xfId="14" xr:uid="{60A46574-DF5C-4D89-A169-BD83B0FBFAAF}"/>
    <cellStyle name="Comma 2 6" xfId="20" xr:uid="{64E9CCDA-9594-4E69-B7AE-173CB5B9690B}"/>
    <cellStyle name="Comma 2 7" xfId="26" xr:uid="{12A7D857-DD64-4E93-A096-B0FF2DC6245C}"/>
    <cellStyle name="Comma 2 8" xfId="32" xr:uid="{892076EC-7702-415E-BD2B-7816EEA9FC7B}"/>
    <cellStyle name="Comma 2 9" xfId="18" xr:uid="{ED309E70-16CE-4AA7-A59A-687CFB841594}"/>
    <cellStyle name="Comma 2 9 2" xfId="24" xr:uid="{89C76B09-763F-4252-B3DE-ADDFDA8441C2}"/>
    <cellStyle name="Comma 2 9 3" xfId="30" xr:uid="{67B7F050-6EFE-4B29-AA99-148EDD70FBA6}"/>
    <cellStyle name="Comma 2 9 4" xfId="36" xr:uid="{13FE2F0D-4A2E-4B40-BA90-7335C37AC5C6}"/>
    <cellStyle name="Comma 3" xfId="3" xr:uid="{63BAE357-D0FC-44C0-AD20-085AC13C6560}"/>
    <cellStyle name="Comma 4" xfId="7" xr:uid="{3EC6903E-40C3-423B-B6D1-B5131FF1F0F4}"/>
    <cellStyle name="Comma 5" xfId="13" xr:uid="{93EE9064-3851-407B-84EE-8AB2BE715285}"/>
    <cellStyle name="Comma 6" xfId="19" xr:uid="{BCBECC8F-5126-401C-965D-7EC8F67F910B}"/>
    <cellStyle name="Comma 7" xfId="25" xr:uid="{C6FC0F9E-F4C7-4BFC-BECE-0B2058642E41}"/>
    <cellStyle name="Comma 8" xfId="31" xr:uid="{2E545DE4-101F-402D-8451-B8E4BC7C943C}"/>
    <cellStyle name="Normal" xfId="0" builtinId="0"/>
    <cellStyle name="Normal 2" xfId="5" xr:uid="{1C56AF44-A6A3-4CFF-882C-B3AA274D73B4}"/>
    <cellStyle name="Normal 2 2" xfId="11" xr:uid="{70FD8AC3-AE00-49B6-9754-019FC404C99F}"/>
    <cellStyle name="Normal 3" xfId="10" xr:uid="{79F243BC-96CD-483D-B101-E3B401D9D172}"/>
    <cellStyle name="Percent" xfId="6" builtinId="5"/>
  </cellStyles>
  <dxfs count="1501">
    <dxf>
      <font>
        <color theme="1"/>
      </font>
      <fill>
        <patternFill>
          <bgColor theme="0" tint="-4.9989318521683403E-2"/>
        </patternFill>
      </fill>
    </dxf>
    <dxf>
      <font>
        <color theme="1"/>
      </font>
      <fill>
        <patternFill>
          <bgColor rgb="FFFFC000"/>
        </patternFill>
      </fill>
    </dxf>
    <dxf>
      <font>
        <color theme="0"/>
      </font>
      <fill>
        <patternFill>
          <bgColor rgb="FF00B050"/>
        </patternFill>
      </fill>
    </dxf>
    <dxf>
      <fill>
        <patternFill>
          <bgColor theme="0" tint="-4.9989318521683403E-2"/>
        </patternFill>
      </fill>
    </dxf>
    <dxf>
      <font>
        <color theme="0"/>
      </font>
      <fill>
        <patternFill>
          <bgColor rgb="FFCC0000"/>
        </patternFill>
      </fill>
    </dxf>
    <dxf>
      <font>
        <color theme="1"/>
      </font>
      <fill>
        <patternFill>
          <bgColor rgb="FFFFC000"/>
        </patternFill>
      </fill>
    </dxf>
    <dxf>
      <font>
        <color theme="0"/>
      </font>
      <fill>
        <patternFill>
          <bgColor rgb="FF00B050"/>
        </patternFill>
      </fill>
    </dxf>
    <dxf>
      <font>
        <color theme="1"/>
      </font>
      <fill>
        <patternFill>
          <bgColor theme="0" tint="-4.9989318521683403E-2"/>
        </patternFill>
      </fill>
    </dxf>
    <dxf>
      <fill>
        <patternFill>
          <bgColor theme="0" tint="-4.9989318521683403E-2"/>
        </patternFill>
      </fill>
    </dxf>
    <dxf>
      <font>
        <color theme="0"/>
      </font>
      <fill>
        <patternFill>
          <bgColor rgb="FFCC0000"/>
        </patternFill>
      </fill>
    </dxf>
    <dxf>
      <font>
        <color theme="0"/>
      </font>
      <fill>
        <patternFill>
          <bgColor rgb="FFCC0000"/>
        </patternFill>
      </fill>
    </dxf>
    <dxf>
      <font>
        <color theme="1"/>
      </font>
      <fill>
        <patternFill>
          <bgColor rgb="FFFFC000"/>
        </patternFill>
      </fill>
    </dxf>
    <dxf>
      <font>
        <color theme="0"/>
      </font>
      <fill>
        <patternFill>
          <bgColor rgb="FF00B050"/>
        </patternFill>
      </fill>
    </dxf>
    <dxf>
      <font>
        <color theme="1"/>
      </font>
      <fill>
        <patternFill>
          <bgColor theme="0" tint="-4.9989318521683403E-2"/>
        </patternFill>
      </fill>
    </dxf>
    <dxf>
      <fill>
        <patternFill>
          <bgColor theme="0" tint="-4.9989318521683403E-2"/>
        </patternFill>
      </fill>
    </dxf>
    <dxf>
      <font>
        <color theme="0"/>
      </font>
      <fill>
        <patternFill>
          <bgColor rgb="FFCC0000"/>
        </patternFill>
      </fill>
    </dxf>
    <dxf>
      <font>
        <color theme="1"/>
      </font>
      <fill>
        <patternFill>
          <bgColor rgb="FFFFC000"/>
        </patternFill>
      </fill>
    </dxf>
    <dxf>
      <font>
        <color theme="0"/>
      </font>
      <fill>
        <patternFill>
          <bgColor rgb="FF00B050"/>
        </patternFill>
      </fill>
    </dxf>
    <dxf>
      <font>
        <color theme="1"/>
      </font>
      <fill>
        <patternFill>
          <bgColor theme="0" tint="-4.9989318521683403E-2"/>
        </patternFill>
      </fill>
    </dxf>
    <dxf>
      <fill>
        <patternFill>
          <bgColor theme="0" tint="-4.9989318521683403E-2"/>
        </patternFill>
      </fill>
    </dxf>
    <dxf>
      <font>
        <color theme="0"/>
      </font>
      <fill>
        <patternFill>
          <bgColor rgb="FFCC0000"/>
        </patternFill>
      </fill>
    </dxf>
    <dxf>
      <fill>
        <patternFill>
          <bgColor theme="0" tint="-4.9989318521683403E-2"/>
        </patternFill>
      </fill>
    </dxf>
    <dxf>
      <font>
        <color theme="1"/>
      </font>
      <fill>
        <patternFill>
          <bgColor theme="0" tint="-4.9989318521683403E-2"/>
        </patternFill>
      </fill>
    </dxf>
    <dxf>
      <font>
        <color theme="0"/>
      </font>
      <fill>
        <patternFill>
          <bgColor rgb="FF00B050"/>
        </patternFill>
      </fill>
    </dxf>
    <dxf>
      <font>
        <color theme="1"/>
      </font>
      <fill>
        <patternFill>
          <bgColor rgb="FFFFC000"/>
        </patternFill>
      </fill>
    </dxf>
    <dxf>
      <font>
        <color theme="0"/>
      </font>
      <fill>
        <patternFill>
          <bgColor rgb="FFCC0000"/>
        </patternFill>
      </fill>
    </dxf>
    <dxf>
      <font>
        <color theme="1"/>
      </font>
      <fill>
        <patternFill>
          <bgColor rgb="FFFFC000"/>
        </patternFill>
      </fill>
    </dxf>
    <dxf>
      <font>
        <color theme="0"/>
      </font>
      <fill>
        <patternFill>
          <bgColor rgb="FF00B050"/>
        </patternFill>
      </fill>
    </dxf>
    <dxf>
      <font>
        <color theme="1"/>
      </font>
      <fill>
        <patternFill>
          <bgColor theme="0" tint="-4.9989318521683403E-2"/>
        </patternFill>
      </fill>
    </dxf>
    <dxf>
      <fill>
        <patternFill>
          <bgColor theme="0" tint="-4.9989318521683403E-2"/>
        </patternFill>
      </fill>
    </dxf>
    <dxf>
      <font>
        <color theme="0"/>
      </font>
      <fill>
        <patternFill>
          <bgColor rgb="FF00B050"/>
        </patternFill>
      </fill>
    </dxf>
    <dxf>
      <fill>
        <patternFill>
          <bgColor theme="0" tint="-4.9989318521683403E-2"/>
        </patternFill>
      </fill>
    </dxf>
    <dxf>
      <font>
        <color theme="1"/>
      </font>
      <fill>
        <patternFill>
          <bgColor theme="0" tint="-4.9989318521683403E-2"/>
        </patternFill>
      </fill>
    </dxf>
    <dxf>
      <font>
        <color theme="1"/>
      </font>
      <fill>
        <patternFill>
          <bgColor rgb="FFFFC000"/>
        </patternFill>
      </fill>
    </dxf>
    <dxf>
      <font>
        <color theme="0"/>
      </font>
      <fill>
        <patternFill>
          <bgColor rgb="FFCC0000"/>
        </patternFill>
      </fill>
    </dxf>
    <dxf>
      <font>
        <color theme="0"/>
      </font>
      <fill>
        <patternFill>
          <bgColor rgb="FFCC0000"/>
        </patternFill>
      </fill>
    </dxf>
    <dxf>
      <font>
        <color theme="1"/>
      </font>
      <fill>
        <patternFill>
          <bgColor rgb="FFFFC000"/>
        </patternFill>
      </fill>
    </dxf>
    <dxf>
      <font>
        <color theme="0"/>
      </font>
      <fill>
        <patternFill>
          <bgColor rgb="FF00B050"/>
        </patternFill>
      </fill>
    </dxf>
    <dxf>
      <font>
        <color theme="1"/>
      </font>
      <fill>
        <patternFill>
          <bgColor theme="0" tint="-4.9989318521683403E-2"/>
        </patternFill>
      </fill>
    </dxf>
    <dxf>
      <fill>
        <patternFill>
          <bgColor theme="0" tint="-4.9989318521683403E-2"/>
        </patternFill>
      </fill>
    </dxf>
    <dxf>
      <font>
        <color theme="0"/>
      </font>
      <fill>
        <patternFill>
          <bgColor rgb="FFCC0000"/>
        </patternFill>
      </fill>
    </dxf>
    <dxf>
      <font>
        <color theme="1"/>
      </font>
      <fill>
        <patternFill>
          <bgColor rgb="FFFFC000"/>
        </patternFill>
      </fill>
    </dxf>
    <dxf>
      <font>
        <color theme="0"/>
      </font>
      <fill>
        <patternFill>
          <bgColor rgb="FF00B050"/>
        </patternFill>
      </fill>
    </dxf>
    <dxf>
      <font>
        <color theme="1"/>
      </font>
      <fill>
        <patternFill>
          <bgColor theme="0" tint="-4.9989318521683403E-2"/>
        </patternFill>
      </fill>
    </dxf>
    <dxf>
      <fill>
        <patternFill>
          <bgColor theme="0" tint="-4.9989318521683403E-2"/>
        </patternFill>
      </fill>
    </dxf>
    <dxf>
      <font>
        <color theme="0"/>
      </font>
      <fill>
        <patternFill>
          <bgColor rgb="FFCC0000"/>
        </patternFill>
      </fill>
    </dxf>
    <dxf>
      <font>
        <color theme="1"/>
      </font>
      <fill>
        <patternFill>
          <bgColor theme="0" tint="-4.9989318521683403E-2"/>
        </patternFill>
      </fill>
    </dxf>
    <dxf>
      <fill>
        <patternFill>
          <bgColor theme="0" tint="-4.9989318521683403E-2"/>
        </patternFill>
      </fill>
    </dxf>
    <dxf>
      <font>
        <color theme="0"/>
      </font>
      <fill>
        <patternFill>
          <bgColor rgb="FF00B050"/>
        </patternFill>
      </fill>
    </dxf>
    <dxf>
      <font>
        <color theme="1"/>
      </font>
      <fill>
        <patternFill>
          <bgColor rgb="FFFFC000"/>
        </patternFill>
      </fill>
    </dxf>
    <dxf>
      <font>
        <color theme="1"/>
      </font>
      <fill>
        <patternFill>
          <bgColor theme="0" tint="-4.9989318521683403E-2"/>
        </patternFill>
      </fill>
    </dxf>
    <dxf>
      <fill>
        <patternFill>
          <bgColor theme="0" tint="-4.9989318521683403E-2"/>
        </patternFill>
      </fill>
    </dxf>
    <dxf>
      <font>
        <color theme="0"/>
      </font>
      <fill>
        <patternFill>
          <bgColor rgb="FF00B050"/>
        </patternFill>
      </fill>
    </dxf>
    <dxf>
      <font>
        <color theme="0"/>
      </font>
      <fill>
        <patternFill>
          <bgColor rgb="FFCC0000"/>
        </patternFill>
      </fill>
    </dxf>
    <dxf>
      <font>
        <color theme="1"/>
      </font>
      <fill>
        <patternFill>
          <bgColor rgb="FFFFC000"/>
        </patternFill>
      </fill>
    </dxf>
    <dxf>
      <fill>
        <patternFill>
          <bgColor theme="0" tint="-4.9989318521683403E-2"/>
        </patternFill>
      </fill>
    </dxf>
    <dxf>
      <font>
        <color theme="0"/>
      </font>
      <fill>
        <patternFill>
          <bgColor rgb="FFCC0000"/>
        </patternFill>
      </fill>
    </dxf>
    <dxf>
      <font>
        <color theme="1"/>
      </font>
      <fill>
        <patternFill>
          <bgColor rgb="FFFFC000"/>
        </patternFill>
      </fill>
    </dxf>
    <dxf>
      <font>
        <color theme="0"/>
      </font>
      <fill>
        <patternFill>
          <bgColor rgb="FF00B050"/>
        </patternFill>
      </fill>
    </dxf>
    <dxf>
      <font>
        <color theme="1"/>
      </font>
      <fill>
        <patternFill>
          <bgColor theme="0" tint="-4.9989318521683403E-2"/>
        </patternFill>
      </fill>
    </dxf>
    <dxf>
      <font>
        <color theme="1"/>
      </font>
      <fill>
        <patternFill>
          <bgColor rgb="FFFFC000"/>
        </patternFill>
      </fill>
    </dxf>
    <dxf>
      <font>
        <color theme="0"/>
      </font>
      <fill>
        <patternFill>
          <bgColor rgb="FFCC0000"/>
        </patternFill>
      </fill>
    </dxf>
    <dxf>
      <fill>
        <patternFill>
          <bgColor theme="0" tint="-4.9989318521683403E-2"/>
        </patternFill>
      </fill>
    </dxf>
    <dxf>
      <font>
        <color theme="1"/>
      </font>
      <fill>
        <patternFill>
          <bgColor theme="0" tint="-4.9989318521683403E-2"/>
        </patternFill>
      </fill>
    </dxf>
    <dxf>
      <font>
        <color theme="0"/>
      </font>
      <fill>
        <patternFill>
          <bgColor rgb="FF00B050"/>
        </patternFill>
      </fill>
    </dxf>
    <dxf>
      <font>
        <color theme="1"/>
      </font>
      <fill>
        <patternFill>
          <bgColor theme="0" tint="-4.9989318521683403E-2"/>
        </patternFill>
      </fill>
    </dxf>
    <dxf>
      <font>
        <color theme="1"/>
      </font>
      <fill>
        <patternFill>
          <bgColor rgb="FFFFC000"/>
        </patternFill>
      </fill>
    </dxf>
    <dxf>
      <font>
        <color theme="0"/>
      </font>
      <fill>
        <patternFill>
          <bgColor rgb="FFCC0000"/>
        </patternFill>
      </fill>
    </dxf>
    <dxf>
      <font>
        <color theme="0"/>
      </font>
      <fill>
        <patternFill>
          <bgColor rgb="FF00B050"/>
        </patternFill>
      </fill>
    </dxf>
    <dxf>
      <font>
        <color theme="1"/>
      </font>
      <fill>
        <patternFill>
          <bgColor theme="0" tint="-4.9989318521683403E-2"/>
        </patternFill>
      </fill>
    </dxf>
    <dxf>
      <font>
        <color theme="0"/>
      </font>
      <fill>
        <patternFill>
          <bgColor rgb="FF00B050"/>
        </patternFill>
      </fill>
    </dxf>
    <dxf>
      <font>
        <color theme="1"/>
      </font>
      <fill>
        <patternFill>
          <bgColor rgb="FFFFC000"/>
        </patternFill>
      </fill>
    </dxf>
    <dxf>
      <font>
        <color theme="0"/>
      </font>
      <fill>
        <patternFill>
          <bgColor rgb="FFCC0000"/>
        </patternFill>
      </fill>
    </dxf>
    <dxf>
      <font>
        <color theme="1"/>
      </font>
      <fill>
        <patternFill>
          <bgColor theme="0" tint="-4.9989318521683403E-2"/>
        </patternFill>
      </fill>
    </dxf>
    <dxf>
      <font>
        <color theme="0"/>
      </font>
      <fill>
        <patternFill>
          <bgColor rgb="FF00B050"/>
        </patternFill>
      </fill>
    </dxf>
    <dxf>
      <font>
        <color theme="1"/>
      </font>
      <fill>
        <patternFill>
          <bgColor rgb="FFFFC000"/>
        </patternFill>
      </fill>
    </dxf>
    <dxf>
      <font>
        <color theme="0"/>
      </font>
      <fill>
        <patternFill>
          <bgColor rgb="FFCC0000"/>
        </patternFill>
      </fill>
    </dxf>
    <dxf>
      <font>
        <color theme="0"/>
      </font>
      <fill>
        <patternFill>
          <bgColor rgb="FF00B050"/>
        </patternFill>
      </fill>
    </dxf>
    <dxf>
      <font>
        <color theme="1"/>
      </font>
      <fill>
        <patternFill>
          <bgColor rgb="FFFFC000"/>
        </patternFill>
      </fill>
    </dxf>
    <dxf>
      <font>
        <color theme="0"/>
      </font>
      <fill>
        <patternFill>
          <bgColor rgb="FFCC0000"/>
        </patternFill>
      </fill>
    </dxf>
    <dxf>
      <font>
        <color theme="1"/>
      </font>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ont>
        <color theme="1"/>
      </font>
      <fill>
        <patternFill>
          <bgColor theme="0" tint="-4.9989318521683403E-2"/>
        </patternFill>
      </fill>
    </dxf>
    <dxf>
      <font>
        <color theme="0"/>
      </font>
      <fill>
        <patternFill>
          <bgColor rgb="FF00B050"/>
        </patternFill>
      </fill>
    </dxf>
    <dxf>
      <font>
        <color theme="1"/>
      </font>
      <fill>
        <patternFill>
          <bgColor rgb="FFFFC000"/>
        </patternFill>
      </fill>
    </dxf>
    <dxf>
      <font>
        <color theme="0"/>
      </font>
      <fill>
        <patternFill>
          <bgColor rgb="FFCC0000"/>
        </patternFill>
      </fill>
    </dxf>
    <dxf>
      <fill>
        <patternFill>
          <bgColor theme="0" tint="-4.9989318521683403E-2"/>
        </patternFill>
      </fill>
    </dxf>
    <dxf>
      <font>
        <color theme="1"/>
      </font>
      <fill>
        <patternFill>
          <bgColor theme="0" tint="-4.9989318521683403E-2"/>
        </patternFill>
      </fill>
    </dxf>
    <dxf>
      <font>
        <color theme="0"/>
      </font>
      <fill>
        <patternFill>
          <bgColor rgb="FFCC0000"/>
        </patternFill>
      </fill>
    </dxf>
    <dxf>
      <font>
        <color theme="1"/>
      </font>
      <fill>
        <patternFill>
          <bgColor rgb="FFFFC000"/>
        </patternFill>
      </fill>
    </dxf>
    <dxf>
      <font>
        <color theme="0"/>
      </font>
      <fill>
        <patternFill>
          <bgColor rgb="FF00B050"/>
        </patternFill>
      </fill>
    </dxf>
    <dxf>
      <font>
        <color theme="0"/>
      </font>
      <fill>
        <patternFill>
          <bgColor rgb="FF00B050"/>
        </patternFill>
      </fill>
    </dxf>
    <dxf>
      <font>
        <color theme="1"/>
      </font>
      <fill>
        <patternFill>
          <bgColor rgb="FFFFC000"/>
        </patternFill>
      </fill>
    </dxf>
    <dxf>
      <font>
        <color theme="0"/>
      </font>
      <fill>
        <patternFill>
          <bgColor rgb="FFCC0000"/>
        </patternFill>
      </fill>
    </dxf>
    <dxf>
      <font>
        <color theme="1"/>
      </font>
      <fill>
        <patternFill>
          <bgColor theme="0" tint="-4.9989318521683403E-2"/>
        </patternFill>
      </fill>
    </dxf>
    <dxf>
      <fill>
        <patternFill>
          <bgColor theme="0" tint="-4.9989318521683403E-2"/>
        </patternFill>
      </fill>
    </dxf>
    <dxf>
      <font>
        <color theme="1"/>
      </font>
      <fill>
        <patternFill>
          <bgColor theme="0" tint="-4.9989318521683403E-2"/>
        </patternFill>
      </fill>
    </dxf>
    <dxf>
      <font>
        <color theme="0"/>
      </font>
      <fill>
        <patternFill>
          <bgColor rgb="FF00B050"/>
        </patternFill>
      </fill>
    </dxf>
    <dxf>
      <font>
        <color theme="1"/>
      </font>
      <fill>
        <patternFill>
          <bgColor rgb="FFFFC000"/>
        </patternFill>
      </fill>
    </dxf>
    <dxf>
      <font>
        <color theme="0"/>
      </font>
      <fill>
        <patternFill>
          <bgColor rgb="FFCC0000"/>
        </patternFill>
      </fill>
    </dxf>
    <dxf>
      <font>
        <color theme="1"/>
      </font>
      <fill>
        <patternFill>
          <bgColor theme="0" tint="-4.9989318521683403E-2"/>
        </patternFill>
      </fill>
    </dxf>
    <dxf>
      <font>
        <color theme="1"/>
      </font>
      <fill>
        <patternFill>
          <bgColor rgb="FFFFC000"/>
        </patternFill>
      </fill>
    </dxf>
    <dxf>
      <font>
        <color theme="0"/>
      </font>
      <fill>
        <patternFill>
          <bgColor rgb="FFCC0000"/>
        </patternFill>
      </fill>
    </dxf>
    <dxf>
      <font>
        <color theme="0"/>
      </font>
      <fill>
        <patternFill>
          <bgColor rgb="FF00B050"/>
        </patternFill>
      </fill>
    </dxf>
    <dxf>
      <font>
        <color theme="1"/>
      </font>
      <fill>
        <patternFill>
          <bgColor rgb="FFFFC000"/>
        </patternFill>
      </fill>
    </dxf>
    <dxf>
      <fill>
        <patternFill>
          <bgColor theme="0" tint="-4.9989318521683403E-2"/>
        </patternFill>
      </fill>
    </dxf>
    <dxf>
      <font>
        <color theme="1"/>
      </font>
      <fill>
        <patternFill>
          <bgColor theme="0" tint="-4.9989318521683403E-2"/>
        </patternFill>
      </fill>
    </dxf>
    <dxf>
      <font>
        <color theme="0"/>
      </font>
      <fill>
        <patternFill>
          <bgColor rgb="FF00B050"/>
        </patternFill>
      </fill>
    </dxf>
    <dxf>
      <font>
        <color theme="0"/>
      </font>
      <fill>
        <patternFill>
          <bgColor rgb="FFCC0000"/>
        </patternFill>
      </fill>
    </dxf>
    <dxf>
      <font>
        <color theme="0"/>
      </font>
      <fill>
        <patternFill>
          <bgColor rgb="FF00B050"/>
        </patternFill>
      </fill>
    </dxf>
    <dxf>
      <font>
        <color theme="1"/>
      </font>
      <fill>
        <patternFill>
          <bgColor theme="0" tint="-4.9989318521683403E-2"/>
        </patternFill>
      </fill>
    </dxf>
    <dxf>
      <font>
        <color theme="1"/>
      </font>
      <fill>
        <patternFill>
          <bgColor rgb="FFFFC000"/>
        </patternFill>
      </fill>
    </dxf>
    <dxf>
      <font>
        <color theme="0"/>
      </font>
      <fill>
        <patternFill>
          <bgColor rgb="FFCC0000"/>
        </patternFill>
      </fill>
    </dxf>
    <dxf>
      <fill>
        <patternFill>
          <bgColor theme="0" tint="-4.9989318521683403E-2"/>
        </patternFill>
      </fill>
    </dxf>
    <dxf>
      <font>
        <color theme="0"/>
      </font>
      <fill>
        <patternFill>
          <bgColor rgb="FF00B050"/>
        </patternFill>
      </fill>
    </dxf>
    <dxf>
      <font>
        <color theme="1"/>
      </font>
      <fill>
        <patternFill>
          <bgColor theme="0" tint="-4.9989318521683403E-2"/>
        </patternFill>
      </fill>
    </dxf>
    <dxf>
      <fill>
        <patternFill>
          <bgColor theme="0" tint="-4.9989318521683403E-2"/>
        </patternFill>
      </fill>
    </dxf>
    <dxf>
      <font>
        <color theme="0"/>
      </font>
      <fill>
        <patternFill>
          <bgColor rgb="FFCC0000"/>
        </patternFill>
      </fill>
    </dxf>
    <dxf>
      <font>
        <color theme="1"/>
      </font>
      <fill>
        <patternFill>
          <bgColor rgb="FFFFC000"/>
        </patternFill>
      </fill>
    </dxf>
    <dxf>
      <fill>
        <patternFill>
          <bgColor theme="0" tint="-4.9989318521683403E-2"/>
        </patternFill>
      </fill>
    </dxf>
    <dxf>
      <font>
        <color theme="0"/>
      </font>
      <fill>
        <patternFill>
          <bgColor rgb="FFCC0000"/>
        </patternFill>
      </fill>
    </dxf>
    <dxf>
      <font>
        <color theme="1"/>
      </font>
      <fill>
        <patternFill>
          <bgColor rgb="FFFFC000"/>
        </patternFill>
      </fill>
    </dxf>
    <dxf>
      <font>
        <color theme="0"/>
      </font>
      <fill>
        <patternFill>
          <bgColor rgb="FF00B050"/>
        </patternFill>
      </fill>
    </dxf>
    <dxf>
      <font>
        <color theme="1"/>
      </font>
      <fill>
        <patternFill>
          <bgColor theme="0" tint="-4.9989318521683403E-2"/>
        </patternFill>
      </fill>
    </dxf>
    <dxf>
      <fill>
        <patternFill>
          <bgColor theme="0" tint="-4.9989318521683403E-2"/>
        </patternFill>
      </fill>
    </dxf>
    <dxf>
      <font>
        <color theme="0"/>
      </font>
      <fill>
        <patternFill>
          <bgColor rgb="FFCC0000"/>
        </patternFill>
      </fill>
    </dxf>
    <dxf>
      <font>
        <color theme="1"/>
      </font>
      <fill>
        <patternFill>
          <bgColor theme="0" tint="-4.9989318521683403E-2"/>
        </patternFill>
      </fill>
    </dxf>
    <dxf>
      <fill>
        <patternFill>
          <bgColor theme="0" tint="-4.9989318521683403E-2"/>
        </patternFill>
      </fill>
    </dxf>
    <dxf>
      <font>
        <color theme="0"/>
      </font>
      <fill>
        <patternFill>
          <bgColor rgb="FF00B050"/>
        </patternFill>
      </fill>
    </dxf>
    <dxf>
      <font>
        <color theme="1"/>
      </font>
      <fill>
        <patternFill>
          <bgColor rgb="FFFFC000"/>
        </patternFill>
      </fill>
    </dxf>
    <dxf>
      <font>
        <color theme="0"/>
      </font>
      <fill>
        <patternFill>
          <bgColor rgb="FFCC0000"/>
        </patternFill>
      </fill>
    </dxf>
    <dxf>
      <font>
        <color theme="1"/>
      </font>
      <fill>
        <patternFill>
          <bgColor rgb="FFFFC000"/>
        </patternFill>
      </fill>
    </dxf>
    <dxf>
      <font>
        <color theme="0"/>
      </font>
      <fill>
        <patternFill>
          <bgColor rgb="FF00B050"/>
        </patternFill>
      </fill>
    </dxf>
    <dxf>
      <font>
        <color theme="1"/>
      </font>
      <fill>
        <patternFill>
          <bgColor theme="0" tint="-4.9989318521683403E-2"/>
        </patternFill>
      </fill>
    </dxf>
    <dxf>
      <fill>
        <patternFill>
          <bgColor theme="0" tint="-4.9989318521683403E-2"/>
        </patternFill>
      </fill>
    </dxf>
    <dxf>
      <fill>
        <patternFill>
          <bgColor theme="0" tint="-4.9989318521683403E-2"/>
        </patternFill>
      </fill>
    </dxf>
    <dxf>
      <font>
        <color theme="1"/>
      </font>
      <fill>
        <patternFill>
          <bgColor rgb="FFFFC000"/>
        </patternFill>
      </fill>
    </dxf>
    <dxf>
      <font>
        <color theme="1"/>
      </font>
      <fill>
        <patternFill>
          <bgColor theme="0" tint="-4.9989318521683403E-2"/>
        </patternFill>
      </fill>
    </dxf>
    <dxf>
      <font>
        <color theme="0"/>
      </font>
      <fill>
        <patternFill>
          <bgColor rgb="FFCC0000"/>
        </patternFill>
      </fill>
    </dxf>
    <dxf>
      <font>
        <color theme="0"/>
      </font>
      <fill>
        <patternFill>
          <bgColor rgb="FF00B050"/>
        </patternFill>
      </fill>
    </dxf>
    <dxf>
      <fill>
        <patternFill>
          <bgColor theme="0" tint="-4.9989318521683403E-2"/>
        </patternFill>
      </fill>
    </dxf>
    <dxf>
      <font>
        <color theme="1"/>
      </font>
      <fill>
        <patternFill>
          <bgColor theme="0" tint="-4.9989318521683403E-2"/>
        </patternFill>
      </fill>
    </dxf>
    <dxf>
      <font>
        <color theme="0"/>
      </font>
      <fill>
        <patternFill>
          <bgColor rgb="FF00B050"/>
        </patternFill>
      </fill>
    </dxf>
    <dxf>
      <font>
        <color theme="1"/>
      </font>
      <fill>
        <patternFill>
          <bgColor rgb="FFFFC000"/>
        </patternFill>
      </fill>
    </dxf>
    <dxf>
      <font>
        <color theme="0"/>
      </font>
      <fill>
        <patternFill>
          <bgColor rgb="FFCC0000"/>
        </patternFill>
      </fill>
    </dxf>
    <dxf>
      <font>
        <color theme="1"/>
      </font>
      <fill>
        <patternFill>
          <bgColor theme="0" tint="-4.9989318521683403E-2"/>
        </patternFill>
      </fill>
    </dxf>
    <dxf>
      <fill>
        <patternFill>
          <bgColor theme="0" tint="-4.9989318521683403E-2"/>
        </patternFill>
      </fill>
    </dxf>
    <dxf>
      <font>
        <color theme="0"/>
      </font>
      <fill>
        <patternFill>
          <bgColor rgb="FFCC0000"/>
        </patternFill>
      </fill>
    </dxf>
    <dxf>
      <font>
        <color theme="1"/>
      </font>
      <fill>
        <patternFill>
          <bgColor rgb="FFFFC000"/>
        </patternFill>
      </fill>
    </dxf>
    <dxf>
      <font>
        <color theme="0"/>
      </font>
      <fill>
        <patternFill>
          <bgColor rgb="FF00B050"/>
        </patternFill>
      </fill>
    </dxf>
    <dxf>
      <font>
        <color theme="1"/>
      </font>
      <fill>
        <patternFill>
          <bgColor theme="0" tint="-4.9989318521683403E-2"/>
        </patternFill>
      </fill>
    </dxf>
    <dxf>
      <font>
        <color theme="0"/>
      </font>
      <fill>
        <patternFill>
          <bgColor rgb="FF00B050"/>
        </patternFill>
      </fill>
    </dxf>
    <dxf>
      <font>
        <color theme="0"/>
      </font>
      <fill>
        <patternFill>
          <bgColor rgb="FFCC0000"/>
        </patternFill>
      </fill>
    </dxf>
    <dxf>
      <font>
        <color theme="1"/>
      </font>
      <fill>
        <patternFill>
          <bgColor rgb="FFFFC000"/>
        </patternFill>
      </fill>
    </dxf>
    <dxf>
      <fill>
        <patternFill>
          <bgColor theme="0" tint="-4.9989318521683403E-2"/>
        </patternFill>
      </fill>
    </dxf>
    <dxf>
      <font>
        <color theme="1"/>
      </font>
      <fill>
        <patternFill>
          <bgColor theme="0" tint="-4.9989318521683403E-2"/>
        </patternFill>
      </fill>
    </dxf>
    <dxf>
      <font>
        <color theme="0"/>
      </font>
      <fill>
        <patternFill>
          <bgColor rgb="FF00B050"/>
        </patternFill>
      </fill>
    </dxf>
    <dxf>
      <font>
        <color theme="1"/>
      </font>
      <fill>
        <patternFill>
          <bgColor rgb="FFFFC000"/>
        </patternFill>
      </fill>
    </dxf>
    <dxf>
      <font>
        <color theme="0"/>
      </font>
      <fill>
        <patternFill>
          <bgColor rgb="FFCC0000"/>
        </patternFill>
      </fill>
    </dxf>
    <dxf>
      <font>
        <color theme="0"/>
      </font>
      <fill>
        <patternFill>
          <bgColor rgb="FFCC0000"/>
        </patternFill>
      </fill>
    </dxf>
    <dxf>
      <font>
        <color theme="1"/>
      </font>
      <fill>
        <patternFill>
          <bgColor rgb="FFFFC000"/>
        </patternFill>
      </fill>
    </dxf>
    <dxf>
      <font>
        <color theme="0"/>
      </font>
      <fill>
        <patternFill>
          <bgColor rgb="FF00B050"/>
        </patternFill>
      </fill>
    </dxf>
    <dxf>
      <font>
        <color theme="1"/>
      </font>
      <fill>
        <patternFill>
          <bgColor theme="0" tint="-4.9989318521683403E-2"/>
        </patternFill>
      </fill>
    </dxf>
    <dxf>
      <fill>
        <patternFill>
          <bgColor theme="0" tint="-4.9989318521683403E-2"/>
        </patternFill>
      </fill>
    </dxf>
    <dxf>
      <font>
        <color theme="0"/>
      </font>
      <fill>
        <patternFill>
          <bgColor rgb="FFCC0000"/>
        </patternFill>
      </fill>
    </dxf>
    <dxf>
      <font>
        <color theme="1"/>
      </font>
      <fill>
        <patternFill>
          <bgColor rgb="FFFFC000"/>
        </patternFill>
      </fill>
    </dxf>
    <dxf>
      <font>
        <color theme="0"/>
      </font>
      <fill>
        <patternFill>
          <bgColor rgb="FF00B050"/>
        </patternFill>
      </fill>
    </dxf>
    <dxf>
      <font>
        <color theme="1"/>
      </font>
      <fill>
        <patternFill>
          <bgColor theme="0" tint="-4.9989318521683403E-2"/>
        </patternFill>
      </fill>
    </dxf>
    <dxf>
      <font>
        <color theme="1"/>
      </font>
      <fill>
        <patternFill>
          <bgColor theme="0" tint="-4.9989318521683403E-2"/>
        </patternFill>
      </fill>
    </dxf>
    <dxf>
      <font>
        <color theme="0"/>
      </font>
      <fill>
        <patternFill>
          <bgColor rgb="FF00B050"/>
        </patternFill>
      </fill>
    </dxf>
    <dxf>
      <font>
        <color theme="1"/>
      </font>
      <fill>
        <patternFill>
          <bgColor rgb="FFFFC000"/>
        </patternFill>
      </fill>
    </dxf>
    <dxf>
      <font>
        <color theme="0"/>
      </font>
      <fill>
        <patternFill>
          <bgColor rgb="FFCC0000"/>
        </patternFill>
      </fill>
    </dxf>
    <dxf>
      <font>
        <color theme="1"/>
      </font>
      <fill>
        <patternFill>
          <bgColor theme="0" tint="-4.9989318521683403E-2"/>
        </patternFill>
      </fill>
    </dxf>
    <dxf>
      <font>
        <color theme="0"/>
      </font>
      <fill>
        <patternFill>
          <bgColor rgb="FF00B050"/>
        </patternFill>
      </fill>
    </dxf>
    <dxf>
      <font>
        <color theme="1"/>
      </font>
      <fill>
        <patternFill>
          <bgColor rgb="FFFFC000"/>
        </patternFill>
      </fill>
    </dxf>
    <dxf>
      <font>
        <color theme="0"/>
      </font>
      <fill>
        <patternFill>
          <bgColor rgb="FFCC0000"/>
        </patternFill>
      </fill>
    </dxf>
    <dxf>
      <font>
        <color theme="1"/>
      </font>
      <fill>
        <patternFill>
          <bgColor rgb="FFFFC000"/>
        </patternFill>
      </fill>
    </dxf>
    <dxf>
      <font>
        <color theme="0"/>
      </font>
      <fill>
        <patternFill>
          <bgColor rgb="FFCC0000"/>
        </patternFill>
      </fill>
    </dxf>
    <dxf>
      <font>
        <color theme="0"/>
      </font>
      <fill>
        <patternFill>
          <bgColor rgb="FF00B050"/>
        </patternFill>
      </fill>
    </dxf>
    <dxf>
      <font>
        <color theme="1"/>
      </font>
      <fill>
        <patternFill>
          <bgColor theme="0" tint="-4.9989318521683403E-2"/>
        </patternFill>
      </fill>
    </dxf>
    <dxf>
      <font>
        <color theme="1"/>
      </font>
      <fill>
        <patternFill>
          <bgColor rgb="FFFFC000"/>
        </patternFill>
      </fill>
    </dxf>
    <dxf>
      <font>
        <color theme="1"/>
      </font>
      <fill>
        <patternFill>
          <bgColor theme="0" tint="-4.9989318521683403E-2"/>
        </patternFill>
      </fill>
    </dxf>
    <dxf>
      <font>
        <color theme="0"/>
      </font>
      <fill>
        <patternFill>
          <bgColor rgb="FFCC0000"/>
        </patternFill>
      </fill>
    </dxf>
    <dxf>
      <font>
        <color theme="0"/>
      </font>
      <fill>
        <patternFill>
          <bgColor rgb="FF00B050"/>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ont>
        <color theme="1"/>
      </font>
      <fill>
        <patternFill>
          <bgColor rgb="FFFFC000"/>
        </patternFill>
      </fill>
    </dxf>
    <dxf>
      <font>
        <color theme="1"/>
      </font>
      <fill>
        <patternFill>
          <bgColor theme="0" tint="-4.9989318521683403E-2"/>
        </patternFill>
      </fill>
    </dxf>
    <dxf>
      <font>
        <color theme="0"/>
      </font>
      <fill>
        <patternFill>
          <bgColor rgb="FF00B050"/>
        </patternFill>
      </fill>
    </dxf>
    <dxf>
      <font>
        <color theme="0"/>
      </font>
      <fill>
        <patternFill>
          <bgColor rgb="FFCC0000"/>
        </patternFill>
      </fill>
    </dxf>
    <dxf>
      <fill>
        <patternFill>
          <bgColor theme="0" tint="-4.9989318521683403E-2"/>
        </patternFill>
      </fill>
    </dxf>
    <dxf>
      <font>
        <color theme="1"/>
      </font>
      <fill>
        <patternFill>
          <bgColor theme="0" tint="-4.9989318521683403E-2"/>
        </patternFill>
      </fill>
    </dxf>
    <dxf>
      <fill>
        <patternFill>
          <bgColor theme="0" tint="-4.9989318521683403E-2"/>
        </patternFill>
      </fill>
    </dxf>
    <dxf>
      <font>
        <color theme="0"/>
      </font>
      <fill>
        <patternFill>
          <bgColor rgb="FFCC0000"/>
        </patternFill>
      </fill>
    </dxf>
    <dxf>
      <font>
        <color theme="1"/>
      </font>
      <fill>
        <patternFill>
          <bgColor rgb="FFFFC000"/>
        </patternFill>
      </fill>
    </dxf>
    <dxf>
      <font>
        <color theme="0"/>
      </font>
      <fill>
        <patternFill>
          <bgColor rgb="FF00B050"/>
        </patternFill>
      </fill>
    </dxf>
    <dxf>
      <font>
        <color theme="0"/>
      </font>
      <fill>
        <patternFill>
          <bgColor rgb="FFCC0000"/>
        </patternFill>
      </fill>
    </dxf>
    <dxf>
      <fill>
        <patternFill>
          <bgColor theme="0" tint="-4.9989318521683403E-2"/>
        </patternFill>
      </fill>
    </dxf>
    <dxf>
      <font>
        <color theme="1"/>
      </font>
      <fill>
        <patternFill>
          <bgColor theme="0" tint="-4.9989318521683403E-2"/>
        </patternFill>
      </fill>
    </dxf>
    <dxf>
      <font>
        <color theme="0"/>
      </font>
      <fill>
        <patternFill>
          <bgColor rgb="FF00B050"/>
        </patternFill>
      </fill>
    </dxf>
    <dxf>
      <font>
        <color theme="1"/>
      </font>
      <fill>
        <patternFill>
          <bgColor rgb="FFFFC000"/>
        </patternFill>
      </fill>
    </dxf>
    <dxf>
      <font>
        <color theme="1"/>
      </font>
      <fill>
        <patternFill>
          <bgColor theme="0" tint="-4.9989318521683403E-2"/>
        </patternFill>
      </fill>
    </dxf>
    <dxf>
      <font>
        <color theme="0"/>
      </font>
      <fill>
        <patternFill>
          <bgColor rgb="FF00B050"/>
        </patternFill>
      </fill>
    </dxf>
    <dxf>
      <font>
        <color theme="1"/>
      </font>
      <fill>
        <patternFill>
          <bgColor rgb="FFFFC000"/>
        </patternFill>
      </fill>
    </dxf>
    <dxf>
      <font>
        <color theme="0"/>
      </font>
      <fill>
        <patternFill>
          <bgColor rgb="FFCC0000"/>
        </patternFill>
      </fill>
    </dxf>
    <dxf>
      <font>
        <color theme="1"/>
      </font>
      <fill>
        <patternFill>
          <bgColor theme="0" tint="-4.9989318521683403E-2"/>
        </patternFill>
      </fill>
    </dxf>
    <dxf>
      <font>
        <color theme="0"/>
      </font>
      <fill>
        <patternFill>
          <bgColor rgb="FF00B050"/>
        </patternFill>
      </fill>
    </dxf>
    <dxf>
      <font>
        <color theme="1"/>
      </font>
      <fill>
        <patternFill>
          <bgColor rgb="FFFFC000"/>
        </patternFill>
      </fill>
    </dxf>
    <dxf>
      <font>
        <color theme="0"/>
      </font>
      <fill>
        <patternFill>
          <bgColor rgb="FFCC0000"/>
        </patternFill>
      </fill>
    </dxf>
    <dxf>
      <font>
        <color theme="0"/>
      </font>
      <fill>
        <patternFill>
          <bgColor rgb="FFCC0000"/>
        </patternFill>
      </fill>
    </dxf>
    <dxf>
      <font>
        <color theme="1"/>
      </font>
      <fill>
        <patternFill>
          <bgColor theme="0" tint="-4.9989318521683403E-2"/>
        </patternFill>
      </fill>
    </dxf>
    <dxf>
      <font>
        <color theme="0"/>
      </font>
      <fill>
        <patternFill>
          <bgColor rgb="FF00B050"/>
        </patternFill>
      </fill>
    </dxf>
    <dxf>
      <font>
        <color theme="1"/>
      </font>
      <fill>
        <patternFill>
          <bgColor rgb="FFFFC000"/>
        </patternFill>
      </fill>
    </dxf>
    <dxf>
      <font>
        <color theme="1"/>
      </font>
      <fill>
        <patternFill>
          <bgColor theme="0" tint="-4.9989318521683403E-2"/>
        </patternFill>
      </fill>
    </dxf>
    <dxf>
      <font>
        <color theme="0"/>
      </font>
      <fill>
        <patternFill>
          <bgColor rgb="FF00B050"/>
        </patternFill>
      </fill>
    </dxf>
    <dxf>
      <font>
        <color theme="1"/>
      </font>
      <fill>
        <patternFill>
          <bgColor rgb="FFFFC000"/>
        </patternFill>
      </fill>
    </dxf>
    <dxf>
      <font>
        <color theme="0"/>
      </font>
      <fill>
        <patternFill>
          <bgColor rgb="FFCC0000"/>
        </patternFill>
      </fill>
    </dxf>
    <dxf>
      <font>
        <color theme="0"/>
      </font>
      <fill>
        <patternFill>
          <bgColor rgb="FF00B050"/>
        </patternFill>
      </fill>
    </dxf>
    <dxf>
      <font>
        <color theme="1"/>
      </font>
      <fill>
        <patternFill>
          <bgColor theme="0" tint="-4.9989318521683403E-2"/>
        </patternFill>
      </fill>
    </dxf>
    <dxf>
      <font>
        <color theme="1"/>
      </font>
      <fill>
        <patternFill>
          <bgColor rgb="FFFFC000"/>
        </patternFill>
      </fill>
    </dxf>
    <dxf>
      <font>
        <color theme="0"/>
      </font>
      <fill>
        <patternFill>
          <bgColor rgb="FFCC0000"/>
        </patternFill>
      </fill>
    </dxf>
    <dxf>
      <font>
        <color theme="0"/>
      </font>
      <fill>
        <patternFill>
          <bgColor rgb="FFCC0000"/>
        </patternFill>
      </fill>
    </dxf>
    <dxf>
      <font>
        <color theme="1"/>
      </font>
      <fill>
        <patternFill>
          <bgColor rgb="FFFFC000"/>
        </patternFill>
      </fill>
    </dxf>
    <dxf>
      <font>
        <color theme="1"/>
      </font>
      <fill>
        <patternFill>
          <bgColor theme="0" tint="-4.9989318521683403E-2"/>
        </patternFill>
      </fill>
    </dxf>
    <dxf>
      <font>
        <color theme="0"/>
      </font>
      <fill>
        <patternFill>
          <bgColor rgb="FF00B050"/>
        </patternFill>
      </fill>
    </dxf>
    <dxf>
      <font>
        <color theme="0"/>
      </font>
      <fill>
        <patternFill>
          <bgColor rgb="FFCC0000"/>
        </patternFill>
      </fill>
    </dxf>
    <dxf>
      <font>
        <color theme="1"/>
      </font>
      <fill>
        <patternFill>
          <bgColor rgb="FFFFC000"/>
        </patternFill>
      </fill>
    </dxf>
    <dxf>
      <font>
        <color theme="1"/>
      </font>
      <fill>
        <patternFill>
          <bgColor theme="0" tint="-4.9989318521683403E-2"/>
        </patternFill>
      </fill>
    </dxf>
    <dxf>
      <font>
        <color theme="0"/>
      </font>
      <fill>
        <patternFill>
          <bgColor rgb="FF00B050"/>
        </patternFill>
      </fill>
    </dxf>
    <dxf>
      <font>
        <color theme="1"/>
      </font>
      <fill>
        <patternFill>
          <bgColor theme="0" tint="-4.9989318521683403E-2"/>
        </patternFill>
      </fill>
    </dxf>
    <dxf>
      <font>
        <color theme="0"/>
      </font>
      <fill>
        <patternFill>
          <bgColor rgb="FF00B050"/>
        </patternFill>
      </fill>
    </dxf>
    <dxf>
      <font>
        <color theme="1"/>
      </font>
      <fill>
        <patternFill>
          <bgColor rgb="FFFFC000"/>
        </patternFill>
      </fill>
    </dxf>
    <dxf>
      <font>
        <color theme="0"/>
      </font>
      <fill>
        <patternFill>
          <bgColor rgb="FFCC0000"/>
        </patternFill>
      </fill>
    </dxf>
    <dxf>
      <font>
        <color theme="0"/>
      </font>
      <fill>
        <patternFill>
          <bgColor rgb="FF00B050"/>
        </patternFill>
      </fill>
    </dxf>
    <dxf>
      <font>
        <color theme="1"/>
      </font>
      <fill>
        <patternFill>
          <bgColor rgb="FFFFC000"/>
        </patternFill>
      </fill>
    </dxf>
    <dxf>
      <font>
        <color theme="0"/>
      </font>
      <fill>
        <patternFill>
          <bgColor rgb="FFCC0000"/>
        </patternFill>
      </fill>
    </dxf>
    <dxf>
      <font>
        <color theme="1"/>
      </font>
      <fill>
        <patternFill>
          <bgColor theme="0" tint="-4.9989318521683403E-2"/>
        </patternFill>
      </fill>
    </dxf>
    <dxf>
      <font>
        <color theme="1"/>
      </font>
      <fill>
        <patternFill>
          <bgColor theme="0" tint="-4.9989318521683403E-2"/>
        </patternFill>
      </fill>
    </dxf>
    <dxf>
      <font>
        <color theme="0"/>
      </font>
      <fill>
        <patternFill>
          <bgColor rgb="FFCC0000"/>
        </patternFill>
      </fill>
    </dxf>
    <dxf>
      <font>
        <color theme="0"/>
      </font>
      <fill>
        <patternFill>
          <bgColor rgb="FF00B050"/>
        </patternFill>
      </fill>
    </dxf>
    <dxf>
      <font>
        <color theme="1"/>
      </font>
      <fill>
        <patternFill>
          <bgColor rgb="FFFFC000"/>
        </patternFill>
      </fill>
    </dxf>
    <dxf>
      <font>
        <color theme="1"/>
      </font>
      <fill>
        <patternFill>
          <bgColor theme="0" tint="-4.9989318521683403E-2"/>
        </patternFill>
      </fill>
    </dxf>
    <dxf>
      <font>
        <color theme="0"/>
      </font>
      <fill>
        <patternFill>
          <bgColor rgb="FF00B050"/>
        </patternFill>
      </fill>
    </dxf>
    <dxf>
      <font>
        <color theme="1"/>
      </font>
      <fill>
        <patternFill>
          <bgColor rgb="FFFFC000"/>
        </patternFill>
      </fill>
    </dxf>
    <dxf>
      <font>
        <color theme="0"/>
      </font>
      <fill>
        <patternFill>
          <bgColor rgb="FFCC0000"/>
        </patternFill>
      </fill>
    </dxf>
    <dxf>
      <font>
        <color theme="0"/>
      </font>
      <fill>
        <patternFill>
          <bgColor rgb="FFCC0000"/>
        </patternFill>
      </fill>
    </dxf>
    <dxf>
      <font>
        <color theme="1"/>
      </font>
      <fill>
        <patternFill>
          <bgColor rgb="FFFFC000"/>
        </patternFill>
      </fill>
    </dxf>
    <dxf>
      <font>
        <color theme="0"/>
      </font>
      <fill>
        <patternFill>
          <bgColor rgb="FF00B050"/>
        </patternFill>
      </fill>
    </dxf>
    <dxf>
      <font>
        <color theme="1"/>
      </font>
      <fill>
        <patternFill>
          <bgColor theme="0" tint="-4.9989318521683403E-2"/>
        </patternFill>
      </fill>
    </dxf>
    <dxf>
      <font>
        <color rgb="FFFF0000"/>
      </font>
    </dxf>
    <dxf>
      <font>
        <color rgb="FF00B050"/>
      </font>
    </dxf>
    <dxf>
      <font>
        <color rgb="FF00B050"/>
      </font>
    </dxf>
    <dxf>
      <font>
        <color rgb="FFFF0000"/>
      </font>
    </dxf>
    <dxf>
      <font>
        <color rgb="FFFF0000"/>
      </font>
    </dxf>
    <dxf>
      <font>
        <color rgb="FF00B050"/>
      </font>
    </dxf>
    <dxf>
      <font>
        <color rgb="FF00B050"/>
      </font>
    </dxf>
    <dxf>
      <font>
        <color rgb="FFFF0000"/>
      </font>
    </dxf>
    <dxf>
      <font>
        <color rgb="FF00B050"/>
      </font>
    </dxf>
    <dxf>
      <font>
        <color rgb="FFFF000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00B050"/>
      </font>
    </dxf>
    <dxf>
      <font>
        <color rgb="FFFF0000"/>
      </font>
    </dxf>
    <dxf>
      <font>
        <color rgb="FFFF0000"/>
      </font>
    </dxf>
    <dxf>
      <font>
        <color rgb="FF00B050"/>
      </font>
    </dxf>
    <dxf>
      <font>
        <color rgb="FF00B050"/>
      </font>
    </dxf>
    <dxf>
      <font>
        <color rgb="FFFF0000"/>
      </font>
    </dxf>
    <dxf>
      <font>
        <color rgb="FF00B050"/>
      </font>
    </dxf>
    <dxf>
      <font>
        <color rgb="FFFF0000"/>
      </font>
    </dxf>
    <dxf>
      <font>
        <color rgb="FFFF0000"/>
      </font>
    </dxf>
    <dxf>
      <font>
        <color rgb="FF00B050"/>
      </font>
    </dxf>
    <dxf>
      <font>
        <color rgb="FF00B050"/>
      </font>
    </dxf>
    <dxf>
      <font>
        <color rgb="FFFF0000"/>
      </font>
    </dxf>
    <dxf>
      <font>
        <color rgb="FFFF0000"/>
      </font>
    </dxf>
    <dxf>
      <font>
        <color rgb="FF00B050"/>
      </font>
    </dxf>
    <dxf>
      <font>
        <color rgb="FFFF0000"/>
      </font>
    </dxf>
    <dxf>
      <font>
        <color rgb="FF00B050"/>
      </font>
    </dxf>
    <dxf>
      <font>
        <color rgb="FFFFFF00"/>
      </font>
      <fill>
        <patternFill>
          <bgColor rgb="FFFF0000"/>
        </patternFill>
      </fill>
    </dxf>
    <dxf>
      <font>
        <color rgb="FFFFFF00"/>
      </font>
      <fill>
        <patternFill>
          <bgColor rgb="FFFF0000"/>
        </patternFill>
      </fill>
    </dxf>
    <dxf>
      <font>
        <color rgb="FFFFFF00"/>
      </font>
      <fill>
        <patternFill>
          <bgColor rgb="FFFF0000"/>
        </patternFill>
      </fill>
    </dxf>
    <dxf>
      <font>
        <color rgb="FFFFFF00"/>
      </font>
      <fill>
        <patternFill>
          <bgColor rgb="FFFF0000"/>
        </patternFill>
      </fill>
    </dxf>
    <dxf>
      <font>
        <color rgb="FFFFFF00"/>
      </font>
      <fill>
        <patternFill>
          <bgColor rgb="FFFF0000"/>
        </patternFill>
      </fill>
    </dxf>
    <dxf>
      <font>
        <color rgb="FFFFFF00"/>
      </font>
      <fill>
        <patternFill>
          <bgColor rgb="FFFF0000"/>
        </patternFill>
      </fill>
    </dxf>
    <dxf>
      <font>
        <color rgb="FFFFFF00"/>
      </font>
      <fill>
        <patternFill>
          <bgColor rgb="FFFF0000"/>
        </patternFill>
      </fill>
    </dxf>
    <dxf>
      <font>
        <color rgb="FFFFFF00"/>
      </font>
      <fill>
        <patternFill>
          <bgColor rgb="FFFF0000"/>
        </patternFill>
      </fill>
    </dxf>
    <dxf>
      <font>
        <color rgb="FFFFFF00"/>
      </font>
      <fill>
        <patternFill>
          <bgColor rgb="FFFF0000"/>
        </patternFill>
      </fill>
    </dxf>
    <dxf>
      <font>
        <color rgb="FFFFFF00"/>
      </font>
      <fill>
        <patternFill>
          <bgColor rgb="FFFF0000"/>
        </patternFill>
      </fill>
    </dxf>
    <dxf>
      <font>
        <color rgb="FFFFFF00"/>
      </font>
      <fill>
        <patternFill>
          <bgColor rgb="FFFF0000"/>
        </patternFill>
      </fill>
    </dxf>
    <dxf>
      <font>
        <color rgb="FFFFFF00"/>
      </font>
      <fill>
        <patternFill>
          <bgColor rgb="FFFF0000"/>
        </patternFill>
      </fill>
    </dxf>
    <dxf>
      <font>
        <color rgb="FFFFFF00"/>
      </font>
      <fill>
        <patternFill>
          <bgColor rgb="FFFF0000"/>
        </patternFill>
      </fill>
    </dxf>
    <dxf>
      <font>
        <color rgb="FFFFFF00"/>
      </font>
      <fill>
        <patternFill>
          <bgColor rgb="FFFF0000"/>
        </patternFill>
      </fill>
    </dxf>
    <dxf>
      <font>
        <color rgb="FFFFFF00"/>
      </font>
      <fill>
        <patternFill>
          <bgColor rgb="FFFF0000"/>
        </patternFill>
      </fill>
    </dxf>
    <dxf>
      <font>
        <color rgb="FFFFFF00"/>
      </font>
      <fill>
        <patternFill>
          <bgColor rgb="FFFF0000"/>
        </patternFill>
      </fill>
    </dxf>
    <dxf>
      <font>
        <color rgb="FFFFFF00"/>
      </font>
      <fill>
        <patternFill>
          <bgColor rgb="FFFF0000"/>
        </patternFill>
      </fill>
    </dxf>
    <dxf>
      <fill>
        <patternFill>
          <bgColor theme="0" tint="-4.9989318521683403E-2"/>
        </patternFill>
      </fill>
    </dxf>
    <dxf>
      <font>
        <color theme="1"/>
      </font>
      <fill>
        <patternFill>
          <bgColor theme="0" tint="-4.9989318521683403E-2"/>
        </patternFill>
      </fill>
    </dxf>
    <dxf>
      <font>
        <color theme="0"/>
      </font>
      <fill>
        <patternFill>
          <bgColor rgb="FF00B050"/>
        </patternFill>
      </fill>
    </dxf>
    <dxf>
      <font>
        <color theme="1"/>
      </font>
      <fill>
        <patternFill>
          <bgColor rgb="FFFFC000"/>
        </patternFill>
      </fill>
    </dxf>
    <dxf>
      <font>
        <color theme="0"/>
      </font>
      <fill>
        <patternFill>
          <bgColor rgb="FFCC0000"/>
        </patternFill>
      </fill>
    </dxf>
    <dxf>
      <fill>
        <patternFill>
          <bgColor theme="0" tint="-4.9989318521683403E-2"/>
        </patternFill>
      </fill>
    </dxf>
    <dxf>
      <font>
        <color theme="1"/>
      </font>
      <fill>
        <patternFill>
          <bgColor theme="0" tint="-4.9989318521683403E-2"/>
        </patternFill>
      </fill>
    </dxf>
    <dxf>
      <font>
        <color theme="1"/>
      </font>
      <fill>
        <patternFill>
          <bgColor rgb="FFFFC000"/>
        </patternFill>
      </fill>
    </dxf>
    <dxf>
      <font>
        <color theme="0"/>
      </font>
      <fill>
        <patternFill>
          <bgColor rgb="FFCC0000"/>
        </patternFill>
      </fill>
    </dxf>
    <dxf>
      <font>
        <color theme="0"/>
      </font>
      <fill>
        <patternFill>
          <bgColor rgb="FF00B050"/>
        </patternFill>
      </fill>
    </dxf>
    <dxf>
      <fill>
        <patternFill>
          <bgColor theme="0" tint="-4.9989318521683403E-2"/>
        </patternFill>
      </fill>
    </dxf>
    <dxf>
      <font>
        <color theme="1"/>
      </font>
      <fill>
        <patternFill>
          <bgColor theme="0" tint="-4.9989318521683403E-2"/>
        </patternFill>
      </fill>
    </dxf>
    <dxf>
      <font>
        <color theme="0"/>
      </font>
      <fill>
        <patternFill>
          <bgColor rgb="FF00B050"/>
        </patternFill>
      </fill>
    </dxf>
    <dxf>
      <font>
        <color theme="0"/>
      </font>
      <fill>
        <patternFill>
          <bgColor rgb="FFCC0000"/>
        </patternFill>
      </fill>
    </dxf>
    <dxf>
      <font>
        <color theme="1"/>
      </font>
      <fill>
        <patternFill>
          <bgColor rgb="FFFFC000"/>
        </patternFill>
      </fill>
    </dxf>
    <dxf>
      <font>
        <color theme="1"/>
      </font>
      <fill>
        <patternFill>
          <bgColor theme="0" tint="-4.9989318521683403E-2"/>
        </patternFill>
      </fill>
    </dxf>
    <dxf>
      <font>
        <color theme="0"/>
      </font>
      <fill>
        <patternFill>
          <bgColor rgb="FFCC0000"/>
        </patternFill>
      </fill>
    </dxf>
    <dxf>
      <font>
        <color theme="1"/>
      </font>
      <fill>
        <patternFill>
          <bgColor rgb="FFFFC000"/>
        </patternFill>
      </fill>
    </dxf>
    <dxf>
      <font>
        <color theme="0"/>
      </font>
      <fill>
        <patternFill>
          <bgColor rgb="FF00B050"/>
        </patternFill>
      </fill>
    </dxf>
    <dxf>
      <fill>
        <patternFill>
          <bgColor theme="0" tint="-4.9989318521683403E-2"/>
        </patternFill>
      </fill>
    </dxf>
    <dxf>
      <fill>
        <patternFill>
          <bgColor theme="0" tint="-4.9989318521683403E-2"/>
        </patternFill>
      </fill>
    </dxf>
    <dxf>
      <font>
        <color theme="1"/>
      </font>
      <fill>
        <patternFill>
          <bgColor theme="0" tint="-4.9989318521683403E-2"/>
        </patternFill>
      </fill>
    </dxf>
    <dxf>
      <font>
        <color theme="0"/>
      </font>
      <fill>
        <patternFill>
          <bgColor rgb="FF00B050"/>
        </patternFill>
      </fill>
    </dxf>
    <dxf>
      <font>
        <color theme="1"/>
      </font>
      <fill>
        <patternFill>
          <bgColor rgb="FFFFC000"/>
        </patternFill>
      </fill>
    </dxf>
    <dxf>
      <font>
        <color theme="0"/>
      </font>
      <fill>
        <patternFill>
          <bgColor rgb="FFCC0000"/>
        </patternFill>
      </fill>
    </dxf>
    <dxf>
      <font>
        <color theme="1"/>
      </font>
      <fill>
        <patternFill>
          <bgColor theme="0" tint="-4.9989318521683403E-2"/>
        </patternFill>
      </fill>
    </dxf>
    <dxf>
      <font>
        <color theme="0"/>
      </font>
      <fill>
        <patternFill>
          <bgColor rgb="FF00B050"/>
        </patternFill>
      </fill>
    </dxf>
    <dxf>
      <font>
        <color theme="1"/>
      </font>
      <fill>
        <patternFill>
          <bgColor rgb="FFFFC000"/>
        </patternFill>
      </fill>
    </dxf>
    <dxf>
      <fill>
        <patternFill>
          <bgColor theme="0" tint="-4.9989318521683403E-2"/>
        </patternFill>
      </fill>
    </dxf>
    <dxf>
      <font>
        <color theme="0"/>
      </font>
      <fill>
        <patternFill>
          <bgColor rgb="FFCC0000"/>
        </patternFill>
      </fill>
    </dxf>
    <dxf>
      <fill>
        <patternFill>
          <bgColor theme="0" tint="-4.9989318521683403E-2"/>
        </patternFill>
      </fill>
    </dxf>
    <dxf>
      <font>
        <color theme="1"/>
      </font>
      <fill>
        <patternFill>
          <bgColor theme="0" tint="-4.9989318521683403E-2"/>
        </patternFill>
      </fill>
    </dxf>
    <dxf>
      <font>
        <color theme="0"/>
      </font>
      <fill>
        <patternFill>
          <bgColor rgb="FF00B050"/>
        </patternFill>
      </fill>
    </dxf>
    <dxf>
      <font>
        <color theme="1"/>
      </font>
      <fill>
        <patternFill>
          <bgColor rgb="FFFFC000"/>
        </patternFill>
      </fill>
    </dxf>
    <dxf>
      <font>
        <color theme="0"/>
      </font>
      <fill>
        <patternFill>
          <bgColor rgb="FFCC0000"/>
        </patternFill>
      </fill>
    </dxf>
    <dxf>
      <font>
        <color theme="1"/>
      </font>
      <fill>
        <patternFill>
          <bgColor rgb="FFFFC000"/>
        </patternFill>
      </fill>
    </dxf>
    <dxf>
      <font>
        <color theme="1"/>
      </font>
      <fill>
        <patternFill>
          <bgColor theme="0" tint="-4.9989318521683403E-2"/>
        </patternFill>
      </fill>
    </dxf>
    <dxf>
      <font>
        <color theme="0"/>
      </font>
      <fill>
        <patternFill>
          <bgColor rgb="FF00B050"/>
        </patternFill>
      </fill>
    </dxf>
    <dxf>
      <font>
        <color theme="0"/>
      </font>
      <fill>
        <patternFill>
          <bgColor rgb="FFCC0000"/>
        </patternFill>
      </fill>
    </dxf>
    <dxf>
      <fill>
        <patternFill>
          <bgColor theme="0" tint="-4.9989318521683403E-2"/>
        </patternFill>
      </fill>
    </dxf>
    <dxf>
      <font>
        <color theme="1"/>
      </font>
      <fill>
        <patternFill>
          <bgColor rgb="FFFFC000"/>
        </patternFill>
      </fill>
    </dxf>
    <dxf>
      <fill>
        <patternFill>
          <bgColor theme="0" tint="-4.9989318521683403E-2"/>
        </patternFill>
      </fill>
    </dxf>
    <dxf>
      <font>
        <color theme="0"/>
      </font>
      <fill>
        <patternFill>
          <bgColor rgb="FFCC0000"/>
        </patternFill>
      </fill>
    </dxf>
    <dxf>
      <font>
        <color theme="1"/>
      </font>
      <fill>
        <patternFill>
          <bgColor theme="0" tint="-4.9989318521683403E-2"/>
        </patternFill>
      </fill>
    </dxf>
    <dxf>
      <font>
        <color theme="0"/>
      </font>
      <fill>
        <patternFill>
          <bgColor rgb="FF00B050"/>
        </patternFill>
      </fill>
    </dxf>
    <dxf>
      <font>
        <color theme="1"/>
      </font>
      <fill>
        <patternFill>
          <bgColor rgb="FFFFC000"/>
        </patternFill>
      </fill>
    </dxf>
    <dxf>
      <font>
        <color theme="0"/>
      </font>
      <fill>
        <patternFill>
          <bgColor rgb="FFCC0000"/>
        </patternFill>
      </fill>
    </dxf>
    <dxf>
      <fill>
        <patternFill>
          <bgColor theme="0" tint="-4.9989318521683403E-2"/>
        </patternFill>
      </fill>
    </dxf>
    <dxf>
      <font>
        <color theme="0"/>
      </font>
      <fill>
        <patternFill>
          <bgColor rgb="FF00B050"/>
        </patternFill>
      </fill>
    </dxf>
    <dxf>
      <font>
        <color theme="1"/>
      </font>
      <fill>
        <patternFill>
          <bgColor theme="0" tint="-4.9989318521683403E-2"/>
        </patternFill>
      </fill>
    </dxf>
    <dxf>
      <font>
        <color theme="1"/>
      </font>
      <fill>
        <patternFill>
          <bgColor theme="0" tint="-4.9989318521683403E-2"/>
        </patternFill>
      </fill>
    </dxf>
    <dxf>
      <fill>
        <patternFill>
          <bgColor theme="0" tint="-4.9989318521683403E-2"/>
        </patternFill>
      </fill>
    </dxf>
    <dxf>
      <font>
        <color theme="0"/>
      </font>
      <fill>
        <patternFill>
          <bgColor rgb="FFCC0000"/>
        </patternFill>
      </fill>
    </dxf>
    <dxf>
      <font>
        <color theme="1"/>
      </font>
      <fill>
        <patternFill>
          <bgColor rgb="FFFFC000"/>
        </patternFill>
      </fill>
    </dxf>
    <dxf>
      <font>
        <color theme="0"/>
      </font>
      <fill>
        <patternFill>
          <bgColor rgb="FF00B050"/>
        </patternFill>
      </fill>
    </dxf>
    <dxf>
      <font>
        <color theme="0"/>
      </font>
      <fill>
        <patternFill>
          <bgColor rgb="FF00B050"/>
        </patternFill>
      </fill>
    </dxf>
    <dxf>
      <font>
        <color theme="1"/>
      </font>
      <fill>
        <patternFill>
          <bgColor theme="0" tint="-4.9989318521683403E-2"/>
        </patternFill>
      </fill>
    </dxf>
    <dxf>
      <fill>
        <patternFill>
          <bgColor theme="0" tint="-4.9989318521683403E-2"/>
        </patternFill>
      </fill>
    </dxf>
    <dxf>
      <font>
        <color theme="1"/>
      </font>
      <fill>
        <patternFill>
          <bgColor rgb="FFFFC000"/>
        </patternFill>
      </fill>
    </dxf>
    <dxf>
      <font>
        <color theme="0"/>
      </font>
      <fill>
        <patternFill>
          <bgColor rgb="FFCC0000"/>
        </patternFill>
      </fill>
    </dxf>
    <dxf>
      <font>
        <color theme="0"/>
      </font>
      <fill>
        <patternFill>
          <bgColor rgb="FFCC0000"/>
        </patternFill>
      </fill>
    </dxf>
    <dxf>
      <font>
        <color theme="1"/>
      </font>
      <fill>
        <patternFill>
          <bgColor theme="0" tint="-4.9989318521683403E-2"/>
        </patternFill>
      </fill>
    </dxf>
    <dxf>
      <fill>
        <patternFill>
          <bgColor theme="0" tint="-4.9989318521683403E-2"/>
        </patternFill>
      </fill>
    </dxf>
    <dxf>
      <font>
        <color theme="1"/>
      </font>
      <fill>
        <patternFill>
          <bgColor rgb="FFFFC000"/>
        </patternFill>
      </fill>
    </dxf>
    <dxf>
      <font>
        <color theme="0"/>
      </font>
      <fill>
        <patternFill>
          <bgColor rgb="FF00B050"/>
        </patternFill>
      </fill>
    </dxf>
    <dxf>
      <fill>
        <patternFill>
          <bgColor theme="0" tint="-4.9989318521683403E-2"/>
        </patternFill>
      </fill>
    </dxf>
    <dxf>
      <font>
        <color theme="0"/>
      </font>
      <fill>
        <patternFill>
          <bgColor rgb="FF00B050"/>
        </patternFill>
      </fill>
    </dxf>
    <dxf>
      <font>
        <color theme="1"/>
      </font>
      <fill>
        <patternFill>
          <bgColor rgb="FFFFC000"/>
        </patternFill>
      </fill>
    </dxf>
    <dxf>
      <font>
        <color theme="0"/>
      </font>
      <fill>
        <patternFill>
          <bgColor rgb="FFCC0000"/>
        </patternFill>
      </fill>
    </dxf>
    <dxf>
      <font>
        <color theme="1"/>
      </font>
      <fill>
        <patternFill>
          <bgColor theme="0" tint="-4.9989318521683403E-2"/>
        </patternFill>
      </fill>
    </dxf>
    <dxf>
      <font>
        <color theme="1"/>
      </font>
      <fill>
        <patternFill>
          <bgColor theme="0" tint="-4.9989318521683403E-2"/>
        </patternFill>
      </fill>
    </dxf>
    <dxf>
      <fill>
        <patternFill>
          <bgColor theme="0" tint="-4.9989318521683403E-2"/>
        </patternFill>
      </fill>
    </dxf>
    <dxf>
      <font>
        <color theme="0"/>
      </font>
      <fill>
        <patternFill>
          <bgColor rgb="FFCC0000"/>
        </patternFill>
      </fill>
    </dxf>
    <dxf>
      <font>
        <color theme="1"/>
      </font>
      <fill>
        <patternFill>
          <bgColor rgb="FFFFC000"/>
        </patternFill>
      </fill>
    </dxf>
    <dxf>
      <font>
        <color theme="0"/>
      </font>
      <fill>
        <patternFill>
          <bgColor rgb="FF00B050"/>
        </patternFill>
      </fill>
    </dxf>
    <dxf>
      <fill>
        <patternFill>
          <bgColor theme="0" tint="-4.9989318521683403E-2"/>
        </patternFill>
      </fill>
    </dxf>
    <dxf>
      <font>
        <color theme="0"/>
      </font>
      <fill>
        <patternFill>
          <bgColor rgb="FFCC0000"/>
        </patternFill>
      </fill>
    </dxf>
    <dxf>
      <font>
        <color theme="1"/>
      </font>
      <fill>
        <patternFill>
          <bgColor rgb="FFFFC000"/>
        </patternFill>
      </fill>
    </dxf>
    <dxf>
      <font>
        <color theme="0"/>
      </font>
      <fill>
        <patternFill>
          <bgColor rgb="FF00B050"/>
        </patternFill>
      </fill>
    </dxf>
    <dxf>
      <font>
        <color theme="1"/>
      </font>
      <fill>
        <patternFill>
          <bgColor theme="0" tint="-4.9989318521683403E-2"/>
        </patternFill>
      </fill>
    </dxf>
    <dxf>
      <fill>
        <patternFill>
          <bgColor theme="0" tint="-4.9989318521683403E-2"/>
        </patternFill>
      </fill>
    </dxf>
    <dxf>
      <font>
        <color theme="0"/>
      </font>
      <fill>
        <patternFill>
          <bgColor rgb="FF00B050"/>
        </patternFill>
      </fill>
    </dxf>
    <dxf>
      <font>
        <color theme="0"/>
      </font>
      <fill>
        <patternFill>
          <bgColor rgb="FFCC0000"/>
        </patternFill>
      </fill>
    </dxf>
    <dxf>
      <font>
        <color theme="1"/>
      </font>
      <fill>
        <patternFill>
          <bgColor rgb="FFFFC000"/>
        </patternFill>
      </fill>
    </dxf>
    <dxf>
      <font>
        <color theme="1"/>
      </font>
      <fill>
        <patternFill>
          <bgColor theme="0" tint="-4.9989318521683403E-2"/>
        </patternFill>
      </fill>
    </dxf>
    <dxf>
      <font>
        <color rgb="FFCC0000"/>
      </font>
      <fill>
        <patternFill>
          <bgColor theme="0" tint="-4.9989318521683403E-2"/>
        </patternFill>
      </fill>
    </dxf>
    <dxf>
      <font>
        <color rgb="FF00B050"/>
      </font>
      <fill>
        <patternFill>
          <bgColor theme="0" tint="-4.9989318521683403E-2"/>
        </patternFill>
      </fill>
    </dxf>
    <dxf>
      <font>
        <color rgb="FFFFC000"/>
      </font>
      <fill>
        <patternFill>
          <bgColor theme="0" tint="-4.9989318521683403E-2"/>
        </patternFill>
      </fill>
    </dxf>
    <dxf>
      <font>
        <color rgb="FF00B050"/>
      </font>
      <fill>
        <patternFill>
          <bgColor theme="0" tint="-4.9989318521683403E-2"/>
        </patternFill>
      </fill>
    </dxf>
    <dxf>
      <font>
        <color rgb="FFFFC000"/>
      </font>
      <fill>
        <patternFill>
          <bgColor theme="0" tint="-4.9989318521683403E-2"/>
        </patternFill>
      </fill>
    </dxf>
    <dxf>
      <font>
        <color rgb="FFCC0000"/>
      </font>
      <fill>
        <patternFill>
          <bgColor theme="0" tint="-4.9989318521683403E-2"/>
        </patternFill>
      </fill>
    </dxf>
    <dxf>
      <font>
        <color rgb="FFFFC000"/>
      </font>
      <fill>
        <patternFill>
          <bgColor theme="0" tint="-4.9989318521683403E-2"/>
        </patternFill>
      </fill>
    </dxf>
    <dxf>
      <font>
        <color rgb="FFCC0000"/>
      </font>
      <fill>
        <patternFill>
          <bgColor theme="0" tint="-4.9989318521683403E-2"/>
        </patternFill>
      </fill>
    </dxf>
    <dxf>
      <font>
        <color rgb="FF00B050"/>
      </font>
      <fill>
        <patternFill>
          <bgColor theme="0" tint="-4.9989318521683403E-2"/>
        </patternFill>
      </fill>
    </dxf>
    <dxf>
      <font>
        <color rgb="FFCC0000"/>
      </font>
      <fill>
        <patternFill>
          <bgColor theme="0" tint="-4.9989318521683403E-2"/>
        </patternFill>
      </fill>
    </dxf>
    <dxf>
      <font>
        <color rgb="FFFFC000"/>
      </font>
      <fill>
        <patternFill>
          <bgColor theme="0" tint="-4.9989318521683403E-2"/>
        </patternFill>
      </fill>
    </dxf>
    <dxf>
      <font>
        <color rgb="FF00B050"/>
      </font>
      <fill>
        <patternFill>
          <bgColor theme="0" tint="-4.9989318521683403E-2"/>
        </patternFill>
      </fill>
    </dxf>
    <dxf>
      <font>
        <color rgb="FFFFC000"/>
      </font>
      <fill>
        <patternFill>
          <bgColor theme="0" tint="-4.9989318521683403E-2"/>
        </patternFill>
      </fill>
    </dxf>
    <dxf>
      <font>
        <color rgb="FFCC0000"/>
      </font>
      <fill>
        <patternFill>
          <bgColor theme="0" tint="-4.9989318521683403E-2"/>
        </patternFill>
      </fill>
    </dxf>
    <dxf>
      <font>
        <color rgb="FF00B050"/>
      </font>
      <fill>
        <patternFill>
          <bgColor theme="0" tint="-4.9989318521683403E-2"/>
        </patternFill>
      </fill>
    </dxf>
    <dxf>
      <font>
        <color rgb="FFFFC000"/>
      </font>
      <fill>
        <patternFill>
          <bgColor theme="0" tint="-4.9989318521683403E-2"/>
        </patternFill>
      </fill>
    </dxf>
    <dxf>
      <font>
        <color rgb="FFCC0000"/>
      </font>
      <fill>
        <patternFill>
          <bgColor theme="0" tint="-4.9989318521683403E-2"/>
        </patternFill>
      </fill>
    </dxf>
    <dxf>
      <font>
        <color rgb="FF00B050"/>
      </font>
      <fill>
        <patternFill>
          <bgColor theme="0" tint="-4.9989318521683403E-2"/>
        </patternFill>
      </fill>
    </dxf>
    <dxf>
      <font>
        <color rgb="FFCC0000"/>
      </font>
      <fill>
        <patternFill>
          <bgColor theme="0" tint="-4.9989318521683403E-2"/>
        </patternFill>
      </fill>
    </dxf>
    <dxf>
      <font>
        <color rgb="FF00B050"/>
      </font>
      <fill>
        <patternFill>
          <bgColor theme="0" tint="-4.9989318521683403E-2"/>
        </patternFill>
      </fill>
    </dxf>
    <dxf>
      <font>
        <color rgb="FFFFC000"/>
      </font>
      <fill>
        <patternFill>
          <bgColor theme="0" tint="-4.9989318521683403E-2"/>
        </patternFill>
      </fill>
    </dxf>
    <dxf>
      <font>
        <color rgb="FFCC0000"/>
      </font>
      <fill>
        <patternFill>
          <bgColor theme="0" tint="-4.9989318521683403E-2"/>
        </patternFill>
      </fill>
    </dxf>
    <dxf>
      <font>
        <color rgb="FFFFC000"/>
      </font>
      <fill>
        <patternFill>
          <bgColor theme="0" tint="-4.9989318521683403E-2"/>
        </patternFill>
      </fill>
    </dxf>
    <dxf>
      <font>
        <color rgb="FF00B050"/>
      </font>
      <fill>
        <patternFill>
          <bgColor theme="0" tint="-4.9989318521683403E-2"/>
        </patternFill>
      </fill>
    </dxf>
    <dxf>
      <font>
        <color rgb="FF00B050"/>
      </font>
      <fill>
        <patternFill>
          <bgColor theme="0" tint="-4.9989318521683403E-2"/>
        </patternFill>
      </fill>
    </dxf>
    <dxf>
      <font>
        <color rgb="FFCC0000"/>
      </font>
      <fill>
        <patternFill>
          <bgColor theme="0" tint="-4.9989318521683403E-2"/>
        </patternFill>
      </fill>
    </dxf>
    <dxf>
      <font>
        <color rgb="FFFFC000"/>
      </font>
      <fill>
        <patternFill>
          <bgColor theme="0" tint="-4.9989318521683403E-2"/>
        </patternFill>
      </fill>
    </dxf>
    <dxf>
      <font>
        <color rgb="FFFFC000"/>
      </font>
      <fill>
        <patternFill>
          <bgColor theme="0" tint="-4.9989318521683403E-2"/>
        </patternFill>
      </fill>
    </dxf>
    <dxf>
      <font>
        <color rgb="FF00B050"/>
      </font>
      <fill>
        <patternFill>
          <bgColor theme="0" tint="-4.9989318521683403E-2"/>
        </patternFill>
      </fill>
    </dxf>
    <dxf>
      <font>
        <color rgb="FFCC0000"/>
      </font>
      <fill>
        <patternFill>
          <bgColor theme="0" tint="-4.9989318521683403E-2"/>
        </patternFill>
      </fill>
    </dxf>
    <dxf>
      <font>
        <color rgb="FFFFC000"/>
      </font>
      <fill>
        <patternFill>
          <bgColor theme="0" tint="-4.9989318521683403E-2"/>
        </patternFill>
      </fill>
    </dxf>
    <dxf>
      <font>
        <color rgb="FFCC0000"/>
      </font>
      <fill>
        <patternFill>
          <bgColor theme="0" tint="-4.9989318521683403E-2"/>
        </patternFill>
      </fill>
    </dxf>
    <dxf>
      <font>
        <color rgb="FF00B050"/>
      </font>
      <fill>
        <patternFill>
          <bgColor theme="0" tint="-4.9989318521683403E-2"/>
        </patternFill>
      </fill>
    </dxf>
    <dxf>
      <font>
        <color rgb="FFCC0000"/>
      </font>
      <fill>
        <patternFill>
          <bgColor theme="0" tint="-4.9989318521683403E-2"/>
        </patternFill>
      </fill>
    </dxf>
    <dxf>
      <font>
        <color rgb="FFFFC000"/>
      </font>
      <fill>
        <patternFill>
          <bgColor theme="0" tint="-4.9989318521683403E-2"/>
        </patternFill>
      </fill>
    </dxf>
    <dxf>
      <font>
        <color rgb="FF00B050"/>
      </font>
      <fill>
        <patternFill>
          <bgColor theme="0" tint="-4.9989318521683403E-2"/>
        </patternFill>
      </fill>
    </dxf>
    <dxf>
      <font>
        <color rgb="FF00B050"/>
      </font>
      <fill>
        <patternFill>
          <bgColor theme="0" tint="-4.9989318521683403E-2"/>
        </patternFill>
      </fill>
    </dxf>
    <dxf>
      <font>
        <color rgb="FFCC0000"/>
      </font>
      <fill>
        <patternFill>
          <bgColor theme="0" tint="-4.9989318521683403E-2"/>
        </patternFill>
      </fill>
    </dxf>
    <dxf>
      <font>
        <color rgb="FFFFC000"/>
      </font>
      <fill>
        <patternFill>
          <bgColor theme="0" tint="-4.9989318521683403E-2"/>
        </patternFill>
      </fill>
    </dxf>
    <dxf>
      <font>
        <color rgb="FFFFC000"/>
      </font>
      <fill>
        <patternFill>
          <bgColor theme="0" tint="-4.9989318521683403E-2"/>
        </patternFill>
      </fill>
    </dxf>
    <dxf>
      <font>
        <color rgb="FF00B050"/>
      </font>
      <fill>
        <patternFill>
          <bgColor theme="0" tint="-4.9989318521683403E-2"/>
        </patternFill>
      </fill>
    </dxf>
    <dxf>
      <font>
        <color rgb="FFCC0000"/>
      </font>
      <fill>
        <patternFill>
          <bgColor theme="0" tint="-4.9989318521683403E-2"/>
        </patternFill>
      </fill>
    </dxf>
    <dxf>
      <font>
        <color rgb="FF00B050"/>
      </font>
      <fill>
        <patternFill>
          <bgColor theme="0" tint="-4.9989318521683403E-2"/>
        </patternFill>
      </fill>
    </dxf>
    <dxf>
      <font>
        <color rgb="FFFFC000"/>
      </font>
      <fill>
        <patternFill>
          <bgColor theme="0" tint="-4.9989318521683403E-2"/>
        </patternFill>
      </fill>
    </dxf>
    <dxf>
      <font>
        <color rgb="FFCC0000"/>
      </font>
      <fill>
        <patternFill>
          <bgColor theme="0" tint="-4.9989318521683403E-2"/>
        </patternFill>
      </fill>
    </dxf>
    <dxf>
      <font>
        <color rgb="FF00B050"/>
      </font>
      <fill>
        <patternFill>
          <bgColor theme="0" tint="-4.9989318521683403E-2"/>
        </patternFill>
      </fill>
    </dxf>
    <dxf>
      <font>
        <color rgb="FFCC0000"/>
      </font>
      <fill>
        <patternFill>
          <bgColor theme="0" tint="-4.9989318521683403E-2"/>
        </patternFill>
      </fill>
    </dxf>
    <dxf>
      <font>
        <color rgb="FFFFC000"/>
      </font>
      <fill>
        <patternFill>
          <bgColor theme="0" tint="-4.9989318521683403E-2"/>
        </patternFill>
      </fill>
    </dxf>
    <dxf>
      <font>
        <color rgb="FFFFC000"/>
      </font>
      <fill>
        <patternFill>
          <bgColor theme="0" tint="-4.9989318521683403E-2"/>
        </patternFill>
      </fill>
    </dxf>
    <dxf>
      <font>
        <color rgb="FF00B050"/>
      </font>
      <fill>
        <patternFill>
          <bgColor theme="0" tint="-4.9989318521683403E-2"/>
        </patternFill>
      </fill>
    </dxf>
    <dxf>
      <font>
        <color rgb="FFCC0000"/>
      </font>
      <fill>
        <patternFill>
          <bgColor theme="0" tint="-4.9989318521683403E-2"/>
        </patternFill>
      </fill>
    </dxf>
    <dxf>
      <font>
        <color theme="0"/>
      </font>
      <fill>
        <patternFill>
          <bgColor rgb="FFCC0000"/>
        </patternFill>
      </fill>
    </dxf>
    <dxf>
      <font>
        <color theme="1"/>
      </font>
      <fill>
        <patternFill>
          <bgColor rgb="FFFFC000"/>
        </patternFill>
      </fill>
    </dxf>
    <dxf>
      <font>
        <color theme="0"/>
      </font>
      <fill>
        <patternFill>
          <bgColor rgb="FF00B050"/>
        </patternFill>
      </fill>
    </dxf>
    <dxf>
      <fill>
        <patternFill>
          <bgColor theme="0" tint="-4.9989318521683403E-2"/>
        </patternFill>
      </fill>
    </dxf>
    <dxf>
      <font>
        <color theme="1"/>
      </font>
      <fill>
        <patternFill>
          <bgColor theme="0" tint="-4.9989318521683403E-2"/>
        </patternFill>
      </fill>
    </dxf>
    <dxf>
      <font>
        <color theme="1"/>
      </font>
      <fill>
        <patternFill>
          <bgColor theme="0" tint="-4.9989318521683403E-2"/>
        </patternFill>
      </fill>
    </dxf>
    <dxf>
      <font>
        <color theme="0"/>
      </font>
      <fill>
        <patternFill>
          <bgColor rgb="FF00B050"/>
        </patternFill>
      </fill>
    </dxf>
    <dxf>
      <font>
        <color theme="1"/>
      </font>
      <fill>
        <patternFill>
          <bgColor rgb="FFFFC000"/>
        </patternFill>
      </fill>
    </dxf>
    <dxf>
      <font>
        <color theme="0"/>
      </font>
      <fill>
        <patternFill>
          <bgColor rgb="FFCC0000"/>
        </patternFill>
      </fill>
    </dxf>
    <dxf>
      <fill>
        <patternFill>
          <bgColor theme="0" tint="-4.9989318521683403E-2"/>
        </patternFill>
      </fill>
    </dxf>
    <dxf>
      <font>
        <color theme="1"/>
      </font>
      <fill>
        <patternFill>
          <bgColor rgb="FFFFC000"/>
        </patternFill>
      </fill>
    </dxf>
    <dxf>
      <font>
        <color theme="0"/>
      </font>
      <fill>
        <patternFill>
          <bgColor rgb="FF00B050"/>
        </patternFill>
      </fill>
    </dxf>
    <dxf>
      <font>
        <color theme="1"/>
      </font>
      <fill>
        <patternFill>
          <bgColor theme="0" tint="-4.9989318521683403E-2"/>
        </patternFill>
      </fill>
    </dxf>
    <dxf>
      <fill>
        <patternFill>
          <bgColor theme="0" tint="-4.9989318521683403E-2"/>
        </patternFill>
      </fill>
    </dxf>
    <dxf>
      <font>
        <color theme="0"/>
      </font>
      <fill>
        <patternFill>
          <bgColor rgb="FFCC0000"/>
        </patternFill>
      </fill>
    </dxf>
    <dxf>
      <font>
        <color theme="1"/>
      </font>
      <fill>
        <patternFill>
          <bgColor theme="0" tint="-4.9989318521683403E-2"/>
        </patternFill>
      </fill>
    </dxf>
    <dxf>
      <font>
        <color theme="0"/>
      </font>
      <fill>
        <patternFill>
          <bgColor rgb="FFCC0000"/>
        </patternFill>
      </fill>
    </dxf>
    <dxf>
      <font>
        <color theme="1"/>
      </font>
      <fill>
        <patternFill>
          <bgColor rgb="FFFFC000"/>
        </patternFill>
      </fill>
    </dxf>
    <dxf>
      <font>
        <color theme="0"/>
      </font>
      <fill>
        <patternFill>
          <bgColor rgb="FF00B050"/>
        </patternFill>
      </fill>
    </dxf>
    <dxf>
      <fill>
        <patternFill>
          <bgColor theme="0" tint="-4.9989318521683403E-2"/>
        </patternFill>
      </fill>
    </dxf>
    <dxf>
      <font>
        <color theme="0"/>
      </font>
      <fill>
        <patternFill>
          <bgColor rgb="FFCC0000"/>
        </patternFill>
      </fill>
    </dxf>
    <dxf>
      <font>
        <color theme="1"/>
      </font>
      <fill>
        <patternFill>
          <bgColor rgb="FFFFC000"/>
        </patternFill>
      </fill>
    </dxf>
    <dxf>
      <font>
        <color theme="0"/>
      </font>
      <fill>
        <patternFill>
          <bgColor rgb="FF00B050"/>
        </patternFill>
      </fill>
    </dxf>
    <dxf>
      <font>
        <color theme="1"/>
      </font>
      <fill>
        <patternFill>
          <bgColor theme="0" tint="-4.9989318521683403E-2"/>
        </patternFill>
      </fill>
    </dxf>
    <dxf>
      <fill>
        <patternFill>
          <bgColor theme="0" tint="-4.9989318521683403E-2"/>
        </patternFill>
      </fill>
    </dxf>
    <dxf>
      <font>
        <color theme="0"/>
      </font>
      <fill>
        <patternFill>
          <bgColor rgb="FF00B050"/>
        </patternFill>
      </fill>
    </dxf>
    <dxf>
      <font>
        <color theme="1"/>
      </font>
      <fill>
        <patternFill>
          <bgColor theme="0" tint="-4.9989318521683403E-2"/>
        </patternFill>
      </fill>
    </dxf>
    <dxf>
      <fill>
        <patternFill>
          <bgColor theme="0" tint="-4.9989318521683403E-2"/>
        </patternFill>
      </fill>
    </dxf>
    <dxf>
      <font>
        <color theme="0"/>
      </font>
      <fill>
        <patternFill>
          <bgColor rgb="FFCC0000"/>
        </patternFill>
      </fill>
    </dxf>
    <dxf>
      <font>
        <color theme="1"/>
      </font>
      <fill>
        <patternFill>
          <bgColor rgb="FFFFC000"/>
        </patternFill>
      </fill>
    </dxf>
    <dxf>
      <fill>
        <patternFill>
          <bgColor theme="0" tint="-4.9989318521683403E-2"/>
        </patternFill>
      </fill>
    </dxf>
    <dxf>
      <font>
        <color theme="1"/>
      </font>
      <fill>
        <patternFill>
          <bgColor theme="0" tint="-4.9989318521683403E-2"/>
        </patternFill>
      </fill>
    </dxf>
    <dxf>
      <font>
        <color theme="0"/>
      </font>
      <fill>
        <patternFill>
          <bgColor rgb="FF00B050"/>
        </patternFill>
      </fill>
    </dxf>
    <dxf>
      <font>
        <color theme="1"/>
      </font>
      <fill>
        <patternFill>
          <bgColor rgb="FFFFC000"/>
        </patternFill>
      </fill>
    </dxf>
    <dxf>
      <font>
        <color theme="0"/>
      </font>
      <fill>
        <patternFill>
          <bgColor rgb="FFCC0000"/>
        </patternFill>
      </fill>
    </dxf>
    <dxf>
      <font>
        <color theme="0"/>
      </font>
      <fill>
        <patternFill>
          <bgColor rgb="FF00B050"/>
        </patternFill>
      </fill>
    </dxf>
    <dxf>
      <font>
        <color theme="1"/>
      </font>
      <fill>
        <patternFill>
          <bgColor theme="0" tint="-4.9989318521683403E-2"/>
        </patternFill>
      </fill>
    </dxf>
    <dxf>
      <fill>
        <patternFill>
          <bgColor theme="0" tint="-4.9989318521683403E-2"/>
        </patternFill>
      </fill>
    </dxf>
    <dxf>
      <font>
        <color theme="0"/>
      </font>
      <fill>
        <patternFill>
          <bgColor rgb="FFCC0000"/>
        </patternFill>
      </fill>
    </dxf>
    <dxf>
      <font>
        <color theme="1"/>
      </font>
      <fill>
        <patternFill>
          <bgColor rgb="FFFFC000"/>
        </patternFill>
      </fill>
    </dxf>
    <dxf>
      <font>
        <color theme="1"/>
      </font>
      <fill>
        <patternFill>
          <bgColor theme="0" tint="-4.9989318521683403E-2"/>
        </patternFill>
      </fill>
    </dxf>
    <dxf>
      <font>
        <color theme="0"/>
      </font>
      <fill>
        <patternFill>
          <bgColor rgb="FF00B050"/>
        </patternFill>
      </fill>
    </dxf>
    <dxf>
      <font>
        <color theme="1"/>
      </font>
      <fill>
        <patternFill>
          <bgColor rgb="FFFFC000"/>
        </patternFill>
      </fill>
    </dxf>
    <dxf>
      <font>
        <color theme="0"/>
      </font>
      <fill>
        <patternFill>
          <bgColor rgb="FFCC0000"/>
        </patternFill>
      </fill>
    </dxf>
    <dxf>
      <fill>
        <patternFill>
          <bgColor theme="0" tint="-4.9989318521683403E-2"/>
        </patternFill>
      </fill>
    </dxf>
    <dxf>
      <font>
        <color theme="1"/>
      </font>
      <fill>
        <patternFill>
          <bgColor theme="0" tint="-4.9989318521683403E-2"/>
        </patternFill>
      </fill>
    </dxf>
    <dxf>
      <fill>
        <patternFill>
          <bgColor theme="0" tint="-4.9989318521683403E-2"/>
        </patternFill>
      </fill>
    </dxf>
    <dxf>
      <font>
        <color theme="0"/>
      </font>
      <fill>
        <patternFill>
          <bgColor rgb="FFCC0000"/>
        </patternFill>
      </fill>
    </dxf>
    <dxf>
      <font>
        <color theme="1"/>
      </font>
      <fill>
        <patternFill>
          <bgColor rgb="FFFFC000"/>
        </patternFill>
      </fill>
    </dxf>
    <dxf>
      <font>
        <color theme="0"/>
      </font>
      <fill>
        <patternFill>
          <bgColor rgb="FF00B050"/>
        </patternFill>
      </fill>
    </dxf>
    <dxf>
      <fill>
        <patternFill>
          <bgColor theme="0" tint="-4.9989318521683403E-2"/>
        </patternFill>
      </fill>
    </dxf>
    <dxf>
      <font>
        <color theme="1"/>
      </font>
      <fill>
        <patternFill>
          <bgColor theme="0" tint="-4.9989318521683403E-2"/>
        </patternFill>
      </fill>
    </dxf>
    <dxf>
      <font>
        <color theme="0"/>
      </font>
      <fill>
        <patternFill>
          <bgColor rgb="FF00B050"/>
        </patternFill>
      </fill>
    </dxf>
    <dxf>
      <font>
        <color theme="1"/>
      </font>
      <fill>
        <patternFill>
          <bgColor rgb="FFFFC000"/>
        </patternFill>
      </fill>
    </dxf>
    <dxf>
      <font>
        <color theme="0"/>
      </font>
      <fill>
        <patternFill>
          <bgColor rgb="FFCC0000"/>
        </patternFill>
      </fill>
    </dxf>
    <dxf>
      <fill>
        <patternFill>
          <bgColor theme="0" tint="-4.9989318521683403E-2"/>
        </patternFill>
      </fill>
    </dxf>
    <dxf>
      <font>
        <color theme="1"/>
      </font>
      <fill>
        <patternFill>
          <bgColor theme="0" tint="-4.9989318521683403E-2"/>
        </patternFill>
      </fill>
    </dxf>
    <dxf>
      <font>
        <color theme="0"/>
      </font>
      <fill>
        <patternFill>
          <bgColor rgb="FF00B050"/>
        </patternFill>
      </fill>
    </dxf>
    <dxf>
      <font>
        <color theme="1"/>
      </font>
      <fill>
        <patternFill>
          <bgColor rgb="FFFFC000"/>
        </patternFill>
      </fill>
    </dxf>
    <dxf>
      <font>
        <color theme="0"/>
      </font>
      <fill>
        <patternFill>
          <bgColor rgb="FFCC0000"/>
        </patternFill>
      </fill>
    </dxf>
    <dxf>
      <font>
        <color theme="1"/>
      </font>
      <fill>
        <patternFill>
          <bgColor theme="0" tint="-4.9989318521683403E-2"/>
        </patternFill>
      </fill>
    </dxf>
    <dxf>
      <font>
        <color theme="0"/>
      </font>
      <fill>
        <patternFill>
          <bgColor rgb="FF00B050"/>
        </patternFill>
      </fill>
    </dxf>
    <dxf>
      <font>
        <color theme="1"/>
      </font>
      <fill>
        <patternFill>
          <bgColor rgb="FFFFC000"/>
        </patternFill>
      </fill>
    </dxf>
    <dxf>
      <font>
        <color theme="0"/>
      </font>
      <fill>
        <patternFill>
          <bgColor rgb="FFCC0000"/>
        </patternFill>
      </fill>
    </dxf>
    <dxf>
      <fill>
        <patternFill>
          <bgColor theme="0" tint="-4.9989318521683403E-2"/>
        </patternFill>
      </fill>
    </dxf>
    <dxf>
      <fill>
        <patternFill>
          <bgColor theme="0" tint="-4.9989318521683403E-2"/>
        </patternFill>
      </fill>
    </dxf>
    <dxf>
      <font>
        <color theme="1"/>
      </font>
      <fill>
        <patternFill>
          <bgColor theme="0" tint="-4.9989318521683403E-2"/>
        </patternFill>
      </fill>
    </dxf>
    <dxf>
      <font>
        <color theme="0"/>
      </font>
      <fill>
        <patternFill>
          <bgColor rgb="FF00B050"/>
        </patternFill>
      </fill>
    </dxf>
    <dxf>
      <font>
        <color theme="1"/>
      </font>
      <fill>
        <patternFill>
          <bgColor rgb="FFFFC000"/>
        </patternFill>
      </fill>
    </dxf>
    <dxf>
      <font>
        <color theme="0"/>
      </font>
      <fill>
        <patternFill>
          <bgColor rgb="FFCC0000"/>
        </patternFill>
      </fill>
    </dxf>
    <dxf>
      <fill>
        <patternFill>
          <bgColor theme="0" tint="-4.9989318521683403E-2"/>
        </patternFill>
      </fill>
    </dxf>
    <dxf>
      <font>
        <color theme="1"/>
      </font>
      <fill>
        <patternFill>
          <bgColor theme="0" tint="-4.9989318521683403E-2"/>
        </patternFill>
      </fill>
    </dxf>
    <dxf>
      <font>
        <color theme="0"/>
      </font>
      <fill>
        <patternFill>
          <bgColor rgb="FF00B050"/>
        </patternFill>
      </fill>
    </dxf>
    <dxf>
      <font>
        <color theme="1"/>
      </font>
      <fill>
        <patternFill>
          <bgColor rgb="FFFFC000"/>
        </patternFill>
      </fill>
    </dxf>
    <dxf>
      <font>
        <color theme="0"/>
      </font>
      <fill>
        <patternFill>
          <bgColor rgb="FFCC0000"/>
        </patternFill>
      </fill>
    </dxf>
    <dxf>
      <fill>
        <patternFill>
          <bgColor theme="0" tint="-4.9989318521683403E-2"/>
        </patternFill>
      </fill>
    </dxf>
    <dxf>
      <font>
        <color theme="1"/>
      </font>
      <fill>
        <patternFill>
          <bgColor theme="0" tint="-4.9989318521683403E-2"/>
        </patternFill>
      </fill>
    </dxf>
    <dxf>
      <font>
        <color theme="0"/>
      </font>
      <fill>
        <patternFill>
          <bgColor rgb="FF00B050"/>
        </patternFill>
      </fill>
    </dxf>
    <dxf>
      <font>
        <color theme="0"/>
      </font>
      <fill>
        <patternFill>
          <bgColor rgb="FFCC0000"/>
        </patternFill>
      </fill>
    </dxf>
    <dxf>
      <font>
        <color theme="1"/>
      </font>
      <fill>
        <patternFill>
          <bgColor rgb="FFFFC000"/>
        </patternFill>
      </fill>
    </dxf>
    <dxf>
      <font>
        <color theme="0"/>
      </font>
      <fill>
        <patternFill>
          <bgColor rgb="FF00B050"/>
        </patternFill>
      </fill>
    </dxf>
    <dxf>
      <font>
        <color theme="1"/>
      </font>
      <fill>
        <patternFill>
          <bgColor rgb="FFFFC000"/>
        </patternFill>
      </fill>
    </dxf>
    <dxf>
      <font>
        <color theme="0"/>
      </font>
      <fill>
        <patternFill>
          <bgColor rgb="FFCC0000"/>
        </patternFill>
      </fill>
    </dxf>
    <dxf>
      <fill>
        <patternFill>
          <bgColor theme="0" tint="-4.9989318521683403E-2"/>
        </patternFill>
      </fill>
    </dxf>
    <dxf>
      <font>
        <color theme="1"/>
      </font>
      <fill>
        <patternFill>
          <bgColor theme="0" tint="-4.9989318521683403E-2"/>
        </patternFill>
      </fill>
    </dxf>
    <dxf>
      <fill>
        <patternFill>
          <bgColor theme="7" tint="0.79998168889431442"/>
        </patternFill>
      </fill>
    </dxf>
    <dxf>
      <font>
        <color theme="1"/>
      </font>
      <fill>
        <patternFill>
          <bgColor theme="0" tint="-4.9989318521683403E-2"/>
        </patternFill>
      </fill>
    </dxf>
    <dxf>
      <font>
        <color theme="0"/>
      </font>
      <fill>
        <patternFill>
          <bgColor rgb="FF00B050"/>
        </patternFill>
      </fill>
    </dxf>
    <dxf>
      <font>
        <color theme="1"/>
      </font>
      <fill>
        <patternFill>
          <bgColor rgb="FFFFC000"/>
        </patternFill>
      </fill>
    </dxf>
    <dxf>
      <font>
        <color theme="0"/>
      </font>
      <fill>
        <patternFill>
          <bgColor rgb="FFCC0000"/>
        </patternFill>
      </fill>
    </dxf>
    <dxf>
      <font>
        <color theme="1"/>
      </font>
      <fill>
        <patternFill>
          <bgColor theme="0" tint="-4.9989318521683403E-2"/>
        </patternFill>
      </fill>
    </dxf>
    <dxf>
      <font>
        <color theme="0"/>
      </font>
      <fill>
        <patternFill>
          <bgColor rgb="FF00B050"/>
        </patternFill>
      </fill>
    </dxf>
    <dxf>
      <font>
        <color theme="1"/>
      </font>
      <fill>
        <patternFill>
          <bgColor rgb="FFFFC000"/>
        </patternFill>
      </fill>
    </dxf>
    <dxf>
      <font>
        <color theme="0"/>
      </font>
      <fill>
        <patternFill>
          <bgColor rgb="FFCC0000"/>
        </patternFill>
      </fill>
    </dxf>
    <dxf>
      <font>
        <color theme="0"/>
      </font>
      <fill>
        <patternFill>
          <bgColor rgb="FF00B050"/>
        </patternFill>
      </fill>
    </dxf>
    <dxf>
      <font>
        <color theme="1"/>
      </font>
      <fill>
        <patternFill>
          <bgColor rgb="FFFFC000"/>
        </patternFill>
      </fill>
    </dxf>
    <dxf>
      <font>
        <color theme="1"/>
      </font>
      <fill>
        <patternFill>
          <bgColor theme="0" tint="-4.9989318521683403E-2"/>
        </patternFill>
      </fill>
    </dxf>
    <dxf>
      <font>
        <color theme="0"/>
      </font>
      <fill>
        <patternFill>
          <bgColor rgb="FFCC0000"/>
        </patternFill>
      </fill>
    </dxf>
    <dxf>
      <font>
        <color theme="0"/>
      </font>
      <fill>
        <patternFill>
          <bgColor rgb="FF00B050"/>
        </patternFill>
      </fill>
    </dxf>
    <dxf>
      <font>
        <color theme="1"/>
      </font>
      <fill>
        <patternFill>
          <bgColor rgb="FFFFC000"/>
        </patternFill>
      </fill>
    </dxf>
    <dxf>
      <font>
        <color theme="0"/>
      </font>
      <fill>
        <patternFill>
          <bgColor rgb="FFCC0000"/>
        </patternFill>
      </fill>
    </dxf>
    <dxf>
      <font>
        <color theme="1"/>
      </font>
      <fill>
        <patternFill>
          <bgColor theme="0" tint="-4.9989318521683403E-2"/>
        </patternFill>
      </fill>
    </dxf>
    <dxf>
      <font>
        <color theme="0"/>
      </font>
      <fill>
        <patternFill>
          <bgColor rgb="FF00B050"/>
        </patternFill>
      </fill>
    </dxf>
    <dxf>
      <font>
        <color theme="1"/>
      </font>
      <fill>
        <patternFill>
          <bgColor theme="0" tint="-4.9989318521683403E-2"/>
        </patternFill>
      </fill>
    </dxf>
    <dxf>
      <font>
        <color theme="1"/>
      </font>
      <fill>
        <patternFill>
          <bgColor rgb="FFFFC000"/>
        </patternFill>
      </fill>
    </dxf>
    <dxf>
      <font>
        <color theme="0"/>
      </font>
      <fill>
        <patternFill>
          <bgColor rgb="FFCC0000"/>
        </patternFill>
      </fill>
    </dxf>
    <dxf>
      <font>
        <color theme="0"/>
      </font>
      <fill>
        <patternFill>
          <bgColor rgb="FF00B050"/>
        </patternFill>
      </fill>
    </dxf>
    <dxf>
      <font>
        <color theme="1"/>
      </font>
      <fill>
        <patternFill>
          <bgColor rgb="FFFFC000"/>
        </patternFill>
      </fill>
    </dxf>
    <dxf>
      <font>
        <color theme="0"/>
      </font>
      <fill>
        <patternFill>
          <bgColor rgb="FFCC0000"/>
        </patternFill>
      </fill>
    </dxf>
    <dxf>
      <font>
        <color theme="1"/>
      </font>
      <fill>
        <patternFill>
          <bgColor theme="0" tint="-4.9989318521683403E-2"/>
        </patternFill>
      </fill>
    </dxf>
    <dxf>
      <font>
        <color theme="0"/>
      </font>
      <fill>
        <patternFill>
          <bgColor rgb="FFCC0000"/>
        </patternFill>
      </fill>
    </dxf>
    <dxf>
      <font>
        <color theme="1"/>
      </font>
      <fill>
        <patternFill>
          <bgColor rgb="FFFFC000"/>
        </patternFill>
      </fill>
    </dxf>
    <dxf>
      <font>
        <color theme="0"/>
      </font>
      <fill>
        <patternFill>
          <bgColor rgb="FF00B050"/>
        </patternFill>
      </fill>
    </dxf>
    <dxf>
      <font>
        <color theme="1"/>
      </font>
      <fill>
        <patternFill>
          <bgColor theme="0" tint="-4.9989318521683403E-2"/>
        </patternFill>
      </fill>
    </dxf>
    <dxf>
      <font>
        <color theme="1"/>
      </font>
      <fill>
        <patternFill>
          <bgColor rgb="FFFFC000"/>
        </patternFill>
      </fill>
    </dxf>
    <dxf>
      <font>
        <color theme="0"/>
      </font>
      <fill>
        <patternFill>
          <bgColor rgb="FF00B050"/>
        </patternFill>
      </fill>
    </dxf>
    <dxf>
      <font>
        <color theme="1"/>
      </font>
      <fill>
        <patternFill>
          <bgColor theme="0" tint="-4.9989318521683403E-2"/>
        </patternFill>
      </fill>
    </dxf>
    <dxf>
      <font>
        <color theme="0"/>
      </font>
      <fill>
        <patternFill>
          <bgColor rgb="FFCC0000"/>
        </patternFill>
      </fill>
    </dxf>
    <dxf>
      <font>
        <color theme="1"/>
      </font>
      <fill>
        <patternFill>
          <bgColor rgb="FFFFC000"/>
        </patternFill>
      </fill>
    </dxf>
    <dxf>
      <font>
        <color theme="1"/>
      </font>
      <fill>
        <patternFill>
          <bgColor theme="0" tint="-4.9989318521683403E-2"/>
        </patternFill>
      </fill>
    </dxf>
    <dxf>
      <font>
        <color theme="0"/>
      </font>
      <fill>
        <patternFill>
          <bgColor rgb="FFCC0000"/>
        </patternFill>
      </fill>
    </dxf>
    <dxf>
      <font>
        <color theme="0"/>
      </font>
      <fill>
        <patternFill>
          <bgColor rgb="FF00B050"/>
        </patternFill>
      </fill>
    </dxf>
    <dxf>
      <font>
        <color theme="0"/>
      </font>
      <fill>
        <patternFill>
          <bgColor rgb="FF00B050"/>
        </patternFill>
      </fill>
    </dxf>
    <dxf>
      <font>
        <color theme="1"/>
      </font>
      <fill>
        <patternFill>
          <bgColor rgb="FFFFC000"/>
        </patternFill>
      </fill>
    </dxf>
    <dxf>
      <font>
        <color theme="0"/>
      </font>
      <fill>
        <patternFill>
          <bgColor rgb="FFCC0000"/>
        </patternFill>
      </fill>
    </dxf>
    <dxf>
      <font>
        <color theme="1"/>
      </font>
      <fill>
        <patternFill>
          <bgColor theme="0" tint="-4.9989318521683403E-2"/>
        </patternFill>
      </fill>
    </dxf>
    <dxf>
      <font>
        <color theme="1"/>
      </font>
      <fill>
        <patternFill>
          <bgColor theme="0" tint="-4.9989318521683403E-2"/>
        </patternFill>
      </fill>
    </dxf>
    <dxf>
      <font>
        <color theme="1"/>
      </font>
      <fill>
        <patternFill>
          <bgColor rgb="FFFFC000"/>
        </patternFill>
      </fill>
    </dxf>
    <dxf>
      <font>
        <color theme="0"/>
      </font>
      <fill>
        <patternFill>
          <bgColor rgb="FF00B050"/>
        </patternFill>
      </fill>
    </dxf>
    <dxf>
      <font>
        <color theme="0"/>
      </font>
      <fill>
        <patternFill>
          <bgColor rgb="FFCC0000"/>
        </patternFill>
      </fill>
    </dxf>
    <dxf>
      <font>
        <color theme="0"/>
      </font>
      <fill>
        <patternFill>
          <bgColor rgb="FFCC0000"/>
        </patternFill>
      </fill>
    </dxf>
    <dxf>
      <font>
        <color theme="1"/>
      </font>
      <fill>
        <patternFill>
          <bgColor theme="0" tint="-4.9989318521683403E-2"/>
        </patternFill>
      </fill>
    </dxf>
    <dxf>
      <font>
        <color theme="1"/>
      </font>
      <fill>
        <patternFill>
          <bgColor rgb="FFFFC000"/>
        </patternFill>
      </fill>
    </dxf>
    <dxf>
      <font>
        <color theme="0"/>
      </font>
      <fill>
        <patternFill>
          <bgColor rgb="FF00B050"/>
        </patternFill>
      </fill>
    </dxf>
    <dxf>
      <font>
        <color theme="0"/>
      </font>
      <fill>
        <patternFill>
          <bgColor rgb="FF00B050"/>
        </patternFill>
      </fill>
    </dxf>
    <dxf>
      <font>
        <color theme="1"/>
      </font>
      <fill>
        <patternFill>
          <bgColor rgb="FFFFC000"/>
        </patternFill>
      </fill>
    </dxf>
    <dxf>
      <font>
        <color theme="0"/>
      </font>
      <fill>
        <patternFill>
          <bgColor rgb="FFCC0000"/>
        </patternFill>
      </fill>
    </dxf>
    <dxf>
      <font>
        <color theme="1"/>
      </font>
      <fill>
        <patternFill>
          <bgColor theme="0" tint="-4.9989318521683403E-2"/>
        </patternFill>
      </fill>
    </dxf>
    <dxf>
      <font>
        <color theme="0"/>
      </font>
      <fill>
        <patternFill>
          <bgColor rgb="FFCC0000"/>
        </patternFill>
      </fill>
    </dxf>
    <dxf>
      <font>
        <color theme="1"/>
      </font>
      <fill>
        <patternFill>
          <bgColor rgb="FFFFC000"/>
        </patternFill>
      </fill>
    </dxf>
    <dxf>
      <font>
        <color theme="0"/>
      </font>
      <fill>
        <patternFill>
          <bgColor rgb="FF00B050"/>
        </patternFill>
      </fill>
    </dxf>
    <dxf>
      <font>
        <color theme="1"/>
      </font>
      <fill>
        <patternFill>
          <bgColor theme="0" tint="-4.9989318521683403E-2"/>
        </patternFill>
      </fill>
    </dxf>
    <dxf>
      <font>
        <color theme="0"/>
      </font>
      <fill>
        <patternFill>
          <bgColor rgb="FF00B050"/>
        </patternFill>
      </fill>
    </dxf>
    <dxf>
      <font>
        <color theme="0"/>
      </font>
      <fill>
        <patternFill>
          <bgColor rgb="FFCC0000"/>
        </patternFill>
      </fill>
    </dxf>
    <dxf>
      <font>
        <color theme="1"/>
      </font>
      <fill>
        <patternFill>
          <bgColor rgb="FFFFC000"/>
        </patternFill>
      </fill>
    </dxf>
    <dxf>
      <font>
        <color theme="1"/>
      </font>
      <fill>
        <patternFill>
          <bgColor theme="0" tint="-4.9989318521683403E-2"/>
        </patternFill>
      </fill>
    </dxf>
    <dxf>
      <font>
        <color theme="1"/>
      </font>
      <fill>
        <patternFill>
          <bgColor rgb="FFFFC000"/>
        </patternFill>
      </fill>
    </dxf>
    <dxf>
      <font>
        <color theme="1"/>
      </font>
      <fill>
        <patternFill>
          <bgColor theme="0" tint="-4.9989318521683403E-2"/>
        </patternFill>
      </fill>
    </dxf>
    <dxf>
      <font>
        <color theme="0"/>
      </font>
      <fill>
        <patternFill>
          <bgColor rgb="FF00B050"/>
        </patternFill>
      </fill>
    </dxf>
    <dxf>
      <font>
        <color theme="0"/>
      </font>
      <fill>
        <patternFill>
          <bgColor rgb="FFCC0000"/>
        </patternFill>
      </fill>
    </dxf>
    <dxf>
      <font>
        <color theme="0"/>
      </font>
      <fill>
        <patternFill>
          <bgColor rgb="FFCC0000"/>
        </patternFill>
      </fill>
    </dxf>
    <dxf>
      <font>
        <color theme="1"/>
      </font>
      <fill>
        <patternFill>
          <bgColor rgb="FFFFC000"/>
        </patternFill>
      </fill>
    </dxf>
    <dxf>
      <font>
        <color theme="0"/>
      </font>
      <fill>
        <patternFill>
          <bgColor rgb="FF00B050"/>
        </patternFill>
      </fill>
    </dxf>
    <dxf>
      <font>
        <color theme="1"/>
      </font>
      <fill>
        <patternFill>
          <bgColor theme="0" tint="-4.9989318521683403E-2"/>
        </patternFill>
      </fill>
    </dxf>
    <dxf>
      <font>
        <color theme="0"/>
      </font>
      <fill>
        <patternFill>
          <bgColor rgb="FFCC0000"/>
        </patternFill>
      </fill>
    </dxf>
    <dxf>
      <font>
        <color theme="1"/>
      </font>
      <fill>
        <patternFill>
          <bgColor rgb="FFFFC000"/>
        </patternFill>
      </fill>
    </dxf>
    <dxf>
      <font>
        <color theme="0"/>
      </font>
      <fill>
        <patternFill>
          <bgColor rgb="FF00B050"/>
        </patternFill>
      </fill>
    </dxf>
    <dxf>
      <font>
        <color theme="1"/>
      </font>
      <fill>
        <patternFill>
          <bgColor theme="0" tint="-4.9989318521683403E-2"/>
        </patternFill>
      </fill>
    </dxf>
    <dxf>
      <fill>
        <patternFill>
          <bgColor theme="0" tint="-4.9989318521683403E-2"/>
        </patternFill>
      </fill>
    </dxf>
    <dxf>
      <font>
        <color rgb="FFFFC000"/>
      </font>
      <fill>
        <patternFill>
          <bgColor theme="0"/>
        </patternFill>
      </fill>
    </dxf>
    <dxf>
      <font>
        <color rgb="FFC00000"/>
      </font>
      <fill>
        <patternFill>
          <bgColor theme="0"/>
        </patternFill>
      </fill>
    </dxf>
    <dxf>
      <font>
        <color rgb="FF00B050"/>
      </font>
      <fill>
        <patternFill>
          <bgColor theme="0"/>
        </patternFill>
      </fill>
    </dxf>
    <dxf>
      <font>
        <color theme="0"/>
      </font>
      <fill>
        <patternFill>
          <bgColor rgb="FFCC0000"/>
        </patternFill>
      </fill>
    </dxf>
    <dxf>
      <font>
        <color theme="1"/>
      </font>
      <fill>
        <patternFill>
          <bgColor rgb="FFFFC000"/>
        </patternFill>
      </fill>
    </dxf>
    <dxf>
      <font>
        <color theme="0"/>
      </font>
      <fill>
        <patternFill>
          <bgColor rgb="FF00B050"/>
        </patternFill>
      </fill>
    </dxf>
    <dxf>
      <font>
        <color theme="1"/>
      </font>
      <fill>
        <patternFill>
          <bgColor theme="0" tint="-4.9989318521683403E-2"/>
        </patternFill>
      </fill>
    </dxf>
    <dxf>
      <fill>
        <patternFill>
          <bgColor theme="0" tint="-4.9989318521683403E-2"/>
        </patternFill>
      </fill>
    </dxf>
    <dxf>
      <font>
        <color theme="0"/>
      </font>
      <fill>
        <patternFill>
          <bgColor rgb="FFCC0000"/>
        </patternFill>
      </fill>
    </dxf>
    <dxf>
      <font>
        <color theme="1"/>
      </font>
      <fill>
        <patternFill>
          <bgColor rgb="FFFFC000"/>
        </patternFill>
      </fill>
    </dxf>
    <dxf>
      <font>
        <color theme="0"/>
      </font>
      <fill>
        <patternFill>
          <bgColor rgb="FF00B050"/>
        </patternFill>
      </fill>
    </dxf>
    <dxf>
      <font>
        <color theme="1"/>
      </font>
      <fill>
        <patternFill>
          <bgColor theme="0" tint="-4.9989318521683403E-2"/>
        </patternFill>
      </fill>
    </dxf>
    <dxf>
      <fill>
        <patternFill>
          <bgColor rgb="FF00B050"/>
        </patternFill>
      </fill>
    </dxf>
    <dxf>
      <fill>
        <patternFill>
          <bgColor rgb="FFFF0000"/>
        </patternFill>
      </fill>
    </dxf>
    <dxf>
      <font>
        <color rgb="FFFFC000"/>
      </font>
    </dxf>
    <dxf>
      <font>
        <color rgb="FF00B050"/>
      </font>
    </dxf>
    <dxf>
      <font>
        <color rgb="FFFF0000"/>
      </font>
    </dxf>
    <dxf>
      <font>
        <color rgb="FFFF0000"/>
      </font>
    </dxf>
    <dxf>
      <font>
        <color rgb="FFFFC000"/>
      </font>
    </dxf>
    <dxf>
      <font>
        <color rgb="FF00B050"/>
      </font>
    </dxf>
    <dxf>
      <font>
        <color rgb="FFFFC000"/>
      </font>
    </dxf>
    <dxf>
      <font>
        <color rgb="FFFF0000"/>
      </font>
    </dxf>
    <dxf>
      <font>
        <color rgb="FF00B050"/>
      </font>
    </dxf>
    <dxf>
      <font>
        <color rgb="FFFF0000"/>
      </font>
    </dxf>
    <dxf>
      <font>
        <color rgb="FF00B050"/>
      </font>
    </dxf>
    <dxf>
      <font>
        <color rgb="FFFFC000"/>
      </font>
    </dxf>
    <dxf>
      <font>
        <color rgb="FF00B050"/>
      </font>
    </dxf>
    <dxf>
      <font>
        <color rgb="FFFFC000"/>
      </font>
    </dxf>
    <dxf>
      <font>
        <color rgb="FFFF0000"/>
      </font>
    </dxf>
    <dxf>
      <font>
        <color rgb="FFFF0000"/>
      </font>
    </dxf>
    <dxf>
      <font>
        <color rgb="FF00B050"/>
      </font>
    </dxf>
    <dxf>
      <font>
        <color rgb="FFFFC000"/>
      </font>
    </dxf>
    <dxf>
      <font>
        <color rgb="FF00B050"/>
      </font>
    </dxf>
    <dxf>
      <font>
        <color rgb="FFFFC000"/>
      </font>
    </dxf>
    <dxf>
      <font>
        <color rgb="FFFF0000"/>
      </font>
    </dxf>
    <dxf>
      <fill>
        <patternFill>
          <bgColor rgb="FFFFC000"/>
        </patternFill>
      </fill>
    </dxf>
    <dxf>
      <fill>
        <patternFill>
          <bgColor rgb="FFFFC000"/>
        </patternFill>
      </fill>
    </dxf>
    <dxf>
      <fill>
        <patternFill>
          <bgColor rgb="FFFFC000"/>
        </patternFill>
      </fill>
    </dxf>
    <dxf>
      <fill>
        <patternFill>
          <bgColor rgb="FF00B050"/>
        </patternFill>
      </fill>
    </dxf>
    <dxf>
      <fill>
        <patternFill>
          <bgColor rgb="FFFFC00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C000"/>
        </patternFill>
      </fill>
    </dxf>
    <dxf>
      <fill>
        <patternFill>
          <bgColor rgb="FFFFC00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ont>
        <color rgb="FF00B050"/>
      </font>
    </dxf>
    <dxf>
      <font>
        <color rgb="FFFFC000"/>
      </font>
    </dxf>
    <dxf>
      <font>
        <color rgb="FFFF0000"/>
      </font>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ont>
        <color rgb="FF00B050"/>
      </font>
    </dxf>
    <dxf>
      <font>
        <color rgb="FFFFC000"/>
      </font>
    </dxf>
    <dxf>
      <font>
        <color rgb="FFFF0000"/>
      </font>
    </dxf>
    <dxf>
      <font>
        <color rgb="FF00B050"/>
      </font>
    </dxf>
    <dxf>
      <font>
        <color rgb="FFFFC000"/>
      </font>
    </dxf>
    <dxf>
      <font>
        <color rgb="FFFF0000"/>
      </font>
    </dxf>
    <dxf>
      <font>
        <color rgb="FF00B050"/>
      </font>
    </dxf>
    <dxf>
      <font>
        <color rgb="FFFFC000"/>
      </font>
    </dxf>
    <dxf>
      <font>
        <color rgb="FFFF0000"/>
      </font>
    </dxf>
    <dxf>
      <fill>
        <patternFill>
          <bgColor rgb="FFFFC00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C000"/>
        </patternFill>
      </fill>
    </dxf>
    <dxf>
      <fill>
        <patternFill>
          <bgColor rgb="FFFFC000"/>
        </patternFill>
      </fill>
    </dxf>
    <dxf>
      <fill>
        <patternFill>
          <bgColor rgb="FFFF0000"/>
        </patternFill>
      </fill>
    </dxf>
    <dxf>
      <fill>
        <patternFill>
          <bgColor rgb="FFFFC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FFC000"/>
        </patternFill>
      </fill>
    </dxf>
    <dxf>
      <fill>
        <patternFill>
          <bgColor rgb="FFFFC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FFC000"/>
        </patternFill>
      </fill>
    </dxf>
    <dxf>
      <fill>
        <patternFill>
          <bgColor rgb="FF00B050"/>
        </patternFill>
      </fill>
    </dxf>
    <dxf>
      <fill>
        <patternFill>
          <bgColor rgb="FFFF0000"/>
        </patternFill>
      </fill>
    </dxf>
    <dxf>
      <fill>
        <patternFill>
          <bgColor rgb="FFFFC000"/>
        </patternFill>
      </fill>
    </dxf>
    <dxf>
      <fill>
        <patternFill>
          <bgColor rgb="FFFFC00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C000"/>
        </patternFill>
      </fill>
    </dxf>
    <dxf>
      <fill>
        <patternFill>
          <bgColor rgb="FF00B050"/>
        </patternFill>
      </fill>
    </dxf>
    <dxf>
      <fill>
        <patternFill>
          <bgColor rgb="FFFFC000"/>
        </patternFill>
      </fill>
    </dxf>
    <dxf>
      <fill>
        <patternFill>
          <bgColor rgb="FFFF0000"/>
        </patternFill>
      </fill>
    </dxf>
    <dxf>
      <fill>
        <patternFill>
          <bgColor rgb="FFFFC000"/>
        </patternFill>
      </fill>
    </dxf>
    <dxf>
      <fill>
        <patternFill>
          <bgColor rgb="FFFF0000"/>
        </patternFill>
      </fill>
    </dxf>
    <dxf>
      <fill>
        <patternFill>
          <bgColor rgb="FF00B050"/>
        </patternFill>
      </fill>
    </dxf>
    <dxf>
      <fill>
        <patternFill>
          <bgColor rgb="FF00B050"/>
        </patternFill>
      </fill>
    </dxf>
    <dxf>
      <fill>
        <patternFill>
          <bgColor rgb="FFFFC000"/>
        </patternFill>
      </fill>
    </dxf>
    <dxf>
      <fill>
        <patternFill>
          <bgColor rgb="FFFF0000"/>
        </patternFill>
      </fill>
    </dxf>
    <dxf>
      <fill>
        <patternFill>
          <bgColor rgb="FFFFC000"/>
        </patternFill>
      </fill>
    </dxf>
    <dxf>
      <fill>
        <patternFill>
          <bgColor rgb="FFFF0000"/>
        </patternFill>
      </fill>
    </dxf>
    <dxf>
      <fill>
        <patternFill>
          <bgColor rgb="FF00B050"/>
        </patternFill>
      </fill>
    </dxf>
    <dxf>
      <fill>
        <patternFill>
          <bgColor rgb="FF00B050"/>
        </patternFill>
      </fill>
    </dxf>
    <dxf>
      <fill>
        <patternFill>
          <bgColor rgb="FFFF0000"/>
        </patternFill>
      </fill>
    </dxf>
    <dxf>
      <fill>
        <patternFill>
          <bgColor rgb="FFFFC000"/>
        </patternFill>
      </fill>
    </dxf>
    <dxf>
      <fill>
        <patternFill>
          <bgColor rgb="FF00B050"/>
        </patternFill>
      </fill>
    </dxf>
    <dxf>
      <fill>
        <patternFill>
          <bgColor rgb="FFFF0000"/>
        </patternFill>
      </fill>
    </dxf>
    <dxf>
      <fill>
        <patternFill>
          <bgColor rgb="FFFFC000"/>
        </patternFill>
      </fill>
    </dxf>
    <dxf>
      <fill>
        <patternFill>
          <bgColor rgb="FF00B050"/>
        </patternFill>
      </fill>
    </dxf>
    <dxf>
      <fill>
        <patternFill>
          <bgColor rgb="FFFF0000"/>
        </patternFill>
      </fill>
    </dxf>
    <dxf>
      <fill>
        <patternFill>
          <bgColor rgb="FFFFC000"/>
        </patternFill>
      </fill>
    </dxf>
    <dxf>
      <fill>
        <patternFill>
          <bgColor rgb="FFFFC000"/>
        </patternFill>
      </fill>
    </dxf>
    <dxf>
      <fill>
        <patternFill>
          <bgColor rgb="FFFF0000"/>
        </patternFill>
      </fill>
    </dxf>
    <dxf>
      <fill>
        <patternFill>
          <bgColor rgb="FF00B050"/>
        </patternFill>
      </fill>
    </dxf>
    <dxf>
      <fill>
        <patternFill>
          <bgColor rgb="FF00B050"/>
        </patternFill>
      </fill>
    </dxf>
    <dxf>
      <fill>
        <patternFill>
          <bgColor rgb="FFFFC000"/>
        </patternFill>
      </fill>
    </dxf>
    <dxf>
      <fill>
        <patternFill>
          <bgColor rgb="FFFF0000"/>
        </patternFill>
      </fill>
    </dxf>
    <dxf>
      <fill>
        <patternFill>
          <bgColor rgb="FFFFC000"/>
        </patternFill>
      </fill>
    </dxf>
    <dxf>
      <fill>
        <patternFill>
          <bgColor rgb="FFFF0000"/>
        </patternFill>
      </fill>
    </dxf>
    <dxf>
      <fill>
        <patternFill>
          <bgColor rgb="FF00B050"/>
        </patternFill>
      </fill>
    </dxf>
    <dxf>
      <fill>
        <patternFill>
          <bgColor rgb="FF00B050"/>
        </patternFill>
      </fill>
    </dxf>
    <dxf>
      <fill>
        <patternFill>
          <bgColor rgb="FFFF0000"/>
        </patternFill>
      </fill>
    </dxf>
    <dxf>
      <fill>
        <patternFill>
          <bgColor rgb="FFFFC000"/>
        </patternFill>
      </fill>
    </dxf>
    <dxf>
      <font>
        <color rgb="FF00B050"/>
      </font>
    </dxf>
    <dxf>
      <font>
        <color rgb="FFFFC000"/>
      </font>
    </dxf>
    <dxf>
      <font>
        <color rgb="FFFF0000"/>
      </font>
    </dxf>
    <dxf>
      <font>
        <color rgb="FFFF0000"/>
      </font>
    </dxf>
    <dxf>
      <font>
        <color rgb="FF00B050"/>
      </font>
    </dxf>
    <dxf>
      <font>
        <color rgb="FFFFC000"/>
      </font>
    </dxf>
    <dxf>
      <font>
        <color rgb="FFFF0000"/>
      </font>
    </dxf>
    <dxf>
      <font>
        <color rgb="FFFFC000"/>
      </font>
    </dxf>
    <dxf>
      <font>
        <color rgb="FF00B050"/>
      </font>
    </dxf>
    <dxf>
      <font>
        <color rgb="FFFF0000"/>
      </font>
    </dxf>
    <dxf>
      <font>
        <color rgb="FFFFC000"/>
      </font>
    </dxf>
    <dxf>
      <font>
        <color rgb="FF00B050"/>
      </font>
    </dxf>
    <dxf>
      <font>
        <color rgb="FFFF0000"/>
      </font>
    </dxf>
    <dxf>
      <font>
        <color rgb="FFFFC000"/>
      </font>
    </dxf>
    <dxf>
      <font>
        <color rgb="FF00B050"/>
      </font>
    </dxf>
    <dxf>
      <font>
        <color rgb="FFFF0000"/>
      </font>
    </dxf>
    <dxf>
      <font>
        <color rgb="FF00B050"/>
      </font>
    </dxf>
    <dxf>
      <font>
        <color rgb="FFFFC000"/>
      </font>
    </dxf>
    <dxf>
      <font>
        <color rgb="FFFF0000"/>
      </font>
    </dxf>
    <dxf>
      <font>
        <color rgb="FFFFC000"/>
      </font>
    </dxf>
    <dxf>
      <font>
        <color rgb="FF00B050"/>
      </font>
    </dxf>
    <dxf>
      <font>
        <color rgb="FFFF0000"/>
      </font>
    </dxf>
    <dxf>
      <font>
        <color rgb="FFFFC000"/>
      </font>
    </dxf>
    <dxf>
      <font>
        <color rgb="FF00B050"/>
      </font>
    </dxf>
    <dxf>
      <font>
        <color rgb="FFFFC000"/>
      </font>
    </dxf>
    <dxf>
      <font>
        <color rgb="FF00B050"/>
      </font>
    </dxf>
    <dxf>
      <font>
        <color rgb="FFFF0000"/>
      </font>
    </dxf>
    <dxf>
      <font>
        <color rgb="FFFF0000"/>
      </font>
    </dxf>
    <dxf>
      <font>
        <color rgb="FFFFC000"/>
      </font>
    </dxf>
    <dxf>
      <font>
        <color rgb="FF00B050"/>
      </font>
    </dxf>
    <dxf>
      <font>
        <color rgb="FF00B050"/>
      </font>
    </dxf>
    <dxf>
      <font>
        <color rgb="FFFF0000"/>
      </font>
    </dxf>
    <dxf>
      <font>
        <color rgb="FFFFC000"/>
      </font>
    </dxf>
    <dxf>
      <font>
        <color rgb="FF00B050"/>
      </font>
    </dxf>
    <dxf>
      <font>
        <color rgb="FFFFC000"/>
      </font>
    </dxf>
    <dxf>
      <font>
        <color rgb="FFFF0000"/>
      </font>
    </dxf>
    <dxf>
      <font>
        <color rgb="FF00B050"/>
      </font>
    </dxf>
    <dxf>
      <font>
        <color rgb="FFFFC000"/>
      </font>
    </dxf>
    <dxf>
      <font>
        <color rgb="FFFF0000"/>
      </font>
    </dxf>
    <dxf>
      <font>
        <color rgb="FF00B050"/>
      </font>
    </dxf>
    <dxf>
      <font>
        <color rgb="FFFFC000"/>
      </font>
    </dxf>
    <dxf>
      <font>
        <color rgb="FFFF0000"/>
      </font>
    </dxf>
    <dxf>
      <font>
        <color rgb="FF00B050"/>
      </font>
    </dxf>
    <dxf>
      <font>
        <color rgb="FFFFC000"/>
      </font>
    </dxf>
    <dxf>
      <font>
        <color rgb="FFFF0000"/>
      </font>
    </dxf>
    <dxf>
      <fill>
        <patternFill>
          <bgColor rgb="FFFF0000"/>
        </patternFill>
      </fill>
    </dxf>
    <dxf>
      <fill>
        <patternFill>
          <bgColor rgb="FFFFC000"/>
        </patternFill>
      </fill>
    </dxf>
    <dxf>
      <fill>
        <patternFill>
          <bgColor rgb="FF00B050"/>
        </patternFill>
      </fill>
    </dxf>
    <dxf>
      <fill>
        <patternFill>
          <bgColor rgb="FF00B050"/>
        </patternFill>
      </fill>
    </dxf>
    <dxf>
      <fill>
        <patternFill>
          <bgColor rgb="FFFFC000"/>
        </patternFill>
      </fill>
    </dxf>
    <dxf>
      <fill>
        <patternFill>
          <bgColor rgb="FFFF000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00B050"/>
        </patternFill>
      </fill>
    </dxf>
    <dxf>
      <fill>
        <patternFill>
          <bgColor rgb="FFFF0000"/>
        </patternFill>
      </fill>
    </dxf>
    <dxf>
      <fill>
        <patternFill>
          <bgColor rgb="FFFFC000"/>
        </patternFill>
      </fill>
    </dxf>
    <dxf>
      <fill>
        <patternFill>
          <bgColor rgb="FFFF0000"/>
        </patternFill>
      </fill>
    </dxf>
    <dxf>
      <fill>
        <patternFill>
          <bgColor rgb="FF00B050"/>
        </patternFill>
      </fill>
    </dxf>
    <dxf>
      <fill>
        <patternFill>
          <bgColor rgb="FF00B050"/>
        </patternFill>
      </fill>
    </dxf>
    <dxf>
      <fill>
        <patternFill>
          <bgColor rgb="FFFFC000"/>
        </patternFill>
      </fill>
    </dxf>
    <dxf>
      <fill>
        <patternFill>
          <bgColor rgb="FFFF0000"/>
        </patternFill>
      </fill>
    </dxf>
    <dxf>
      <fill>
        <patternFill>
          <bgColor rgb="FFFF0000"/>
        </patternFill>
      </fill>
    </dxf>
    <dxf>
      <fill>
        <patternFill>
          <bgColor rgb="FFFFC000"/>
        </patternFill>
      </fill>
    </dxf>
    <dxf>
      <fill>
        <patternFill>
          <bgColor rgb="FF00B050"/>
        </patternFill>
      </fill>
    </dxf>
    <dxf>
      <fill>
        <patternFill>
          <bgColor rgb="FFFFC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FFC000"/>
        </patternFill>
      </fill>
    </dxf>
    <dxf>
      <fill>
        <patternFill>
          <bgColor rgb="FFFFC000"/>
        </patternFill>
      </fill>
    </dxf>
    <dxf>
      <fill>
        <patternFill>
          <bgColor rgb="FFFF0000"/>
        </patternFill>
      </fill>
    </dxf>
    <dxf>
      <fill>
        <patternFill>
          <bgColor rgb="FF00B050"/>
        </patternFill>
      </fill>
    </dxf>
    <dxf>
      <fill>
        <patternFill>
          <bgColor rgb="FF00B050"/>
        </patternFill>
      </fill>
    </dxf>
    <dxf>
      <fill>
        <patternFill>
          <bgColor rgb="FFFFC000"/>
        </patternFill>
      </fill>
    </dxf>
    <dxf>
      <fill>
        <patternFill>
          <bgColor rgb="FFFF0000"/>
        </patternFill>
      </fill>
    </dxf>
    <dxf>
      <fill>
        <patternFill>
          <bgColor rgb="FFFF0000"/>
        </patternFill>
      </fill>
    </dxf>
    <dxf>
      <fill>
        <patternFill>
          <bgColor rgb="FFFFC000"/>
        </patternFill>
      </fill>
    </dxf>
    <dxf>
      <fill>
        <patternFill>
          <bgColor rgb="FF00B050"/>
        </patternFill>
      </fill>
    </dxf>
    <dxf>
      <fill>
        <patternFill>
          <bgColor rgb="FFFF0000"/>
        </patternFill>
      </fill>
    </dxf>
    <dxf>
      <fill>
        <patternFill>
          <bgColor rgb="FF00B050"/>
        </patternFill>
      </fill>
    </dxf>
    <dxf>
      <fill>
        <patternFill>
          <bgColor rgb="FFFFC000"/>
        </patternFill>
      </fill>
    </dxf>
    <dxf>
      <fill>
        <patternFill>
          <bgColor rgb="FFFFC000"/>
        </patternFill>
      </fill>
    </dxf>
    <dxf>
      <fill>
        <patternFill>
          <bgColor rgb="FFFF0000"/>
        </patternFill>
      </fill>
    </dxf>
    <dxf>
      <fill>
        <patternFill>
          <bgColor rgb="FF00B050"/>
        </patternFill>
      </fill>
    </dxf>
    <dxf>
      <fill>
        <patternFill>
          <bgColor rgb="FF00B050"/>
        </patternFill>
      </fill>
    </dxf>
    <dxf>
      <fill>
        <patternFill>
          <bgColor rgb="FFFF0000"/>
        </patternFill>
      </fill>
    </dxf>
    <dxf>
      <fill>
        <patternFill>
          <bgColor rgb="FFFFC000"/>
        </patternFill>
      </fill>
    </dxf>
    <dxf>
      <fill>
        <patternFill>
          <bgColor rgb="FFFF0000"/>
        </patternFill>
      </fill>
    </dxf>
    <dxf>
      <fill>
        <patternFill>
          <bgColor rgb="FFFFC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00B050"/>
        </patternFill>
      </fill>
    </dxf>
    <dxf>
      <fill>
        <patternFill>
          <bgColor rgb="FFFF0000"/>
        </patternFill>
      </fill>
    </dxf>
    <dxf>
      <fill>
        <patternFill>
          <bgColor rgb="FFFFC000"/>
        </patternFill>
      </fill>
    </dxf>
    <dxf>
      <fill>
        <patternFill>
          <bgColor rgb="FF00B050"/>
        </patternFill>
      </fill>
    </dxf>
    <dxf>
      <fill>
        <patternFill>
          <bgColor rgb="FFFF0000"/>
        </patternFill>
      </fill>
    </dxf>
    <dxf>
      <fill>
        <patternFill>
          <bgColor rgb="FFFFC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FFC000"/>
        </patternFill>
      </fill>
    </dxf>
    <dxf>
      <fill>
        <patternFill>
          <bgColor rgb="FF00B050"/>
        </patternFill>
      </fill>
    </dxf>
    <dxf>
      <fill>
        <patternFill>
          <bgColor rgb="FFFF0000"/>
        </patternFill>
      </fill>
    </dxf>
    <dxf>
      <fill>
        <patternFill>
          <bgColor rgb="FFFFC000"/>
        </patternFill>
      </fill>
    </dxf>
    <dxf>
      <fill>
        <patternFill>
          <bgColor rgb="FF00B050"/>
        </patternFill>
      </fill>
    </dxf>
    <dxf>
      <fill>
        <patternFill>
          <bgColor rgb="FFFF0000"/>
        </patternFill>
      </fill>
    </dxf>
    <dxf>
      <fill>
        <patternFill>
          <bgColor rgb="FFFFC000"/>
        </patternFill>
      </fill>
    </dxf>
    <dxf>
      <fill>
        <patternFill>
          <bgColor rgb="FF00B050"/>
        </patternFill>
      </fill>
    </dxf>
    <dxf>
      <fill>
        <patternFill>
          <bgColor rgb="FFFF0000"/>
        </patternFill>
      </fill>
    </dxf>
    <dxf>
      <fill>
        <patternFill>
          <bgColor rgb="FFFFC000"/>
        </patternFill>
      </fill>
    </dxf>
    <dxf>
      <fill>
        <patternFill>
          <bgColor rgb="FF00B050"/>
        </patternFill>
      </fill>
    </dxf>
    <dxf>
      <fill>
        <patternFill>
          <bgColor rgb="FFFF0000"/>
        </patternFill>
      </fill>
    </dxf>
    <dxf>
      <fill>
        <patternFill>
          <bgColor rgb="FFFFC000"/>
        </patternFill>
      </fill>
    </dxf>
    <dxf>
      <fill>
        <patternFill>
          <bgColor rgb="FF00B050"/>
        </patternFill>
      </fill>
    </dxf>
    <dxf>
      <fill>
        <patternFill>
          <bgColor rgb="FFFF0000"/>
        </patternFill>
      </fill>
    </dxf>
    <dxf>
      <fill>
        <patternFill>
          <bgColor rgb="FFFFC000"/>
        </patternFill>
      </fill>
    </dxf>
    <dxf>
      <fill>
        <patternFill>
          <bgColor rgb="FF00B050"/>
        </patternFill>
      </fill>
    </dxf>
    <dxf>
      <fill>
        <patternFill>
          <bgColor rgb="FFFFC000"/>
        </patternFill>
      </fill>
    </dxf>
    <dxf>
      <fill>
        <patternFill>
          <bgColor rgb="FFFF0000"/>
        </patternFill>
      </fill>
    </dxf>
    <dxf>
      <fill>
        <patternFill>
          <bgColor rgb="FFFF0000"/>
        </patternFill>
      </fill>
    </dxf>
    <dxf>
      <fill>
        <patternFill>
          <bgColor rgb="FFFFC000"/>
        </patternFill>
      </fill>
    </dxf>
    <dxf>
      <fill>
        <patternFill>
          <bgColor rgb="FF00B050"/>
        </patternFill>
      </fill>
    </dxf>
    <dxf>
      <fill>
        <patternFill>
          <bgColor rgb="FF00B050"/>
        </patternFill>
      </fill>
    </dxf>
    <dxf>
      <fill>
        <patternFill>
          <bgColor rgb="FFFF0000"/>
        </patternFill>
      </fill>
    </dxf>
    <dxf>
      <fill>
        <patternFill>
          <bgColor rgb="FFFFC000"/>
        </patternFill>
      </fill>
    </dxf>
    <dxf>
      <fill>
        <patternFill>
          <bgColor rgb="FF00B050"/>
        </patternFill>
      </fill>
    </dxf>
    <dxf>
      <fill>
        <patternFill>
          <bgColor rgb="FFFF0000"/>
        </patternFill>
      </fill>
    </dxf>
    <dxf>
      <fill>
        <patternFill>
          <bgColor rgb="FFFFC000"/>
        </patternFill>
      </fill>
    </dxf>
    <dxf>
      <fill>
        <patternFill>
          <bgColor rgb="FF00B050"/>
        </patternFill>
      </fill>
    </dxf>
    <dxf>
      <fill>
        <patternFill>
          <bgColor rgb="FFFF0000"/>
        </patternFill>
      </fill>
    </dxf>
    <dxf>
      <fill>
        <patternFill>
          <bgColor rgb="FFFFC000"/>
        </patternFill>
      </fill>
    </dxf>
    <dxf>
      <fill>
        <patternFill>
          <bgColor rgb="FFFF0000"/>
        </patternFill>
      </fill>
    </dxf>
    <dxf>
      <fill>
        <patternFill>
          <bgColor rgb="FFFFC000"/>
        </patternFill>
      </fill>
    </dxf>
    <dxf>
      <fill>
        <patternFill>
          <bgColor rgb="FF00B050"/>
        </patternFill>
      </fill>
    </dxf>
    <dxf>
      <fill>
        <patternFill>
          <bgColor rgb="FFFF0000"/>
        </patternFill>
      </fill>
    </dxf>
    <dxf>
      <fill>
        <patternFill>
          <bgColor rgb="FFFFC000"/>
        </patternFill>
      </fill>
    </dxf>
    <dxf>
      <fill>
        <patternFill>
          <bgColor rgb="FF00B050"/>
        </patternFill>
      </fill>
    </dxf>
    <dxf>
      <fill>
        <patternFill>
          <bgColor rgb="FF00B050"/>
        </patternFill>
      </fill>
    </dxf>
    <dxf>
      <fill>
        <patternFill>
          <bgColor rgb="FFFF0000"/>
        </patternFill>
      </fill>
    </dxf>
    <dxf>
      <fill>
        <patternFill>
          <bgColor rgb="FFFFC000"/>
        </patternFill>
      </fill>
    </dxf>
    <dxf>
      <fill>
        <patternFill>
          <bgColor rgb="FF00B050"/>
        </patternFill>
      </fill>
    </dxf>
    <dxf>
      <fill>
        <patternFill>
          <bgColor rgb="FFFF0000"/>
        </patternFill>
      </fill>
    </dxf>
    <dxf>
      <fill>
        <patternFill>
          <bgColor rgb="FFFFC000"/>
        </patternFill>
      </fill>
    </dxf>
    <dxf>
      <fill>
        <patternFill>
          <bgColor rgb="FF00B050"/>
        </patternFill>
      </fill>
    </dxf>
    <dxf>
      <fill>
        <patternFill>
          <bgColor rgb="FFFF0000"/>
        </patternFill>
      </fill>
    </dxf>
    <dxf>
      <fill>
        <patternFill>
          <bgColor rgb="FFFFC000"/>
        </patternFill>
      </fill>
    </dxf>
    <dxf>
      <fill>
        <patternFill>
          <bgColor rgb="FF00B050"/>
        </patternFill>
      </fill>
    </dxf>
    <dxf>
      <fill>
        <patternFill>
          <bgColor rgb="FFFF0000"/>
        </patternFill>
      </fill>
    </dxf>
    <dxf>
      <fill>
        <patternFill>
          <bgColor rgb="FFFFC000"/>
        </patternFill>
      </fill>
    </dxf>
    <dxf>
      <fill>
        <patternFill>
          <bgColor rgb="FFFF0000"/>
        </patternFill>
      </fill>
    </dxf>
    <dxf>
      <fill>
        <patternFill>
          <bgColor rgb="FFFFC000"/>
        </patternFill>
      </fill>
    </dxf>
    <dxf>
      <fill>
        <patternFill>
          <bgColor rgb="FF00B050"/>
        </patternFill>
      </fill>
    </dxf>
    <dxf>
      <fill>
        <patternFill>
          <bgColor rgb="FF00B050"/>
        </patternFill>
      </fill>
    </dxf>
    <dxf>
      <fill>
        <patternFill>
          <bgColor rgb="FFFF0000"/>
        </patternFill>
      </fill>
    </dxf>
    <dxf>
      <fill>
        <patternFill>
          <bgColor rgb="FFFFC000"/>
        </patternFill>
      </fill>
    </dxf>
    <dxf>
      <font>
        <color theme="0"/>
      </font>
      <fill>
        <patternFill>
          <bgColor rgb="FF00B050"/>
        </patternFill>
      </fill>
    </dxf>
    <dxf>
      <font>
        <color theme="1"/>
      </font>
      <fill>
        <patternFill>
          <bgColor rgb="FFFFC000"/>
        </patternFill>
      </fill>
    </dxf>
    <dxf>
      <font>
        <color theme="0"/>
      </font>
      <fill>
        <patternFill>
          <bgColor rgb="FFCC0000"/>
        </patternFill>
      </fill>
    </dxf>
    <dxf>
      <font>
        <color theme="1"/>
      </font>
      <fill>
        <patternFill>
          <bgColor theme="0" tint="-4.9989318521683403E-2"/>
        </patternFill>
      </fill>
    </dxf>
    <dxf>
      <font>
        <color theme="1"/>
      </font>
      <fill>
        <patternFill>
          <bgColor theme="0" tint="-4.9989318521683403E-2"/>
        </patternFill>
      </fill>
    </dxf>
    <dxf>
      <font>
        <color theme="0"/>
      </font>
      <fill>
        <patternFill>
          <bgColor rgb="FFCC0000"/>
        </patternFill>
      </fill>
    </dxf>
    <dxf>
      <font>
        <color theme="1"/>
      </font>
      <fill>
        <patternFill>
          <bgColor rgb="FFFFC000"/>
        </patternFill>
      </fill>
    </dxf>
    <dxf>
      <font>
        <color theme="0"/>
      </font>
      <fill>
        <patternFill>
          <bgColor rgb="FF00B050"/>
        </patternFill>
      </fill>
    </dxf>
    <dxf>
      <font>
        <color theme="0"/>
      </font>
      <fill>
        <patternFill>
          <bgColor rgb="FFCC0000"/>
        </patternFill>
      </fill>
    </dxf>
    <dxf>
      <font>
        <color theme="1"/>
      </font>
      <fill>
        <patternFill>
          <bgColor rgb="FFFFC000"/>
        </patternFill>
      </fill>
    </dxf>
    <dxf>
      <font>
        <color theme="0"/>
      </font>
      <fill>
        <patternFill>
          <bgColor rgb="FF00B050"/>
        </patternFill>
      </fill>
    </dxf>
    <dxf>
      <font>
        <color theme="1"/>
      </font>
      <fill>
        <patternFill>
          <bgColor theme="0" tint="-4.9989318521683403E-2"/>
        </patternFill>
      </fill>
    </dxf>
    <dxf>
      <font>
        <color theme="0"/>
      </font>
      <fill>
        <patternFill>
          <bgColor rgb="FF00B050"/>
        </patternFill>
      </fill>
    </dxf>
    <dxf>
      <font>
        <color theme="0"/>
      </font>
      <fill>
        <patternFill>
          <bgColor rgb="FFCC0000"/>
        </patternFill>
      </fill>
    </dxf>
    <dxf>
      <font>
        <color theme="1"/>
      </font>
      <fill>
        <patternFill>
          <bgColor theme="0" tint="-4.9989318521683403E-2"/>
        </patternFill>
      </fill>
    </dxf>
    <dxf>
      <font>
        <color theme="1"/>
      </font>
      <fill>
        <patternFill>
          <bgColor rgb="FFFFC000"/>
        </patternFill>
      </fill>
    </dxf>
    <dxf>
      <font>
        <color theme="0"/>
      </font>
      <fill>
        <patternFill>
          <bgColor rgb="FFCC0000"/>
        </patternFill>
      </fill>
    </dxf>
    <dxf>
      <font>
        <color theme="1"/>
      </font>
      <fill>
        <patternFill>
          <bgColor rgb="FFFFC000"/>
        </patternFill>
      </fill>
    </dxf>
    <dxf>
      <font>
        <color theme="0"/>
      </font>
      <fill>
        <patternFill>
          <bgColor rgb="FF00B050"/>
        </patternFill>
      </fill>
    </dxf>
    <dxf>
      <font>
        <color theme="1"/>
      </font>
      <fill>
        <patternFill>
          <bgColor theme="0" tint="-4.9989318521683403E-2"/>
        </patternFill>
      </fill>
    </dxf>
    <dxf>
      <font>
        <color theme="1"/>
      </font>
      <fill>
        <patternFill>
          <bgColor theme="0" tint="-4.9989318521683403E-2"/>
        </patternFill>
      </fill>
    </dxf>
    <dxf>
      <font>
        <color theme="0"/>
      </font>
      <fill>
        <patternFill>
          <bgColor rgb="FF00B050"/>
        </patternFill>
      </fill>
    </dxf>
    <dxf>
      <font>
        <color theme="1"/>
      </font>
      <fill>
        <patternFill>
          <bgColor rgb="FFFFC000"/>
        </patternFill>
      </fill>
    </dxf>
    <dxf>
      <font>
        <color theme="0"/>
      </font>
      <fill>
        <patternFill>
          <bgColor rgb="FFCC0000"/>
        </patternFill>
      </fill>
    </dxf>
    <dxf>
      <font>
        <color theme="0"/>
      </font>
      <fill>
        <patternFill>
          <bgColor rgb="FFCC0000"/>
        </patternFill>
      </fill>
    </dxf>
    <dxf>
      <font>
        <color theme="1"/>
      </font>
      <fill>
        <patternFill>
          <bgColor theme="0" tint="-4.9989318521683403E-2"/>
        </patternFill>
      </fill>
    </dxf>
    <dxf>
      <font>
        <color theme="1"/>
      </font>
      <fill>
        <patternFill>
          <bgColor rgb="FFFFC000"/>
        </patternFill>
      </fill>
    </dxf>
    <dxf>
      <font>
        <color theme="0"/>
      </font>
      <fill>
        <patternFill>
          <bgColor rgb="FF00B050"/>
        </patternFill>
      </fill>
    </dxf>
    <dxf>
      <font>
        <color theme="1"/>
      </font>
      <fill>
        <patternFill>
          <bgColor theme="0" tint="-4.9989318521683403E-2"/>
        </patternFill>
      </fill>
    </dxf>
    <dxf>
      <font>
        <color theme="0"/>
      </font>
      <fill>
        <patternFill>
          <bgColor rgb="FF00B050"/>
        </patternFill>
      </fill>
    </dxf>
    <dxf>
      <font>
        <color theme="1"/>
      </font>
      <fill>
        <patternFill>
          <bgColor rgb="FFFFC000"/>
        </patternFill>
      </fill>
    </dxf>
    <dxf>
      <font>
        <color theme="0"/>
      </font>
      <fill>
        <patternFill>
          <bgColor rgb="FFCC0000"/>
        </patternFill>
      </fill>
    </dxf>
    <dxf>
      <font>
        <color theme="0"/>
      </font>
      <fill>
        <patternFill>
          <bgColor rgb="FF00B050"/>
        </patternFill>
      </fill>
    </dxf>
    <dxf>
      <font>
        <color theme="0"/>
      </font>
      <fill>
        <patternFill>
          <bgColor rgb="FFCC0000"/>
        </patternFill>
      </fill>
    </dxf>
    <dxf>
      <font>
        <color theme="1"/>
      </font>
      <fill>
        <patternFill>
          <bgColor theme="0" tint="-4.9989318521683403E-2"/>
        </patternFill>
      </fill>
    </dxf>
    <dxf>
      <font>
        <color theme="1"/>
      </font>
      <fill>
        <patternFill>
          <bgColor rgb="FFFFC000"/>
        </patternFill>
      </fill>
    </dxf>
    <dxf>
      <font>
        <color theme="0"/>
      </font>
      <fill>
        <patternFill>
          <bgColor rgb="FFCC0000"/>
        </patternFill>
      </fill>
    </dxf>
    <dxf>
      <font>
        <color theme="1"/>
      </font>
      <fill>
        <patternFill>
          <bgColor theme="0" tint="-4.9989318521683403E-2"/>
        </patternFill>
      </fill>
    </dxf>
    <dxf>
      <font>
        <color theme="0"/>
      </font>
      <fill>
        <patternFill>
          <bgColor rgb="FF00B050"/>
        </patternFill>
      </fill>
    </dxf>
    <dxf>
      <font>
        <color theme="1"/>
      </font>
      <fill>
        <patternFill>
          <bgColor rgb="FFFFC000"/>
        </patternFill>
      </fill>
    </dxf>
    <dxf>
      <font>
        <color theme="1"/>
      </font>
      <fill>
        <patternFill>
          <bgColor theme="0" tint="-4.9989318521683403E-2"/>
        </patternFill>
      </fill>
    </dxf>
    <dxf>
      <font>
        <color theme="1"/>
      </font>
      <fill>
        <patternFill>
          <bgColor rgb="FFFFC000"/>
        </patternFill>
      </fill>
    </dxf>
    <dxf>
      <font>
        <color theme="0"/>
      </font>
      <fill>
        <patternFill>
          <bgColor rgb="FFCC0000"/>
        </patternFill>
      </fill>
    </dxf>
    <dxf>
      <font>
        <color theme="0"/>
      </font>
      <fill>
        <patternFill>
          <bgColor rgb="FF00B050"/>
        </patternFill>
      </fill>
    </dxf>
    <dxf>
      <font>
        <color theme="0"/>
      </font>
      <fill>
        <patternFill>
          <bgColor rgb="FFCC0000"/>
        </patternFill>
      </fill>
    </dxf>
    <dxf>
      <font>
        <color theme="0"/>
      </font>
      <fill>
        <patternFill>
          <bgColor rgb="FF00B050"/>
        </patternFill>
      </fill>
    </dxf>
    <dxf>
      <font>
        <color theme="1"/>
      </font>
      <fill>
        <patternFill>
          <bgColor theme="0" tint="-4.9989318521683403E-2"/>
        </patternFill>
      </fill>
    </dxf>
    <dxf>
      <font>
        <color theme="1"/>
      </font>
      <fill>
        <patternFill>
          <bgColor rgb="FFFFC000"/>
        </patternFill>
      </fill>
    </dxf>
    <dxf>
      <font>
        <color theme="0"/>
      </font>
      <fill>
        <patternFill>
          <bgColor rgb="FF00B050"/>
        </patternFill>
      </fill>
    </dxf>
    <dxf>
      <font>
        <color theme="1"/>
      </font>
      <fill>
        <patternFill>
          <bgColor theme="0" tint="-4.9989318521683403E-2"/>
        </patternFill>
      </fill>
    </dxf>
    <dxf>
      <font>
        <color theme="0"/>
      </font>
      <fill>
        <patternFill>
          <bgColor rgb="FFCC0000"/>
        </patternFill>
      </fill>
    </dxf>
    <dxf>
      <font>
        <color theme="1"/>
      </font>
      <fill>
        <patternFill>
          <bgColor rgb="FFFFC000"/>
        </patternFill>
      </fill>
    </dxf>
    <dxf>
      <font>
        <color theme="0"/>
      </font>
      <fill>
        <patternFill>
          <bgColor rgb="FF00B050"/>
        </patternFill>
      </fill>
    </dxf>
    <dxf>
      <font>
        <color theme="1"/>
      </font>
      <fill>
        <patternFill>
          <bgColor theme="0" tint="-4.9989318521683403E-2"/>
        </patternFill>
      </fill>
    </dxf>
    <dxf>
      <font>
        <color theme="1"/>
      </font>
      <fill>
        <patternFill>
          <bgColor rgb="FFFFC000"/>
        </patternFill>
      </fill>
    </dxf>
    <dxf>
      <font>
        <color theme="0"/>
      </font>
      <fill>
        <patternFill>
          <bgColor rgb="FFCC0000"/>
        </patternFill>
      </fill>
    </dxf>
    <dxf>
      <font>
        <color theme="1"/>
      </font>
      <fill>
        <patternFill>
          <bgColor rgb="FFFFC000"/>
        </patternFill>
      </fill>
    </dxf>
    <dxf>
      <font>
        <color theme="0"/>
      </font>
      <fill>
        <patternFill>
          <bgColor rgb="FF00B050"/>
        </patternFill>
      </fill>
    </dxf>
    <dxf>
      <font>
        <color theme="1"/>
      </font>
      <fill>
        <patternFill>
          <bgColor theme="0" tint="-4.9989318521683403E-2"/>
        </patternFill>
      </fill>
    </dxf>
    <dxf>
      <font>
        <color theme="0"/>
      </font>
      <fill>
        <patternFill>
          <bgColor rgb="FFCC0000"/>
        </patternFill>
      </fill>
    </dxf>
    <dxf>
      <font>
        <color theme="0"/>
      </font>
      <fill>
        <patternFill>
          <bgColor rgb="FF00B050"/>
        </patternFill>
      </fill>
    </dxf>
    <dxf>
      <font>
        <color theme="1"/>
      </font>
      <fill>
        <patternFill>
          <bgColor theme="0" tint="-4.9989318521683403E-2"/>
        </patternFill>
      </fill>
    </dxf>
    <dxf>
      <font>
        <color theme="1"/>
      </font>
      <fill>
        <patternFill>
          <bgColor rgb="FFFFC000"/>
        </patternFill>
      </fill>
    </dxf>
    <dxf>
      <font>
        <color theme="0"/>
      </font>
      <fill>
        <patternFill>
          <bgColor rgb="FFCC0000"/>
        </patternFill>
      </fill>
    </dxf>
    <dxf>
      <font>
        <color theme="0"/>
      </font>
      <fill>
        <patternFill>
          <bgColor rgb="FFCC0000"/>
        </patternFill>
      </fill>
    </dxf>
    <dxf>
      <font>
        <color theme="1"/>
      </font>
      <fill>
        <patternFill>
          <bgColor theme="0" tint="-4.9989318521683403E-2"/>
        </patternFill>
      </fill>
    </dxf>
    <dxf>
      <font>
        <color theme="0"/>
      </font>
      <fill>
        <patternFill>
          <bgColor rgb="FF00B050"/>
        </patternFill>
      </fill>
    </dxf>
    <dxf>
      <font>
        <color theme="1"/>
      </font>
      <fill>
        <patternFill>
          <bgColor rgb="FFFFC000"/>
        </patternFill>
      </fill>
    </dxf>
    <dxf>
      <font>
        <color theme="1"/>
      </font>
      <fill>
        <patternFill>
          <bgColor rgb="FFFFC000"/>
        </patternFill>
      </fill>
    </dxf>
    <dxf>
      <font>
        <color theme="0"/>
      </font>
      <fill>
        <patternFill>
          <bgColor rgb="FF00B050"/>
        </patternFill>
      </fill>
    </dxf>
    <dxf>
      <font>
        <color theme="1"/>
      </font>
      <fill>
        <patternFill>
          <bgColor theme="0" tint="-4.9989318521683403E-2"/>
        </patternFill>
      </fill>
    </dxf>
    <dxf>
      <font>
        <color theme="0"/>
      </font>
      <fill>
        <patternFill>
          <bgColor rgb="FFCC0000"/>
        </patternFill>
      </fill>
    </dxf>
    <dxf>
      <font>
        <color theme="1"/>
      </font>
      <fill>
        <patternFill>
          <bgColor theme="0" tint="-4.9989318521683403E-2"/>
        </patternFill>
      </fill>
    </dxf>
    <dxf>
      <font>
        <color theme="0"/>
      </font>
      <fill>
        <patternFill>
          <bgColor rgb="FF00B050"/>
        </patternFill>
      </fill>
    </dxf>
    <dxf>
      <font>
        <color theme="0"/>
      </font>
      <fill>
        <patternFill>
          <bgColor rgb="FFCC0000"/>
        </patternFill>
      </fill>
    </dxf>
    <dxf>
      <font>
        <color theme="1"/>
      </font>
      <fill>
        <patternFill>
          <bgColor rgb="FFFFC000"/>
        </patternFill>
      </fill>
    </dxf>
    <dxf>
      <font>
        <color theme="1"/>
      </font>
      <fill>
        <patternFill>
          <bgColor theme="0" tint="-4.9989318521683403E-2"/>
        </patternFill>
      </fill>
    </dxf>
    <dxf>
      <font>
        <color theme="0"/>
      </font>
      <fill>
        <patternFill>
          <bgColor rgb="FFCC0000"/>
        </patternFill>
      </fill>
    </dxf>
    <dxf>
      <font>
        <color theme="1"/>
      </font>
      <fill>
        <patternFill>
          <bgColor rgb="FFFFC000"/>
        </patternFill>
      </fill>
    </dxf>
    <dxf>
      <font>
        <color theme="0"/>
      </font>
      <fill>
        <patternFill>
          <bgColor rgb="FF00B050"/>
        </patternFill>
      </fill>
    </dxf>
    <dxf>
      <font>
        <color theme="1"/>
      </font>
      <fill>
        <patternFill>
          <bgColor theme="0" tint="-4.9989318521683403E-2"/>
        </patternFill>
      </fill>
    </dxf>
    <dxf>
      <font>
        <color theme="0"/>
      </font>
      <fill>
        <patternFill>
          <bgColor rgb="FF00B050"/>
        </patternFill>
      </fill>
    </dxf>
    <dxf>
      <font>
        <color theme="0"/>
      </font>
      <fill>
        <patternFill>
          <bgColor rgb="FFCC0000"/>
        </patternFill>
      </fill>
    </dxf>
    <dxf>
      <font>
        <color theme="1"/>
      </font>
      <fill>
        <patternFill>
          <bgColor rgb="FFFFC000"/>
        </patternFill>
      </fill>
    </dxf>
    <dxf>
      <font>
        <color theme="0"/>
      </font>
      <fill>
        <patternFill>
          <bgColor rgb="FF00B050"/>
        </patternFill>
      </fill>
    </dxf>
    <dxf>
      <font>
        <color theme="0"/>
      </font>
      <fill>
        <patternFill>
          <bgColor rgb="FFCC0000"/>
        </patternFill>
      </fill>
    </dxf>
    <dxf>
      <font>
        <color theme="1"/>
      </font>
      <fill>
        <patternFill>
          <bgColor theme="0" tint="-4.9989318521683403E-2"/>
        </patternFill>
      </fill>
    </dxf>
    <dxf>
      <font>
        <color theme="1"/>
      </font>
      <fill>
        <patternFill>
          <bgColor rgb="FFFFC000"/>
        </patternFill>
      </fill>
    </dxf>
    <dxf>
      <font>
        <color theme="1"/>
      </font>
      <fill>
        <patternFill>
          <bgColor theme="0" tint="-4.9989318521683403E-2"/>
        </patternFill>
      </fill>
    </dxf>
    <dxf>
      <font>
        <color theme="1"/>
      </font>
      <fill>
        <patternFill>
          <bgColor rgb="FFFFC000"/>
        </patternFill>
      </fill>
    </dxf>
    <dxf>
      <font>
        <color theme="0"/>
      </font>
      <fill>
        <patternFill>
          <bgColor rgb="FFCC0000"/>
        </patternFill>
      </fill>
    </dxf>
    <dxf>
      <font>
        <color theme="0"/>
      </font>
      <fill>
        <patternFill>
          <bgColor rgb="FF00B050"/>
        </patternFill>
      </fill>
    </dxf>
    <dxf>
      <font>
        <color theme="1"/>
      </font>
      <fill>
        <patternFill>
          <bgColor theme="0" tint="-4.9989318521683403E-2"/>
        </patternFill>
      </fill>
    </dxf>
    <dxf>
      <font>
        <color theme="0"/>
      </font>
      <fill>
        <patternFill>
          <bgColor rgb="FF00B050"/>
        </patternFill>
      </fill>
    </dxf>
    <dxf>
      <font>
        <color theme="1"/>
      </font>
      <fill>
        <patternFill>
          <bgColor rgb="FFFFC000"/>
        </patternFill>
      </fill>
    </dxf>
    <dxf>
      <font>
        <color theme="0"/>
      </font>
      <fill>
        <patternFill>
          <bgColor rgb="FFCC0000"/>
        </patternFill>
      </fill>
    </dxf>
    <dxf>
      <font>
        <color theme="1"/>
      </font>
      <fill>
        <patternFill>
          <bgColor rgb="FFFFC000"/>
        </patternFill>
      </fill>
    </dxf>
    <dxf>
      <font>
        <color theme="1"/>
      </font>
      <fill>
        <patternFill>
          <bgColor theme="0" tint="-4.9989318521683403E-2"/>
        </patternFill>
      </fill>
    </dxf>
    <dxf>
      <font>
        <color theme="0"/>
      </font>
      <fill>
        <patternFill>
          <bgColor rgb="FF00B050"/>
        </patternFill>
      </fill>
    </dxf>
    <dxf>
      <font>
        <color theme="0"/>
      </font>
      <fill>
        <patternFill>
          <bgColor rgb="FFCC0000"/>
        </patternFill>
      </fill>
    </dxf>
    <dxf>
      <font>
        <color theme="1"/>
      </font>
      <fill>
        <patternFill>
          <bgColor rgb="FFFFC000"/>
        </patternFill>
      </fill>
    </dxf>
    <dxf>
      <font>
        <color theme="1"/>
      </font>
      <fill>
        <patternFill>
          <bgColor theme="0" tint="-4.9989318521683403E-2"/>
        </patternFill>
      </fill>
    </dxf>
    <dxf>
      <font>
        <color theme="0"/>
      </font>
      <fill>
        <patternFill>
          <bgColor rgb="FFCC0000"/>
        </patternFill>
      </fill>
    </dxf>
    <dxf>
      <font>
        <color theme="0"/>
      </font>
      <fill>
        <patternFill>
          <bgColor rgb="FF00B050"/>
        </patternFill>
      </fill>
    </dxf>
    <dxf>
      <font>
        <color theme="1"/>
      </font>
      <fill>
        <patternFill>
          <bgColor theme="0" tint="-4.9989318521683403E-2"/>
        </patternFill>
      </fill>
    </dxf>
    <dxf>
      <font>
        <color theme="0"/>
      </font>
      <fill>
        <patternFill>
          <bgColor rgb="FF00B050"/>
        </patternFill>
      </fill>
    </dxf>
    <dxf>
      <font>
        <color theme="1"/>
      </font>
      <fill>
        <patternFill>
          <bgColor rgb="FFFFC000"/>
        </patternFill>
      </fill>
    </dxf>
    <dxf>
      <font>
        <color theme="0"/>
      </font>
      <fill>
        <patternFill>
          <bgColor rgb="FFCC0000"/>
        </patternFill>
      </fill>
    </dxf>
    <dxf>
      <font>
        <color theme="0"/>
      </font>
      <fill>
        <patternFill>
          <bgColor rgb="FFCC0000"/>
        </patternFill>
      </fill>
    </dxf>
    <dxf>
      <font>
        <color theme="1"/>
      </font>
      <fill>
        <patternFill>
          <bgColor rgb="FFFFC000"/>
        </patternFill>
      </fill>
    </dxf>
    <dxf>
      <font>
        <color theme="0"/>
      </font>
      <fill>
        <patternFill>
          <bgColor rgb="FF00B050"/>
        </patternFill>
      </fill>
    </dxf>
    <dxf>
      <font>
        <color theme="1"/>
      </font>
      <fill>
        <patternFill>
          <bgColor theme="0" tint="-4.9989318521683403E-2"/>
        </patternFill>
      </fill>
    </dxf>
    <dxf>
      <font>
        <color theme="0"/>
      </font>
      <fill>
        <patternFill>
          <bgColor rgb="FFCC0000"/>
        </patternFill>
      </fill>
    </dxf>
    <dxf>
      <font>
        <color theme="0"/>
      </font>
      <fill>
        <patternFill>
          <bgColor rgb="FF00B050"/>
        </patternFill>
      </fill>
    </dxf>
    <dxf>
      <font>
        <color theme="1"/>
      </font>
      <fill>
        <patternFill>
          <bgColor theme="0" tint="-4.9989318521683403E-2"/>
        </patternFill>
      </fill>
    </dxf>
    <dxf>
      <font>
        <color theme="1"/>
      </font>
      <fill>
        <patternFill>
          <bgColor rgb="FFFFC000"/>
        </patternFill>
      </fill>
    </dxf>
    <dxf>
      <font>
        <color theme="0"/>
      </font>
      <fill>
        <patternFill>
          <bgColor rgb="FFCC0000"/>
        </patternFill>
      </fill>
    </dxf>
    <dxf>
      <font>
        <color theme="1"/>
      </font>
      <fill>
        <patternFill>
          <bgColor theme="0" tint="-4.9989318521683403E-2"/>
        </patternFill>
      </fill>
    </dxf>
    <dxf>
      <font>
        <color theme="1"/>
      </font>
      <fill>
        <patternFill>
          <bgColor rgb="FFFFC000"/>
        </patternFill>
      </fill>
    </dxf>
    <dxf>
      <font>
        <color theme="0"/>
      </font>
      <fill>
        <patternFill>
          <bgColor rgb="FF00B050"/>
        </patternFill>
      </fill>
    </dxf>
    <dxf>
      <font>
        <color theme="1"/>
      </font>
      <fill>
        <patternFill>
          <bgColor rgb="FFFFC000"/>
        </patternFill>
      </fill>
    </dxf>
    <dxf>
      <font>
        <color theme="0"/>
      </font>
      <fill>
        <patternFill>
          <bgColor rgb="FF00B050"/>
        </patternFill>
      </fill>
    </dxf>
    <dxf>
      <font>
        <color theme="1"/>
      </font>
      <fill>
        <patternFill>
          <bgColor theme="0" tint="-4.9989318521683403E-2"/>
        </patternFill>
      </fill>
    </dxf>
    <dxf>
      <font>
        <color theme="0"/>
      </font>
      <fill>
        <patternFill>
          <bgColor rgb="FFCC0000"/>
        </patternFill>
      </fill>
    </dxf>
    <dxf>
      <font>
        <color theme="0"/>
      </font>
      <fill>
        <patternFill>
          <bgColor rgb="FFCC0000"/>
        </patternFill>
      </fill>
    </dxf>
    <dxf>
      <font>
        <color theme="1"/>
      </font>
      <fill>
        <patternFill>
          <bgColor theme="0" tint="-4.9989318521683403E-2"/>
        </patternFill>
      </fill>
    </dxf>
    <dxf>
      <font>
        <color theme="0"/>
      </font>
      <fill>
        <patternFill>
          <bgColor rgb="FF00B050"/>
        </patternFill>
      </fill>
    </dxf>
    <dxf>
      <font>
        <color theme="1"/>
      </font>
      <fill>
        <patternFill>
          <bgColor rgb="FFFFC000"/>
        </patternFill>
      </fill>
    </dxf>
    <dxf>
      <font>
        <color theme="0"/>
      </font>
      <fill>
        <patternFill>
          <bgColor rgb="FFCC0000"/>
        </patternFill>
      </fill>
    </dxf>
    <dxf>
      <font>
        <color theme="1"/>
      </font>
      <fill>
        <patternFill>
          <bgColor rgb="FFFFC000"/>
        </patternFill>
      </fill>
    </dxf>
    <dxf>
      <font>
        <color theme="0"/>
      </font>
      <fill>
        <patternFill>
          <bgColor rgb="FF00B050"/>
        </patternFill>
      </fill>
    </dxf>
    <dxf>
      <font>
        <color theme="1"/>
      </font>
      <fill>
        <patternFill>
          <bgColor theme="0" tint="-4.9989318521683403E-2"/>
        </patternFill>
      </fill>
    </dxf>
    <dxf>
      <font>
        <color theme="1"/>
      </font>
      <fill>
        <patternFill>
          <bgColor theme="0" tint="-4.9989318521683403E-2"/>
        </patternFill>
      </fill>
    </dxf>
    <dxf>
      <font>
        <color theme="0"/>
      </font>
      <fill>
        <patternFill>
          <bgColor rgb="FF00B050"/>
        </patternFill>
      </fill>
    </dxf>
    <dxf>
      <font>
        <color theme="1"/>
      </font>
      <fill>
        <patternFill>
          <bgColor rgb="FFFFC000"/>
        </patternFill>
      </fill>
    </dxf>
    <dxf>
      <font>
        <color theme="0"/>
      </font>
      <fill>
        <patternFill>
          <bgColor rgb="FFCC0000"/>
        </patternFill>
      </fill>
    </dxf>
    <dxf>
      <font>
        <color theme="0"/>
      </font>
      <fill>
        <patternFill>
          <bgColor rgb="FF00B050"/>
        </patternFill>
      </fill>
    </dxf>
    <dxf>
      <font>
        <color theme="0"/>
      </font>
      <fill>
        <patternFill>
          <bgColor rgb="FFCC0000"/>
        </patternFill>
      </fill>
    </dxf>
    <dxf>
      <font>
        <color theme="1"/>
      </font>
      <fill>
        <patternFill>
          <bgColor rgb="FFFFC000"/>
        </patternFill>
      </fill>
    </dxf>
    <dxf>
      <font>
        <color theme="1"/>
      </font>
      <fill>
        <patternFill>
          <bgColor theme="0" tint="-4.9989318521683403E-2"/>
        </patternFill>
      </fill>
    </dxf>
    <dxf>
      <font>
        <color theme="1"/>
      </font>
      <fill>
        <patternFill>
          <bgColor rgb="FFFFC000"/>
        </patternFill>
      </fill>
    </dxf>
    <dxf>
      <font>
        <color theme="0"/>
      </font>
      <fill>
        <patternFill>
          <bgColor rgb="FF00B050"/>
        </patternFill>
      </fill>
    </dxf>
    <dxf>
      <font>
        <color theme="1"/>
      </font>
      <fill>
        <patternFill>
          <bgColor theme="0" tint="-4.9989318521683403E-2"/>
        </patternFill>
      </fill>
    </dxf>
    <dxf>
      <font>
        <color theme="0"/>
      </font>
      <fill>
        <patternFill>
          <bgColor rgb="FFCC0000"/>
        </patternFill>
      </fill>
    </dxf>
    <dxf>
      <font>
        <color theme="1"/>
      </font>
      <fill>
        <patternFill>
          <bgColor theme="0" tint="-4.9989318521683403E-2"/>
        </patternFill>
      </fill>
    </dxf>
    <dxf>
      <font>
        <color theme="1"/>
      </font>
      <fill>
        <patternFill>
          <bgColor rgb="FFFFC000"/>
        </patternFill>
      </fill>
    </dxf>
    <dxf>
      <font>
        <color theme="0"/>
      </font>
      <fill>
        <patternFill>
          <bgColor rgb="FFCC0000"/>
        </patternFill>
      </fill>
    </dxf>
    <dxf>
      <font>
        <color theme="0"/>
      </font>
      <fill>
        <patternFill>
          <bgColor rgb="FF00B050"/>
        </patternFill>
      </fill>
    </dxf>
    <dxf>
      <font>
        <color rgb="FFCC0000"/>
      </font>
      <fill>
        <patternFill>
          <bgColor theme="0" tint="-4.9989318521683403E-2"/>
        </patternFill>
      </fill>
    </dxf>
    <dxf>
      <font>
        <color rgb="FFFFC000"/>
      </font>
      <fill>
        <patternFill>
          <bgColor theme="0" tint="-4.9989318521683403E-2"/>
        </patternFill>
      </fill>
    </dxf>
    <dxf>
      <font>
        <color rgb="FFCC0000"/>
      </font>
      <fill>
        <patternFill>
          <bgColor theme="0" tint="-4.9989318521683403E-2"/>
        </patternFill>
      </fill>
    </dxf>
    <dxf>
      <font>
        <color rgb="FFFFC000"/>
      </font>
      <fill>
        <patternFill>
          <bgColor theme="0" tint="-4.9989318521683403E-2"/>
        </patternFill>
      </fill>
    </dxf>
    <dxf>
      <font>
        <color rgb="FFFFC000"/>
      </font>
      <fill>
        <patternFill>
          <bgColor theme="0" tint="-4.9989318521683403E-2"/>
        </patternFill>
      </fill>
    </dxf>
    <dxf>
      <font>
        <color rgb="FFCC0000"/>
      </font>
      <fill>
        <patternFill patternType="solid">
          <bgColor theme="0" tint="-4.9989318521683403E-2"/>
        </patternFill>
      </fill>
    </dxf>
    <dxf>
      <font>
        <color rgb="FF00B050"/>
      </font>
      <fill>
        <patternFill patternType="solid">
          <bgColor theme="0" tint="-4.9989318521683403E-2"/>
        </patternFill>
      </fill>
    </dxf>
    <dxf>
      <font>
        <color rgb="FFFFC000"/>
      </font>
      <fill>
        <patternFill patternType="solid">
          <bgColor theme="0" tint="-4.9989318521683403E-2"/>
        </patternFill>
      </fill>
    </dxf>
    <dxf>
      <font>
        <color rgb="FFCC0000"/>
      </font>
      <fill>
        <patternFill patternType="solid">
          <bgColor theme="0" tint="-4.9989318521683403E-2"/>
        </patternFill>
      </fill>
    </dxf>
    <dxf>
      <font>
        <color rgb="FFFFC000"/>
      </font>
      <fill>
        <patternFill patternType="solid">
          <bgColor theme="0" tint="-4.9989318521683403E-2"/>
        </patternFill>
      </fill>
    </dxf>
    <dxf>
      <font>
        <color rgb="FF00B050"/>
      </font>
      <fill>
        <patternFill patternType="solid">
          <bgColor theme="0" tint="-4.9989318521683403E-2"/>
        </patternFill>
      </fill>
    </dxf>
    <dxf>
      <font>
        <color rgb="FFCC0000"/>
      </font>
      <fill>
        <patternFill patternType="solid">
          <bgColor theme="0" tint="-4.9989318521683403E-2"/>
        </patternFill>
      </fill>
    </dxf>
    <dxf>
      <font>
        <color rgb="FFFFC000"/>
      </font>
      <fill>
        <patternFill patternType="solid">
          <bgColor theme="0" tint="-4.9989318521683403E-2"/>
        </patternFill>
      </fill>
    </dxf>
    <dxf>
      <font>
        <color rgb="FF00B050"/>
      </font>
      <fill>
        <patternFill patternType="solid">
          <bgColor theme="0" tint="-4.9989318521683403E-2"/>
        </patternFill>
      </fill>
    </dxf>
    <dxf>
      <font>
        <color rgb="FFFFC000"/>
      </font>
      <fill>
        <patternFill patternType="solid">
          <bgColor theme="0" tint="-4.9989318521683403E-2"/>
        </patternFill>
      </fill>
    </dxf>
    <dxf>
      <font>
        <color rgb="FFCC0000"/>
      </font>
      <fill>
        <patternFill patternType="solid">
          <bgColor theme="0" tint="-4.9989318521683403E-2"/>
        </patternFill>
      </fill>
    </dxf>
    <dxf>
      <font>
        <color rgb="FF00B050"/>
      </font>
      <fill>
        <patternFill patternType="solid">
          <bgColor theme="0" tint="-4.9989318521683403E-2"/>
        </patternFill>
      </fill>
    </dxf>
    <dxf>
      <font>
        <color rgb="FF00B050"/>
      </font>
      <fill>
        <patternFill patternType="solid">
          <bgColor theme="0" tint="-4.9989318521683403E-2"/>
        </patternFill>
      </fill>
    </dxf>
    <dxf>
      <font>
        <color rgb="FFCC0000"/>
      </font>
      <fill>
        <patternFill patternType="solid">
          <bgColor theme="0" tint="-4.9989318521683403E-2"/>
        </patternFill>
      </fill>
    </dxf>
    <dxf>
      <font>
        <color rgb="FFFFC000"/>
      </font>
      <fill>
        <patternFill patternType="solid">
          <bgColor theme="0" tint="-4.9989318521683403E-2"/>
        </patternFill>
      </fill>
    </dxf>
    <dxf>
      <font>
        <color rgb="FF00B050"/>
      </font>
      <fill>
        <patternFill>
          <bgColor theme="0" tint="-4.9989318521683403E-2"/>
        </patternFill>
      </fill>
    </dxf>
    <dxf>
      <font>
        <color rgb="FFFFC000"/>
      </font>
      <fill>
        <patternFill>
          <bgColor theme="0" tint="-4.9989318521683403E-2"/>
        </patternFill>
      </fill>
    </dxf>
    <dxf>
      <font>
        <color rgb="FFCC0000"/>
      </font>
      <fill>
        <patternFill>
          <bgColor theme="0" tint="-4.9989318521683403E-2"/>
        </patternFill>
      </fill>
    </dxf>
    <dxf>
      <font>
        <color rgb="FFCC0000"/>
      </font>
      <fill>
        <patternFill>
          <bgColor theme="0" tint="-4.9989318521683403E-2"/>
        </patternFill>
      </fill>
    </dxf>
    <dxf>
      <font>
        <color rgb="FF00B050"/>
      </font>
      <fill>
        <patternFill>
          <bgColor theme="0" tint="-4.9989318521683403E-2"/>
        </patternFill>
      </fill>
    </dxf>
    <dxf>
      <font>
        <color rgb="FFFFC000"/>
      </font>
      <fill>
        <patternFill>
          <bgColor theme="0" tint="-4.9989318521683403E-2"/>
        </patternFill>
      </fill>
    </dxf>
    <dxf>
      <font>
        <color rgb="FF00B050"/>
      </font>
      <fill>
        <patternFill>
          <bgColor theme="0" tint="-4.9989318521683403E-2"/>
        </patternFill>
      </fill>
    </dxf>
    <dxf>
      <font>
        <color rgb="FFCC0000"/>
      </font>
      <fill>
        <patternFill>
          <bgColor theme="0" tint="-4.9989318521683403E-2"/>
        </patternFill>
      </fill>
    </dxf>
    <dxf>
      <font>
        <color rgb="FF00B050"/>
      </font>
      <fill>
        <patternFill>
          <bgColor theme="0" tint="-4.9989318521683403E-2"/>
        </patternFill>
      </fill>
    </dxf>
    <dxf>
      <font>
        <color rgb="FFCC0000"/>
      </font>
      <fill>
        <patternFill>
          <bgColor theme="0" tint="-4.9989318521683403E-2"/>
        </patternFill>
      </fill>
    </dxf>
    <dxf>
      <font>
        <color rgb="FFFFC000"/>
      </font>
      <fill>
        <patternFill>
          <bgColor theme="0" tint="-4.9989318521683403E-2"/>
        </patternFill>
      </fill>
    </dxf>
    <dxf>
      <font>
        <color rgb="FFFFC000"/>
      </font>
      <fill>
        <patternFill>
          <bgColor theme="0" tint="-4.9989318521683403E-2"/>
        </patternFill>
      </fill>
    </dxf>
    <dxf>
      <font>
        <color rgb="FFCC0000"/>
      </font>
      <fill>
        <patternFill>
          <bgColor theme="0" tint="-4.9989318521683403E-2"/>
        </patternFill>
      </fill>
    </dxf>
    <dxf>
      <font>
        <color rgb="FF00B050"/>
      </font>
      <fill>
        <patternFill>
          <bgColor theme="0" tint="-4.9989318521683403E-2"/>
        </patternFill>
      </fill>
    </dxf>
    <dxf>
      <font>
        <color rgb="FFFFC000"/>
      </font>
      <fill>
        <patternFill>
          <bgColor theme="0" tint="-4.9989318521683403E-2"/>
        </patternFill>
      </fill>
    </dxf>
    <dxf>
      <font>
        <color rgb="FFCC0000"/>
      </font>
      <fill>
        <patternFill>
          <bgColor theme="0" tint="-4.9989318521683403E-2"/>
        </patternFill>
      </fill>
    </dxf>
    <dxf>
      <font>
        <color rgb="FF00B050"/>
      </font>
      <fill>
        <patternFill>
          <bgColor theme="0" tint="-4.9989318521683403E-2"/>
        </patternFill>
      </fill>
    </dxf>
    <dxf>
      <font>
        <color rgb="FF00B050"/>
      </font>
      <fill>
        <patternFill>
          <bgColor theme="0" tint="-4.9989318521683403E-2"/>
        </patternFill>
      </fill>
    </dxf>
    <dxf>
      <font>
        <color rgb="FFCC0000"/>
      </font>
      <fill>
        <patternFill>
          <bgColor theme="0" tint="-4.9989318521683403E-2"/>
        </patternFill>
      </fill>
    </dxf>
    <dxf>
      <font>
        <color rgb="FFFFC000"/>
      </font>
      <fill>
        <patternFill>
          <bgColor theme="0" tint="-4.9989318521683403E-2"/>
        </patternFill>
      </fill>
    </dxf>
    <dxf>
      <font>
        <color rgb="FF00B050"/>
      </font>
      <fill>
        <patternFill>
          <bgColor theme="0" tint="-4.9989318521683403E-2"/>
        </patternFill>
      </fill>
    </dxf>
    <dxf>
      <font>
        <color rgb="FFFFC000"/>
      </font>
      <fill>
        <patternFill>
          <bgColor theme="0" tint="-4.9989318521683403E-2"/>
        </patternFill>
      </fill>
    </dxf>
    <dxf>
      <font>
        <color rgb="FFCC0000"/>
      </font>
      <fill>
        <patternFill>
          <bgColor theme="0" tint="-4.9989318521683403E-2"/>
        </patternFill>
      </fill>
    </dxf>
    <dxf>
      <font>
        <color rgb="FFFFC000"/>
      </font>
      <fill>
        <patternFill>
          <bgColor theme="0" tint="-4.9989318521683403E-2"/>
        </patternFill>
      </fill>
    </dxf>
    <dxf>
      <font>
        <color rgb="FF00B050"/>
      </font>
      <fill>
        <patternFill>
          <bgColor theme="0" tint="-4.9989318521683403E-2"/>
        </patternFill>
      </fill>
    </dxf>
    <dxf>
      <font>
        <color rgb="FFCC0000"/>
      </font>
      <fill>
        <patternFill>
          <bgColor theme="0" tint="-4.9989318521683403E-2"/>
        </patternFill>
      </fill>
    </dxf>
    <dxf>
      <font>
        <color rgb="FF00B050"/>
      </font>
      <fill>
        <patternFill>
          <bgColor theme="0" tint="-4.9989318521683403E-2"/>
        </patternFill>
      </fill>
    </dxf>
    <dxf>
      <font>
        <color rgb="FFFFC000"/>
      </font>
      <fill>
        <patternFill>
          <bgColor theme="0" tint="-4.9989318521683403E-2"/>
        </patternFill>
      </fill>
    </dxf>
    <dxf>
      <font>
        <color rgb="FFCC0000"/>
      </font>
      <fill>
        <patternFill>
          <bgColor theme="0" tint="-4.9989318521683403E-2"/>
        </patternFill>
      </fill>
    </dxf>
    <dxf>
      <font>
        <color rgb="FF00B050"/>
      </font>
      <fill>
        <patternFill>
          <bgColor theme="0" tint="-4.9989318521683403E-2"/>
        </patternFill>
      </fill>
    </dxf>
    <dxf>
      <font>
        <color rgb="FFCC0000"/>
      </font>
      <fill>
        <patternFill>
          <bgColor theme="0" tint="-4.9989318521683403E-2"/>
        </patternFill>
      </fill>
    </dxf>
    <dxf>
      <font>
        <color rgb="FFFFC000"/>
      </font>
      <fill>
        <patternFill>
          <bgColor theme="0" tint="-4.9989318521683403E-2"/>
        </patternFill>
      </fill>
    </dxf>
    <dxf>
      <font>
        <color rgb="FFFFC000"/>
      </font>
      <fill>
        <patternFill>
          <bgColor theme="0" tint="-4.9989318521683403E-2"/>
        </patternFill>
      </fill>
    </dxf>
    <dxf>
      <font>
        <color rgb="FF00B050"/>
      </font>
      <fill>
        <patternFill>
          <bgColor theme="0" tint="-4.9989318521683403E-2"/>
        </patternFill>
      </fill>
    </dxf>
    <dxf>
      <font>
        <color rgb="FFCC0000"/>
      </font>
      <fill>
        <patternFill>
          <bgColor theme="0" tint="-4.9989318521683403E-2"/>
        </patternFill>
      </fill>
    </dxf>
    <dxf>
      <font>
        <color rgb="FF00B050"/>
      </font>
      <fill>
        <patternFill>
          <bgColor theme="0" tint="-4.9989318521683403E-2"/>
        </patternFill>
      </fill>
    </dxf>
    <dxf>
      <font>
        <color rgb="FFCC0000"/>
      </font>
      <fill>
        <patternFill>
          <bgColor theme="0" tint="-4.9989318521683403E-2"/>
        </patternFill>
      </fill>
    </dxf>
    <dxf>
      <font>
        <color rgb="FFFFC000"/>
      </font>
      <fill>
        <patternFill>
          <bgColor theme="0" tint="-4.9989318521683403E-2"/>
        </patternFill>
      </fill>
    </dxf>
    <dxf>
      <font>
        <color rgb="FF00B050"/>
      </font>
      <fill>
        <patternFill>
          <bgColor theme="0" tint="-4.9989318521683403E-2"/>
        </patternFill>
      </fill>
    </dxf>
    <dxf>
      <font>
        <color rgb="FFCC0000"/>
      </font>
      <fill>
        <patternFill>
          <bgColor theme="0" tint="-4.9989318521683403E-2"/>
        </patternFill>
      </fill>
    </dxf>
    <dxf>
      <font>
        <color rgb="FFFFC000"/>
      </font>
      <fill>
        <patternFill>
          <bgColor theme="0" tint="-4.9989318521683403E-2"/>
        </patternFill>
      </fill>
    </dxf>
    <dxf>
      <font>
        <color rgb="FF00B050"/>
      </font>
      <fill>
        <patternFill>
          <bgColor theme="0" tint="-4.9989318521683403E-2"/>
        </patternFill>
      </fill>
    </dxf>
    <dxf>
      <font>
        <color rgb="FFFFC000"/>
      </font>
      <fill>
        <patternFill>
          <bgColor theme="0" tint="-4.9989318521683403E-2"/>
        </patternFill>
      </fill>
    </dxf>
    <dxf>
      <font>
        <color rgb="FFCC0000"/>
      </font>
      <fill>
        <patternFill>
          <bgColor theme="0" tint="-4.9989318521683403E-2"/>
        </patternFill>
      </fill>
    </dxf>
    <dxf>
      <font>
        <color rgb="FF00B050"/>
      </font>
      <fill>
        <patternFill>
          <bgColor theme="0" tint="-4.9989318521683403E-2"/>
        </patternFill>
      </fill>
    </dxf>
    <dxf>
      <font>
        <color rgb="FFFFC000"/>
      </font>
      <fill>
        <patternFill>
          <bgColor theme="0" tint="-4.9989318521683403E-2"/>
        </patternFill>
      </fill>
    </dxf>
    <dxf>
      <font>
        <color rgb="FFCC0000"/>
      </font>
      <fill>
        <patternFill>
          <bgColor theme="0" tint="-4.9989318521683403E-2"/>
        </patternFill>
      </fill>
    </dxf>
    <dxf>
      <font>
        <color rgb="FFFFC000"/>
      </font>
      <fill>
        <patternFill>
          <bgColor theme="0" tint="-4.9989318521683403E-2"/>
        </patternFill>
      </fill>
    </dxf>
    <dxf>
      <font>
        <color rgb="FFCC0000"/>
      </font>
      <fill>
        <patternFill>
          <bgColor theme="0" tint="-4.9989318521683403E-2"/>
        </patternFill>
      </fill>
    </dxf>
    <dxf>
      <font>
        <color rgb="FF00B050"/>
      </font>
      <fill>
        <patternFill>
          <bgColor theme="0" tint="-4.9989318521683403E-2"/>
        </patternFill>
      </fill>
    </dxf>
    <dxf>
      <font>
        <color rgb="FFCC0000"/>
      </font>
      <fill>
        <patternFill>
          <bgColor theme="0" tint="-4.9989318521683403E-2"/>
        </patternFill>
      </fill>
    </dxf>
    <dxf>
      <font>
        <color rgb="FFFFC000"/>
      </font>
      <fill>
        <patternFill>
          <bgColor theme="0" tint="-4.9989318521683403E-2"/>
        </patternFill>
      </fill>
    </dxf>
    <dxf>
      <font>
        <color rgb="FF00B050"/>
      </font>
      <fill>
        <patternFill>
          <bgColor theme="0" tint="-4.9989318521683403E-2"/>
        </patternFill>
      </fill>
    </dxf>
    <dxf>
      <font>
        <color rgb="FFFFC000"/>
      </font>
      <fill>
        <patternFill>
          <bgColor theme="0" tint="-4.9989318521683403E-2"/>
        </patternFill>
      </fill>
    </dxf>
    <dxf>
      <font>
        <color rgb="FF00B050"/>
      </font>
      <fill>
        <patternFill>
          <bgColor theme="0" tint="-4.9989318521683403E-2"/>
        </patternFill>
      </fill>
    </dxf>
    <dxf>
      <font>
        <color rgb="FFCC0000"/>
      </font>
      <fill>
        <patternFill>
          <bgColor theme="0" tint="-4.9989318521683403E-2"/>
        </patternFill>
      </fill>
    </dxf>
    <dxf>
      <font>
        <color rgb="FFFFC000"/>
      </font>
      <fill>
        <patternFill>
          <bgColor theme="0" tint="-4.9989318521683403E-2"/>
        </patternFill>
      </fill>
    </dxf>
    <dxf>
      <font>
        <color rgb="FF00B050"/>
      </font>
      <fill>
        <patternFill>
          <bgColor theme="0" tint="-4.9989318521683403E-2"/>
        </patternFill>
      </fill>
    </dxf>
    <dxf>
      <font>
        <color rgb="FFCC0000"/>
      </font>
      <fill>
        <patternFill>
          <bgColor theme="0" tint="-4.9989318521683403E-2"/>
        </patternFill>
      </fill>
    </dxf>
    <dxf>
      <font>
        <color rgb="FFFFC000"/>
      </font>
      <fill>
        <patternFill>
          <bgColor theme="0" tint="-4.9989318521683403E-2"/>
        </patternFill>
      </fill>
    </dxf>
    <dxf>
      <font>
        <color rgb="FFCC0000"/>
      </font>
      <fill>
        <patternFill>
          <bgColor theme="0" tint="-4.9989318521683403E-2"/>
        </patternFill>
      </fill>
    </dxf>
    <dxf>
      <font>
        <color rgb="FF00B050"/>
      </font>
      <fill>
        <patternFill>
          <bgColor theme="0" tint="-4.9989318521683403E-2"/>
        </patternFill>
      </fill>
    </dxf>
    <dxf>
      <font>
        <color rgb="FF00B050"/>
      </font>
      <fill>
        <patternFill>
          <bgColor theme="0" tint="-4.9989318521683403E-2"/>
        </patternFill>
      </fill>
    </dxf>
    <dxf>
      <font>
        <color rgb="FFCC0000"/>
      </font>
      <fill>
        <patternFill>
          <bgColor theme="0" tint="-4.9989318521683403E-2"/>
        </patternFill>
      </fill>
    </dxf>
    <dxf>
      <font>
        <color rgb="FFFFC000"/>
      </font>
      <fill>
        <patternFill>
          <bgColor theme="0" tint="-4.9989318521683403E-2"/>
        </patternFill>
      </fill>
    </dxf>
    <dxf>
      <font>
        <color rgb="FFCC0000"/>
      </font>
      <fill>
        <patternFill>
          <bgColor theme="0" tint="-4.9989318521683403E-2"/>
        </patternFill>
      </fill>
    </dxf>
    <dxf>
      <font>
        <color rgb="FFFFC000"/>
      </font>
      <fill>
        <patternFill>
          <bgColor theme="0" tint="-4.9989318521683403E-2"/>
        </patternFill>
      </fill>
    </dxf>
    <dxf>
      <font>
        <color rgb="FF00B050"/>
      </font>
      <fill>
        <patternFill>
          <bgColor theme="0" tint="-4.9989318521683403E-2"/>
        </patternFill>
      </fill>
    </dxf>
    <dxf>
      <font>
        <color rgb="FF00B050"/>
      </font>
      <fill>
        <patternFill>
          <bgColor theme="0" tint="-4.9989318521683403E-2"/>
        </patternFill>
      </fill>
    </dxf>
    <dxf>
      <font>
        <color rgb="FFCC0000"/>
      </font>
      <fill>
        <patternFill>
          <bgColor theme="0" tint="-4.9989318521683403E-2"/>
        </patternFill>
      </fill>
    </dxf>
    <dxf>
      <font>
        <color rgb="FFFFC000"/>
      </font>
      <fill>
        <patternFill>
          <bgColor theme="0" tint="-4.9989318521683403E-2"/>
        </patternFill>
      </fill>
    </dxf>
    <dxf>
      <font>
        <color rgb="FFCC0000"/>
      </font>
      <fill>
        <patternFill>
          <bgColor theme="0" tint="-4.9989318521683403E-2"/>
        </patternFill>
      </fill>
    </dxf>
    <dxf>
      <font>
        <color rgb="FF00B050"/>
      </font>
      <fill>
        <patternFill>
          <bgColor theme="0" tint="-4.9989318521683403E-2"/>
        </patternFill>
      </fill>
    </dxf>
    <dxf>
      <font>
        <color rgb="FFFFC000"/>
      </font>
      <fill>
        <patternFill>
          <bgColor theme="0" tint="-4.9989318521683403E-2"/>
        </patternFill>
      </fill>
    </dxf>
    <dxf>
      <font>
        <color rgb="FFFFC000"/>
      </font>
      <fill>
        <patternFill>
          <bgColor theme="0" tint="-4.9989318521683403E-2"/>
        </patternFill>
      </fill>
    </dxf>
    <dxf>
      <font>
        <color rgb="FF00B050"/>
      </font>
      <fill>
        <patternFill>
          <bgColor theme="0" tint="-4.9989318521683403E-2"/>
        </patternFill>
      </fill>
    </dxf>
    <dxf>
      <font>
        <color rgb="FFCC0000"/>
      </font>
      <fill>
        <patternFill>
          <bgColor theme="0" tint="-4.9989318521683403E-2"/>
        </patternFill>
      </fill>
    </dxf>
    <dxf>
      <font>
        <color rgb="FFFFC000"/>
      </font>
      <fill>
        <patternFill>
          <bgColor theme="0" tint="-4.9989318521683403E-2"/>
        </patternFill>
      </fill>
    </dxf>
    <dxf>
      <font>
        <color rgb="FF00B050"/>
      </font>
      <fill>
        <patternFill>
          <bgColor theme="0" tint="-4.9989318521683403E-2"/>
        </patternFill>
      </fill>
    </dxf>
    <dxf>
      <font>
        <color rgb="FFCC0000"/>
      </font>
      <fill>
        <patternFill>
          <bgColor theme="0" tint="-4.9989318521683403E-2"/>
        </patternFill>
      </fill>
    </dxf>
    <dxf>
      <font>
        <color rgb="FFFFC000"/>
      </font>
      <fill>
        <patternFill>
          <bgColor theme="0" tint="-4.9989318521683403E-2"/>
        </patternFill>
      </fill>
    </dxf>
    <dxf>
      <font>
        <color rgb="FFCC0000"/>
      </font>
      <fill>
        <patternFill>
          <bgColor theme="0" tint="-4.9989318521683403E-2"/>
        </patternFill>
      </fill>
    </dxf>
    <dxf>
      <font>
        <color rgb="FF00B050"/>
      </font>
      <fill>
        <patternFill>
          <bgColor theme="0" tint="-4.9989318521683403E-2"/>
        </patternFill>
      </fill>
    </dxf>
    <dxf>
      <font>
        <color rgb="FFFFC000"/>
      </font>
      <fill>
        <patternFill>
          <bgColor theme="0" tint="-4.9989318521683403E-2"/>
        </patternFill>
      </fill>
    </dxf>
    <dxf>
      <font>
        <color rgb="FF00B050"/>
      </font>
      <fill>
        <patternFill>
          <bgColor theme="0" tint="-4.9989318521683403E-2"/>
        </patternFill>
      </fill>
    </dxf>
    <dxf>
      <font>
        <color rgb="FFCC0000"/>
      </font>
      <fill>
        <patternFill>
          <bgColor theme="0" tint="-4.9989318521683403E-2"/>
        </patternFill>
      </fill>
    </dxf>
    <dxf>
      <font>
        <color rgb="FFCC0000"/>
      </font>
      <fill>
        <patternFill>
          <bgColor theme="0" tint="-4.9989318521683403E-2"/>
        </patternFill>
      </fill>
    </dxf>
    <dxf>
      <font>
        <color rgb="FF00B050"/>
      </font>
      <fill>
        <patternFill>
          <bgColor theme="0" tint="-4.9989318521683403E-2"/>
        </patternFill>
      </fill>
    </dxf>
    <dxf>
      <font>
        <color rgb="FFFFC000"/>
      </font>
      <fill>
        <patternFill>
          <bgColor theme="0" tint="-4.9989318521683403E-2"/>
        </patternFill>
      </fill>
    </dxf>
    <dxf>
      <font>
        <color rgb="FF00B050"/>
      </font>
      <fill>
        <patternFill>
          <bgColor theme="0" tint="-4.9989318521683403E-2"/>
        </patternFill>
      </fill>
    </dxf>
    <dxf>
      <font>
        <color rgb="FFCC0000"/>
      </font>
      <fill>
        <patternFill>
          <bgColor theme="0" tint="-4.9989318521683403E-2"/>
        </patternFill>
      </fill>
    </dxf>
    <dxf>
      <font>
        <color rgb="FFFFC000"/>
      </font>
      <fill>
        <patternFill>
          <bgColor theme="0" tint="-4.9989318521683403E-2"/>
        </patternFill>
      </fill>
    </dxf>
    <dxf>
      <font>
        <color rgb="FFFFC000"/>
      </font>
      <fill>
        <patternFill>
          <bgColor theme="0" tint="-4.9989318521683403E-2"/>
        </patternFill>
      </fill>
    </dxf>
    <dxf>
      <font>
        <color rgb="FFFFC000"/>
      </font>
      <fill>
        <patternFill>
          <bgColor theme="0" tint="-4.9989318521683403E-2"/>
        </patternFill>
      </fill>
    </dxf>
    <dxf>
      <font>
        <color rgb="FFCC0000"/>
      </font>
      <fill>
        <patternFill>
          <bgColor theme="0" tint="-4.9989318521683403E-2"/>
        </patternFill>
      </fill>
    </dxf>
    <dxf>
      <font>
        <color rgb="FF00B050"/>
      </font>
      <fill>
        <patternFill>
          <bgColor theme="0" tint="-4.9989318521683403E-2"/>
        </patternFill>
      </fill>
    </dxf>
    <dxf>
      <font>
        <color rgb="FFFFC000"/>
      </font>
      <fill>
        <patternFill>
          <bgColor theme="0" tint="-4.9989318521683403E-2"/>
        </patternFill>
      </fill>
    </dxf>
    <dxf>
      <font>
        <color rgb="FFCC0000"/>
      </font>
      <fill>
        <patternFill>
          <bgColor theme="0" tint="-4.9989318521683403E-2"/>
        </patternFill>
      </fill>
    </dxf>
    <dxf>
      <font>
        <color rgb="FF00B050"/>
      </font>
      <fill>
        <patternFill>
          <bgColor theme="0" tint="-4.9989318521683403E-2"/>
        </patternFill>
      </fill>
    </dxf>
    <dxf>
      <font>
        <color rgb="FF00B050"/>
      </font>
      <fill>
        <patternFill>
          <bgColor theme="0" tint="-4.9989318521683403E-2"/>
        </patternFill>
      </fill>
    </dxf>
    <dxf>
      <font>
        <color rgb="FFCC0000"/>
      </font>
      <fill>
        <patternFill>
          <bgColor theme="0" tint="-4.9989318521683403E-2"/>
        </patternFill>
      </fill>
    </dxf>
    <dxf>
      <font>
        <color rgb="FFFFC000"/>
      </font>
      <fill>
        <patternFill>
          <bgColor theme="0" tint="-4.9989318521683403E-2"/>
        </patternFill>
      </fill>
    </dxf>
    <dxf>
      <font>
        <color rgb="FF00B050"/>
      </font>
      <fill>
        <patternFill>
          <bgColor theme="0" tint="-4.9989318521683403E-2"/>
        </patternFill>
      </fill>
    </dxf>
    <dxf>
      <font>
        <color rgb="FFCC0000"/>
      </font>
      <fill>
        <patternFill>
          <bgColor theme="0" tint="-4.9989318521683403E-2"/>
        </patternFill>
      </fill>
    </dxf>
    <dxf>
      <font>
        <color rgb="FFFFC000"/>
      </font>
      <fill>
        <patternFill>
          <bgColor theme="0" tint="-4.9989318521683403E-2"/>
        </patternFill>
      </fill>
    </dxf>
    <dxf>
      <font>
        <color rgb="FFFFC000"/>
      </font>
      <fill>
        <patternFill>
          <bgColor theme="0" tint="-4.9989318521683403E-2"/>
        </patternFill>
      </fill>
    </dxf>
    <dxf>
      <font>
        <color rgb="FFCC0000"/>
      </font>
      <fill>
        <patternFill>
          <bgColor theme="0" tint="-4.9989318521683403E-2"/>
        </patternFill>
      </fill>
    </dxf>
    <dxf>
      <font>
        <color rgb="FF00B050"/>
      </font>
      <fill>
        <patternFill>
          <bgColor theme="0" tint="-4.9989318521683403E-2"/>
        </patternFill>
      </fill>
    </dxf>
    <dxf>
      <font>
        <color theme="0"/>
      </font>
      <fill>
        <patternFill>
          <bgColor rgb="FFCC0000"/>
        </patternFill>
      </fill>
    </dxf>
    <dxf>
      <font>
        <color theme="1"/>
      </font>
      <fill>
        <patternFill>
          <bgColor theme="0" tint="-4.9989318521683403E-2"/>
        </patternFill>
      </fill>
    </dxf>
    <dxf>
      <font>
        <color theme="1"/>
      </font>
      <fill>
        <patternFill>
          <bgColor rgb="FFFFC000"/>
        </patternFill>
      </fill>
    </dxf>
    <dxf>
      <font>
        <color theme="0"/>
      </font>
      <fill>
        <patternFill>
          <bgColor rgb="FF00B050"/>
        </patternFill>
      </fill>
    </dxf>
    <dxf>
      <font>
        <color theme="0"/>
      </font>
      <fill>
        <patternFill>
          <bgColor rgb="FF00B050"/>
        </patternFill>
      </fill>
    </dxf>
    <dxf>
      <font>
        <color theme="1"/>
      </font>
      <fill>
        <patternFill>
          <bgColor rgb="FFFFC000"/>
        </patternFill>
      </fill>
    </dxf>
    <dxf>
      <font>
        <color theme="0"/>
      </font>
      <fill>
        <patternFill>
          <bgColor rgb="FFCC0000"/>
        </patternFill>
      </fill>
    </dxf>
    <dxf>
      <font>
        <color theme="1"/>
      </font>
      <fill>
        <patternFill>
          <bgColor theme="0" tint="-4.9989318521683403E-2"/>
        </patternFill>
      </fill>
    </dxf>
    <dxf>
      <font>
        <color theme="1"/>
      </font>
      <fill>
        <patternFill>
          <bgColor theme="0" tint="-4.9989318521683403E-2"/>
        </patternFill>
      </fill>
    </dxf>
    <dxf>
      <font>
        <color theme="0"/>
      </font>
      <fill>
        <patternFill>
          <bgColor rgb="FF00B050"/>
        </patternFill>
      </fill>
    </dxf>
    <dxf>
      <font>
        <color theme="1"/>
      </font>
      <fill>
        <patternFill>
          <bgColor rgb="FFFFC000"/>
        </patternFill>
      </fill>
    </dxf>
    <dxf>
      <font>
        <color theme="0"/>
      </font>
      <fill>
        <patternFill>
          <bgColor rgb="FFCC0000"/>
        </patternFill>
      </fill>
    </dxf>
    <dxf>
      <font>
        <color theme="0"/>
      </font>
      <fill>
        <patternFill>
          <bgColor rgb="FF00B050"/>
        </patternFill>
      </fill>
    </dxf>
    <dxf>
      <font>
        <color theme="1"/>
      </font>
      <fill>
        <patternFill>
          <bgColor rgb="FFFFC000"/>
        </patternFill>
      </fill>
    </dxf>
    <dxf>
      <font>
        <color theme="0"/>
      </font>
      <fill>
        <patternFill>
          <bgColor rgb="FFCC0000"/>
        </patternFill>
      </fill>
    </dxf>
    <dxf>
      <font>
        <color theme="1"/>
      </font>
      <fill>
        <patternFill>
          <bgColor theme="0" tint="-4.9989318521683403E-2"/>
        </patternFill>
      </fill>
    </dxf>
    <dxf>
      <font>
        <color theme="1"/>
      </font>
      <fill>
        <patternFill>
          <bgColor theme="0" tint="-4.9989318521683403E-2"/>
        </patternFill>
      </fill>
    </dxf>
    <dxf>
      <font>
        <color theme="0"/>
      </font>
      <fill>
        <patternFill>
          <bgColor rgb="FFCC0000"/>
        </patternFill>
      </fill>
    </dxf>
    <dxf>
      <font>
        <color theme="0"/>
      </font>
      <fill>
        <patternFill>
          <bgColor rgb="FF00B050"/>
        </patternFill>
      </fill>
    </dxf>
    <dxf>
      <font>
        <color theme="1"/>
      </font>
      <fill>
        <patternFill>
          <bgColor rgb="FFFFC000"/>
        </patternFill>
      </fill>
    </dxf>
    <dxf>
      <font>
        <color theme="1"/>
      </font>
      <fill>
        <patternFill>
          <bgColor theme="0" tint="-4.9989318521683403E-2"/>
        </patternFill>
      </fill>
    </dxf>
    <dxf>
      <font>
        <color theme="0"/>
      </font>
      <fill>
        <patternFill>
          <bgColor rgb="FF00B050"/>
        </patternFill>
      </fill>
    </dxf>
    <dxf>
      <font>
        <color theme="1"/>
      </font>
      <fill>
        <patternFill>
          <bgColor rgb="FFFFC000"/>
        </patternFill>
      </fill>
    </dxf>
    <dxf>
      <font>
        <color theme="0"/>
      </font>
      <fill>
        <patternFill>
          <bgColor rgb="FFCC0000"/>
        </patternFill>
      </fill>
    </dxf>
    <dxf>
      <font>
        <color theme="1"/>
      </font>
      <fill>
        <patternFill>
          <bgColor rgb="FFFFC000"/>
        </patternFill>
      </fill>
    </dxf>
    <dxf>
      <font>
        <color theme="0"/>
      </font>
      <fill>
        <patternFill>
          <bgColor rgb="FFCC0000"/>
        </patternFill>
      </fill>
    </dxf>
    <dxf>
      <font>
        <color theme="0"/>
      </font>
      <fill>
        <patternFill>
          <bgColor rgb="FF00B050"/>
        </patternFill>
      </fill>
    </dxf>
    <dxf>
      <font>
        <color theme="1"/>
      </font>
      <fill>
        <patternFill>
          <bgColor theme="0" tint="-4.9989318521683403E-2"/>
        </patternFill>
      </fill>
    </dxf>
    <dxf>
      <font>
        <color theme="0"/>
      </font>
      <fill>
        <patternFill>
          <bgColor rgb="FF00B050"/>
        </patternFill>
      </fill>
    </dxf>
    <dxf>
      <font>
        <color theme="1"/>
      </font>
      <fill>
        <patternFill>
          <bgColor theme="0" tint="-4.9989318521683403E-2"/>
        </patternFill>
      </fill>
    </dxf>
    <dxf>
      <font>
        <color theme="0"/>
      </font>
      <fill>
        <patternFill>
          <bgColor rgb="FFCC0000"/>
        </patternFill>
      </fill>
    </dxf>
    <dxf>
      <font>
        <color theme="1"/>
      </font>
      <fill>
        <patternFill>
          <bgColor rgb="FFFFC000"/>
        </patternFill>
      </fill>
    </dxf>
    <dxf>
      <font>
        <color theme="0"/>
      </font>
      <fill>
        <patternFill>
          <bgColor rgb="FFCC0000"/>
        </patternFill>
      </fill>
    </dxf>
    <dxf>
      <font>
        <color theme="1"/>
      </font>
      <fill>
        <patternFill>
          <bgColor theme="0" tint="-4.9989318521683403E-2"/>
        </patternFill>
      </fill>
    </dxf>
    <dxf>
      <font>
        <color theme="0"/>
      </font>
      <fill>
        <patternFill>
          <bgColor rgb="FF00B050"/>
        </patternFill>
      </fill>
    </dxf>
    <dxf>
      <font>
        <color theme="1"/>
      </font>
      <fill>
        <patternFill>
          <bgColor rgb="FFFFC000"/>
        </patternFill>
      </fill>
    </dxf>
    <dxf>
      <font>
        <color theme="0"/>
      </font>
      <fill>
        <patternFill>
          <bgColor rgb="FFCC0000"/>
        </patternFill>
      </fill>
    </dxf>
    <dxf>
      <font>
        <color theme="1"/>
      </font>
      <fill>
        <patternFill>
          <bgColor rgb="FFFFC000"/>
        </patternFill>
      </fill>
    </dxf>
    <dxf>
      <font>
        <color theme="0"/>
      </font>
      <fill>
        <patternFill>
          <bgColor rgb="FF00B050"/>
        </patternFill>
      </fill>
    </dxf>
    <dxf>
      <font>
        <color theme="1"/>
      </font>
      <fill>
        <patternFill>
          <bgColor theme="0" tint="-4.9989318521683403E-2"/>
        </patternFill>
      </fill>
    </dxf>
    <dxf>
      <font>
        <color theme="1"/>
      </font>
      <fill>
        <patternFill>
          <bgColor rgb="FFFFC000"/>
        </patternFill>
      </fill>
    </dxf>
    <dxf>
      <font>
        <color theme="0"/>
      </font>
      <fill>
        <patternFill>
          <bgColor rgb="FFCC0000"/>
        </patternFill>
      </fill>
    </dxf>
    <dxf>
      <font>
        <color theme="0"/>
      </font>
      <fill>
        <patternFill>
          <bgColor rgb="FF00B050"/>
        </patternFill>
      </fill>
    </dxf>
    <dxf>
      <font>
        <color theme="1"/>
      </font>
      <fill>
        <patternFill>
          <bgColor theme="0" tint="-4.9989318521683403E-2"/>
        </patternFill>
      </fill>
    </dxf>
    <dxf>
      <font>
        <color theme="1"/>
      </font>
      <fill>
        <patternFill>
          <bgColor theme="0" tint="-4.9989318521683403E-2"/>
        </patternFill>
      </fill>
    </dxf>
    <dxf>
      <font>
        <color theme="0"/>
      </font>
      <fill>
        <patternFill>
          <bgColor rgb="FF00B050"/>
        </patternFill>
      </fill>
    </dxf>
    <dxf>
      <font>
        <color theme="1"/>
      </font>
      <fill>
        <patternFill>
          <bgColor rgb="FFFFC000"/>
        </patternFill>
      </fill>
    </dxf>
    <dxf>
      <font>
        <color theme="0"/>
      </font>
      <fill>
        <patternFill>
          <bgColor rgb="FFCC0000"/>
        </patternFill>
      </fill>
    </dxf>
    <dxf>
      <font>
        <color theme="0"/>
      </font>
      <fill>
        <patternFill>
          <bgColor rgb="FF00B050"/>
        </patternFill>
      </fill>
    </dxf>
    <dxf>
      <font>
        <color theme="1"/>
      </font>
      <fill>
        <patternFill>
          <bgColor rgb="FFFFC000"/>
        </patternFill>
      </fill>
    </dxf>
    <dxf>
      <font>
        <color theme="0"/>
      </font>
      <fill>
        <patternFill>
          <bgColor rgb="FFCC0000"/>
        </patternFill>
      </fill>
    </dxf>
    <dxf>
      <font>
        <color theme="1"/>
      </font>
      <fill>
        <patternFill>
          <bgColor theme="0" tint="-4.9989318521683403E-2"/>
        </patternFill>
      </fill>
    </dxf>
    <dxf>
      <font>
        <color theme="1"/>
      </font>
      <fill>
        <patternFill>
          <bgColor rgb="FFFFC000"/>
        </patternFill>
      </fill>
    </dxf>
    <dxf>
      <font>
        <color theme="1"/>
      </font>
      <fill>
        <patternFill>
          <bgColor theme="0" tint="-4.9989318521683403E-2"/>
        </patternFill>
      </fill>
    </dxf>
    <dxf>
      <font>
        <color theme="0"/>
      </font>
      <fill>
        <patternFill>
          <bgColor rgb="FF00B050"/>
        </patternFill>
      </fill>
    </dxf>
    <dxf>
      <font>
        <color theme="0"/>
      </font>
      <fill>
        <patternFill>
          <bgColor rgb="FFCC0000"/>
        </patternFill>
      </fill>
    </dxf>
    <dxf>
      <font>
        <color theme="0"/>
      </font>
      <fill>
        <patternFill>
          <bgColor rgb="FF00B050"/>
        </patternFill>
      </fill>
    </dxf>
    <dxf>
      <font>
        <color theme="1"/>
      </font>
      <fill>
        <patternFill>
          <bgColor rgb="FFFFC000"/>
        </patternFill>
      </fill>
    </dxf>
    <dxf>
      <font>
        <color theme="1"/>
      </font>
      <fill>
        <patternFill>
          <bgColor theme="0" tint="-4.9989318521683403E-2"/>
        </patternFill>
      </fill>
    </dxf>
    <dxf>
      <font>
        <color theme="0"/>
      </font>
      <fill>
        <patternFill>
          <bgColor rgb="FFCC0000"/>
        </patternFill>
      </fill>
    </dxf>
    <dxf>
      <font>
        <color theme="1"/>
      </font>
      <fill>
        <patternFill>
          <bgColor theme="0" tint="-4.9989318521683403E-2"/>
        </patternFill>
      </fill>
    </dxf>
    <dxf>
      <font>
        <color theme="0"/>
      </font>
      <fill>
        <patternFill>
          <bgColor rgb="FFCC0000"/>
        </patternFill>
      </fill>
    </dxf>
    <dxf>
      <font>
        <color theme="1"/>
      </font>
      <fill>
        <patternFill>
          <bgColor rgb="FFFFC000"/>
        </patternFill>
      </fill>
    </dxf>
    <dxf>
      <font>
        <color theme="0"/>
      </font>
      <fill>
        <patternFill>
          <bgColor rgb="FF00B050"/>
        </patternFill>
      </fill>
    </dxf>
    <dxf>
      <font>
        <color theme="1"/>
      </font>
      <fill>
        <patternFill>
          <bgColor rgb="FFFFC000"/>
        </patternFill>
      </fill>
    </dxf>
    <dxf>
      <font>
        <color theme="0"/>
      </font>
      <fill>
        <patternFill>
          <bgColor rgb="FF00B050"/>
        </patternFill>
      </fill>
    </dxf>
    <dxf>
      <font>
        <color theme="1"/>
      </font>
      <fill>
        <patternFill>
          <bgColor theme="0" tint="-4.9989318521683403E-2"/>
        </patternFill>
      </fill>
    </dxf>
    <dxf>
      <font>
        <color theme="0"/>
      </font>
      <fill>
        <patternFill>
          <bgColor rgb="FFCC0000"/>
        </patternFill>
      </fill>
    </dxf>
    <dxf>
      <font>
        <color theme="0"/>
      </font>
      <fill>
        <patternFill>
          <bgColor rgb="FFCC0000"/>
        </patternFill>
      </fill>
    </dxf>
    <dxf>
      <font>
        <color theme="1"/>
      </font>
      <fill>
        <patternFill>
          <bgColor theme="0" tint="-4.9989318521683403E-2"/>
        </patternFill>
      </fill>
    </dxf>
    <dxf>
      <font>
        <color theme="0"/>
      </font>
      <fill>
        <patternFill>
          <bgColor rgb="FF00B050"/>
        </patternFill>
      </fill>
    </dxf>
    <dxf>
      <font>
        <color theme="1"/>
      </font>
      <fill>
        <patternFill>
          <bgColor rgb="FFFFC000"/>
        </patternFill>
      </fill>
    </dxf>
    <dxf>
      <font>
        <color theme="1"/>
      </font>
      <fill>
        <patternFill>
          <bgColor theme="0" tint="-4.9989318521683403E-2"/>
        </patternFill>
      </fill>
    </dxf>
    <dxf>
      <font>
        <color theme="0"/>
      </font>
      <fill>
        <patternFill>
          <bgColor rgb="FF00B050"/>
        </patternFill>
      </fill>
    </dxf>
    <dxf>
      <font>
        <color theme="1"/>
      </font>
      <fill>
        <patternFill>
          <bgColor rgb="FFFFC000"/>
        </patternFill>
      </fill>
    </dxf>
    <dxf>
      <font>
        <color theme="0"/>
      </font>
      <fill>
        <patternFill>
          <bgColor rgb="FFCC0000"/>
        </patternFill>
      </fill>
    </dxf>
    <dxf>
      <font>
        <color theme="0"/>
      </font>
      <fill>
        <patternFill>
          <bgColor rgb="FFCC0000"/>
        </patternFill>
      </fill>
    </dxf>
    <dxf>
      <font>
        <color theme="1"/>
      </font>
      <fill>
        <patternFill>
          <bgColor rgb="FFFFC000"/>
        </patternFill>
      </fill>
    </dxf>
    <dxf>
      <font>
        <color theme="0"/>
      </font>
      <fill>
        <patternFill>
          <bgColor rgb="FF00B050"/>
        </patternFill>
      </fill>
    </dxf>
    <dxf>
      <font>
        <color theme="1"/>
      </font>
      <fill>
        <patternFill>
          <bgColor theme="0" tint="-4.9989318521683403E-2"/>
        </patternFill>
      </fill>
    </dxf>
    <dxf>
      <font>
        <color theme="1"/>
      </font>
      <fill>
        <patternFill>
          <bgColor theme="0" tint="-4.9989318521683403E-2"/>
        </patternFill>
      </fill>
    </dxf>
    <dxf>
      <font>
        <color theme="0"/>
      </font>
      <fill>
        <patternFill>
          <bgColor rgb="FF00B050"/>
        </patternFill>
      </fill>
    </dxf>
    <dxf>
      <font>
        <color theme="1"/>
      </font>
      <fill>
        <patternFill>
          <bgColor rgb="FFFFC000"/>
        </patternFill>
      </fill>
    </dxf>
    <dxf>
      <font>
        <color theme="0"/>
      </font>
      <fill>
        <patternFill>
          <bgColor rgb="FFCC0000"/>
        </patternFill>
      </fill>
    </dxf>
    <dxf>
      <font>
        <color theme="1"/>
      </font>
      <fill>
        <patternFill>
          <bgColor theme="0" tint="-4.9989318521683403E-2"/>
        </patternFill>
      </fill>
    </dxf>
    <dxf>
      <font>
        <color theme="0"/>
      </font>
      <fill>
        <patternFill>
          <bgColor rgb="FF00B050"/>
        </patternFill>
      </fill>
    </dxf>
    <dxf>
      <font>
        <color theme="1"/>
      </font>
      <fill>
        <patternFill>
          <bgColor rgb="FFFFC000"/>
        </patternFill>
      </fill>
    </dxf>
    <dxf>
      <font>
        <color theme="0"/>
      </font>
      <fill>
        <patternFill>
          <bgColor rgb="FFCC0000"/>
        </patternFill>
      </fill>
    </dxf>
    <dxf>
      <font>
        <color theme="1"/>
      </font>
      <fill>
        <patternFill>
          <bgColor theme="0" tint="-4.9989318521683403E-2"/>
        </patternFill>
      </fill>
    </dxf>
    <dxf>
      <font>
        <color theme="0"/>
      </font>
      <fill>
        <patternFill>
          <bgColor rgb="FF00B050"/>
        </patternFill>
      </fill>
    </dxf>
    <dxf>
      <font>
        <color theme="1"/>
      </font>
      <fill>
        <patternFill>
          <bgColor rgb="FFFFC000"/>
        </patternFill>
      </fill>
    </dxf>
    <dxf>
      <font>
        <color theme="0"/>
      </font>
      <fill>
        <patternFill>
          <bgColor rgb="FFCC0000"/>
        </patternFill>
      </fill>
    </dxf>
    <dxf>
      <font>
        <color theme="1"/>
      </font>
      <fill>
        <patternFill>
          <bgColor theme="0" tint="-4.9989318521683403E-2"/>
        </patternFill>
      </fill>
    </dxf>
    <dxf>
      <font>
        <color theme="0"/>
      </font>
      <fill>
        <patternFill>
          <bgColor rgb="FFCC0000"/>
        </patternFill>
      </fill>
    </dxf>
    <dxf>
      <font>
        <color theme="1"/>
      </font>
      <fill>
        <patternFill>
          <bgColor rgb="FFFFC000"/>
        </patternFill>
      </fill>
    </dxf>
    <dxf>
      <font>
        <color theme="0"/>
      </font>
      <fill>
        <patternFill>
          <bgColor rgb="FF00B050"/>
        </patternFill>
      </fill>
    </dxf>
    <dxf>
      <font>
        <color theme="1"/>
      </font>
      <fill>
        <patternFill>
          <bgColor rgb="FFFFC000"/>
        </patternFill>
      </fill>
    </dxf>
    <dxf>
      <font>
        <color theme="0"/>
      </font>
      <fill>
        <patternFill>
          <bgColor rgb="FF00B050"/>
        </patternFill>
      </fill>
    </dxf>
    <dxf>
      <font>
        <color theme="1"/>
      </font>
      <fill>
        <patternFill>
          <bgColor theme="0" tint="-4.9989318521683403E-2"/>
        </patternFill>
      </fill>
    </dxf>
    <dxf>
      <font>
        <color theme="0"/>
      </font>
      <fill>
        <patternFill>
          <bgColor rgb="FFCC0000"/>
        </patternFill>
      </fill>
    </dxf>
    <dxf>
      <font>
        <color theme="1"/>
      </font>
      <fill>
        <patternFill>
          <bgColor rgb="FFFFC000"/>
        </patternFill>
      </fill>
    </dxf>
    <dxf>
      <font>
        <color theme="0"/>
      </font>
      <fill>
        <patternFill>
          <bgColor rgb="FFCC0000"/>
        </patternFill>
      </fill>
    </dxf>
    <dxf>
      <font>
        <color theme="1"/>
      </font>
      <fill>
        <patternFill>
          <bgColor theme="0" tint="-4.9989318521683403E-2"/>
        </patternFill>
      </fill>
    </dxf>
    <dxf>
      <font>
        <color theme="0"/>
      </font>
      <fill>
        <patternFill>
          <bgColor rgb="FF00B050"/>
        </patternFill>
      </fill>
    </dxf>
    <dxf>
      <font>
        <color theme="0"/>
      </font>
      <fill>
        <patternFill>
          <bgColor rgb="FF00B050"/>
        </patternFill>
      </fill>
    </dxf>
    <dxf>
      <font>
        <color theme="1"/>
      </font>
      <fill>
        <patternFill>
          <bgColor theme="0" tint="-4.9989318521683403E-2"/>
        </patternFill>
      </fill>
    </dxf>
    <dxf>
      <font>
        <color theme="0"/>
      </font>
      <fill>
        <patternFill>
          <bgColor rgb="FFCC0000"/>
        </patternFill>
      </fill>
    </dxf>
    <dxf>
      <font>
        <color theme="1"/>
      </font>
      <fill>
        <patternFill>
          <bgColor rgb="FFFFC000"/>
        </patternFill>
      </fill>
    </dxf>
    <dxf>
      <font>
        <color theme="1"/>
      </font>
      <fill>
        <patternFill>
          <bgColor theme="0" tint="-4.9989318521683403E-2"/>
        </patternFill>
      </fill>
    </dxf>
    <dxf>
      <font>
        <color theme="0"/>
      </font>
      <fill>
        <patternFill>
          <bgColor rgb="FF00B050"/>
        </patternFill>
      </fill>
    </dxf>
    <dxf>
      <font>
        <color theme="1"/>
      </font>
      <fill>
        <patternFill>
          <bgColor rgb="FFFFC000"/>
        </patternFill>
      </fill>
    </dxf>
    <dxf>
      <font>
        <color theme="0"/>
      </font>
      <fill>
        <patternFill>
          <bgColor rgb="FFCC0000"/>
        </patternFill>
      </fill>
    </dxf>
    <dxf>
      <font>
        <color theme="1"/>
      </font>
      <fill>
        <patternFill>
          <bgColor theme="0" tint="-4.9989318521683403E-2"/>
        </patternFill>
      </fill>
    </dxf>
    <dxf>
      <font>
        <color theme="1"/>
      </font>
      <fill>
        <patternFill>
          <bgColor rgb="FFFFC000"/>
        </patternFill>
      </fill>
    </dxf>
    <dxf>
      <font>
        <color theme="0"/>
      </font>
      <fill>
        <patternFill>
          <bgColor rgb="FF00B050"/>
        </patternFill>
      </fill>
    </dxf>
    <dxf>
      <font>
        <color theme="0"/>
      </font>
      <fill>
        <patternFill>
          <bgColor rgb="FFCC0000"/>
        </patternFill>
      </fill>
    </dxf>
    <dxf>
      <font>
        <color theme="1"/>
      </font>
      <fill>
        <patternFill>
          <bgColor rgb="FFFFC000"/>
        </patternFill>
      </fill>
    </dxf>
    <dxf>
      <font>
        <color theme="0"/>
      </font>
      <fill>
        <patternFill>
          <bgColor rgb="FF00B050"/>
        </patternFill>
      </fill>
    </dxf>
    <dxf>
      <font>
        <color theme="0"/>
      </font>
      <fill>
        <patternFill>
          <bgColor rgb="FFCC0000"/>
        </patternFill>
      </fill>
    </dxf>
    <dxf>
      <font>
        <color theme="1"/>
      </font>
      <fill>
        <patternFill>
          <bgColor theme="0" tint="-4.9989318521683403E-2"/>
        </patternFill>
      </fill>
    </dxf>
    <dxf>
      <font>
        <color theme="1"/>
      </font>
      <fill>
        <patternFill>
          <bgColor theme="0" tint="-4.9989318521683403E-2"/>
        </patternFill>
      </fill>
    </dxf>
    <dxf>
      <font>
        <color theme="0"/>
      </font>
      <fill>
        <patternFill>
          <bgColor rgb="FFCC0000"/>
        </patternFill>
      </fill>
    </dxf>
    <dxf>
      <font>
        <color theme="1"/>
      </font>
      <fill>
        <patternFill>
          <bgColor rgb="FFFFC000"/>
        </patternFill>
      </fill>
    </dxf>
    <dxf>
      <font>
        <color theme="0"/>
      </font>
      <fill>
        <patternFill>
          <bgColor rgb="FF00B050"/>
        </patternFill>
      </fill>
    </dxf>
    <dxf>
      <font>
        <color theme="1"/>
      </font>
      <fill>
        <patternFill>
          <bgColor theme="0" tint="-4.9989318521683403E-2"/>
        </patternFill>
      </fill>
    </dxf>
    <dxf>
      <font>
        <color theme="0"/>
      </font>
      <fill>
        <patternFill>
          <bgColor rgb="FF00B050"/>
        </patternFill>
      </fill>
    </dxf>
    <dxf>
      <font>
        <color theme="1"/>
      </font>
      <fill>
        <patternFill>
          <bgColor rgb="FFFFC000"/>
        </patternFill>
      </fill>
    </dxf>
    <dxf>
      <font>
        <color theme="0"/>
      </font>
      <fill>
        <patternFill>
          <bgColor rgb="FFCC0000"/>
        </patternFill>
      </fill>
    </dxf>
    <dxf>
      <font>
        <color theme="1"/>
      </font>
      <fill>
        <patternFill>
          <bgColor theme="0" tint="-4.9989318521683403E-2"/>
        </patternFill>
      </fill>
    </dxf>
    <dxf>
      <font>
        <color theme="0"/>
      </font>
      <fill>
        <patternFill>
          <bgColor rgb="FFCC0000"/>
        </patternFill>
      </fill>
    </dxf>
    <dxf>
      <font>
        <color theme="1"/>
      </font>
      <fill>
        <patternFill>
          <bgColor rgb="FFFFC000"/>
        </patternFill>
      </fill>
    </dxf>
    <dxf>
      <font>
        <color theme="0"/>
      </font>
      <fill>
        <patternFill>
          <bgColor rgb="FF00B050"/>
        </patternFill>
      </fill>
    </dxf>
    <dxf>
      <font>
        <color theme="1"/>
      </font>
      <fill>
        <patternFill>
          <bgColor rgb="FFFFC000"/>
        </patternFill>
      </fill>
    </dxf>
    <dxf>
      <font>
        <color theme="0"/>
      </font>
      <fill>
        <patternFill>
          <bgColor rgb="FFCC0000"/>
        </patternFill>
      </fill>
    </dxf>
    <dxf>
      <font>
        <color theme="0"/>
      </font>
      <fill>
        <patternFill>
          <bgColor rgb="FF00B050"/>
        </patternFill>
      </fill>
    </dxf>
    <dxf>
      <font>
        <color theme="1"/>
      </font>
      <fill>
        <patternFill>
          <bgColor theme="0" tint="-4.9989318521683403E-2"/>
        </patternFill>
      </fill>
    </dxf>
    <dxf>
      <font>
        <color theme="0"/>
      </font>
      <fill>
        <patternFill>
          <bgColor rgb="FFCC0000"/>
        </patternFill>
      </fill>
    </dxf>
    <dxf>
      <font>
        <color theme="1"/>
      </font>
      <fill>
        <patternFill>
          <bgColor rgb="FFFFC000"/>
        </patternFill>
      </fill>
    </dxf>
    <dxf>
      <font>
        <color theme="0"/>
      </font>
      <fill>
        <patternFill>
          <bgColor rgb="FF00B050"/>
        </patternFill>
      </fill>
    </dxf>
    <dxf>
      <font>
        <color theme="1"/>
      </font>
      <fill>
        <patternFill>
          <bgColor theme="0" tint="-4.9989318521683403E-2"/>
        </patternFill>
      </fill>
    </dxf>
    <dxf>
      <font>
        <color theme="0"/>
      </font>
      <fill>
        <patternFill>
          <bgColor rgb="FFCC0000"/>
        </patternFill>
      </fill>
    </dxf>
    <dxf>
      <font>
        <color theme="1"/>
      </font>
      <fill>
        <patternFill>
          <bgColor rgb="FFFFC000"/>
        </patternFill>
      </fill>
    </dxf>
    <dxf>
      <font>
        <color theme="0"/>
      </font>
      <fill>
        <patternFill>
          <bgColor rgb="FF00B050"/>
        </patternFill>
      </fill>
    </dxf>
    <dxf>
      <font>
        <color theme="1"/>
      </font>
      <fill>
        <patternFill>
          <bgColor theme="0" tint="-4.9989318521683403E-2"/>
        </patternFill>
      </fill>
    </dxf>
    <dxf>
      <font>
        <color theme="0"/>
      </font>
      <fill>
        <patternFill>
          <bgColor rgb="FFCC0000"/>
        </patternFill>
      </fill>
    </dxf>
    <dxf>
      <font>
        <color theme="1"/>
      </font>
      <fill>
        <patternFill>
          <bgColor rgb="FFFFC000"/>
        </patternFill>
      </fill>
    </dxf>
    <dxf>
      <font>
        <color theme="0"/>
      </font>
      <fill>
        <patternFill>
          <bgColor rgb="FF00B050"/>
        </patternFill>
      </fill>
    </dxf>
    <dxf>
      <font>
        <color theme="1"/>
      </font>
      <fill>
        <patternFill>
          <bgColor theme="0" tint="-4.9989318521683403E-2"/>
        </patternFill>
      </fill>
    </dxf>
    <dxf>
      <fill>
        <patternFill>
          <bgColor theme="7" tint="0.79998168889431442"/>
        </patternFill>
      </fill>
    </dxf>
    <dxf>
      <font>
        <color theme="1"/>
      </font>
      <fill>
        <patternFill>
          <bgColor rgb="FFFFC000"/>
        </patternFill>
      </fill>
    </dxf>
    <dxf>
      <font>
        <color theme="0"/>
      </font>
      <fill>
        <patternFill>
          <bgColor rgb="FFCC0000"/>
        </patternFill>
      </fill>
    </dxf>
    <dxf>
      <font>
        <color theme="1"/>
      </font>
      <fill>
        <patternFill>
          <bgColor theme="0" tint="-4.9989318521683403E-2"/>
        </patternFill>
      </fill>
    </dxf>
    <dxf>
      <font>
        <color theme="0"/>
      </font>
      <fill>
        <patternFill>
          <bgColor rgb="FF00B050"/>
        </patternFill>
      </fill>
    </dxf>
    <dxf>
      <font>
        <color theme="1"/>
      </font>
      <fill>
        <patternFill>
          <bgColor theme="0" tint="-4.9989318521683403E-2"/>
        </patternFill>
      </fill>
    </dxf>
    <dxf>
      <font>
        <color theme="0"/>
      </font>
      <fill>
        <patternFill>
          <bgColor rgb="FF00B050"/>
        </patternFill>
      </fill>
    </dxf>
    <dxf>
      <font>
        <color theme="1"/>
      </font>
      <fill>
        <patternFill>
          <bgColor rgb="FFFFC000"/>
        </patternFill>
      </fill>
    </dxf>
    <dxf>
      <font>
        <color theme="0"/>
      </font>
      <fill>
        <patternFill>
          <bgColor rgb="FFCC0000"/>
        </patternFill>
      </fill>
    </dxf>
    <dxf>
      <font>
        <color theme="1"/>
      </font>
      <fill>
        <patternFill>
          <bgColor theme="0" tint="-4.9989318521683403E-2"/>
        </patternFill>
      </fill>
    </dxf>
    <dxf>
      <font>
        <color theme="0"/>
      </font>
      <fill>
        <patternFill>
          <bgColor rgb="FF00B050"/>
        </patternFill>
      </fill>
    </dxf>
    <dxf>
      <font>
        <color theme="1"/>
      </font>
      <fill>
        <patternFill>
          <bgColor rgb="FFFFC000"/>
        </patternFill>
      </fill>
    </dxf>
    <dxf>
      <font>
        <color theme="0"/>
      </font>
      <fill>
        <patternFill>
          <bgColor rgb="FFCC0000"/>
        </patternFill>
      </fill>
    </dxf>
    <dxf>
      <font>
        <color theme="0"/>
      </font>
      <fill>
        <patternFill>
          <bgColor rgb="FF00B050"/>
        </patternFill>
      </fill>
    </dxf>
    <dxf>
      <font>
        <color theme="1"/>
      </font>
      <fill>
        <patternFill>
          <bgColor rgb="FFFFC000"/>
        </patternFill>
      </fill>
    </dxf>
    <dxf>
      <font>
        <color theme="0"/>
      </font>
      <fill>
        <patternFill>
          <bgColor rgb="FFCC0000"/>
        </patternFill>
      </fill>
    </dxf>
    <dxf>
      <font>
        <color theme="1"/>
      </font>
      <fill>
        <patternFill>
          <bgColor theme="0" tint="-4.9989318521683403E-2"/>
        </patternFill>
      </fill>
    </dxf>
    <dxf>
      <font>
        <color theme="1"/>
      </font>
      <fill>
        <patternFill>
          <bgColor rgb="FFFFC000"/>
        </patternFill>
      </fill>
    </dxf>
    <dxf>
      <font>
        <color theme="0"/>
      </font>
      <fill>
        <patternFill>
          <bgColor rgb="FF00B050"/>
        </patternFill>
      </fill>
    </dxf>
    <dxf>
      <font>
        <color theme="0"/>
      </font>
      <fill>
        <patternFill>
          <bgColor rgb="FFCC0000"/>
        </patternFill>
      </fill>
    </dxf>
    <dxf>
      <font>
        <color theme="1"/>
      </font>
      <fill>
        <patternFill>
          <bgColor theme="0" tint="-4.9989318521683403E-2"/>
        </patternFill>
      </fill>
    </dxf>
    <dxf>
      <font>
        <color theme="0"/>
      </font>
      <fill>
        <patternFill>
          <bgColor rgb="FF00B050"/>
        </patternFill>
      </fill>
    </dxf>
    <dxf>
      <font>
        <color theme="1"/>
      </font>
      <fill>
        <patternFill>
          <bgColor theme="0" tint="-4.9989318521683403E-2"/>
        </patternFill>
      </fill>
    </dxf>
    <dxf>
      <font>
        <color theme="0"/>
      </font>
      <fill>
        <patternFill>
          <bgColor rgb="FFCC0000"/>
        </patternFill>
      </fill>
    </dxf>
    <dxf>
      <font>
        <color theme="1"/>
      </font>
      <fill>
        <patternFill>
          <bgColor rgb="FFFFC000"/>
        </patternFill>
      </fill>
    </dxf>
    <dxf>
      <font>
        <color theme="0"/>
      </font>
      <fill>
        <patternFill>
          <bgColor rgb="FFCC0000"/>
        </patternFill>
      </fill>
    </dxf>
    <dxf>
      <font>
        <color theme="1"/>
      </font>
      <fill>
        <patternFill>
          <bgColor theme="0" tint="-4.9989318521683403E-2"/>
        </patternFill>
      </fill>
    </dxf>
    <dxf>
      <font>
        <color theme="1"/>
      </font>
      <fill>
        <patternFill>
          <bgColor rgb="FFFFC000"/>
        </patternFill>
      </fill>
    </dxf>
    <dxf>
      <font>
        <color theme="0"/>
      </font>
      <fill>
        <patternFill>
          <bgColor rgb="FF00B050"/>
        </patternFill>
      </fill>
    </dxf>
    <dxf>
      <font>
        <color theme="1"/>
      </font>
      <fill>
        <patternFill>
          <bgColor theme="0" tint="-4.9989318521683403E-2"/>
        </patternFill>
      </fill>
    </dxf>
    <dxf>
      <font>
        <color theme="0"/>
      </font>
      <fill>
        <patternFill>
          <bgColor rgb="FFCC0000"/>
        </patternFill>
      </fill>
    </dxf>
    <dxf>
      <font>
        <color theme="0"/>
      </font>
      <fill>
        <patternFill>
          <bgColor rgb="FF00B050"/>
        </patternFill>
      </fill>
    </dxf>
    <dxf>
      <font>
        <color theme="1"/>
      </font>
      <fill>
        <patternFill>
          <bgColor rgb="FFFFC000"/>
        </patternFill>
      </fill>
    </dxf>
    <dxf>
      <font>
        <color theme="0"/>
      </font>
      <fill>
        <patternFill>
          <bgColor rgb="FFCC0000"/>
        </patternFill>
      </fill>
    </dxf>
    <dxf>
      <font>
        <color theme="0"/>
      </font>
      <fill>
        <patternFill>
          <bgColor rgb="FF00B050"/>
        </patternFill>
      </fill>
    </dxf>
    <dxf>
      <font>
        <color theme="1"/>
      </font>
      <fill>
        <patternFill>
          <bgColor rgb="FFFFC000"/>
        </patternFill>
      </fill>
    </dxf>
    <dxf>
      <font>
        <color theme="1"/>
      </font>
      <fill>
        <patternFill>
          <bgColor theme="0" tint="-4.9989318521683403E-2"/>
        </patternFill>
      </fill>
    </dxf>
    <dxf>
      <font>
        <color theme="0"/>
      </font>
      <fill>
        <patternFill>
          <bgColor rgb="FFCC0000"/>
        </patternFill>
      </fill>
    </dxf>
    <dxf>
      <font>
        <color theme="1"/>
      </font>
      <fill>
        <patternFill>
          <bgColor rgb="FFFFC000"/>
        </patternFill>
      </fill>
    </dxf>
    <dxf>
      <font>
        <color theme="0"/>
      </font>
      <fill>
        <patternFill>
          <bgColor rgb="FF00B050"/>
        </patternFill>
      </fill>
    </dxf>
    <dxf>
      <font>
        <color theme="1"/>
      </font>
      <fill>
        <patternFill>
          <bgColor theme="0" tint="-4.9989318521683403E-2"/>
        </patternFill>
      </fill>
    </dxf>
    <dxf>
      <font>
        <color theme="1"/>
      </font>
      <fill>
        <patternFill>
          <bgColor rgb="FFFFC000"/>
        </patternFill>
      </fill>
    </dxf>
    <dxf>
      <font>
        <color theme="1"/>
      </font>
      <fill>
        <patternFill>
          <bgColor theme="0" tint="-4.9989318521683403E-2"/>
        </patternFill>
      </fill>
    </dxf>
    <dxf>
      <font>
        <color theme="0"/>
      </font>
      <fill>
        <patternFill>
          <bgColor rgb="FF00B050"/>
        </patternFill>
      </fill>
    </dxf>
    <dxf>
      <font>
        <color theme="0"/>
      </font>
      <fill>
        <patternFill>
          <bgColor rgb="FFCC0000"/>
        </patternFill>
      </fill>
    </dxf>
    <dxf>
      <font>
        <color theme="0"/>
      </font>
      <fill>
        <patternFill>
          <bgColor rgb="FF00B050"/>
        </patternFill>
      </fill>
    </dxf>
    <dxf>
      <font>
        <color theme="1"/>
      </font>
      <fill>
        <patternFill>
          <bgColor rgb="FFFFC000"/>
        </patternFill>
      </fill>
    </dxf>
    <dxf>
      <font>
        <color theme="0"/>
      </font>
      <fill>
        <patternFill>
          <bgColor rgb="FFCC0000"/>
        </patternFill>
      </fill>
    </dxf>
    <dxf>
      <font>
        <color theme="1"/>
      </font>
      <fill>
        <patternFill>
          <bgColor theme="0" tint="-4.9989318521683403E-2"/>
        </patternFill>
      </fill>
    </dxf>
    <dxf>
      <font>
        <color theme="0"/>
      </font>
      <fill>
        <patternFill>
          <bgColor rgb="FF00B050"/>
        </patternFill>
      </fill>
    </dxf>
    <dxf>
      <font>
        <color theme="1"/>
      </font>
      <fill>
        <patternFill>
          <bgColor theme="0" tint="-4.9989318521683403E-2"/>
        </patternFill>
      </fill>
    </dxf>
    <dxf>
      <font>
        <color theme="1"/>
      </font>
      <fill>
        <patternFill>
          <bgColor rgb="FFFFC000"/>
        </patternFill>
      </fill>
    </dxf>
    <dxf>
      <font>
        <color theme="0"/>
      </font>
      <fill>
        <patternFill>
          <bgColor rgb="FFCC0000"/>
        </patternFill>
      </fill>
    </dxf>
    <dxf>
      <font>
        <color theme="1"/>
      </font>
      <fill>
        <patternFill>
          <bgColor theme="0" tint="-4.9989318521683403E-2"/>
        </patternFill>
      </fill>
    </dxf>
    <dxf>
      <font>
        <color theme="0"/>
      </font>
      <fill>
        <patternFill>
          <bgColor rgb="FF00B050"/>
        </patternFill>
      </fill>
    </dxf>
    <dxf>
      <font>
        <color theme="1"/>
      </font>
      <fill>
        <patternFill>
          <bgColor rgb="FFFFC000"/>
        </patternFill>
      </fill>
    </dxf>
    <dxf>
      <font>
        <color theme="0"/>
      </font>
      <fill>
        <patternFill>
          <bgColor rgb="FFCC0000"/>
        </patternFill>
      </fill>
    </dxf>
    <dxf>
      <font>
        <color theme="0"/>
      </font>
      <fill>
        <patternFill>
          <bgColor rgb="FF00B050"/>
        </patternFill>
      </fill>
    </dxf>
    <dxf>
      <font>
        <color theme="0"/>
      </font>
      <fill>
        <patternFill>
          <bgColor rgb="FFCC0000"/>
        </patternFill>
      </fill>
    </dxf>
    <dxf>
      <font>
        <color theme="1"/>
      </font>
      <fill>
        <patternFill>
          <bgColor rgb="FFFFC000"/>
        </patternFill>
      </fill>
    </dxf>
    <dxf>
      <font>
        <color theme="1"/>
      </font>
      <fill>
        <patternFill>
          <bgColor theme="0" tint="-4.9989318521683403E-2"/>
        </patternFill>
      </fill>
    </dxf>
    <dxf>
      <font>
        <color theme="1"/>
      </font>
      <fill>
        <patternFill>
          <bgColor theme="0" tint="-4.9989318521683403E-2"/>
        </patternFill>
      </fill>
    </dxf>
    <dxf>
      <font>
        <color theme="0"/>
      </font>
      <fill>
        <patternFill>
          <bgColor rgb="FF00B050"/>
        </patternFill>
      </fill>
    </dxf>
    <dxf>
      <font>
        <color theme="1"/>
      </font>
      <fill>
        <patternFill>
          <bgColor rgb="FFFFC000"/>
        </patternFill>
      </fill>
    </dxf>
    <dxf>
      <font>
        <color theme="0"/>
      </font>
      <fill>
        <patternFill>
          <bgColor rgb="FFCC0000"/>
        </patternFill>
      </fill>
    </dxf>
    <dxf>
      <font>
        <color theme="0"/>
      </font>
      <fill>
        <patternFill>
          <bgColor rgb="FF00B050"/>
        </patternFill>
      </fill>
    </dxf>
    <dxf>
      <font>
        <color theme="1"/>
      </font>
      <fill>
        <patternFill>
          <bgColor rgb="FFFFC000"/>
        </patternFill>
      </fill>
    </dxf>
    <dxf>
      <font>
        <color theme="0"/>
      </font>
      <fill>
        <patternFill>
          <bgColor rgb="FFCC0000"/>
        </patternFill>
      </fill>
    </dxf>
    <dxf>
      <font>
        <color theme="1"/>
      </font>
      <fill>
        <patternFill>
          <bgColor theme="0" tint="-4.9989318521683403E-2"/>
        </patternFill>
      </fill>
    </dxf>
    <dxf>
      <font>
        <color theme="0"/>
      </font>
      <fill>
        <patternFill>
          <bgColor rgb="FFCC0000"/>
        </patternFill>
      </fill>
    </dxf>
    <dxf>
      <font>
        <color theme="0"/>
      </font>
      <fill>
        <patternFill>
          <bgColor rgb="FF00B050"/>
        </patternFill>
      </fill>
    </dxf>
    <dxf>
      <font>
        <color theme="1"/>
      </font>
      <fill>
        <patternFill>
          <bgColor rgb="FFFFC000"/>
        </patternFill>
      </fill>
    </dxf>
    <dxf>
      <font>
        <color theme="1"/>
      </font>
      <fill>
        <patternFill>
          <bgColor theme="0" tint="-4.9989318521683403E-2"/>
        </patternFill>
      </fill>
    </dxf>
    <dxf>
      <font>
        <color theme="1"/>
      </font>
      <fill>
        <patternFill>
          <bgColor theme="0" tint="-4.9989318521683403E-2"/>
        </patternFill>
      </fill>
    </dxf>
    <dxf>
      <font>
        <color theme="0"/>
      </font>
      <fill>
        <patternFill>
          <bgColor rgb="FF00B050"/>
        </patternFill>
      </fill>
    </dxf>
    <dxf>
      <font>
        <color theme="1"/>
      </font>
      <fill>
        <patternFill>
          <bgColor rgb="FFFFC000"/>
        </patternFill>
      </fill>
    </dxf>
    <dxf>
      <font>
        <color theme="0"/>
      </font>
      <fill>
        <patternFill>
          <bgColor rgb="FFCC0000"/>
        </patternFill>
      </fill>
    </dxf>
    <dxf>
      <font>
        <color theme="0"/>
      </font>
      <fill>
        <patternFill>
          <bgColor rgb="FFCC0000"/>
        </patternFill>
      </fill>
    </dxf>
    <dxf>
      <font>
        <color theme="0"/>
      </font>
      <fill>
        <patternFill>
          <bgColor rgb="FF00B050"/>
        </patternFill>
      </fill>
    </dxf>
    <dxf>
      <font>
        <color theme="1"/>
      </font>
      <fill>
        <patternFill>
          <bgColor theme="0" tint="-4.9989318521683403E-2"/>
        </patternFill>
      </fill>
    </dxf>
    <dxf>
      <font>
        <color theme="1"/>
      </font>
      <fill>
        <patternFill>
          <bgColor rgb="FFFFC000"/>
        </patternFill>
      </fill>
    </dxf>
    <dxf>
      <font>
        <color theme="0"/>
      </font>
      <fill>
        <patternFill>
          <bgColor rgb="FF00B050"/>
        </patternFill>
      </fill>
    </dxf>
    <dxf>
      <font>
        <color theme="1"/>
      </font>
      <fill>
        <patternFill>
          <bgColor rgb="FFFFC000"/>
        </patternFill>
      </fill>
    </dxf>
    <dxf>
      <font>
        <color theme="0"/>
      </font>
      <fill>
        <patternFill>
          <bgColor rgb="FFCC0000"/>
        </patternFill>
      </fill>
    </dxf>
    <dxf>
      <font>
        <color theme="1"/>
      </font>
      <fill>
        <patternFill>
          <bgColor theme="0" tint="-4.9989318521683403E-2"/>
        </patternFill>
      </fill>
    </dxf>
    <dxf>
      <font>
        <color theme="1"/>
      </font>
      <fill>
        <patternFill>
          <bgColor theme="0" tint="-4.9989318521683403E-2"/>
        </patternFill>
      </fill>
    </dxf>
    <dxf>
      <font>
        <color theme="0"/>
      </font>
      <fill>
        <patternFill>
          <bgColor rgb="FF00B050"/>
        </patternFill>
      </fill>
    </dxf>
    <dxf>
      <font>
        <color theme="1"/>
      </font>
      <fill>
        <patternFill>
          <bgColor rgb="FFFFC000"/>
        </patternFill>
      </fill>
    </dxf>
    <dxf>
      <font>
        <color theme="0"/>
      </font>
      <fill>
        <patternFill>
          <bgColor rgb="FFCC0000"/>
        </patternFill>
      </fill>
    </dxf>
    <dxf>
      <font>
        <color theme="1"/>
      </font>
      <fill>
        <patternFill>
          <bgColor theme="0" tint="-4.9989318521683403E-2"/>
        </patternFill>
      </fill>
    </dxf>
    <dxf>
      <font>
        <color theme="0"/>
      </font>
      <fill>
        <patternFill>
          <bgColor rgb="FF00B050"/>
        </patternFill>
      </fill>
    </dxf>
    <dxf>
      <font>
        <color theme="1"/>
      </font>
      <fill>
        <patternFill>
          <bgColor rgb="FFFFC000"/>
        </patternFill>
      </fill>
    </dxf>
    <dxf>
      <font>
        <color theme="0"/>
      </font>
      <fill>
        <patternFill>
          <bgColor rgb="FFCC0000"/>
        </patternFill>
      </fill>
    </dxf>
    <dxf>
      <font>
        <color theme="0"/>
      </font>
      <fill>
        <patternFill>
          <bgColor rgb="FF00B050"/>
        </patternFill>
      </fill>
    </dxf>
    <dxf>
      <font>
        <color theme="1"/>
      </font>
      <fill>
        <patternFill>
          <bgColor rgb="FFFFC000"/>
        </patternFill>
      </fill>
    </dxf>
    <dxf>
      <font>
        <color theme="1"/>
      </font>
      <fill>
        <patternFill>
          <bgColor theme="0" tint="-4.9989318521683403E-2"/>
        </patternFill>
      </fill>
    </dxf>
    <dxf>
      <font>
        <color theme="0"/>
      </font>
      <fill>
        <patternFill>
          <bgColor rgb="FFCC0000"/>
        </patternFill>
      </fill>
    </dxf>
    <dxf>
      <font>
        <color theme="1"/>
      </font>
      <fill>
        <patternFill>
          <bgColor theme="0" tint="-4.9989318521683403E-2"/>
        </patternFill>
      </fill>
    </dxf>
    <dxf>
      <font>
        <color theme="0"/>
      </font>
      <fill>
        <patternFill>
          <bgColor rgb="FF00B050"/>
        </patternFill>
      </fill>
    </dxf>
    <dxf>
      <font>
        <color theme="1"/>
      </font>
      <fill>
        <patternFill>
          <bgColor rgb="FFFFC000"/>
        </patternFill>
      </fill>
    </dxf>
    <dxf>
      <font>
        <color theme="0"/>
      </font>
      <fill>
        <patternFill>
          <bgColor rgb="FFCC0000"/>
        </patternFill>
      </fill>
    </dxf>
    <dxf>
      <font>
        <color theme="1"/>
      </font>
      <fill>
        <patternFill>
          <bgColor theme="0" tint="-4.9989318521683403E-2"/>
        </patternFill>
      </fill>
    </dxf>
    <dxf>
      <font>
        <color theme="0"/>
      </font>
      <fill>
        <patternFill>
          <bgColor rgb="FF00B050"/>
        </patternFill>
      </fill>
    </dxf>
    <dxf>
      <font>
        <color theme="1"/>
      </font>
      <fill>
        <patternFill>
          <bgColor rgb="FFFFC000"/>
        </patternFill>
      </fill>
    </dxf>
    <dxf>
      <font>
        <color theme="0"/>
      </font>
      <fill>
        <patternFill>
          <bgColor rgb="FFCC0000"/>
        </patternFill>
      </fill>
    </dxf>
    <dxf>
      <font>
        <color auto="1"/>
      </font>
      <fill>
        <patternFill>
          <bgColor theme="0" tint="-4.9989318521683403E-2"/>
        </patternFill>
      </fill>
    </dxf>
    <dxf>
      <font>
        <color theme="1"/>
      </font>
      <fill>
        <patternFill>
          <bgColor rgb="FFFFC000"/>
        </patternFill>
      </fill>
    </dxf>
    <dxf>
      <font>
        <color theme="0"/>
      </font>
      <fill>
        <patternFill>
          <bgColor rgb="FF00B050"/>
        </patternFill>
      </fill>
    </dxf>
    <dxf>
      <font>
        <color theme="0"/>
      </font>
      <fill>
        <patternFill>
          <bgColor rgb="FFCC0000"/>
        </patternFill>
      </fill>
    </dxf>
    <dxf>
      <font>
        <color theme="0"/>
      </font>
      <fill>
        <patternFill>
          <bgColor rgb="FF00B050"/>
        </patternFill>
      </fill>
    </dxf>
    <dxf>
      <font>
        <color theme="0"/>
      </font>
      <fill>
        <patternFill>
          <bgColor rgb="FFCC0000"/>
        </patternFill>
      </fill>
    </dxf>
    <dxf>
      <font>
        <color theme="1"/>
      </font>
      <fill>
        <patternFill>
          <bgColor rgb="FFFFC000"/>
        </patternFill>
      </fill>
    </dxf>
    <dxf>
      <font>
        <color theme="1"/>
      </font>
      <fill>
        <patternFill>
          <bgColor theme="0" tint="-4.9989318521683403E-2"/>
        </patternFill>
      </fill>
    </dxf>
    <dxf>
      <font>
        <color theme="1"/>
      </font>
      <fill>
        <patternFill>
          <bgColor theme="0" tint="-4.9989318521683403E-2"/>
        </patternFill>
      </fill>
    </dxf>
    <dxf>
      <font>
        <color theme="0"/>
      </font>
      <fill>
        <patternFill>
          <bgColor rgb="FF00B050"/>
        </patternFill>
      </fill>
    </dxf>
    <dxf>
      <font>
        <color theme="1"/>
      </font>
      <fill>
        <patternFill>
          <bgColor rgb="FFFFC000"/>
        </patternFill>
      </fill>
    </dxf>
    <dxf>
      <font>
        <color theme="0"/>
      </font>
      <fill>
        <patternFill>
          <bgColor rgb="FFCC0000"/>
        </patternFill>
      </fill>
    </dxf>
    <dxf>
      <font>
        <color theme="1"/>
      </font>
      <fill>
        <patternFill>
          <bgColor theme="0" tint="-4.9989318521683403E-2"/>
        </patternFill>
      </fill>
    </dxf>
    <dxf>
      <font>
        <color theme="0"/>
      </font>
      <fill>
        <patternFill>
          <bgColor rgb="FF00B050"/>
        </patternFill>
      </fill>
    </dxf>
    <dxf>
      <font>
        <color theme="1"/>
      </font>
      <fill>
        <patternFill>
          <bgColor rgb="FFFFC000"/>
        </patternFill>
      </fill>
    </dxf>
    <dxf>
      <font>
        <color theme="0"/>
      </font>
      <fill>
        <patternFill>
          <bgColor rgb="FFCC0000"/>
        </patternFill>
      </fill>
    </dxf>
    <dxf>
      <font>
        <color theme="1"/>
      </font>
      <fill>
        <patternFill>
          <bgColor theme="0" tint="-4.9989318521683403E-2"/>
        </patternFill>
      </fill>
    </dxf>
    <dxf>
      <font>
        <color theme="0"/>
      </font>
      <fill>
        <patternFill>
          <bgColor rgb="FFCC0000"/>
        </patternFill>
      </fill>
    </dxf>
    <dxf>
      <font>
        <color theme="1"/>
      </font>
      <fill>
        <patternFill>
          <bgColor rgb="FFFFC000"/>
        </patternFill>
      </fill>
    </dxf>
    <dxf>
      <font>
        <color theme="0"/>
      </font>
      <fill>
        <patternFill>
          <bgColor rgb="FF00B050"/>
        </patternFill>
      </fill>
    </dxf>
    <dxf>
      <font>
        <color theme="1"/>
      </font>
      <fill>
        <patternFill>
          <bgColor rgb="FFFFC000"/>
        </patternFill>
      </fill>
    </dxf>
    <dxf>
      <font>
        <color theme="0"/>
      </font>
      <fill>
        <patternFill>
          <bgColor rgb="FF00B050"/>
        </patternFill>
      </fill>
    </dxf>
    <dxf>
      <font>
        <color theme="1"/>
      </font>
      <fill>
        <patternFill>
          <bgColor theme="0" tint="-4.9989318521683403E-2"/>
        </patternFill>
      </fill>
    </dxf>
    <dxf>
      <font>
        <color theme="0"/>
      </font>
      <fill>
        <patternFill>
          <bgColor rgb="FFCC0000"/>
        </patternFill>
      </fill>
    </dxf>
    <dxf>
      <font>
        <color theme="1"/>
      </font>
      <fill>
        <patternFill>
          <bgColor rgb="FFFFC000"/>
        </patternFill>
      </fill>
    </dxf>
    <dxf>
      <font>
        <color theme="1"/>
      </font>
      <fill>
        <patternFill>
          <bgColor theme="0" tint="-4.9989318521683403E-2"/>
        </patternFill>
      </fill>
    </dxf>
    <dxf>
      <font>
        <color theme="0"/>
      </font>
      <fill>
        <patternFill>
          <bgColor rgb="FFCC0000"/>
        </patternFill>
      </fill>
    </dxf>
    <dxf>
      <font>
        <color theme="0"/>
      </font>
      <fill>
        <patternFill>
          <bgColor rgb="FF00B050"/>
        </patternFill>
      </fill>
    </dxf>
    <dxf>
      <font>
        <color theme="0"/>
      </font>
      <fill>
        <patternFill>
          <bgColor rgb="FFCC0000"/>
        </patternFill>
      </fill>
    </dxf>
    <dxf>
      <font>
        <color theme="1"/>
      </font>
      <fill>
        <patternFill>
          <bgColor rgb="FFFFC000"/>
        </patternFill>
      </fill>
    </dxf>
    <dxf>
      <font>
        <color theme="0"/>
      </font>
      <fill>
        <patternFill>
          <bgColor rgb="FF00B050"/>
        </patternFill>
      </fill>
    </dxf>
    <dxf>
      <font>
        <color theme="1"/>
      </font>
      <fill>
        <patternFill>
          <bgColor theme="0" tint="-4.9989318521683403E-2"/>
        </patternFill>
      </fill>
    </dxf>
    <dxf>
      <font>
        <color theme="1"/>
      </font>
      <fill>
        <patternFill>
          <bgColor theme="0" tint="-4.9989318521683403E-2"/>
        </patternFill>
      </fill>
    </dxf>
    <dxf>
      <font>
        <color theme="0"/>
      </font>
      <fill>
        <patternFill>
          <bgColor rgb="FF00B050"/>
        </patternFill>
      </fill>
    </dxf>
    <dxf>
      <font>
        <color theme="1"/>
      </font>
      <fill>
        <patternFill>
          <bgColor rgb="FFFFC000"/>
        </patternFill>
      </fill>
    </dxf>
    <dxf>
      <font>
        <color theme="0"/>
      </font>
      <fill>
        <patternFill>
          <bgColor rgb="FFCC0000"/>
        </patternFill>
      </fill>
    </dxf>
    <dxf>
      <font>
        <color theme="1"/>
      </font>
      <fill>
        <patternFill>
          <bgColor theme="0" tint="-4.9989318521683403E-2"/>
        </patternFill>
      </fill>
    </dxf>
    <dxf>
      <font>
        <color theme="0"/>
      </font>
      <fill>
        <patternFill>
          <bgColor rgb="FF00B050"/>
        </patternFill>
      </fill>
    </dxf>
    <dxf>
      <font>
        <color theme="1"/>
      </font>
      <fill>
        <patternFill>
          <bgColor rgb="FFFFC000"/>
        </patternFill>
      </fill>
    </dxf>
    <dxf>
      <font>
        <color theme="0"/>
      </font>
      <fill>
        <patternFill>
          <bgColor rgb="FFCC0000"/>
        </patternFill>
      </fill>
    </dxf>
    <dxf>
      <font>
        <color theme="0"/>
      </font>
      <fill>
        <patternFill>
          <bgColor rgb="FFCC0000"/>
        </patternFill>
      </fill>
    </dxf>
    <dxf>
      <font>
        <color theme="1"/>
      </font>
      <fill>
        <patternFill>
          <bgColor rgb="FFFFC000"/>
        </patternFill>
      </fill>
    </dxf>
    <dxf>
      <font>
        <color theme="0"/>
      </font>
      <fill>
        <patternFill>
          <bgColor rgb="FF00B050"/>
        </patternFill>
      </fill>
    </dxf>
    <dxf>
      <font>
        <color theme="1"/>
      </font>
      <fill>
        <patternFill>
          <bgColor theme="0" tint="-4.9989318521683403E-2"/>
        </patternFill>
      </fill>
    </dxf>
  </dxfs>
  <tableStyles count="0" defaultTableStyle="TableStyleMedium2" defaultPivotStyle="PivotStyleLight16"/>
  <colors>
    <mruColors>
      <color rgb="FFD5B8EA"/>
      <color rgb="FFFFFFCC"/>
      <color rgb="FFF2F2F2"/>
      <color rgb="FFCC0000"/>
      <color rgb="FF1F4E78"/>
      <color rgb="FFECF4FA"/>
      <color rgb="FFFF5050"/>
      <color rgb="FFDCFAD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eetMetadata" Target="metadata.xml"/><Relationship Id="rId3" Type="http://schemas.openxmlformats.org/officeDocument/2006/relationships/worksheet" Target="worksheets/sheet3.xml"/><Relationship Id="rId21" Type="http://schemas.openxmlformats.org/officeDocument/2006/relationships/customXml" Target="../customXml/item2.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23" Type="http://schemas.openxmlformats.org/officeDocument/2006/relationships/customXml" Target="../customXml/item4.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ustomXml" Target="../customXml/item3.xml"/></Relationships>
</file>

<file path=xl/drawings/drawing1.xml><?xml version="1.0" encoding="utf-8"?>
<xdr:wsDr xmlns:xdr="http://schemas.openxmlformats.org/drawingml/2006/spreadsheetDrawing" xmlns:a="http://schemas.openxmlformats.org/drawingml/2006/main">
  <xdr:twoCellAnchor>
    <xdr:from>
      <xdr:col>32</xdr:col>
      <xdr:colOff>504825</xdr:colOff>
      <xdr:row>0</xdr:row>
      <xdr:rowOff>57150</xdr:rowOff>
    </xdr:from>
    <xdr:to>
      <xdr:col>36</xdr:col>
      <xdr:colOff>419100</xdr:colOff>
      <xdr:row>0</xdr:row>
      <xdr:rowOff>301625</xdr:rowOff>
    </xdr:to>
    <xdr:sp macro="" textlink="">
      <xdr:nvSpPr>
        <xdr:cNvPr id="2" name="TextBox 1">
          <a:extLst>
            <a:ext uri="{FF2B5EF4-FFF2-40B4-BE49-F238E27FC236}">
              <a16:creationId xmlns:a16="http://schemas.microsoft.com/office/drawing/2014/main" id="{73E12D72-E0FE-4E99-9E50-0BD6F4348680}"/>
            </a:ext>
          </a:extLst>
        </xdr:cNvPr>
        <xdr:cNvSpPr txBox="1"/>
      </xdr:nvSpPr>
      <xdr:spPr>
        <a:xfrm>
          <a:off x="27174825" y="57150"/>
          <a:ext cx="3895725" cy="244475"/>
        </a:xfrm>
        <a:prstGeom prst="rect">
          <a:avLst/>
        </a:prstGeom>
        <a:solidFill>
          <a:srgbClr val="FFFF0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100"/>
            <a:t>N.B. All values shown are</a:t>
          </a:r>
          <a:r>
            <a:rPr lang="en-GB" sz="1100" baseline="0"/>
            <a:t> in £M.</a:t>
          </a:r>
          <a:endParaRPr lang="en-GB" sz="1100"/>
        </a:p>
      </xdr:txBody>
    </xdr:sp>
    <xdr:clientData/>
  </xdr:twoCellAnchor>
  <xdr:twoCellAnchor>
    <xdr:from>
      <xdr:col>39</xdr:col>
      <xdr:colOff>439763</xdr:colOff>
      <xdr:row>39</xdr:row>
      <xdr:rowOff>149860</xdr:rowOff>
    </xdr:from>
    <xdr:to>
      <xdr:col>46</xdr:col>
      <xdr:colOff>427183</xdr:colOff>
      <xdr:row>50</xdr:row>
      <xdr:rowOff>103909</xdr:rowOff>
    </xdr:to>
    <xdr:sp macro="" textlink="">
      <xdr:nvSpPr>
        <xdr:cNvPr id="3" name="Rectangle 2">
          <a:extLst>
            <a:ext uri="{FF2B5EF4-FFF2-40B4-BE49-F238E27FC236}">
              <a16:creationId xmlns:a16="http://schemas.microsoft.com/office/drawing/2014/main" id="{FBBB84FE-FA79-459C-861D-CDAD1F6C225F}"/>
            </a:ext>
          </a:extLst>
        </xdr:cNvPr>
        <xdr:cNvSpPr/>
      </xdr:nvSpPr>
      <xdr:spPr>
        <a:xfrm>
          <a:off x="34809138" y="14437360"/>
          <a:ext cx="4432420" cy="4145049"/>
        </a:xfrm>
        <a:prstGeom prst="rect">
          <a:avLst/>
        </a:prstGeom>
        <a:noFill/>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GB" sz="1100"/>
        </a:p>
      </xdr:txBody>
    </xdr:sp>
    <xdr:clientData/>
  </xdr:twoCellAnchor>
  <xdr:twoCellAnchor>
    <xdr:from>
      <xdr:col>4</xdr:col>
      <xdr:colOff>533331</xdr:colOff>
      <xdr:row>51</xdr:row>
      <xdr:rowOff>371163</xdr:rowOff>
    </xdr:from>
    <xdr:to>
      <xdr:col>4</xdr:col>
      <xdr:colOff>602604</xdr:colOff>
      <xdr:row>65</xdr:row>
      <xdr:rowOff>359617</xdr:rowOff>
    </xdr:to>
    <xdr:sp macro="" textlink="">
      <xdr:nvSpPr>
        <xdr:cNvPr id="4" name="Right Brace 3">
          <a:extLst>
            <a:ext uri="{FF2B5EF4-FFF2-40B4-BE49-F238E27FC236}">
              <a16:creationId xmlns:a16="http://schemas.microsoft.com/office/drawing/2014/main" id="{1258A054-77A8-404B-8CA9-BA025DA8AF2F}"/>
            </a:ext>
          </a:extLst>
        </xdr:cNvPr>
        <xdr:cNvSpPr/>
      </xdr:nvSpPr>
      <xdr:spPr>
        <a:xfrm rot="10800000" flipH="1">
          <a:off x="4642689" y="19217056"/>
          <a:ext cx="69273" cy="5322454"/>
        </a:xfrm>
        <a:prstGeom prst="rightBrace">
          <a:avLst/>
        </a:prstGeom>
      </xdr:spPr>
      <xdr:style>
        <a:lnRef idx="1">
          <a:schemeClr val="dk1"/>
        </a:lnRef>
        <a:fillRef idx="0">
          <a:schemeClr val="dk1"/>
        </a:fillRef>
        <a:effectRef idx="0">
          <a:schemeClr val="dk1"/>
        </a:effectRef>
        <a:fontRef idx="minor">
          <a:schemeClr val="tx1"/>
        </a:fontRef>
      </xdr:style>
      <xdr:txBody>
        <a:bodyPr vertOverflow="clip" horzOverflow="clip" rtlCol="0" anchor="t"/>
        <a:lstStyle/>
        <a:p>
          <a:pPr algn="l"/>
          <a:endParaRPr lang="en-GB" sz="11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32</xdr:col>
      <xdr:colOff>504825</xdr:colOff>
      <xdr:row>0</xdr:row>
      <xdr:rowOff>57150</xdr:rowOff>
    </xdr:from>
    <xdr:to>
      <xdr:col>36</xdr:col>
      <xdr:colOff>419100</xdr:colOff>
      <xdr:row>0</xdr:row>
      <xdr:rowOff>301625</xdr:rowOff>
    </xdr:to>
    <xdr:sp macro="" textlink="">
      <xdr:nvSpPr>
        <xdr:cNvPr id="2" name="TextBox 1">
          <a:extLst>
            <a:ext uri="{FF2B5EF4-FFF2-40B4-BE49-F238E27FC236}">
              <a16:creationId xmlns:a16="http://schemas.microsoft.com/office/drawing/2014/main" id="{706F78FB-8CAF-42D5-89A2-597A494D5D39}"/>
            </a:ext>
          </a:extLst>
        </xdr:cNvPr>
        <xdr:cNvSpPr txBox="1"/>
      </xdr:nvSpPr>
      <xdr:spPr>
        <a:xfrm>
          <a:off x="25260300" y="57150"/>
          <a:ext cx="3695700" cy="244475"/>
        </a:xfrm>
        <a:prstGeom prst="rect">
          <a:avLst/>
        </a:prstGeom>
        <a:solidFill>
          <a:srgbClr val="FFFF0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100"/>
            <a:t>N.B. All values shown are</a:t>
          </a:r>
          <a:r>
            <a:rPr lang="en-GB" sz="1100" baseline="0"/>
            <a:t> in £M.</a:t>
          </a:r>
          <a:endParaRPr lang="en-GB" sz="1100"/>
        </a:p>
      </xdr:txBody>
    </xdr:sp>
    <xdr:clientData/>
  </xdr:twoCellAnchor>
  <xdr:twoCellAnchor>
    <xdr:from>
      <xdr:col>31</xdr:col>
      <xdr:colOff>428626</xdr:colOff>
      <xdr:row>30</xdr:row>
      <xdr:rowOff>379945</xdr:rowOff>
    </xdr:from>
    <xdr:to>
      <xdr:col>36</xdr:col>
      <xdr:colOff>416720</xdr:colOff>
      <xdr:row>41</xdr:row>
      <xdr:rowOff>346364</xdr:rowOff>
    </xdr:to>
    <xdr:sp macro="" textlink="">
      <xdr:nvSpPr>
        <xdr:cNvPr id="3" name="Rectangle 2">
          <a:extLst>
            <a:ext uri="{FF2B5EF4-FFF2-40B4-BE49-F238E27FC236}">
              <a16:creationId xmlns:a16="http://schemas.microsoft.com/office/drawing/2014/main" id="{CD7D38C3-CD8C-46EF-9F32-15A9B7F0CD10}"/>
            </a:ext>
          </a:extLst>
        </xdr:cNvPr>
        <xdr:cNvSpPr/>
      </xdr:nvSpPr>
      <xdr:spPr>
        <a:xfrm>
          <a:off x="24674081" y="11151854"/>
          <a:ext cx="4300321" cy="4157419"/>
        </a:xfrm>
        <a:prstGeom prst="rect">
          <a:avLst/>
        </a:prstGeom>
        <a:noFill/>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GB" sz="1100"/>
        </a:p>
      </xdr:txBody>
    </xdr:sp>
    <xdr:clientData/>
  </xdr:twoCellAnchor>
  <xdr:twoCellAnchor>
    <xdr:from>
      <xdr:col>4</xdr:col>
      <xdr:colOff>228600</xdr:colOff>
      <xdr:row>50</xdr:row>
      <xdr:rowOff>6349</xdr:rowOff>
    </xdr:from>
    <xdr:to>
      <xdr:col>4</xdr:col>
      <xdr:colOff>438150</xdr:colOff>
      <xdr:row>60</xdr:row>
      <xdr:rowOff>180974</xdr:rowOff>
    </xdr:to>
    <xdr:sp macro="" textlink="">
      <xdr:nvSpPr>
        <xdr:cNvPr id="4" name="Right Brace 3">
          <a:extLst>
            <a:ext uri="{FF2B5EF4-FFF2-40B4-BE49-F238E27FC236}">
              <a16:creationId xmlns:a16="http://schemas.microsoft.com/office/drawing/2014/main" id="{6060BB5B-33FD-4E60-992D-2170B854B27A}"/>
            </a:ext>
          </a:extLst>
        </xdr:cNvPr>
        <xdr:cNvSpPr/>
      </xdr:nvSpPr>
      <xdr:spPr>
        <a:xfrm>
          <a:off x="3895725" y="18027649"/>
          <a:ext cx="209550" cy="3984625"/>
        </a:xfrm>
        <a:prstGeom prst="rightBrace">
          <a:avLst/>
        </a:prstGeom>
      </xdr:spPr>
      <xdr:style>
        <a:lnRef idx="1">
          <a:schemeClr val="dk1"/>
        </a:lnRef>
        <a:fillRef idx="0">
          <a:schemeClr val="dk1"/>
        </a:fillRef>
        <a:effectRef idx="0">
          <a:schemeClr val="dk1"/>
        </a:effectRef>
        <a:fontRef idx="minor">
          <a:schemeClr val="tx1"/>
        </a:fontRef>
      </xdr:style>
      <xdr:txBody>
        <a:bodyPr vertOverflow="clip" horzOverflow="clip" rtlCol="0" anchor="t"/>
        <a:lstStyle/>
        <a:p>
          <a:pPr algn="l"/>
          <a:endParaRPr lang="en-GB" sz="1100"/>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11</xdr:col>
      <xdr:colOff>169334</xdr:colOff>
      <xdr:row>8</xdr:row>
      <xdr:rowOff>21166</xdr:rowOff>
    </xdr:from>
    <xdr:to>
      <xdr:col>13</xdr:col>
      <xdr:colOff>550334</xdr:colOff>
      <xdr:row>11</xdr:row>
      <xdr:rowOff>211665</xdr:rowOff>
    </xdr:to>
    <xdr:sp macro="" textlink="">
      <xdr:nvSpPr>
        <xdr:cNvPr id="2" name="TextBox 1">
          <a:extLst>
            <a:ext uri="{FF2B5EF4-FFF2-40B4-BE49-F238E27FC236}">
              <a16:creationId xmlns:a16="http://schemas.microsoft.com/office/drawing/2014/main" id="{B661189F-B33E-48F9-A657-3BC5AF9DE6AD}"/>
            </a:ext>
          </a:extLst>
        </xdr:cNvPr>
        <xdr:cNvSpPr txBox="1"/>
      </xdr:nvSpPr>
      <xdr:spPr>
        <a:xfrm>
          <a:off x="9091084" y="1693333"/>
          <a:ext cx="1587500" cy="952499"/>
        </a:xfrm>
        <a:prstGeom prst="rect">
          <a:avLst/>
        </a:prstGeom>
        <a:solidFill>
          <a:srgbClr val="FF000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100" b="1">
              <a:solidFill>
                <a:schemeClr val="bg1"/>
              </a:solidFill>
            </a:rPr>
            <a:t>C&amp;C RAG</a:t>
          </a:r>
          <a:r>
            <a:rPr lang="en-GB" sz="1100" b="1" baseline="0">
              <a:solidFill>
                <a:schemeClr val="bg1"/>
              </a:solidFill>
            </a:rPr>
            <a:t> Trend Arrows - Addition due to request at P2 P&amp;B.</a:t>
          </a:r>
        </a:p>
        <a:p>
          <a:r>
            <a:rPr lang="en-GB" sz="1100" b="1" baseline="0">
              <a:solidFill>
                <a:schemeClr val="bg1"/>
              </a:solidFill>
            </a:rPr>
            <a:t>Auto fills from RAG Table Tab</a:t>
          </a:r>
        </a:p>
        <a:p>
          <a:endParaRPr lang="en-GB" sz="1100" b="1" baseline="0">
            <a:solidFill>
              <a:schemeClr val="bg1"/>
            </a:solidFill>
          </a:endParaRP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0</xdr:col>
      <xdr:colOff>79641</xdr:colOff>
      <xdr:row>62</xdr:row>
      <xdr:rowOff>59376</xdr:rowOff>
    </xdr:from>
    <xdr:to>
      <xdr:col>56</xdr:col>
      <xdr:colOff>79169</xdr:colOff>
      <xdr:row>121</xdr:row>
      <xdr:rowOff>39585</xdr:rowOff>
    </xdr:to>
    <xdr:sp macro="" textlink="">
      <xdr:nvSpPr>
        <xdr:cNvPr id="2" name="TextBox 1">
          <a:extLst>
            <a:ext uri="{FF2B5EF4-FFF2-40B4-BE49-F238E27FC236}">
              <a16:creationId xmlns:a16="http://schemas.microsoft.com/office/drawing/2014/main" id="{049965F7-18DD-4768-A89B-329D9F455D8E}"/>
            </a:ext>
          </a:extLst>
        </xdr:cNvPr>
        <xdr:cNvSpPr txBox="1"/>
      </xdr:nvSpPr>
      <xdr:spPr>
        <a:xfrm>
          <a:off x="79641" y="10707583"/>
          <a:ext cx="15091086" cy="9945586"/>
        </a:xfrm>
        <a:prstGeom prst="rect">
          <a:avLst/>
        </a:prstGeom>
        <a:solidFill>
          <a:sysClr val="window" lastClr="FFFFFF"/>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rtl="0" eaLnBrk="1" latinLnBrk="0" hangingPunct="1"/>
          <a:r>
            <a:rPr lang="en-GB" sz="1100" b="1">
              <a:solidFill>
                <a:sysClr val="windowText" lastClr="000000"/>
              </a:solidFill>
              <a:effectLst/>
              <a:latin typeface="+mn-lt"/>
              <a:ea typeface="+mn-ea"/>
              <a:cs typeface="+mn-cs"/>
            </a:rPr>
            <a:t>This month (Pd07) we have 35 projects, 1 Programme and 1 Sub Programme. </a:t>
          </a:r>
        </a:p>
        <a:p>
          <a:pPr rtl="0" eaLnBrk="1" latinLnBrk="0" hangingPunct="1"/>
          <a:endParaRPr lang="en-GB" sz="1100" b="1" i="0">
            <a:solidFill>
              <a:srgbClr val="FF0000"/>
            </a:solidFill>
            <a:effectLst/>
            <a:latin typeface="+mn-lt"/>
            <a:ea typeface="+mn-ea"/>
            <a:cs typeface="+mn-cs"/>
          </a:endParaRPr>
        </a:p>
        <a:p>
          <a:pPr rtl="0" eaLnBrk="1" latinLnBrk="0" hangingPunct="1"/>
          <a:r>
            <a:rPr lang="en-GB" sz="1100" b="1" i="0" baseline="0">
              <a:solidFill>
                <a:sysClr val="windowText" lastClr="000000"/>
              </a:solidFill>
              <a:effectLst/>
              <a:latin typeface="+mn-lt"/>
              <a:ea typeface="+mn-ea"/>
              <a:cs typeface="+mn-cs"/>
            </a:rPr>
            <a:t>3 C</a:t>
          </a:r>
          <a:r>
            <a:rPr lang="en-GB" sz="1100" b="1" i="0">
              <a:solidFill>
                <a:sysClr val="windowText" lastClr="000000"/>
              </a:solidFill>
              <a:effectLst/>
              <a:latin typeface="+mn-lt"/>
              <a:ea typeface="+mn-ea"/>
              <a:cs typeface="+mn-cs"/>
            </a:rPr>
            <a:t>hanges to Delivery Confidence</a:t>
          </a:r>
          <a:r>
            <a:rPr lang="en-GB" sz="1100" b="1" i="0" baseline="0">
              <a:solidFill>
                <a:sysClr val="windowText" lastClr="000000"/>
              </a:solidFill>
              <a:effectLst/>
              <a:latin typeface="+mn-lt"/>
              <a:ea typeface="+mn-ea"/>
              <a:cs typeface="+mn-cs"/>
            </a:rPr>
            <a:t> Assessment.</a:t>
          </a:r>
        </a:p>
        <a:p>
          <a:pPr rtl="0" eaLnBrk="1" latinLnBrk="0" hangingPunct="1"/>
          <a:r>
            <a:rPr lang="en-GB" sz="1100" b="1" i="0" baseline="0">
              <a:solidFill>
                <a:sysClr val="windowText" lastClr="000000"/>
              </a:solidFill>
              <a:effectLst/>
              <a:latin typeface="+mn-lt"/>
              <a:ea typeface="+mn-ea"/>
              <a:cs typeface="+mn-cs"/>
            </a:rPr>
            <a:t>Box Encapsulation Plant: </a:t>
          </a:r>
          <a:r>
            <a:rPr lang="en-GB" sz="1100" b="0" i="0" baseline="0">
              <a:solidFill>
                <a:sysClr val="windowText" lastClr="000000"/>
              </a:solidFill>
              <a:effectLst/>
              <a:latin typeface="+mn-lt"/>
              <a:ea typeface="+mn-ea"/>
              <a:cs typeface="+mn-cs"/>
            </a:rPr>
            <a:t>RAG has moved to </a:t>
          </a:r>
          <a:r>
            <a:rPr lang="en-GB" sz="1100" b="0" i="0" baseline="0">
              <a:solidFill>
                <a:srgbClr val="FFC000"/>
              </a:solidFill>
              <a:effectLst/>
              <a:latin typeface="+mn-lt"/>
              <a:ea typeface="+mn-ea"/>
              <a:cs typeface="+mn-cs"/>
            </a:rPr>
            <a:t>Amber</a:t>
          </a:r>
          <a:r>
            <a:rPr lang="en-GB" sz="1100" b="0" i="0" baseline="0">
              <a:solidFill>
                <a:sysClr val="windowText" lastClr="000000"/>
              </a:solidFill>
              <a:effectLst/>
              <a:latin typeface="+mn-lt"/>
              <a:ea typeface="+mn-ea"/>
              <a:cs typeface="+mn-cs"/>
            </a:rPr>
            <a:t> to recognise the Project challenges that are being managed. Lifetime EAC is beyond sanction P50 but within sanction P80 cost. The preparation of a P80 Drawdown is underway, targeting executive decisions by end of this calendar year.  There is no change in period to the Start Active Commissioning forecast and lifecycle EAC. </a:t>
          </a:r>
        </a:p>
        <a:p>
          <a:pPr marL="0" marR="0" lvl="0" indent="0" defTabSz="914400" rtl="0" eaLnBrk="1" fontAlgn="auto" latinLnBrk="0" hangingPunct="1">
            <a:lnSpc>
              <a:spcPct val="100000"/>
            </a:lnSpc>
            <a:spcBef>
              <a:spcPts val="0"/>
            </a:spcBef>
            <a:spcAft>
              <a:spcPts val="0"/>
            </a:spcAft>
            <a:buClrTx/>
            <a:buSzTx/>
            <a:buFontTx/>
            <a:buNone/>
            <a:tabLst/>
            <a:defRPr/>
          </a:pPr>
          <a:r>
            <a:rPr lang="en-GB" sz="1100" b="1" i="0">
              <a:solidFill>
                <a:sysClr val="windowText" lastClr="000000"/>
              </a:solidFill>
              <a:effectLst/>
              <a:latin typeface="+mn-lt"/>
              <a:ea typeface="+mn-ea"/>
              <a:cs typeface="+mn-cs"/>
            </a:rPr>
            <a:t>Sellafield Product &amp; Residue SRP: </a:t>
          </a:r>
          <a:r>
            <a:rPr kumimoji="0" lang="en-GB" sz="1100" b="0" i="0" u="none" strike="noStrike" kern="0" cap="none" spc="0" normalizeH="0" baseline="0" noProof="0">
              <a:ln>
                <a:noFill/>
              </a:ln>
              <a:solidFill>
                <a:prstClr val="black"/>
              </a:solidFill>
              <a:effectLst/>
              <a:uLnTx/>
              <a:uFillTx/>
              <a:latin typeface="+mn-lt"/>
              <a:ea typeface="+mn-ea"/>
              <a:cs typeface="+mn-cs"/>
            </a:rPr>
            <a:t>RAG has moved to </a:t>
          </a:r>
          <a:r>
            <a:rPr kumimoji="0" lang="en-GB" sz="1100" b="0" i="0" u="none" strike="noStrike" kern="0" cap="none" spc="0" normalizeH="0" baseline="0" noProof="0">
              <a:ln>
                <a:noFill/>
              </a:ln>
              <a:solidFill>
                <a:srgbClr val="FFC000"/>
              </a:solidFill>
              <a:effectLst/>
              <a:uLnTx/>
              <a:uFillTx/>
              <a:latin typeface="+mn-lt"/>
              <a:ea typeface="+mn-ea"/>
              <a:cs typeface="+mn-cs"/>
            </a:rPr>
            <a:t>Amber</a:t>
          </a:r>
          <a:r>
            <a:rPr kumimoji="0" lang="en-GB" sz="1100" b="0" i="0" u="none" strike="noStrike" kern="0" cap="none" spc="0" normalizeH="0" baseline="0" noProof="0">
              <a:ln>
                <a:noFill/>
              </a:ln>
              <a:solidFill>
                <a:prstClr val="black"/>
              </a:solidFill>
              <a:effectLst/>
              <a:uLnTx/>
              <a:uFillTx/>
              <a:latin typeface="+mn-lt"/>
              <a:ea typeface="+mn-ea"/>
              <a:cs typeface="+mn-cs"/>
            </a:rPr>
            <a:t>  against the P80 cost and schedule from the Full Business Case (FBC) approved by HMG in July 2021. This is primarily reflective of the previously reported emerging issue relating to legislative changes to Passive Fire Protection standards, following the implementation of the Building Safety Act 2022.</a:t>
          </a:r>
          <a:endParaRPr lang="en-GB" sz="1100" b="0" i="0" baseline="0">
            <a:solidFill>
              <a:srgbClr val="00B050"/>
            </a:solidFill>
            <a:effectLst/>
            <a:latin typeface="+mn-lt"/>
            <a:ea typeface="+mn-ea"/>
            <a:cs typeface="+mn-cs"/>
          </a:endParaRPr>
        </a:p>
        <a:p>
          <a:pPr marL="0" marR="0" lvl="0" indent="0" defTabSz="914400" rtl="0" eaLnBrk="1" fontAlgn="auto" latinLnBrk="0" hangingPunct="1">
            <a:lnSpc>
              <a:spcPct val="100000"/>
            </a:lnSpc>
            <a:spcBef>
              <a:spcPts val="0"/>
            </a:spcBef>
            <a:spcAft>
              <a:spcPts val="0"/>
            </a:spcAft>
            <a:buClrTx/>
            <a:buSzTx/>
            <a:buFontTx/>
            <a:buNone/>
            <a:tabLst/>
            <a:defRPr/>
          </a:pPr>
          <a:r>
            <a:rPr lang="en-GB" sz="1100" b="1" i="0">
              <a:solidFill>
                <a:sysClr val="windowText" lastClr="000000"/>
              </a:solidFill>
              <a:effectLst/>
              <a:latin typeface="+mn-lt"/>
              <a:ea typeface="+mn-ea"/>
              <a:cs typeface="+mn-cs"/>
            </a:rPr>
            <a:t>PMF North Transfers Project: </a:t>
          </a:r>
          <a:r>
            <a:rPr lang="en-GB" sz="1100" b="0" i="0" baseline="0">
              <a:solidFill>
                <a:schemeClr val="dk1"/>
              </a:solidFill>
              <a:effectLst/>
              <a:latin typeface="+mn-lt"/>
              <a:ea typeface="+mn-ea"/>
              <a:cs typeface="+mn-cs"/>
            </a:rPr>
            <a:t>RAG has improved to </a:t>
          </a:r>
          <a:r>
            <a:rPr lang="en-GB" sz="1100" b="0" i="0" baseline="0">
              <a:solidFill>
                <a:srgbClr val="00B050"/>
              </a:solidFill>
              <a:effectLst/>
              <a:latin typeface="+mn-lt"/>
              <a:ea typeface="+mn-ea"/>
              <a:cs typeface="+mn-cs"/>
            </a:rPr>
            <a:t>Green </a:t>
          </a:r>
          <a:r>
            <a:rPr lang="en-GB" sz="1100" b="0" i="0" baseline="0">
              <a:solidFill>
                <a:sysClr val="windowText" lastClr="000000"/>
              </a:solidFill>
              <a:effectLst/>
              <a:latin typeface="+mn-lt"/>
              <a:ea typeface="+mn-ea"/>
              <a:cs typeface="+mn-cs"/>
            </a:rPr>
            <a:t>based on the recent re-baseline which was approved October 2025.</a:t>
          </a:r>
          <a:endParaRPr lang="en-GB" sz="1100" b="1" i="0">
            <a:solidFill>
              <a:sysClr val="windowText" lastClr="000000"/>
            </a:solidFill>
            <a:effectLst/>
            <a:latin typeface="+mn-lt"/>
            <a:ea typeface="+mn-ea"/>
            <a:cs typeface="+mn-cs"/>
          </a:endParaRPr>
        </a:p>
        <a:p>
          <a:pPr marL="0" marR="0" lvl="0" indent="0" defTabSz="914400" rtl="0" eaLnBrk="1" fontAlgn="auto" latinLnBrk="0" hangingPunct="1">
            <a:lnSpc>
              <a:spcPct val="100000"/>
            </a:lnSpc>
            <a:spcBef>
              <a:spcPts val="0"/>
            </a:spcBef>
            <a:spcAft>
              <a:spcPts val="0"/>
            </a:spcAft>
            <a:buClrTx/>
            <a:buSzTx/>
            <a:buFontTx/>
            <a:buNone/>
            <a:tabLst/>
            <a:defRPr/>
          </a:pPr>
          <a:endParaRPr lang="en-GB" sz="1100" b="1" i="0">
            <a:solidFill>
              <a:sysClr val="windowText" lastClr="000000"/>
            </a:solidFill>
            <a:effectLst/>
            <a:latin typeface="+mn-lt"/>
            <a:ea typeface="+mn-ea"/>
            <a:cs typeface="+mn-cs"/>
          </a:endParaRPr>
        </a:p>
        <a:p>
          <a:pPr marL="0" marR="0" lvl="0" indent="0" defTabSz="914400" rtl="0" eaLnBrk="1" fontAlgn="auto" latinLnBrk="0" hangingPunct="1">
            <a:lnSpc>
              <a:spcPct val="100000"/>
            </a:lnSpc>
            <a:spcBef>
              <a:spcPts val="0"/>
            </a:spcBef>
            <a:spcAft>
              <a:spcPts val="0"/>
            </a:spcAft>
            <a:buClrTx/>
            <a:buSzTx/>
            <a:buFontTx/>
            <a:buNone/>
            <a:tabLst/>
            <a:defRPr/>
          </a:pPr>
          <a:r>
            <a:rPr lang="en-GB" sz="1100" b="1" i="0" baseline="0">
              <a:solidFill>
                <a:sysClr val="windowText" lastClr="000000"/>
              </a:solidFill>
              <a:effectLst/>
              <a:latin typeface="+mn-lt"/>
              <a:ea typeface="+mn-ea"/>
              <a:cs typeface="+mn-cs"/>
            </a:rPr>
            <a:t>6 </a:t>
          </a:r>
          <a:r>
            <a:rPr lang="en-GB" sz="1100" b="1" i="0">
              <a:solidFill>
                <a:sysClr val="windowText" lastClr="000000"/>
              </a:solidFill>
              <a:effectLst/>
              <a:latin typeface="+mn-lt"/>
              <a:ea typeface="+mn-ea"/>
              <a:cs typeface="+mn-cs"/>
            </a:rPr>
            <a:t>changes</a:t>
          </a:r>
          <a:r>
            <a:rPr lang="en-GB" sz="1100" b="1" i="0" baseline="0">
              <a:solidFill>
                <a:sysClr val="windowText" lastClr="000000"/>
              </a:solidFill>
              <a:effectLst/>
              <a:latin typeface="+mn-lt"/>
              <a:ea typeface="+mn-ea"/>
              <a:cs typeface="+mn-cs"/>
            </a:rPr>
            <a:t> </a:t>
          </a:r>
          <a:r>
            <a:rPr lang="en-GB" sz="1100" b="1" i="0">
              <a:solidFill>
                <a:sysClr val="windowText" lastClr="000000"/>
              </a:solidFill>
              <a:effectLst/>
              <a:latin typeface="+mn-lt"/>
              <a:ea typeface="+mn-ea"/>
              <a:cs typeface="+mn-cs"/>
            </a:rPr>
            <a:t>to Baseline.</a:t>
          </a:r>
        </a:p>
        <a:p>
          <a:pPr marL="0" marR="0" lvl="0" indent="0" defTabSz="914400" rtl="0" eaLnBrk="1" fontAlgn="auto" latinLnBrk="0" hangingPunct="1">
            <a:lnSpc>
              <a:spcPct val="100000"/>
            </a:lnSpc>
            <a:spcBef>
              <a:spcPts val="0"/>
            </a:spcBef>
            <a:spcAft>
              <a:spcPts val="0"/>
            </a:spcAft>
            <a:buClrTx/>
            <a:buSzTx/>
            <a:buFontTx/>
            <a:buNone/>
            <a:tabLst/>
            <a:defRPr/>
          </a:pPr>
          <a:r>
            <a:rPr lang="en-GB" sz="1100" b="1" i="0">
              <a:solidFill>
                <a:schemeClr val="dk1"/>
              </a:solidFill>
              <a:effectLst/>
              <a:latin typeface="+mn-lt"/>
              <a:ea typeface="+mn-ea"/>
              <a:cs typeface="+mn-cs"/>
            </a:rPr>
            <a:t>Sellafield Product &amp; Residue SRP: </a:t>
          </a:r>
          <a:r>
            <a:rPr kumimoji="0" lang="en-GB" sz="1100" b="0" i="0" u="none" strike="noStrike" kern="0" cap="none" spc="0" normalizeH="0" baseline="0" noProof="0">
              <a:ln>
                <a:noFill/>
              </a:ln>
              <a:solidFill>
                <a:prstClr val="black"/>
              </a:solidFill>
              <a:effectLst/>
              <a:uLnTx/>
              <a:uFillTx/>
              <a:latin typeface="+mn-lt"/>
              <a:ea typeface="+mn-ea"/>
              <a:cs typeface="+mn-cs"/>
            </a:rPr>
            <a:t>RAG has moved to </a:t>
          </a:r>
          <a:r>
            <a:rPr kumimoji="0" lang="en-GB" sz="1100" b="0" i="0" u="none" strike="noStrike" kern="0" cap="none" spc="0" normalizeH="0" baseline="0" noProof="0">
              <a:ln>
                <a:noFill/>
              </a:ln>
              <a:solidFill>
                <a:srgbClr val="FFC000"/>
              </a:solidFill>
              <a:effectLst/>
              <a:uLnTx/>
              <a:uFillTx/>
              <a:latin typeface="+mn-lt"/>
              <a:ea typeface="+mn-ea"/>
              <a:cs typeface="+mn-cs"/>
            </a:rPr>
            <a:t>Amber</a:t>
          </a:r>
          <a:r>
            <a:rPr kumimoji="0" lang="en-GB" sz="1100" b="0" i="0" u="none" strike="noStrike" kern="0" cap="none" spc="0" normalizeH="0" baseline="0" noProof="0">
              <a:ln>
                <a:noFill/>
              </a:ln>
              <a:solidFill>
                <a:prstClr val="black"/>
              </a:solidFill>
              <a:effectLst/>
              <a:uLnTx/>
              <a:uFillTx/>
              <a:latin typeface="+mn-lt"/>
              <a:ea typeface="+mn-ea"/>
              <a:cs typeface="+mn-cs"/>
            </a:rPr>
            <a:t> as the impact of the Passive Fire Protection standards will require a significant amount of engineering design rework and additional installation work in the facility; the main impact is expected to be on the timescales to achieve readiness of the facility for Glove box installation, which has now become the critical path. The initial assessment has been carried out and is currently being quantified and assured and an assessment is also being made as to how this issue should be considered in terms of the projects current P80 sanctioned cost and schedule.  Additionally, as previously reported the project has been impacted by extraordinary inflation incurred to date. Following the DESNZ PIC decision in Q2 24/25 to postpone Inflation Sanction relief, the project has had to absorb inflationary costs using its existing contingency.</a:t>
          </a:r>
          <a:endParaRPr lang="en-GB">
            <a:effectLst/>
          </a:endParaRPr>
        </a:p>
        <a:p>
          <a:pPr marL="0" marR="0" lvl="0" indent="0" defTabSz="914400" rtl="0" eaLnBrk="1" fontAlgn="auto" latinLnBrk="0" hangingPunct="1">
            <a:lnSpc>
              <a:spcPct val="100000"/>
            </a:lnSpc>
            <a:spcBef>
              <a:spcPts val="0"/>
            </a:spcBef>
            <a:spcAft>
              <a:spcPts val="0"/>
            </a:spcAft>
            <a:buClrTx/>
            <a:buSzTx/>
            <a:buFontTx/>
            <a:buNone/>
            <a:tabLst/>
            <a:defRPr/>
          </a:pPr>
          <a:r>
            <a:rPr lang="en-GB" sz="1100" b="1" i="0">
              <a:solidFill>
                <a:schemeClr val="dk1"/>
              </a:solidFill>
              <a:effectLst/>
              <a:latin typeface="+mn-lt"/>
              <a:ea typeface="+mn-ea"/>
              <a:cs typeface="+mn-cs"/>
            </a:rPr>
            <a:t>PMF North Transfers Project: </a:t>
          </a:r>
          <a:r>
            <a:rPr lang="en-GB" sz="1100" b="0" i="0" baseline="0">
              <a:solidFill>
                <a:schemeClr val="dk1"/>
              </a:solidFill>
              <a:effectLst/>
              <a:latin typeface="+mn-lt"/>
              <a:ea typeface="+mn-ea"/>
              <a:cs typeface="+mn-cs"/>
            </a:rPr>
            <a:t>RAG has improved to </a:t>
          </a:r>
          <a:r>
            <a:rPr lang="en-GB" sz="1100" b="0" i="0" baseline="0">
              <a:solidFill>
                <a:srgbClr val="00B050"/>
              </a:solidFill>
              <a:effectLst/>
              <a:latin typeface="+mn-lt"/>
              <a:ea typeface="+mn-ea"/>
              <a:cs typeface="+mn-cs"/>
            </a:rPr>
            <a:t>Green</a:t>
          </a:r>
          <a:r>
            <a:rPr lang="en-GB" sz="1100" b="0" i="0" baseline="0">
              <a:solidFill>
                <a:schemeClr val="dk1"/>
              </a:solidFill>
              <a:effectLst/>
              <a:latin typeface="+mn-lt"/>
              <a:ea typeface="+mn-ea"/>
              <a:cs typeface="+mn-cs"/>
            </a:rPr>
            <a:t> following the approval of the Investment Review Panel (IRP) paper.</a:t>
          </a:r>
        </a:p>
        <a:p>
          <a:pPr marL="0" marR="0" lvl="0" indent="0" defTabSz="914400" rtl="0" eaLnBrk="1" fontAlgn="auto" latinLnBrk="0" hangingPunct="1">
            <a:lnSpc>
              <a:spcPct val="100000"/>
            </a:lnSpc>
            <a:spcBef>
              <a:spcPts val="0"/>
            </a:spcBef>
            <a:spcAft>
              <a:spcPts val="0"/>
            </a:spcAft>
            <a:buClrTx/>
            <a:buSzTx/>
            <a:buFontTx/>
            <a:buNone/>
            <a:tabLst/>
            <a:defRPr/>
          </a:pPr>
          <a:r>
            <a:rPr lang="en-GB" sz="1100" b="1" i="0">
              <a:solidFill>
                <a:sysClr val="windowText" lastClr="000000"/>
              </a:solidFill>
              <a:effectLst/>
              <a:latin typeface="+mn-lt"/>
              <a:ea typeface="+mn-ea"/>
              <a:cs typeface="+mn-cs"/>
            </a:rPr>
            <a:t>Product Zone Power Supply: </a:t>
          </a:r>
          <a:r>
            <a:rPr kumimoji="0" lang="en-GB" sz="1100" b="0" i="0" u="none" strike="noStrike" kern="0" cap="none" spc="0" normalizeH="0" baseline="0">
              <a:ln>
                <a:noFill/>
              </a:ln>
              <a:solidFill>
                <a:prstClr val="black"/>
              </a:solidFill>
              <a:effectLst/>
              <a:uLnTx/>
              <a:uFillTx/>
              <a:latin typeface="+mn-lt"/>
              <a:ea typeface="+mn-ea"/>
              <a:cs typeface="+mn-cs"/>
            </a:rPr>
            <a:t>RAG </a:t>
          </a:r>
          <a:r>
            <a:rPr kumimoji="0" lang="en-GB" sz="1100" b="0" i="0" u="none" strike="noStrike" kern="0" cap="none" spc="0" normalizeH="0" baseline="0" noProof="0">
              <a:ln>
                <a:noFill/>
              </a:ln>
              <a:solidFill>
                <a:prstClr val="black"/>
              </a:solidFill>
              <a:effectLst/>
              <a:uLnTx/>
              <a:uFillTx/>
              <a:latin typeface="+mn-lt"/>
              <a:ea typeface="+mn-ea"/>
              <a:cs typeface="+mn-cs"/>
            </a:rPr>
            <a:t>has improved to </a:t>
          </a:r>
          <a:r>
            <a:rPr kumimoji="0" lang="en-GB" sz="1100" b="0" i="0" u="none" strike="noStrike" kern="0" cap="none" spc="0" normalizeH="0" baseline="0" noProof="0">
              <a:ln>
                <a:noFill/>
              </a:ln>
              <a:solidFill>
                <a:srgbClr val="00B050"/>
              </a:solidFill>
              <a:effectLst/>
              <a:uLnTx/>
              <a:uFillTx/>
              <a:latin typeface="+mn-lt"/>
              <a:ea typeface="+mn-ea"/>
              <a:cs typeface="+mn-cs"/>
            </a:rPr>
            <a:t>Green </a:t>
          </a:r>
          <a:r>
            <a:rPr lang="en-GB" sz="1100" b="0" i="0" baseline="0" noProof="0">
              <a:solidFill>
                <a:schemeClr val="dk1"/>
              </a:solidFill>
              <a:effectLst/>
              <a:latin typeface="+mn-lt"/>
              <a:ea typeface="+mn-ea"/>
              <a:cs typeface="+mn-cs"/>
            </a:rPr>
            <a:t>as the Strategic Timing paper has been approved at the Enterprise Development Committee to defer the PZPS - Substation 48 scope. The requirements will not be available until a decision point in 2027</a:t>
          </a:r>
          <a:endParaRPr lang="en-GB" sz="1100" b="0" i="0" baseline="0">
            <a:solidFill>
              <a:schemeClr val="dk1"/>
            </a:solidFill>
            <a:effectLst/>
            <a:latin typeface="+mn-lt"/>
            <a:ea typeface="+mn-ea"/>
            <a:cs typeface="+mn-cs"/>
          </a:endParaRPr>
        </a:p>
        <a:p>
          <a:pPr marL="0" marR="0" lvl="0" indent="0" defTabSz="914400" rtl="0" eaLnBrk="1" fontAlgn="auto" latinLnBrk="0" hangingPunct="1">
            <a:lnSpc>
              <a:spcPct val="100000"/>
            </a:lnSpc>
            <a:spcBef>
              <a:spcPts val="0"/>
            </a:spcBef>
            <a:spcAft>
              <a:spcPts val="0"/>
            </a:spcAft>
            <a:buClrTx/>
            <a:buSzTx/>
            <a:buFontTx/>
            <a:buNone/>
            <a:tabLst/>
            <a:defRPr/>
          </a:pPr>
          <a:r>
            <a:rPr lang="en-GB" sz="1100" b="1" i="0">
              <a:solidFill>
                <a:sysClr val="windowText" lastClr="000000"/>
              </a:solidFill>
              <a:effectLst/>
              <a:latin typeface="+mn-lt"/>
              <a:ea typeface="+mn-ea"/>
              <a:cs typeface="+mn-cs"/>
            </a:rPr>
            <a:t>TR&amp;S Replacement Cooling System: </a:t>
          </a:r>
          <a:r>
            <a:rPr lang="en-GB" sz="1100" b="0" i="0" baseline="0">
              <a:solidFill>
                <a:schemeClr val="dk1"/>
              </a:solidFill>
              <a:effectLst/>
              <a:latin typeface="+mn-lt"/>
              <a:ea typeface="+mn-ea"/>
              <a:cs typeface="+mn-cs"/>
            </a:rPr>
            <a:t>RAG has moved to </a:t>
          </a:r>
          <a:r>
            <a:rPr lang="en-GB" sz="1100" b="0" i="0" baseline="0">
              <a:solidFill>
                <a:srgbClr val="FFC000"/>
              </a:solidFill>
              <a:effectLst/>
              <a:latin typeface="+mn-lt"/>
              <a:ea typeface="+mn-ea"/>
              <a:cs typeface="+mn-cs"/>
            </a:rPr>
            <a:t>Amber</a:t>
          </a:r>
          <a:r>
            <a:rPr lang="en-GB" sz="1100" b="0" i="0" baseline="0">
              <a:solidFill>
                <a:schemeClr val="dk1"/>
              </a:solidFill>
              <a:effectLst/>
              <a:latin typeface="+mn-lt"/>
              <a:ea typeface="+mn-ea"/>
              <a:cs typeface="+mn-cs"/>
            </a:rPr>
            <a:t> this period whilst the project team continue a review the impact of the strategic change on the get to gate plan (movement of Plant and Equipment Room from Product Zone).</a:t>
          </a:r>
          <a:endParaRPr lang="en-GB" sz="1100" b="1" i="0">
            <a:solidFill>
              <a:sysClr val="windowText" lastClr="000000"/>
            </a:solidFill>
            <a:effectLst/>
            <a:latin typeface="+mn-lt"/>
            <a:ea typeface="+mn-ea"/>
            <a:cs typeface="+mn-cs"/>
          </a:endParaRPr>
        </a:p>
        <a:p>
          <a:pPr marL="0" marR="0" lvl="0" indent="0" defTabSz="914400" rtl="0" eaLnBrk="1" fontAlgn="auto" latinLnBrk="0" hangingPunct="1">
            <a:lnSpc>
              <a:spcPct val="100000"/>
            </a:lnSpc>
            <a:spcBef>
              <a:spcPts val="0"/>
            </a:spcBef>
            <a:spcAft>
              <a:spcPts val="0"/>
            </a:spcAft>
            <a:buClrTx/>
            <a:buSzTx/>
            <a:buFontTx/>
            <a:buNone/>
            <a:tabLst/>
            <a:defRPr/>
          </a:pPr>
          <a:r>
            <a:rPr lang="en-GB" sz="1100" b="1" i="0">
              <a:solidFill>
                <a:sysClr val="windowText" lastClr="000000"/>
              </a:solidFill>
              <a:effectLst/>
              <a:latin typeface="+mn-lt"/>
              <a:ea typeface="+mn-ea"/>
              <a:cs typeface="+mn-cs"/>
            </a:rPr>
            <a:t>Degradation of Pipebridge 57 (PB57) L14, L15, L16 Refurbishment: </a:t>
          </a:r>
          <a:r>
            <a:rPr kumimoji="0" lang="en-GB" sz="1100" b="0" i="0" u="none" strike="noStrike" kern="0" cap="none" spc="0" normalizeH="0" baseline="0" noProof="0">
              <a:ln>
                <a:noFill/>
              </a:ln>
              <a:solidFill>
                <a:prstClr val="black"/>
              </a:solidFill>
              <a:effectLst/>
              <a:uLnTx/>
              <a:uFillTx/>
              <a:latin typeface="+mn-lt"/>
              <a:ea typeface="+mn-ea"/>
              <a:cs typeface="+mn-cs"/>
            </a:rPr>
            <a:t>RAG has </a:t>
          </a:r>
          <a:r>
            <a:rPr kumimoji="0" lang="en-GB" sz="1100" b="0" i="0" u="none" strike="noStrike" kern="0" cap="none" spc="0" normalizeH="0" baseline="0" noProof="0">
              <a:ln>
                <a:noFill/>
              </a:ln>
              <a:solidFill>
                <a:sysClr val="windowText" lastClr="000000"/>
              </a:solidFill>
              <a:effectLst/>
              <a:uLnTx/>
              <a:uFillTx/>
              <a:latin typeface="+mn-lt"/>
              <a:ea typeface="+mn-ea"/>
              <a:cs typeface="+mn-cs"/>
            </a:rPr>
            <a:t>improved in period to </a:t>
          </a:r>
          <a:r>
            <a:rPr kumimoji="0" lang="en-GB" sz="1100" b="0" i="0" u="none" strike="noStrike" kern="0" cap="none" spc="0" normalizeH="0" baseline="0" noProof="0">
              <a:ln>
                <a:noFill/>
              </a:ln>
              <a:solidFill>
                <a:srgbClr val="00B050"/>
              </a:solidFill>
              <a:effectLst/>
              <a:uLnTx/>
              <a:uFillTx/>
              <a:latin typeface="+mn-lt"/>
              <a:ea typeface="+mn-ea"/>
              <a:cs typeface="+mn-cs"/>
            </a:rPr>
            <a:t>Green </a:t>
          </a:r>
          <a:r>
            <a:rPr kumimoji="0" lang="en-GB" sz="1100" b="0" i="0" u="none" strike="noStrike" kern="0" cap="none" spc="0" normalizeH="0" baseline="0" noProof="0">
              <a:ln>
                <a:noFill/>
              </a:ln>
              <a:solidFill>
                <a:sysClr val="windowText" lastClr="000000"/>
              </a:solidFill>
              <a:effectLst/>
              <a:uLnTx/>
              <a:uFillTx/>
              <a:latin typeface="+mn-lt"/>
              <a:ea typeface="+mn-ea"/>
              <a:cs typeface="+mn-cs"/>
            </a:rPr>
            <a:t>due to the review of the stress modelling to underpin and present an optimised solution to mitigate the risk sooner.</a:t>
          </a:r>
          <a:endParaRPr lang="en-GB" sz="1100" b="1" i="0">
            <a:solidFill>
              <a:sysClr val="windowText" lastClr="000000"/>
            </a:solidFill>
            <a:effectLst/>
            <a:latin typeface="+mn-lt"/>
            <a:ea typeface="+mn-ea"/>
            <a:cs typeface="+mn-cs"/>
          </a:endParaRPr>
        </a:p>
        <a:p>
          <a:pPr marL="0" marR="0" lvl="0" indent="0" defTabSz="914400" rtl="0" eaLnBrk="1" fontAlgn="auto" latinLnBrk="0" hangingPunct="1">
            <a:lnSpc>
              <a:spcPct val="100000"/>
            </a:lnSpc>
            <a:spcBef>
              <a:spcPts val="0"/>
            </a:spcBef>
            <a:spcAft>
              <a:spcPts val="0"/>
            </a:spcAft>
            <a:buClrTx/>
            <a:buSzTx/>
            <a:buFontTx/>
            <a:buNone/>
            <a:tabLst/>
            <a:defRPr/>
          </a:pPr>
          <a:r>
            <a:rPr lang="en-GB" sz="1100" b="1" i="0">
              <a:solidFill>
                <a:sysClr val="windowText" lastClr="000000"/>
              </a:solidFill>
              <a:effectLst/>
              <a:latin typeface="+mn-lt"/>
              <a:ea typeface="+mn-ea"/>
              <a:cs typeface="+mn-cs"/>
            </a:rPr>
            <a:t>Heat Exchanger Deplanting - Main Project: </a:t>
          </a:r>
          <a:r>
            <a:rPr kumimoji="0" lang="en-GB" sz="1100" b="0" i="0" u="none" strike="noStrike" kern="0" cap="none" spc="0" normalizeH="0" baseline="0" noProof="0">
              <a:ln>
                <a:noFill/>
              </a:ln>
              <a:solidFill>
                <a:prstClr val="black"/>
              </a:solidFill>
              <a:effectLst/>
              <a:uLnTx/>
              <a:uFillTx/>
              <a:latin typeface="+mn-lt"/>
              <a:ea typeface="+mn-ea"/>
              <a:cs typeface="+mn-cs"/>
            </a:rPr>
            <a:t>RAG has </a:t>
          </a:r>
          <a:r>
            <a:rPr kumimoji="0" lang="en-GB" sz="1100" b="0" i="0" u="none" strike="noStrike" kern="0" cap="none" spc="0" normalizeH="0" baseline="0" noProof="0">
              <a:ln>
                <a:noFill/>
              </a:ln>
              <a:solidFill>
                <a:sysClr val="windowText" lastClr="000000"/>
              </a:solidFill>
              <a:effectLst/>
              <a:uLnTx/>
              <a:uFillTx/>
              <a:latin typeface="+mn-lt"/>
              <a:ea typeface="+mn-ea"/>
              <a:cs typeface="+mn-cs"/>
            </a:rPr>
            <a:t>improved to </a:t>
          </a:r>
          <a:r>
            <a:rPr kumimoji="0" lang="en-GB" sz="1100" b="0" i="0" u="none" strike="noStrike" kern="0" cap="none" spc="0" normalizeH="0" baseline="0" noProof="0">
              <a:ln>
                <a:noFill/>
              </a:ln>
              <a:solidFill>
                <a:srgbClr val="00B050"/>
              </a:solidFill>
              <a:effectLst/>
              <a:uLnTx/>
              <a:uFillTx/>
              <a:latin typeface="+mn-lt"/>
              <a:ea typeface="+mn-ea"/>
              <a:cs typeface="+mn-cs"/>
            </a:rPr>
            <a:t>Green </a:t>
          </a:r>
          <a:r>
            <a:rPr lang="en-GB" sz="1100" b="0" i="0" baseline="0" noProof="0">
              <a:solidFill>
                <a:schemeClr val="dk1"/>
              </a:solidFill>
              <a:effectLst/>
              <a:latin typeface="+mn-lt"/>
              <a:ea typeface="+mn-ea"/>
              <a:cs typeface="+mn-cs"/>
            </a:rPr>
            <a:t>f</a:t>
          </a:r>
          <a:r>
            <a:rPr lang="en-GB" sz="1100" b="0" i="0" baseline="0">
              <a:solidFill>
                <a:schemeClr val="dk1"/>
              </a:solidFill>
              <a:effectLst/>
              <a:latin typeface="+mn-lt"/>
              <a:ea typeface="+mn-ea"/>
              <a:cs typeface="+mn-cs"/>
            </a:rPr>
            <a:t>ollowing approval and implementation of a recent change control to align with the Business Case revised Commercial strategy (6 month delay with no change to scope/cost), December 2029 (P50) and December 2030 (P80) project completion dates are now confirmed. </a:t>
          </a:r>
        </a:p>
        <a:p>
          <a:pPr marL="0" marR="0" lvl="0" indent="0" defTabSz="914400" rtl="0" eaLnBrk="1" fontAlgn="auto" latinLnBrk="0" hangingPunct="1">
            <a:lnSpc>
              <a:spcPct val="100000"/>
            </a:lnSpc>
            <a:spcBef>
              <a:spcPts val="0"/>
            </a:spcBef>
            <a:spcAft>
              <a:spcPts val="0"/>
            </a:spcAft>
            <a:buClrTx/>
            <a:buSzTx/>
            <a:buFontTx/>
            <a:buNone/>
            <a:tabLst/>
            <a:defRPr/>
          </a:pPr>
          <a:endParaRPr lang="en-GB" sz="1100" b="1" i="0">
            <a:solidFill>
              <a:srgbClr val="FF0000"/>
            </a:solidFill>
            <a:effectLst/>
            <a:latin typeface="+mn-lt"/>
            <a:ea typeface="+mn-ea"/>
            <a:cs typeface="+mn-cs"/>
          </a:endParaRPr>
        </a:p>
        <a:p>
          <a:pPr rtl="0" eaLnBrk="1" latinLnBrk="0" hangingPunct="1"/>
          <a:r>
            <a:rPr lang="en-GB" b="1" baseline="0">
              <a:solidFill>
                <a:sysClr val="windowText" lastClr="000000"/>
              </a:solidFill>
              <a:effectLst/>
            </a:rPr>
            <a:t>4 </a:t>
          </a:r>
          <a:r>
            <a:rPr lang="en-GB" b="1">
              <a:solidFill>
                <a:sysClr val="windowText" lastClr="000000"/>
              </a:solidFill>
              <a:effectLst/>
            </a:rPr>
            <a:t>changes to Capability</a:t>
          </a:r>
          <a:r>
            <a:rPr lang="en-GB" b="1" baseline="0">
              <a:solidFill>
                <a:sysClr val="windowText" lastClr="000000"/>
              </a:solidFill>
              <a:effectLst/>
            </a:rPr>
            <a:t> and Capacity:</a:t>
          </a:r>
        </a:p>
        <a:p>
          <a:r>
            <a:rPr lang="en-GB" sz="1100" b="1">
              <a:solidFill>
                <a:sysClr val="windowText" lastClr="000000"/>
              </a:solidFill>
              <a:effectLst/>
              <a:latin typeface="+mn-lt"/>
              <a:ea typeface="+mn-ea"/>
              <a:cs typeface="+mn-cs"/>
            </a:rPr>
            <a:t>Substation 6 &amp; 7 Replacement: </a:t>
          </a:r>
          <a:r>
            <a:rPr kumimoji="0" lang="en-GB" sz="1100" b="0" i="0" u="none" strike="noStrike" kern="0" cap="none" spc="0" normalizeH="0" baseline="0">
              <a:ln>
                <a:noFill/>
              </a:ln>
              <a:solidFill>
                <a:prstClr val="black"/>
              </a:solidFill>
              <a:effectLst/>
              <a:uLnTx/>
              <a:uFillTx/>
              <a:latin typeface="+mn-lt"/>
              <a:ea typeface="+mn-ea"/>
              <a:cs typeface="+mn-cs"/>
            </a:rPr>
            <a:t>RAG has improved to </a:t>
          </a:r>
          <a:r>
            <a:rPr kumimoji="0" lang="en-GB" sz="1100" b="0" i="0" u="none" strike="noStrike" kern="0" cap="none" spc="0" normalizeH="0" baseline="0">
              <a:ln>
                <a:noFill/>
              </a:ln>
              <a:solidFill>
                <a:srgbClr val="00B050"/>
              </a:solidFill>
              <a:effectLst/>
              <a:uLnTx/>
              <a:uFillTx/>
              <a:latin typeface="+mn-lt"/>
              <a:ea typeface="+mn-ea"/>
              <a:cs typeface="+mn-cs"/>
            </a:rPr>
            <a:t>Green</a:t>
          </a:r>
          <a:r>
            <a:rPr kumimoji="0" lang="en-GB" sz="1100" b="0" i="0" u="none" strike="noStrike" kern="0" cap="none" spc="0" normalizeH="0" baseline="0">
              <a:ln>
                <a:noFill/>
              </a:ln>
              <a:solidFill>
                <a:prstClr val="black"/>
              </a:solidFill>
              <a:effectLst/>
              <a:uLnTx/>
              <a:uFillTx/>
              <a:latin typeface="+mn-lt"/>
              <a:ea typeface="+mn-ea"/>
              <a:cs typeface="+mn-cs"/>
            </a:rPr>
            <a:t> in period as all fault observations and Post Investment Appraisal (PIA) Sellafield Project Execution Review (SPER) actions have been closed. </a:t>
          </a:r>
        </a:p>
        <a:p>
          <a:r>
            <a:rPr lang="en-GB" sz="1100" b="1">
              <a:solidFill>
                <a:sysClr val="windowText" lastClr="000000"/>
              </a:solidFill>
              <a:effectLst/>
              <a:latin typeface="+mn-lt"/>
              <a:ea typeface="+mn-ea"/>
              <a:cs typeface="+mn-cs"/>
            </a:rPr>
            <a:t>Calder Demolition &amp; Land Clearance: </a:t>
          </a:r>
          <a:r>
            <a:rPr kumimoji="0" lang="en-GB" sz="1100" b="0" i="0" u="none" strike="noStrike" kern="0" cap="none" spc="0" normalizeH="0" baseline="0" noProof="0">
              <a:ln>
                <a:noFill/>
              </a:ln>
              <a:solidFill>
                <a:prstClr val="black"/>
              </a:solidFill>
              <a:effectLst/>
              <a:uLnTx/>
              <a:uFillTx/>
              <a:latin typeface="+mn-lt"/>
              <a:ea typeface="+mn-ea"/>
              <a:cs typeface="+mn-cs"/>
            </a:rPr>
            <a:t>RAG has moved to </a:t>
          </a:r>
          <a:r>
            <a:rPr kumimoji="0" lang="en-GB" sz="1100" b="0" i="0" u="none" strike="noStrike" kern="0" cap="none" spc="0" normalizeH="0" baseline="0" noProof="0">
              <a:ln>
                <a:noFill/>
              </a:ln>
              <a:solidFill>
                <a:srgbClr val="FFC000"/>
              </a:solidFill>
              <a:effectLst/>
              <a:uLnTx/>
              <a:uFillTx/>
              <a:latin typeface="+mn-lt"/>
              <a:ea typeface="+mn-ea"/>
              <a:cs typeface="+mn-cs"/>
            </a:rPr>
            <a:t>Amber</a:t>
          </a:r>
          <a:r>
            <a:rPr kumimoji="0" lang="en-GB" sz="1100" b="0" i="0" u="none" strike="noStrike" kern="0" cap="none" spc="0" normalizeH="0" baseline="0" noProof="0">
              <a:ln>
                <a:noFill/>
              </a:ln>
              <a:solidFill>
                <a:prstClr val="black"/>
              </a:solidFill>
              <a:effectLst/>
              <a:uLnTx/>
              <a:uFillTx/>
              <a:latin typeface="+mn-lt"/>
              <a:ea typeface="+mn-ea"/>
              <a:cs typeface="+mn-cs"/>
            </a:rPr>
            <a:t> due to the trench cleaning issue regarding cleaning taking longer than planned.</a:t>
          </a:r>
          <a:endParaRPr lang="en-GB" sz="1100" b="1">
            <a:solidFill>
              <a:sysClr val="windowText" lastClr="000000"/>
            </a:solidFill>
            <a:effectLst/>
            <a:latin typeface="+mn-lt"/>
            <a:ea typeface="+mn-ea"/>
            <a:cs typeface="+mn-cs"/>
          </a:endParaRPr>
        </a:p>
        <a:p>
          <a:r>
            <a:rPr lang="en-GB" sz="1100" b="1">
              <a:solidFill>
                <a:sysClr val="windowText" lastClr="000000"/>
              </a:solidFill>
              <a:effectLst/>
              <a:latin typeface="+mn-lt"/>
              <a:ea typeface="+mn-ea"/>
              <a:cs typeface="+mn-cs"/>
            </a:rPr>
            <a:t>LAETP Floc Retrievals: </a:t>
          </a:r>
          <a:r>
            <a:rPr lang="en-GB" sz="1100">
              <a:solidFill>
                <a:sysClr val="windowText" lastClr="000000"/>
              </a:solidFill>
              <a:effectLst/>
              <a:latin typeface="+mn-lt"/>
              <a:ea typeface="+mn-ea"/>
              <a:cs typeface="+mn-cs"/>
            </a:rPr>
            <a:t>RAG has improved to </a:t>
          </a:r>
          <a:r>
            <a:rPr kumimoji="0" lang="en-GB" sz="1100" b="0" i="0" u="none" strike="noStrike" kern="0" cap="none" spc="0" normalizeH="0" baseline="0">
              <a:ln>
                <a:noFill/>
              </a:ln>
              <a:solidFill>
                <a:srgbClr val="FFC000"/>
              </a:solidFill>
              <a:effectLst/>
              <a:uLnTx/>
              <a:uFillTx/>
              <a:latin typeface="+mn-lt"/>
              <a:ea typeface="+mn-ea"/>
              <a:cs typeface="+mn-cs"/>
            </a:rPr>
            <a:t>Amber</a:t>
          </a:r>
          <a:r>
            <a:rPr lang="en-GB" sz="1100">
              <a:solidFill>
                <a:sysClr val="windowText" lastClr="000000"/>
              </a:solidFill>
              <a:effectLst/>
              <a:latin typeface="+mn-lt"/>
              <a:ea typeface="+mn-ea"/>
              <a:cs typeface="+mn-cs"/>
            </a:rPr>
            <a:t>, as the self-delivery team following descope has largely been secured. Commissioning Request For Quote (RFQ) will mobilise remaining capability Period 9.</a:t>
          </a:r>
        </a:p>
        <a:p>
          <a:r>
            <a:rPr lang="en-GB" sz="1100" b="1">
              <a:solidFill>
                <a:sysClr val="windowText" lastClr="000000"/>
              </a:solidFill>
              <a:effectLst/>
              <a:latin typeface="+mn-lt"/>
              <a:ea typeface="+mn-ea"/>
              <a:cs typeface="+mn-cs"/>
            </a:rPr>
            <a:t>Heat Exchanger Deplanting - Main Project:</a:t>
          </a:r>
          <a:r>
            <a:rPr lang="en-GB" sz="1100" b="1" baseline="0">
              <a:solidFill>
                <a:sysClr val="windowText" lastClr="000000"/>
              </a:solidFill>
              <a:effectLst/>
              <a:latin typeface="+mn-lt"/>
              <a:ea typeface="+mn-ea"/>
              <a:cs typeface="+mn-cs"/>
            </a:rPr>
            <a:t> </a:t>
          </a:r>
          <a:r>
            <a:rPr kumimoji="0" lang="en-GB" sz="1100" b="0" i="0" u="none" strike="noStrike" kern="0" cap="none" spc="0" normalizeH="0" baseline="0" noProof="0">
              <a:ln>
                <a:noFill/>
              </a:ln>
              <a:solidFill>
                <a:prstClr val="black"/>
              </a:solidFill>
              <a:effectLst/>
              <a:uLnTx/>
              <a:uFillTx/>
              <a:latin typeface="+mn-lt"/>
              <a:ea typeface="+mn-ea"/>
              <a:cs typeface="+mn-cs"/>
            </a:rPr>
            <a:t>RAG has </a:t>
          </a:r>
          <a:r>
            <a:rPr kumimoji="0" lang="en-GB" sz="1100" b="0" i="0" u="none" strike="noStrike" kern="0" cap="none" spc="0" normalizeH="0" baseline="0" noProof="0">
              <a:ln>
                <a:noFill/>
              </a:ln>
              <a:solidFill>
                <a:sysClr val="windowText" lastClr="000000"/>
              </a:solidFill>
              <a:effectLst/>
              <a:uLnTx/>
              <a:uFillTx/>
              <a:latin typeface="+mn-lt"/>
              <a:ea typeface="+mn-ea"/>
              <a:cs typeface="+mn-cs"/>
            </a:rPr>
            <a:t>improved to </a:t>
          </a:r>
          <a:r>
            <a:rPr kumimoji="0" lang="en-GB" sz="1100" b="0" i="0" u="none" strike="noStrike" kern="0" cap="none" spc="0" normalizeH="0" baseline="0" noProof="0">
              <a:ln>
                <a:noFill/>
              </a:ln>
              <a:solidFill>
                <a:srgbClr val="00B050"/>
              </a:solidFill>
              <a:effectLst/>
              <a:uLnTx/>
              <a:uFillTx/>
              <a:latin typeface="+mn-lt"/>
              <a:ea typeface="+mn-ea"/>
              <a:cs typeface="+mn-cs"/>
            </a:rPr>
            <a:t>Green </a:t>
          </a:r>
          <a:r>
            <a:rPr kumimoji="0" lang="en-GB" sz="1100" b="0" i="0" u="none" strike="noStrike" kern="0" cap="none" spc="0" normalizeH="0" baseline="0" noProof="0">
              <a:ln>
                <a:noFill/>
              </a:ln>
              <a:solidFill>
                <a:sysClr val="windowText" lastClr="000000"/>
              </a:solidFill>
              <a:effectLst/>
              <a:uLnTx/>
              <a:uFillTx/>
              <a:latin typeface="+mn-lt"/>
              <a:ea typeface="+mn-ea"/>
              <a:cs typeface="+mn-cs"/>
            </a:rPr>
            <a:t>following the Change Control implementation, whilst the project work towards placement of the main HEx1 lifting contract.</a:t>
          </a:r>
        </a:p>
        <a:p>
          <a:endParaRPr lang="en-GB" sz="1100" b="1" u="sng">
            <a:solidFill>
              <a:sysClr val="windowText" lastClr="000000"/>
            </a:solidFill>
            <a:effectLst/>
            <a:latin typeface="+mn-lt"/>
            <a:ea typeface="+mn-ea"/>
            <a:cs typeface="+mn-cs"/>
          </a:endParaRPr>
        </a:p>
        <a:p>
          <a:r>
            <a:rPr lang="en-GB" sz="1100" b="1" u="sng">
              <a:solidFill>
                <a:sysClr val="windowText" lastClr="000000"/>
              </a:solidFill>
              <a:effectLst/>
              <a:latin typeface="+mn-lt"/>
              <a:ea typeface="+mn-ea"/>
              <a:cs typeface="+mn-cs"/>
            </a:rPr>
            <a:t>Lifecycle Movement:</a:t>
          </a:r>
        </a:p>
        <a:p>
          <a:r>
            <a:rPr lang="en-GB" sz="1100" b="1" u="sng">
              <a:solidFill>
                <a:sysClr val="windowText" lastClr="000000"/>
              </a:solidFill>
              <a:effectLst/>
              <a:latin typeface="+mn-lt"/>
              <a:ea typeface="+mn-ea"/>
              <a:cs typeface="+mn-cs"/>
            </a:rPr>
            <a:t> </a:t>
          </a:r>
          <a:endParaRPr lang="en-GB" sz="1100">
            <a:solidFill>
              <a:sysClr val="windowText" lastClr="000000"/>
            </a:solidFill>
            <a:effectLst/>
            <a:latin typeface="+mn-lt"/>
            <a:ea typeface="+mn-ea"/>
            <a:cs typeface="+mn-cs"/>
          </a:endParaRPr>
        </a:p>
        <a:p>
          <a:r>
            <a:rPr lang="en-GB" sz="1100" b="1">
              <a:solidFill>
                <a:sysClr val="windowText" lastClr="000000"/>
              </a:solidFill>
              <a:effectLst/>
              <a:latin typeface="+mn-lt"/>
              <a:ea typeface="+mn-ea"/>
              <a:cs typeface="+mn-cs"/>
            </a:rPr>
            <a:t>Forecast end date movements:</a:t>
          </a:r>
          <a:endParaRPr lang="en-GB" sz="1100">
            <a:solidFill>
              <a:sysClr val="windowText" lastClr="000000"/>
            </a:solidFill>
            <a:effectLst/>
            <a:latin typeface="+mn-lt"/>
            <a:ea typeface="+mn-ea"/>
            <a:cs typeface="+mn-cs"/>
          </a:endParaRPr>
        </a:p>
        <a:p>
          <a:pPr lvl="0"/>
          <a:r>
            <a:rPr lang="en-GB" sz="1100" b="1" i="0">
              <a:solidFill>
                <a:schemeClr val="dk1"/>
              </a:solidFill>
              <a:effectLst/>
              <a:latin typeface="+mn-lt"/>
              <a:ea typeface="+mn-ea"/>
              <a:cs typeface="+mn-cs"/>
            </a:rPr>
            <a:t>PMF North Transfers Project (27 days)</a:t>
          </a:r>
          <a:r>
            <a:rPr lang="en-GB" sz="1100" b="1" i="0" baseline="0">
              <a:solidFill>
                <a:schemeClr val="dk1"/>
              </a:solidFill>
              <a:effectLst/>
              <a:latin typeface="+mn-lt"/>
              <a:ea typeface="+mn-ea"/>
              <a:cs typeface="+mn-cs"/>
            </a:rPr>
            <a:t> </a:t>
          </a:r>
          <a:r>
            <a:rPr lang="en-GB" sz="1100" b="1">
              <a:solidFill>
                <a:schemeClr val="dk1"/>
              </a:solidFill>
              <a:effectLst/>
              <a:latin typeface="+mn-lt"/>
              <a:ea typeface="+mn-ea"/>
              <a:cs typeface="+mn-cs"/>
            </a:rPr>
            <a:t>– </a:t>
          </a:r>
          <a:r>
            <a:rPr kumimoji="0" lang="en-GB" sz="1100" b="0" i="0" u="none" strike="noStrike" kern="0" cap="none" spc="0" normalizeH="0" baseline="0">
              <a:ln>
                <a:noFill/>
              </a:ln>
              <a:solidFill>
                <a:sysClr val="windowText" lastClr="000000"/>
              </a:solidFill>
              <a:effectLst/>
              <a:uLnTx/>
              <a:uFillTx/>
              <a:latin typeface="+mn-lt"/>
              <a:ea typeface="+mn-ea"/>
              <a:cs typeface="+mn-cs"/>
            </a:rPr>
            <a:t>Movement in the date due to a recent re-baseline, which was approved October 2025. The project remains on track to realise project and NDA benefits.</a:t>
          </a:r>
        </a:p>
        <a:p>
          <a:pPr lvl="0"/>
          <a:r>
            <a:rPr lang="en-GB" sz="1100" b="1" i="0">
              <a:solidFill>
                <a:schemeClr val="dk1"/>
              </a:solidFill>
              <a:effectLst/>
              <a:latin typeface="+mn-lt"/>
              <a:ea typeface="+mn-ea"/>
              <a:cs typeface="+mn-cs"/>
            </a:rPr>
            <a:t>Substation 6 &amp; 7 Replacement (42 days) </a:t>
          </a:r>
          <a:r>
            <a:rPr lang="en-GB" sz="1100" b="1">
              <a:solidFill>
                <a:schemeClr val="dk1"/>
              </a:solidFill>
              <a:effectLst/>
              <a:latin typeface="+mn-lt"/>
              <a:ea typeface="+mn-ea"/>
              <a:cs typeface="+mn-cs"/>
            </a:rPr>
            <a:t>– T</a:t>
          </a:r>
          <a:r>
            <a:rPr kumimoji="0" lang="en-GB" sz="1100" b="0" i="0" u="none" strike="noStrike" kern="0" cap="none" spc="0" normalizeH="0" baseline="0">
              <a:ln>
                <a:noFill/>
              </a:ln>
              <a:solidFill>
                <a:sysClr val="windowText" lastClr="000000"/>
              </a:solidFill>
              <a:effectLst/>
              <a:uLnTx/>
              <a:uFillTx/>
              <a:latin typeface="+mn-lt"/>
              <a:ea typeface="+mn-ea"/>
              <a:cs typeface="+mn-cs"/>
            </a:rPr>
            <a:t>he P50 schedule has increased in period as this has now been aligned to the latest Post Investment Appraisal (PIA) governance now confirmed for December 2025. </a:t>
          </a:r>
        </a:p>
        <a:p>
          <a:pPr lvl="0"/>
          <a:r>
            <a:rPr lang="en-GB" sz="1100" b="1">
              <a:solidFill>
                <a:sysClr val="windowText" lastClr="000000"/>
              </a:solidFill>
              <a:effectLst/>
              <a:latin typeface="+mn-lt"/>
              <a:ea typeface="+mn-ea"/>
              <a:cs typeface="+mn-cs"/>
            </a:rPr>
            <a:t>Calder Demolition &amp; Land Clearance: (61 days) – </a:t>
          </a:r>
          <a:r>
            <a:rPr lang="en-GB" sz="1100">
              <a:solidFill>
                <a:sysClr val="windowText" lastClr="000000"/>
              </a:solidFill>
              <a:effectLst/>
              <a:latin typeface="+mn-lt"/>
              <a:ea typeface="+mn-ea"/>
              <a:cs typeface="+mn-cs"/>
            </a:rPr>
            <a:t>Slippage has been caused by the issue of trench cleaning taking longer than planned – problem solving is ongoing to understand options to prevent further schedule extensions, or recover, if possible; the removal of all planned weekend work from the schedule due to work to rule until February 2026 and further Industrial Action, which is a Sellafield risk under this contract. </a:t>
          </a:r>
        </a:p>
        <a:p>
          <a:pPr lvl="0"/>
          <a:endParaRPr lang="en-GB" sz="1100" b="1">
            <a:solidFill>
              <a:sysClr val="windowText" lastClr="000000"/>
            </a:solidFill>
            <a:effectLst/>
            <a:latin typeface="+mn-lt"/>
            <a:ea typeface="+mn-ea"/>
            <a:cs typeface="+mn-cs"/>
          </a:endParaRPr>
        </a:p>
        <a:p>
          <a:r>
            <a:rPr lang="en-GB" sz="1100" b="1">
              <a:solidFill>
                <a:sysClr val="windowText" lastClr="000000"/>
              </a:solidFill>
              <a:effectLst/>
              <a:latin typeface="+mn-lt"/>
              <a:ea typeface="+mn-ea"/>
              <a:cs typeface="+mn-cs"/>
            </a:rPr>
            <a:t>Estimate at Completion (EAC) changes (all values in £m): </a:t>
          </a:r>
        </a:p>
        <a:p>
          <a:r>
            <a:rPr lang="en-GB" sz="1100" b="1">
              <a:solidFill>
                <a:sysClr val="windowText" lastClr="000000"/>
              </a:solidFill>
              <a:effectLst/>
              <a:latin typeface="+mn-lt"/>
              <a:ea typeface="+mn-ea"/>
              <a:cs typeface="+mn-cs"/>
            </a:rPr>
            <a:t>CNC Encrypted Comms (-7m) – </a:t>
          </a:r>
          <a:r>
            <a:rPr lang="en-GB" sz="1100">
              <a:solidFill>
                <a:schemeClr val="dk1"/>
              </a:solidFill>
              <a:effectLst/>
              <a:latin typeface="+mn-lt"/>
              <a:ea typeface="+mn-ea"/>
              <a:cs typeface="+mn-cs"/>
            </a:rPr>
            <a:t>The assessment work on the Encrypted Comms project is now complete, resulting in a significant reduction in the project scope. The project lifecycle EAC has therefore been reduced accordingly.</a:t>
          </a:r>
        </a:p>
        <a:p>
          <a:pPr marL="0" marR="0" lvl="0" indent="0" defTabSz="914400" eaLnBrk="1" fontAlgn="auto" latinLnBrk="0" hangingPunct="1">
            <a:lnSpc>
              <a:spcPct val="100000"/>
            </a:lnSpc>
            <a:spcBef>
              <a:spcPts val="0"/>
            </a:spcBef>
            <a:spcAft>
              <a:spcPts val="0"/>
            </a:spcAft>
            <a:buClrTx/>
            <a:buSzTx/>
            <a:buFontTx/>
            <a:buNone/>
            <a:tabLst/>
            <a:defRPr/>
          </a:pPr>
          <a:r>
            <a:rPr lang="en-GB" sz="1100" b="1">
              <a:solidFill>
                <a:sysClr val="windowText" lastClr="000000"/>
              </a:solidFill>
              <a:effectLst/>
              <a:latin typeface="+mn-lt"/>
              <a:ea typeface="+mn-ea"/>
              <a:cs typeface="+mn-cs"/>
            </a:rPr>
            <a:t>Lightly Shielded Stores (LSS) (-0.2m) </a:t>
          </a:r>
          <a:r>
            <a:rPr lang="en-GB" sz="1100" b="0">
              <a:solidFill>
                <a:sysClr val="windowText" lastClr="000000"/>
              </a:solidFill>
              <a:effectLst/>
              <a:latin typeface="+mn-lt"/>
              <a:ea typeface="+mn-ea"/>
              <a:cs typeface="+mn-cs"/>
            </a:rPr>
            <a:t>– </a:t>
          </a:r>
          <a:r>
            <a:rPr lang="en-GB" sz="1100">
              <a:solidFill>
                <a:sysClr val="windowText" lastClr="000000"/>
              </a:solidFill>
              <a:effectLst/>
              <a:latin typeface="+mn-lt"/>
              <a:ea typeface="+mn-ea"/>
              <a:cs typeface="+mn-cs"/>
            </a:rPr>
            <a:t>The </a:t>
          </a:r>
          <a:r>
            <a:rPr lang="en-GB" sz="1100">
              <a:solidFill>
                <a:schemeClr val="dk1"/>
              </a:solidFill>
              <a:effectLst/>
              <a:latin typeface="+mn-lt"/>
              <a:ea typeface="+mn-ea"/>
              <a:cs typeface="+mn-cs"/>
            </a:rPr>
            <a:t>Lifecycle EAC decrease in period is an error that will be corrected next month. </a:t>
          </a:r>
        </a:p>
        <a:p>
          <a:r>
            <a:rPr lang="en-GB" sz="1100" b="1">
              <a:solidFill>
                <a:sysClr val="windowText" lastClr="000000"/>
              </a:solidFill>
              <a:effectLst/>
              <a:latin typeface="+mn-lt"/>
              <a:ea typeface="+mn-ea"/>
              <a:cs typeface="+mn-cs"/>
            </a:rPr>
            <a:t>FHP &amp; SIXEP Roof Replacement (+13.5m) </a:t>
          </a:r>
          <a:r>
            <a:rPr lang="en-GB" sz="1100">
              <a:solidFill>
                <a:schemeClr val="dk1"/>
              </a:solidFill>
              <a:effectLst/>
              <a:latin typeface="+mn-lt"/>
              <a:ea typeface="+mn-ea"/>
              <a:cs typeface="+mn-cs"/>
            </a:rPr>
            <a:t>– The Lifecycle EAC has increased in line with Estimate produced for FBC.</a:t>
          </a:r>
          <a:r>
            <a:rPr lang="en-GB" sz="1100" b="1">
              <a:solidFill>
                <a:srgbClr val="FF0000"/>
              </a:solidFill>
              <a:effectLst/>
              <a:latin typeface="+mn-lt"/>
              <a:ea typeface="+mn-ea"/>
              <a:cs typeface="+mn-cs"/>
            </a:rPr>
            <a:t> </a:t>
          </a:r>
          <a:endParaRPr lang="en-GB" sz="1100">
            <a:solidFill>
              <a:srgbClr val="FF0000"/>
            </a:solidFill>
            <a:effectLst/>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lang="en-GB" sz="1100" b="1">
              <a:solidFill>
                <a:sysClr val="windowText" lastClr="000000"/>
              </a:solidFill>
              <a:effectLst/>
              <a:latin typeface="+mn-lt"/>
              <a:ea typeface="+mn-ea"/>
              <a:cs typeface="+mn-cs"/>
            </a:rPr>
            <a:t>FGFL Ventilation Extract System Upgrade (-0.3m) </a:t>
          </a:r>
          <a:r>
            <a:rPr lang="en-GB" sz="1100">
              <a:solidFill>
                <a:schemeClr val="dk1"/>
              </a:solidFill>
              <a:effectLst/>
              <a:latin typeface="+mn-lt"/>
              <a:ea typeface="+mn-ea"/>
              <a:cs typeface="+mn-cs"/>
            </a:rPr>
            <a:t>– The Lifecycle EAC is to be reviewed as no change was expected this period. </a:t>
          </a:r>
          <a:endParaRPr lang="en-GB" sz="1100" b="1">
            <a:solidFill>
              <a:srgbClr val="FF0000"/>
            </a:solidFill>
            <a:effectLst/>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lang="en-GB" sz="1100" b="1">
              <a:solidFill>
                <a:sysClr val="windowText" lastClr="000000"/>
              </a:solidFill>
              <a:effectLst/>
              <a:latin typeface="+mn-lt"/>
              <a:ea typeface="+mn-ea"/>
              <a:cs typeface="+mn-cs"/>
            </a:rPr>
            <a:t>Sellafield Security Enhancement Programme (SSEP)(-6.9m ) </a:t>
          </a:r>
          <a:r>
            <a:rPr lang="en-GB" sz="1100" b="0">
              <a:solidFill>
                <a:sysClr val="windowText" lastClr="000000"/>
              </a:solidFill>
              <a:effectLst/>
              <a:latin typeface="+mn-lt"/>
              <a:ea typeface="+mn-ea"/>
              <a:cs typeface="+mn-cs"/>
            </a:rPr>
            <a:t>– </a:t>
          </a:r>
          <a:r>
            <a:rPr lang="en-GB" sz="1100">
              <a:solidFill>
                <a:schemeClr val="dk1"/>
              </a:solidFill>
              <a:effectLst/>
              <a:latin typeface="+mn-lt"/>
              <a:ea typeface="+mn-ea"/>
              <a:cs typeface="+mn-cs"/>
            </a:rPr>
            <a:t>The assessment work on Encrypted Comms project is complete resulting in a significant reduction in the project scope. The project Lifecycle EAC has therefore been reduced accordingly.</a:t>
          </a:r>
        </a:p>
        <a:p>
          <a:pPr marL="0" marR="0" lvl="0" indent="0" defTabSz="914400" eaLnBrk="1" fontAlgn="auto" latinLnBrk="0" hangingPunct="1">
            <a:lnSpc>
              <a:spcPct val="100000"/>
            </a:lnSpc>
            <a:spcBef>
              <a:spcPts val="0"/>
            </a:spcBef>
            <a:spcAft>
              <a:spcPts val="0"/>
            </a:spcAft>
            <a:buClrTx/>
            <a:buSzTx/>
            <a:buFontTx/>
            <a:buNone/>
            <a:tabLst/>
            <a:defRPr/>
          </a:pPr>
          <a:endParaRPr lang="en-GB" sz="1100">
            <a:solidFill>
              <a:schemeClr val="dk1"/>
            </a:solidFill>
            <a:effectLst/>
            <a:latin typeface="+mn-lt"/>
            <a:ea typeface="+mn-ea"/>
            <a:cs typeface="+mn-cs"/>
          </a:endParaRPr>
        </a:p>
        <a:p>
          <a:r>
            <a:rPr lang="en-GB" sz="1100" b="1">
              <a:solidFill>
                <a:schemeClr val="dk1"/>
              </a:solidFill>
              <a:effectLst/>
              <a:latin typeface="+mn-lt"/>
              <a:ea typeface="+mn-ea"/>
              <a:cs typeface="+mn-cs"/>
            </a:rPr>
            <a:t>Baseline</a:t>
          </a:r>
          <a:r>
            <a:rPr lang="en-GB" sz="1100" b="1" baseline="0">
              <a:solidFill>
                <a:schemeClr val="dk1"/>
              </a:solidFill>
              <a:effectLst/>
              <a:latin typeface="+mn-lt"/>
              <a:ea typeface="+mn-ea"/>
              <a:cs typeface="+mn-cs"/>
            </a:rPr>
            <a:t> P50</a:t>
          </a:r>
          <a:r>
            <a:rPr lang="en-GB" sz="1100" b="1">
              <a:solidFill>
                <a:schemeClr val="dk1"/>
              </a:solidFill>
              <a:effectLst/>
              <a:latin typeface="+mn-lt"/>
              <a:ea typeface="+mn-ea"/>
              <a:cs typeface="+mn-cs"/>
            </a:rPr>
            <a:t> end date movements:</a:t>
          </a:r>
        </a:p>
        <a:p>
          <a:r>
            <a:rPr lang="en-GB" sz="1100" b="1" i="0">
              <a:solidFill>
                <a:schemeClr val="dk1"/>
              </a:solidFill>
              <a:effectLst/>
              <a:latin typeface="+mn-lt"/>
              <a:ea typeface="+mn-ea"/>
              <a:cs typeface="+mn-cs"/>
            </a:rPr>
            <a:t>PMF North Transfers Project  (714 days) </a:t>
          </a:r>
          <a:r>
            <a:rPr lang="en-GB" sz="1100" b="1">
              <a:solidFill>
                <a:schemeClr val="dk1"/>
              </a:solidFill>
              <a:effectLst/>
              <a:latin typeface="+mn-lt"/>
              <a:ea typeface="+mn-ea"/>
              <a:cs typeface="+mn-cs"/>
            </a:rPr>
            <a:t>– </a:t>
          </a:r>
          <a:r>
            <a:rPr lang="en-GB" sz="1100" b="0" i="0" baseline="0">
              <a:solidFill>
                <a:schemeClr val="dk1"/>
              </a:solidFill>
              <a:effectLst/>
              <a:latin typeface="+mn-lt"/>
              <a:ea typeface="+mn-ea"/>
              <a:cs typeface="+mn-cs"/>
            </a:rPr>
            <a:t>Movement due to a recent re-baseline, which was approved October 2025. </a:t>
          </a:r>
        </a:p>
        <a:p>
          <a:r>
            <a:rPr lang="en-GB" sz="1100" b="1">
              <a:solidFill>
                <a:schemeClr val="dk1"/>
              </a:solidFill>
              <a:effectLst/>
              <a:latin typeface="+mn-lt"/>
              <a:ea typeface="+mn-ea"/>
              <a:cs typeface="+mn-cs"/>
            </a:rPr>
            <a:t>Heat Exchanger Deplanting - Main Project:</a:t>
          </a:r>
          <a:r>
            <a:rPr lang="en-GB" sz="1100" b="1" baseline="0">
              <a:solidFill>
                <a:schemeClr val="dk1"/>
              </a:solidFill>
              <a:effectLst/>
              <a:latin typeface="+mn-lt"/>
              <a:ea typeface="+mn-ea"/>
              <a:cs typeface="+mn-cs"/>
            </a:rPr>
            <a:t> </a:t>
          </a:r>
          <a:r>
            <a:rPr lang="en-GB" sz="1100" b="1">
              <a:solidFill>
                <a:schemeClr val="dk1"/>
              </a:solidFill>
              <a:effectLst/>
              <a:latin typeface="+mn-lt"/>
              <a:ea typeface="+mn-ea"/>
              <a:cs typeface="+mn-cs"/>
            </a:rPr>
            <a:t>– </a:t>
          </a:r>
          <a:r>
            <a:rPr lang="en-GB" sz="1100" b="0" i="0" baseline="0">
              <a:solidFill>
                <a:schemeClr val="dk1"/>
              </a:solidFill>
              <a:effectLst/>
              <a:latin typeface="+mn-lt"/>
              <a:ea typeface="+mn-ea"/>
              <a:cs typeface="+mn-cs"/>
            </a:rPr>
            <a:t>Movement due the Change Control implementation. </a:t>
          </a:r>
          <a:r>
            <a:rPr lang="en-GB" sz="1100">
              <a:solidFill>
                <a:schemeClr val="dk1"/>
              </a:solidFill>
              <a:effectLst/>
              <a:latin typeface="+mn-lt"/>
              <a:ea typeface="+mn-ea"/>
              <a:cs typeface="+mn-cs"/>
            </a:rPr>
            <a:t>December 2029 (P50) and December 2030 (P80) project completion dates are now confirmed.</a:t>
          </a:r>
          <a:endParaRPr lang="en-GB">
            <a:effectLst/>
          </a:endParaRPr>
        </a:p>
      </xdr:txBody>
    </xdr:sp>
    <xdr:clientData/>
  </xdr:twoCellAnchor>
  <xdr:twoCellAnchor>
    <xdr:from>
      <xdr:col>0</xdr:col>
      <xdr:colOff>35719</xdr:colOff>
      <xdr:row>72</xdr:row>
      <xdr:rowOff>59531</xdr:rowOff>
    </xdr:from>
    <xdr:to>
      <xdr:col>26</xdr:col>
      <xdr:colOff>238125</xdr:colOff>
      <xdr:row>77</xdr:row>
      <xdr:rowOff>128587</xdr:rowOff>
    </xdr:to>
    <xdr:sp macro="" textlink="">
      <xdr:nvSpPr>
        <xdr:cNvPr id="3" name="TextBox 2">
          <a:extLst>
            <a:ext uri="{FF2B5EF4-FFF2-40B4-BE49-F238E27FC236}">
              <a16:creationId xmlns:a16="http://schemas.microsoft.com/office/drawing/2014/main" id="{75AC1529-323B-4781-9772-F3377C57F778}"/>
            </a:ext>
          </a:extLst>
        </xdr:cNvPr>
        <xdr:cNvSpPr txBox="1"/>
      </xdr:nvSpPr>
      <xdr:spPr>
        <a:xfrm>
          <a:off x="35719" y="8020050"/>
          <a:ext cx="13277056" cy="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rtl="0" eaLnBrk="1" latinLnBrk="0" hangingPunct="1"/>
          <a:r>
            <a:rPr lang="en-GB" sz="1100">
              <a:solidFill>
                <a:schemeClr val="dk1"/>
              </a:solidFill>
              <a:effectLst/>
              <a:latin typeface="+mn-lt"/>
              <a:ea typeface="+mn-ea"/>
              <a:cs typeface="+mn-cs"/>
            </a:rPr>
            <a:t>This month (P1) we have 9 projects.</a:t>
          </a:r>
        </a:p>
        <a:p>
          <a:r>
            <a:rPr lang="en-GB" sz="1100">
              <a:solidFill>
                <a:schemeClr val="dk1"/>
              </a:solidFill>
              <a:effectLst/>
              <a:latin typeface="+mn-lt"/>
              <a:ea typeface="+mn-ea"/>
              <a:cs typeface="+mn-cs"/>
            </a:rPr>
            <a:t>No Changes in DCA.</a:t>
          </a:r>
        </a:p>
        <a:p>
          <a:r>
            <a:rPr lang="en-GB" sz="1100">
              <a:solidFill>
                <a:schemeClr val="dk1"/>
              </a:solidFill>
              <a:effectLst/>
              <a:latin typeface="+mn-lt"/>
              <a:ea typeface="+mn-ea"/>
              <a:cs typeface="+mn-cs"/>
            </a:rPr>
            <a:t>1 x Project (BEPPS2) has gone from Amber to Green in Baseline RAG due to  a new baseline being implemented, to align to the SL Board endorsed OBC.</a:t>
          </a:r>
        </a:p>
        <a:p>
          <a:r>
            <a:rPr lang="en-GB" sz="1100">
              <a:solidFill>
                <a:schemeClr val="dk1"/>
              </a:solidFill>
              <a:effectLst/>
              <a:latin typeface="+mn-lt"/>
              <a:ea typeface="+mn-ea"/>
              <a:cs typeface="+mn-cs"/>
            </a:rPr>
            <a:t>1 x Project (Replacement Analytical Project) has gone from Green to Amber in C&amp;C due to the loss of key resource (safety case) and the need for a replacement contract for the current 'Technical Services Agreement (TSA)' contract used to provide NNL resources to the project.</a:t>
          </a:r>
        </a:p>
      </xdr:txBody>
    </xdr:sp>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3" Type="http://schemas.openxmlformats.org/officeDocument/2006/relationships/printerSettings" Target="../printerSettings/printerSettings13.bin"/><Relationship Id="rId18" Type="http://schemas.openxmlformats.org/officeDocument/2006/relationships/printerSettings" Target="../printerSettings/printerSettings18.bin"/><Relationship Id="rId26" Type="http://schemas.openxmlformats.org/officeDocument/2006/relationships/printerSettings" Target="../printerSettings/printerSettings26.bin"/><Relationship Id="rId39" Type="http://schemas.openxmlformats.org/officeDocument/2006/relationships/printerSettings" Target="../printerSettings/printerSettings39.bin"/><Relationship Id="rId21" Type="http://schemas.openxmlformats.org/officeDocument/2006/relationships/printerSettings" Target="../printerSettings/printerSettings21.bin"/><Relationship Id="rId34" Type="http://schemas.openxmlformats.org/officeDocument/2006/relationships/printerSettings" Target="../printerSettings/printerSettings34.bin"/><Relationship Id="rId42" Type="http://schemas.openxmlformats.org/officeDocument/2006/relationships/printerSettings" Target="../printerSettings/printerSettings42.bin"/><Relationship Id="rId47" Type="http://schemas.openxmlformats.org/officeDocument/2006/relationships/printerSettings" Target="../printerSettings/printerSettings47.bin"/><Relationship Id="rId50" Type="http://schemas.openxmlformats.org/officeDocument/2006/relationships/printerSettings" Target="../printerSettings/printerSettings50.bin"/><Relationship Id="rId55" Type="http://schemas.openxmlformats.org/officeDocument/2006/relationships/printerSettings" Target="../printerSettings/printerSettings55.bin"/><Relationship Id="rId7" Type="http://schemas.openxmlformats.org/officeDocument/2006/relationships/printerSettings" Target="../printerSettings/printerSettings7.bin"/><Relationship Id="rId12" Type="http://schemas.openxmlformats.org/officeDocument/2006/relationships/printerSettings" Target="../printerSettings/printerSettings12.bin"/><Relationship Id="rId17" Type="http://schemas.openxmlformats.org/officeDocument/2006/relationships/printerSettings" Target="../printerSettings/printerSettings17.bin"/><Relationship Id="rId25" Type="http://schemas.openxmlformats.org/officeDocument/2006/relationships/printerSettings" Target="../printerSettings/printerSettings25.bin"/><Relationship Id="rId33" Type="http://schemas.openxmlformats.org/officeDocument/2006/relationships/printerSettings" Target="../printerSettings/printerSettings33.bin"/><Relationship Id="rId38" Type="http://schemas.openxmlformats.org/officeDocument/2006/relationships/printerSettings" Target="../printerSettings/printerSettings38.bin"/><Relationship Id="rId46" Type="http://schemas.openxmlformats.org/officeDocument/2006/relationships/printerSettings" Target="../printerSettings/printerSettings46.bin"/><Relationship Id="rId59" Type="http://schemas.openxmlformats.org/officeDocument/2006/relationships/printerSettings" Target="../printerSettings/printerSettings59.bin"/><Relationship Id="rId2" Type="http://schemas.openxmlformats.org/officeDocument/2006/relationships/printerSettings" Target="../printerSettings/printerSettings2.bin"/><Relationship Id="rId16" Type="http://schemas.openxmlformats.org/officeDocument/2006/relationships/printerSettings" Target="../printerSettings/printerSettings16.bin"/><Relationship Id="rId20" Type="http://schemas.openxmlformats.org/officeDocument/2006/relationships/printerSettings" Target="../printerSettings/printerSettings20.bin"/><Relationship Id="rId29" Type="http://schemas.openxmlformats.org/officeDocument/2006/relationships/printerSettings" Target="../printerSettings/printerSettings29.bin"/><Relationship Id="rId41" Type="http://schemas.openxmlformats.org/officeDocument/2006/relationships/printerSettings" Target="../printerSettings/printerSettings41.bin"/><Relationship Id="rId54" Type="http://schemas.openxmlformats.org/officeDocument/2006/relationships/printerSettings" Target="../printerSettings/printerSettings54.bin"/><Relationship Id="rId1" Type="http://schemas.openxmlformats.org/officeDocument/2006/relationships/printerSettings" Target="../printerSettings/printerSettings1.bin"/><Relationship Id="rId6" Type="http://schemas.openxmlformats.org/officeDocument/2006/relationships/printerSettings" Target="../printerSettings/printerSettings6.bin"/><Relationship Id="rId11" Type="http://schemas.openxmlformats.org/officeDocument/2006/relationships/printerSettings" Target="../printerSettings/printerSettings11.bin"/><Relationship Id="rId24" Type="http://schemas.openxmlformats.org/officeDocument/2006/relationships/printerSettings" Target="../printerSettings/printerSettings24.bin"/><Relationship Id="rId32" Type="http://schemas.openxmlformats.org/officeDocument/2006/relationships/printerSettings" Target="../printerSettings/printerSettings32.bin"/><Relationship Id="rId37" Type="http://schemas.openxmlformats.org/officeDocument/2006/relationships/printerSettings" Target="../printerSettings/printerSettings37.bin"/><Relationship Id="rId40" Type="http://schemas.openxmlformats.org/officeDocument/2006/relationships/printerSettings" Target="../printerSettings/printerSettings40.bin"/><Relationship Id="rId45" Type="http://schemas.openxmlformats.org/officeDocument/2006/relationships/printerSettings" Target="../printerSettings/printerSettings45.bin"/><Relationship Id="rId53" Type="http://schemas.openxmlformats.org/officeDocument/2006/relationships/printerSettings" Target="../printerSettings/printerSettings53.bin"/><Relationship Id="rId58" Type="http://schemas.openxmlformats.org/officeDocument/2006/relationships/printerSettings" Target="../printerSettings/printerSettings58.bin"/><Relationship Id="rId5" Type="http://schemas.openxmlformats.org/officeDocument/2006/relationships/printerSettings" Target="../printerSettings/printerSettings5.bin"/><Relationship Id="rId15" Type="http://schemas.openxmlformats.org/officeDocument/2006/relationships/printerSettings" Target="../printerSettings/printerSettings15.bin"/><Relationship Id="rId23" Type="http://schemas.openxmlformats.org/officeDocument/2006/relationships/printerSettings" Target="../printerSettings/printerSettings23.bin"/><Relationship Id="rId28" Type="http://schemas.openxmlformats.org/officeDocument/2006/relationships/printerSettings" Target="../printerSettings/printerSettings28.bin"/><Relationship Id="rId36" Type="http://schemas.openxmlformats.org/officeDocument/2006/relationships/printerSettings" Target="../printerSettings/printerSettings36.bin"/><Relationship Id="rId49" Type="http://schemas.openxmlformats.org/officeDocument/2006/relationships/printerSettings" Target="../printerSettings/printerSettings49.bin"/><Relationship Id="rId57" Type="http://schemas.openxmlformats.org/officeDocument/2006/relationships/printerSettings" Target="../printerSettings/printerSettings57.bin"/><Relationship Id="rId10" Type="http://schemas.openxmlformats.org/officeDocument/2006/relationships/printerSettings" Target="../printerSettings/printerSettings10.bin"/><Relationship Id="rId19" Type="http://schemas.openxmlformats.org/officeDocument/2006/relationships/printerSettings" Target="../printerSettings/printerSettings19.bin"/><Relationship Id="rId31" Type="http://schemas.openxmlformats.org/officeDocument/2006/relationships/printerSettings" Target="../printerSettings/printerSettings31.bin"/><Relationship Id="rId44" Type="http://schemas.openxmlformats.org/officeDocument/2006/relationships/printerSettings" Target="../printerSettings/printerSettings44.bin"/><Relationship Id="rId52" Type="http://schemas.openxmlformats.org/officeDocument/2006/relationships/printerSettings" Target="../printerSettings/printerSettings52.bin"/><Relationship Id="rId60" Type="http://schemas.openxmlformats.org/officeDocument/2006/relationships/drawing" Target="../drawings/drawing1.xml"/><Relationship Id="rId4" Type="http://schemas.openxmlformats.org/officeDocument/2006/relationships/printerSettings" Target="../printerSettings/printerSettings4.bin"/><Relationship Id="rId9" Type="http://schemas.openxmlformats.org/officeDocument/2006/relationships/printerSettings" Target="../printerSettings/printerSettings9.bin"/><Relationship Id="rId14" Type="http://schemas.openxmlformats.org/officeDocument/2006/relationships/printerSettings" Target="../printerSettings/printerSettings14.bin"/><Relationship Id="rId22" Type="http://schemas.openxmlformats.org/officeDocument/2006/relationships/printerSettings" Target="../printerSettings/printerSettings22.bin"/><Relationship Id="rId27" Type="http://schemas.openxmlformats.org/officeDocument/2006/relationships/printerSettings" Target="../printerSettings/printerSettings27.bin"/><Relationship Id="rId30" Type="http://schemas.openxmlformats.org/officeDocument/2006/relationships/printerSettings" Target="../printerSettings/printerSettings30.bin"/><Relationship Id="rId35" Type="http://schemas.openxmlformats.org/officeDocument/2006/relationships/printerSettings" Target="../printerSettings/printerSettings35.bin"/><Relationship Id="rId43" Type="http://schemas.openxmlformats.org/officeDocument/2006/relationships/printerSettings" Target="../printerSettings/printerSettings43.bin"/><Relationship Id="rId48" Type="http://schemas.openxmlformats.org/officeDocument/2006/relationships/printerSettings" Target="../printerSettings/printerSettings48.bin"/><Relationship Id="rId56" Type="http://schemas.openxmlformats.org/officeDocument/2006/relationships/printerSettings" Target="../printerSettings/printerSettings56.bin"/><Relationship Id="rId8" Type="http://schemas.openxmlformats.org/officeDocument/2006/relationships/printerSettings" Target="../printerSettings/printerSettings8.bin"/><Relationship Id="rId51" Type="http://schemas.openxmlformats.org/officeDocument/2006/relationships/printerSettings" Target="../printerSettings/printerSettings51.bin"/><Relationship Id="rId3" Type="http://schemas.openxmlformats.org/officeDocument/2006/relationships/printerSettings" Target="../printerSettings/printerSettings3.bin"/></Relationships>
</file>

<file path=xl/worksheets/_rels/sheet2.xml.rels><?xml version="1.0" encoding="UTF-8" standalone="yes"?>
<Relationships xmlns="http://schemas.openxmlformats.org/package/2006/relationships"><Relationship Id="rId13" Type="http://schemas.openxmlformats.org/officeDocument/2006/relationships/printerSettings" Target="../printerSettings/printerSettings72.bin"/><Relationship Id="rId18" Type="http://schemas.openxmlformats.org/officeDocument/2006/relationships/printerSettings" Target="../printerSettings/printerSettings77.bin"/><Relationship Id="rId26" Type="http://schemas.openxmlformats.org/officeDocument/2006/relationships/printerSettings" Target="../printerSettings/printerSettings85.bin"/><Relationship Id="rId39" Type="http://schemas.openxmlformats.org/officeDocument/2006/relationships/printerSettings" Target="../printerSettings/printerSettings98.bin"/><Relationship Id="rId21" Type="http://schemas.openxmlformats.org/officeDocument/2006/relationships/printerSettings" Target="../printerSettings/printerSettings80.bin"/><Relationship Id="rId34" Type="http://schemas.openxmlformats.org/officeDocument/2006/relationships/printerSettings" Target="../printerSettings/printerSettings93.bin"/><Relationship Id="rId42" Type="http://schemas.openxmlformats.org/officeDocument/2006/relationships/printerSettings" Target="../printerSettings/printerSettings101.bin"/><Relationship Id="rId47" Type="http://schemas.openxmlformats.org/officeDocument/2006/relationships/printerSettings" Target="../printerSettings/printerSettings106.bin"/><Relationship Id="rId50" Type="http://schemas.openxmlformats.org/officeDocument/2006/relationships/printerSettings" Target="../printerSettings/printerSettings109.bin"/><Relationship Id="rId55" Type="http://schemas.openxmlformats.org/officeDocument/2006/relationships/printerSettings" Target="../printerSettings/printerSettings114.bin"/><Relationship Id="rId7" Type="http://schemas.openxmlformats.org/officeDocument/2006/relationships/printerSettings" Target="../printerSettings/printerSettings66.bin"/><Relationship Id="rId2" Type="http://schemas.openxmlformats.org/officeDocument/2006/relationships/printerSettings" Target="../printerSettings/printerSettings61.bin"/><Relationship Id="rId16" Type="http://schemas.openxmlformats.org/officeDocument/2006/relationships/printerSettings" Target="../printerSettings/printerSettings75.bin"/><Relationship Id="rId20" Type="http://schemas.openxmlformats.org/officeDocument/2006/relationships/printerSettings" Target="../printerSettings/printerSettings79.bin"/><Relationship Id="rId29" Type="http://schemas.openxmlformats.org/officeDocument/2006/relationships/printerSettings" Target="../printerSettings/printerSettings88.bin"/><Relationship Id="rId41" Type="http://schemas.openxmlformats.org/officeDocument/2006/relationships/printerSettings" Target="../printerSettings/printerSettings100.bin"/><Relationship Id="rId54" Type="http://schemas.openxmlformats.org/officeDocument/2006/relationships/printerSettings" Target="../printerSettings/printerSettings113.bin"/><Relationship Id="rId1" Type="http://schemas.openxmlformats.org/officeDocument/2006/relationships/printerSettings" Target="../printerSettings/printerSettings60.bin"/><Relationship Id="rId6" Type="http://schemas.openxmlformats.org/officeDocument/2006/relationships/printerSettings" Target="../printerSettings/printerSettings65.bin"/><Relationship Id="rId11" Type="http://schemas.openxmlformats.org/officeDocument/2006/relationships/printerSettings" Target="../printerSettings/printerSettings70.bin"/><Relationship Id="rId24" Type="http://schemas.openxmlformats.org/officeDocument/2006/relationships/printerSettings" Target="../printerSettings/printerSettings83.bin"/><Relationship Id="rId32" Type="http://schemas.openxmlformats.org/officeDocument/2006/relationships/printerSettings" Target="../printerSettings/printerSettings91.bin"/><Relationship Id="rId37" Type="http://schemas.openxmlformats.org/officeDocument/2006/relationships/printerSettings" Target="../printerSettings/printerSettings96.bin"/><Relationship Id="rId40" Type="http://schemas.openxmlformats.org/officeDocument/2006/relationships/printerSettings" Target="../printerSettings/printerSettings99.bin"/><Relationship Id="rId45" Type="http://schemas.openxmlformats.org/officeDocument/2006/relationships/printerSettings" Target="../printerSettings/printerSettings104.bin"/><Relationship Id="rId53" Type="http://schemas.openxmlformats.org/officeDocument/2006/relationships/printerSettings" Target="../printerSettings/printerSettings112.bin"/><Relationship Id="rId58" Type="http://schemas.openxmlformats.org/officeDocument/2006/relationships/printerSettings" Target="../printerSettings/printerSettings117.bin"/><Relationship Id="rId5" Type="http://schemas.openxmlformats.org/officeDocument/2006/relationships/printerSettings" Target="../printerSettings/printerSettings64.bin"/><Relationship Id="rId15" Type="http://schemas.openxmlformats.org/officeDocument/2006/relationships/printerSettings" Target="../printerSettings/printerSettings74.bin"/><Relationship Id="rId23" Type="http://schemas.openxmlformats.org/officeDocument/2006/relationships/printerSettings" Target="../printerSettings/printerSettings82.bin"/><Relationship Id="rId28" Type="http://schemas.openxmlformats.org/officeDocument/2006/relationships/printerSettings" Target="../printerSettings/printerSettings87.bin"/><Relationship Id="rId36" Type="http://schemas.openxmlformats.org/officeDocument/2006/relationships/printerSettings" Target="../printerSettings/printerSettings95.bin"/><Relationship Id="rId49" Type="http://schemas.openxmlformats.org/officeDocument/2006/relationships/printerSettings" Target="../printerSettings/printerSettings108.bin"/><Relationship Id="rId57" Type="http://schemas.openxmlformats.org/officeDocument/2006/relationships/printerSettings" Target="../printerSettings/printerSettings116.bin"/><Relationship Id="rId61" Type="http://schemas.openxmlformats.org/officeDocument/2006/relationships/drawing" Target="../drawings/drawing2.xml"/><Relationship Id="rId10" Type="http://schemas.openxmlformats.org/officeDocument/2006/relationships/printerSettings" Target="../printerSettings/printerSettings69.bin"/><Relationship Id="rId19" Type="http://schemas.openxmlformats.org/officeDocument/2006/relationships/printerSettings" Target="../printerSettings/printerSettings78.bin"/><Relationship Id="rId31" Type="http://schemas.openxmlformats.org/officeDocument/2006/relationships/printerSettings" Target="../printerSettings/printerSettings90.bin"/><Relationship Id="rId44" Type="http://schemas.openxmlformats.org/officeDocument/2006/relationships/printerSettings" Target="../printerSettings/printerSettings103.bin"/><Relationship Id="rId52" Type="http://schemas.openxmlformats.org/officeDocument/2006/relationships/printerSettings" Target="../printerSettings/printerSettings111.bin"/><Relationship Id="rId60" Type="http://schemas.openxmlformats.org/officeDocument/2006/relationships/printerSettings" Target="../printerSettings/printerSettings119.bin"/><Relationship Id="rId4" Type="http://schemas.openxmlformats.org/officeDocument/2006/relationships/printerSettings" Target="../printerSettings/printerSettings63.bin"/><Relationship Id="rId9" Type="http://schemas.openxmlformats.org/officeDocument/2006/relationships/printerSettings" Target="../printerSettings/printerSettings68.bin"/><Relationship Id="rId14" Type="http://schemas.openxmlformats.org/officeDocument/2006/relationships/printerSettings" Target="../printerSettings/printerSettings73.bin"/><Relationship Id="rId22" Type="http://schemas.openxmlformats.org/officeDocument/2006/relationships/printerSettings" Target="../printerSettings/printerSettings81.bin"/><Relationship Id="rId27" Type="http://schemas.openxmlformats.org/officeDocument/2006/relationships/printerSettings" Target="../printerSettings/printerSettings86.bin"/><Relationship Id="rId30" Type="http://schemas.openxmlformats.org/officeDocument/2006/relationships/printerSettings" Target="../printerSettings/printerSettings89.bin"/><Relationship Id="rId35" Type="http://schemas.openxmlformats.org/officeDocument/2006/relationships/printerSettings" Target="../printerSettings/printerSettings94.bin"/><Relationship Id="rId43" Type="http://schemas.openxmlformats.org/officeDocument/2006/relationships/printerSettings" Target="../printerSettings/printerSettings102.bin"/><Relationship Id="rId48" Type="http://schemas.openxmlformats.org/officeDocument/2006/relationships/printerSettings" Target="../printerSettings/printerSettings107.bin"/><Relationship Id="rId56" Type="http://schemas.openxmlformats.org/officeDocument/2006/relationships/printerSettings" Target="../printerSettings/printerSettings115.bin"/><Relationship Id="rId8" Type="http://schemas.openxmlformats.org/officeDocument/2006/relationships/printerSettings" Target="../printerSettings/printerSettings67.bin"/><Relationship Id="rId51" Type="http://schemas.openxmlformats.org/officeDocument/2006/relationships/printerSettings" Target="../printerSettings/printerSettings110.bin"/><Relationship Id="rId3" Type="http://schemas.openxmlformats.org/officeDocument/2006/relationships/printerSettings" Target="../printerSettings/printerSettings62.bin"/><Relationship Id="rId12" Type="http://schemas.openxmlformats.org/officeDocument/2006/relationships/printerSettings" Target="../printerSettings/printerSettings71.bin"/><Relationship Id="rId17" Type="http://schemas.openxmlformats.org/officeDocument/2006/relationships/printerSettings" Target="../printerSettings/printerSettings76.bin"/><Relationship Id="rId25" Type="http://schemas.openxmlformats.org/officeDocument/2006/relationships/printerSettings" Target="../printerSettings/printerSettings84.bin"/><Relationship Id="rId33" Type="http://schemas.openxmlformats.org/officeDocument/2006/relationships/printerSettings" Target="../printerSettings/printerSettings92.bin"/><Relationship Id="rId38" Type="http://schemas.openxmlformats.org/officeDocument/2006/relationships/printerSettings" Target="../printerSettings/printerSettings97.bin"/><Relationship Id="rId46" Type="http://schemas.openxmlformats.org/officeDocument/2006/relationships/printerSettings" Target="../printerSettings/printerSettings105.bin"/><Relationship Id="rId59" Type="http://schemas.openxmlformats.org/officeDocument/2006/relationships/printerSettings" Target="../printerSettings/printerSettings118.bin"/></Relationships>
</file>

<file path=xl/worksheets/_rels/sheet3.xml.rels><?xml version="1.0" encoding="UTF-8" standalone="yes"?>
<Relationships xmlns="http://schemas.openxmlformats.org/package/2006/relationships"><Relationship Id="rId13" Type="http://schemas.openxmlformats.org/officeDocument/2006/relationships/printerSettings" Target="../printerSettings/printerSettings132.bin"/><Relationship Id="rId18" Type="http://schemas.openxmlformats.org/officeDocument/2006/relationships/printerSettings" Target="../printerSettings/printerSettings137.bin"/><Relationship Id="rId26" Type="http://schemas.openxmlformats.org/officeDocument/2006/relationships/printerSettings" Target="../printerSettings/printerSettings145.bin"/><Relationship Id="rId39" Type="http://schemas.openxmlformats.org/officeDocument/2006/relationships/printerSettings" Target="../printerSettings/printerSettings158.bin"/><Relationship Id="rId21" Type="http://schemas.openxmlformats.org/officeDocument/2006/relationships/printerSettings" Target="../printerSettings/printerSettings140.bin"/><Relationship Id="rId34" Type="http://schemas.openxmlformats.org/officeDocument/2006/relationships/printerSettings" Target="../printerSettings/printerSettings153.bin"/><Relationship Id="rId42" Type="http://schemas.openxmlformats.org/officeDocument/2006/relationships/printerSettings" Target="../printerSettings/printerSettings161.bin"/><Relationship Id="rId47" Type="http://schemas.openxmlformats.org/officeDocument/2006/relationships/printerSettings" Target="../printerSettings/printerSettings166.bin"/><Relationship Id="rId50" Type="http://schemas.openxmlformats.org/officeDocument/2006/relationships/printerSettings" Target="../printerSettings/printerSettings169.bin"/><Relationship Id="rId55" Type="http://schemas.openxmlformats.org/officeDocument/2006/relationships/printerSettings" Target="../printerSettings/printerSettings174.bin"/><Relationship Id="rId63" Type="http://schemas.openxmlformats.org/officeDocument/2006/relationships/comments" Target="../comments1.xml"/><Relationship Id="rId7" Type="http://schemas.openxmlformats.org/officeDocument/2006/relationships/printerSettings" Target="../printerSettings/printerSettings126.bin"/><Relationship Id="rId2" Type="http://schemas.openxmlformats.org/officeDocument/2006/relationships/printerSettings" Target="../printerSettings/printerSettings121.bin"/><Relationship Id="rId16" Type="http://schemas.openxmlformats.org/officeDocument/2006/relationships/printerSettings" Target="../printerSettings/printerSettings135.bin"/><Relationship Id="rId20" Type="http://schemas.openxmlformats.org/officeDocument/2006/relationships/printerSettings" Target="../printerSettings/printerSettings139.bin"/><Relationship Id="rId29" Type="http://schemas.openxmlformats.org/officeDocument/2006/relationships/printerSettings" Target="../printerSettings/printerSettings148.bin"/><Relationship Id="rId41" Type="http://schemas.openxmlformats.org/officeDocument/2006/relationships/printerSettings" Target="../printerSettings/printerSettings160.bin"/><Relationship Id="rId54" Type="http://schemas.openxmlformats.org/officeDocument/2006/relationships/printerSettings" Target="../printerSettings/printerSettings173.bin"/><Relationship Id="rId62" Type="http://schemas.openxmlformats.org/officeDocument/2006/relationships/vmlDrawing" Target="../drawings/vmlDrawing1.vml"/><Relationship Id="rId1" Type="http://schemas.openxmlformats.org/officeDocument/2006/relationships/printerSettings" Target="../printerSettings/printerSettings120.bin"/><Relationship Id="rId6" Type="http://schemas.openxmlformats.org/officeDocument/2006/relationships/printerSettings" Target="../printerSettings/printerSettings125.bin"/><Relationship Id="rId11" Type="http://schemas.openxmlformats.org/officeDocument/2006/relationships/printerSettings" Target="../printerSettings/printerSettings130.bin"/><Relationship Id="rId24" Type="http://schemas.openxmlformats.org/officeDocument/2006/relationships/printerSettings" Target="../printerSettings/printerSettings143.bin"/><Relationship Id="rId32" Type="http://schemas.openxmlformats.org/officeDocument/2006/relationships/printerSettings" Target="../printerSettings/printerSettings151.bin"/><Relationship Id="rId37" Type="http://schemas.openxmlformats.org/officeDocument/2006/relationships/printerSettings" Target="../printerSettings/printerSettings156.bin"/><Relationship Id="rId40" Type="http://schemas.openxmlformats.org/officeDocument/2006/relationships/printerSettings" Target="../printerSettings/printerSettings159.bin"/><Relationship Id="rId45" Type="http://schemas.openxmlformats.org/officeDocument/2006/relationships/printerSettings" Target="../printerSettings/printerSettings164.bin"/><Relationship Id="rId53" Type="http://schemas.openxmlformats.org/officeDocument/2006/relationships/printerSettings" Target="../printerSettings/printerSettings172.bin"/><Relationship Id="rId58" Type="http://schemas.openxmlformats.org/officeDocument/2006/relationships/printerSettings" Target="../printerSettings/printerSettings177.bin"/><Relationship Id="rId5" Type="http://schemas.openxmlformats.org/officeDocument/2006/relationships/printerSettings" Target="../printerSettings/printerSettings124.bin"/><Relationship Id="rId15" Type="http://schemas.openxmlformats.org/officeDocument/2006/relationships/printerSettings" Target="../printerSettings/printerSettings134.bin"/><Relationship Id="rId23" Type="http://schemas.openxmlformats.org/officeDocument/2006/relationships/printerSettings" Target="../printerSettings/printerSettings142.bin"/><Relationship Id="rId28" Type="http://schemas.openxmlformats.org/officeDocument/2006/relationships/printerSettings" Target="../printerSettings/printerSettings147.bin"/><Relationship Id="rId36" Type="http://schemas.openxmlformats.org/officeDocument/2006/relationships/printerSettings" Target="../printerSettings/printerSettings155.bin"/><Relationship Id="rId49" Type="http://schemas.openxmlformats.org/officeDocument/2006/relationships/printerSettings" Target="../printerSettings/printerSettings168.bin"/><Relationship Id="rId57" Type="http://schemas.openxmlformats.org/officeDocument/2006/relationships/printerSettings" Target="../printerSettings/printerSettings176.bin"/><Relationship Id="rId61" Type="http://schemas.openxmlformats.org/officeDocument/2006/relationships/printerSettings" Target="../printerSettings/printerSettings180.bin"/><Relationship Id="rId10" Type="http://schemas.openxmlformats.org/officeDocument/2006/relationships/printerSettings" Target="../printerSettings/printerSettings129.bin"/><Relationship Id="rId19" Type="http://schemas.openxmlformats.org/officeDocument/2006/relationships/printerSettings" Target="../printerSettings/printerSettings138.bin"/><Relationship Id="rId31" Type="http://schemas.openxmlformats.org/officeDocument/2006/relationships/printerSettings" Target="../printerSettings/printerSettings150.bin"/><Relationship Id="rId44" Type="http://schemas.openxmlformats.org/officeDocument/2006/relationships/printerSettings" Target="../printerSettings/printerSettings163.bin"/><Relationship Id="rId52" Type="http://schemas.openxmlformats.org/officeDocument/2006/relationships/printerSettings" Target="../printerSettings/printerSettings171.bin"/><Relationship Id="rId60" Type="http://schemas.openxmlformats.org/officeDocument/2006/relationships/printerSettings" Target="../printerSettings/printerSettings179.bin"/><Relationship Id="rId4" Type="http://schemas.openxmlformats.org/officeDocument/2006/relationships/printerSettings" Target="../printerSettings/printerSettings123.bin"/><Relationship Id="rId9" Type="http://schemas.openxmlformats.org/officeDocument/2006/relationships/printerSettings" Target="../printerSettings/printerSettings128.bin"/><Relationship Id="rId14" Type="http://schemas.openxmlformats.org/officeDocument/2006/relationships/printerSettings" Target="../printerSettings/printerSettings133.bin"/><Relationship Id="rId22" Type="http://schemas.openxmlformats.org/officeDocument/2006/relationships/printerSettings" Target="../printerSettings/printerSettings141.bin"/><Relationship Id="rId27" Type="http://schemas.openxmlformats.org/officeDocument/2006/relationships/printerSettings" Target="../printerSettings/printerSettings146.bin"/><Relationship Id="rId30" Type="http://schemas.openxmlformats.org/officeDocument/2006/relationships/printerSettings" Target="../printerSettings/printerSettings149.bin"/><Relationship Id="rId35" Type="http://schemas.openxmlformats.org/officeDocument/2006/relationships/printerSettings" Target="../printerSettings/printerSettings154.bin"/><Relationship Id="rId43" Type="http://schemas.openxmlformats.org/officeDocument/2006/relationships/printerSettings" Target="../printerSettings/printerSettings162.bin"/><Relationship Id="rId48" Type="http://schemas.openxmlformats.org/officeDocument/2006/relationships/printerSettings" Target="../printerSettings/printerSettings167.bin"/><Relationship Id="rId56" Type="http://schemas.openxmlformats.org/officeDocument/2006/relationships/printerSettings" Target="../printerSettings/printerSettings175.bin"/><Relationship Id="rId8" Type="http://schemas.openxmlformats.org/officeDocument/2006/relationships/printerSettings" Target="../printerSettings/printerSettings127.bin"/><Relationship Id="rId51" Type="http://schemas.openxmlformats.org/officeDocument/2006/relationships/printerSettings" Target="../printerSettings/printerSettings170.bin"/><Relationship Id="rId3" Type="http://schemas.openxmlformats.org/officeDocument/2006/relationships/printerSettings" Target="../printerSettings/printerSettings122.bin"/><Relationship Id="rId12" Type="http://schemas.openxmlformats.org/officeDocument/2006/relationships/printerSettings" Target="../printerSettings/printerSettings131.bin"/><Relationship Id="rId17" Type="http://schemas.openxmlformats.org/officeDocument/2006/relationships/printerSettings" Target="../printerSettings/printerSettings136.bin"/><Relationship Id="rId25" Type="http://schemas.openxmlformats.org/officeDocument/2006/relationships/printerSettings" Target="../printerSettings/printerSettings144.bin"/><Relationship Id="rId33" Type="http://schemas.openxmlformats.org/officeDocument/2006/relationships/printerSettings" Target="../printerSettings/printerSettings152.bin"/><Relationship Id="rId38" Type="http://schemas.openxmlformats.org/officeDocument/2006/relationships/printerSettings" Target="../printerSettings/printerSettings157.bin"/><Relationship Id="rId46" Type="http://schemas.openxmlformats.org/officeDocument/2006/relationships/printerSettings" Target="../printerSettings/printerSettings165.bin"/><Relationship Id="rId59" Type="http://schemas.openxmlformats.org/officeDocument/2006/relationships/printerSettings" Target="../printerSettings/printerSettings178.bin"/></Relationships>
</file>

<file path=xl/worksheets/_rels/sheet4.xml.rels><?xml version="1.0" encoding="UTF-8" standalone="yes"?>
<Relationships xmlns="http://schemas.openxmlformats.org/package/2006/relationships"><Relationship Id="rId13" Type="http://schemas.openxmlformats.org/officeDocument/2006/relationships/printerSettings" Target="../printerSettings/printerSettings193.bin"/><Relationship Id="rId18" Type="http://schemas.openxmlformats.org/officeDocument/2006/relationships/printerSettings" Target="../printerSettings/printerSettings198.bin"/><Relationship Id="rId26" Type="http://schemas.openxmlformats.org/officeDocument/2006/relationships/printerSettings" Target="../printerSettings/printerSettings206.bin"/><Relationship Id="rId39" Type="http://schemas.openxmlformats.org/officeDocument/2006/relationships/printerSettings" Target="../printerSettings/printerSettings219.bin"/><Relationship Id="rId21" Type="http://schemas.openxmlformats.org/officeDocument/2006/relationships/printerSettings" Target="../printerSettings/printerSettings201.bin"/><Relationship Id="rId34" Type="http://schemas.openxmlformats.org/officeDocument/2006/relationships/printerSettings" Target="../printerSettings/printerSettings214.bin"/><Relationship Id="rId42" Type="http://schemas.openxmlformats.org/officeDocument/2006/relationships/printerSettings" Target="../printerSettings/printerSettings222.bin"/><Relationship Id="rId47" Type="http://schemas.openxmlformats.org/officeDocument/2006/relationships/printerSettings" Target="../printerSettings/printerSettings227.bin"/><Relationship Id="rId50" Type="http://schemas.openxmlformats.org/officeDocument/2006/relationships/printerSettings" Target="../printerSettings/printerSettings230.bin"/><Relationship Id="rId55" Type="http://schemas.openxmlformats.org/officeDocument/2006/relationships/printerSettings" Target="../printerSettings/printerSettings235.bin"/><Relationship Id="rId7" Type="http://schemas.openxmlformats.org/officeDocument/2006/relationships/printerSettings" Target="../printerSettings/printerSettings187.bin"/><Relationship Id="rId2" Type="http://schemas.openxmlformats.org/officeDocument/2006/relationships/printerSettings" Target="../printerSettings/printerSettings182.bin"/><Relationship Id="rId16" Type="http://schemas.openxmlformats.org/officeDocument/2006/relationships/printerSettings" Target="../printerSettings/printerSettings196.bin"/><Relationship Id="rId20" Type="http://schemas.openxmlformats.org/officeDocument/2006/relationships/printerSettings" Target="../printerSettings/printerSettings200.bin"/><Relationship Id="rId29" Type="http://schemas.openxmlformats.org/officeDocument/2006/relationships/printerSettings" Target="../printerSettings/printerSettings209.bin"/><Relationship Id="rId41" Type="http://schemas.openxmlformats.org/officeDocument/2006/relationships/printerSettings" Target="../printerSettings/printerSettings221.bin"/><Relationship Id="rId54" Type="http://schemas.openxmlformats.org/officeDocument/2006/relationships/printerSettings" Target="../printerSettings/printerSettings234.bin"/><Relationship Id="rId1" Type="http://schemas.openxmlformats.org/officeDocument/2006/relationships/printerSettings" Target="../printerSettings/printerSettings181.bin"/><Relationship Id="rId6" Type="http://schemas.openxmlformats.org/officeDocument/2006/relationships/printerSettings" Target="../printerSettings/printerSettings186.bin"/><Relationship Id="rId11" Type="http://schemas.openxmlformats.org/officeDocument/2006/relationships/printerSettings" Target="../printerSettings/printerSettings191.bin"/><Relationship Id="rId24" Type="http://schemas.openxmlformats.org/officeDocument/2006/relationships/printerSettings" Target="../printerSettings/printerSettings204.bin"/><Relationship Id="rId32" Type="http://schemas.openxmlformats.org/officeDocument/2006/relationships/printerSettings" Target="../printerSettings/printerSettings212.bin"/><Relationship Id="rId37" Type="http://schemas.openxmlformats.org/officeDocument/2006/relationships/printerSettings" Target="../printerSettings/printerSettings217.bin"/><Relationship Id="rId40" Type="http://schemas.openxmlformats.org/officeDocument/2006/relationships/printerSettings" Target="../printerSettings/printerSettings220.bin"/><Relationship Id="rId45" Type="http://schemas.openxmlformats.org/officeDocument/2006/relationships/printerSettings" Target="../printerSettings/printerSettings225.bin"/><Relationship Id="rId53" Type="http://schemas.openxmlformats.org/officeDocument/2006/relationships/printerSettings" Target="../printerSettings/printerSettings233.bin"/><Relationship Id="rId58" Type="http://schemas.openxmlformats.org/officeDocument/2006/relationships/printerSettings" Target="../printerSettings/printerSettings238.bin"/><Relationship Id="rId5" Type="http://schemas.openxmlformats.org/officeDocument/2006/relationships/printerSettings" Target="../printerSettings/printerSettings185.bin"/><Relationship Id="rId15" Type="http://schemas.openxmlformats.org/officeDocument/2006/relationships/printerSettings" Target="../printerSettings/printerSettings195.bin"/><Relationship Id="rId23" Type="http://schemas.openxmlformats.org/officeDocument/2006/relationships/printerSettings" Target="../printerSettings/printerSettings203.bin"/><Relationship Id="rId28" Type="http://schemas.openxmlformats.org/officeDocument/2006/relationships/printerSettings" Target="../printerSettings/printerSettings208.bin"/><Relationship Id="rId36" Type="http://schemas.openxmlformats.org/officeDocument/2006/relationships/printerSettings" Target="../printerSettings/printerSettings216.bin"/><Relationship Id="rId49" Type="http://schemas.openxmlformats.org/officeDocument/2006/relationships/printerSettings" Target="../printerSettings/printerSettings229.bin"/><Relationship Id="rId57" Type="http://schemas.openxmlformats.org/officeDocument/2006/relationships/printerSettings" Target="../printerSettings/printerSettings237.bin"/><Relationship Id="rId61" Type="http://schemas.openxmlformats.org/officeDocument/2006/relationships/printerSettings" Target="../printerSettings/printerSettings241.bin"/><Relationship Id="rId10" Type="http://schemas.openxmlformats.org/officeDocument/2006/relationships/printerSettings" Target="../printerSettings/printerSettings190.bin"/><Relationship Id="rId19" Type="http://schemas.openxmlformats.org/officeDocument/2006/relationships/printerSettings" Target="../printerSettings/printerSettings199.bin"/><Relationship Id="rId31" Type="http://schemas.openxmlformats.org/officeDocument/2006/relationships/printerSettings" Target="../printerSettings/printerSettings211.bin"/><Relationship Id="rId44" Type="http://schemas.openxmlformats.org/officeDocument/2006/relationships/printerSettings" Target="../printerSettings/printerSettings224.bin"/><Relationship Id="rId52" Type="http://schemas.openxmlformats.org/officeDocument/2006/relationships/printerSettings" Target="../printerSettings/printerSettings232.bin"/><Relationship Id="rId60" Type="http://schemas.openxmlformats.org/officeDocument/2006/relationships/printerSettings" Target="../printerSettings/printerSettings240.bin"/><Relationship Id="rId4" Type="http://schemas.openxmlformats.org/officeDocument/2006/relationships/printerSettings" Target="../printerSettings/printerSettings184.bin"/><Relationship Id="rId9" Type="http://schemas.openxmlformats.org/officeDocument/2006/relationships/printerSettings" Target="../printerSettings/printerSettings189.bin"/><Relationship Id="rId14" Type="http://schemas.openxmlformats.org/officeDocument/2006/relationships/printerSettings" Target="../printerSettings/printerSettings194.bin"/><Relationship Id="rId22" Type="http://schemas.openxmlformats.org/officeDocument/2006/relationships/printerSettings" Target="../printerSettings/printerSettings202.bin"/><Relationship Id="rId27" Type="http://schemas.openxmlformats.org/officeDocument/2006/relationships/printerSettings" Target="../printerSettings/printerSettings207.bin"/><Relationship Id="rId30" Type="http://schemas.openxmlformats.org/officeDocument/2006/relationships/printerSettings" Target="../printerSettings/printerSettings210.bin"/><Relationship Id="rId35" Type="http://schemas.openxmlformats.org/officeDocument/2006/relationships/printerSettings" Target="../printerSettings/printerSettings215.bin"/><Relationship Id="rId43" Type="http://schemas.openxmlformats.org/officeDocument/2006/relationships/printerSettings" Target="../printerSettings/printerSettings223.bin"/><Relationship Id="rId48" Type="http://schemas.openxmlformats.org/officeDocument/2006/relationships/printerSettings" Target="../printerSettings/printerSettings228.bin"/><Relationship Id="rId56" Type="http://schemas.openxmlformats.org/officeDocument/2006/relationships/printerSettings" Target="../printerSettings/printerSettings236.bin"/><Relationship Id="rId8" Type="http://schemas.openxmlformats.org/officeDocument/2006/relationships/printerSettings" Target="../printerSettings/printerSettings188.bin"/><Relationship Id="rId51" Type="http://schemas.openxmlformats.org/officeDocument/2006/relationships/printerSettings" Target="../printerSettings/printerSettings231.bin"/><Relationship Id="rId3" Type="http://schemas.openxmlformats.org/officeDocument/2006/relationships/printerSettings" Target="../printerSettings/printerSettings183.bin"/><Relationship Id="rId12" Type="http://schemas.openxmlformats.org/officeDocument/2006/relationships/printerSettings" Target="../printerSettings/printerSettings192.bin"/><Relationship Id="rId17" Type="http://schemas.openxmlformats.org/officeDocument/2006/relationships/printerSettings" Target="../printerSettings/printerSettings197.bin"/><Relationship Id="rId25" Type="http://schemas.openxmlformats.org/officeDocument/2006/relationships/printerSettings" Target="../printerSettings/printerSettings205.bin"/><Relationship Id="rId33" Type="http://schemas.openxmlformats.org/officeDocument/2006/relationships/printerSettings" Target="../printerSettings/printerSettings213.bin"/><Relationship Id="rId38" Type="http://schemas.openxmlformats.org/officeDocument/2006/relationships/printerSettings" Target="../printerSettings/printerSettings218.bin"/><Relationship Id="rId46" Type="http://schemas.openxmlformats.org/officeDocument/2006/relationships/printerSettings" Target="../printerSettings/printerSettings226.bin"/><Relationship Id="rId59" Type="http://schemas.openxmlformats.org/officeDocument/2006/relationships/printerSettings" Target="../printerSettings/printerSettings239.bin"/></Relationships>
</file>

<file path=xl/worksheets/_rels/sheet5.xml.rels><?xml version="1.0" encoding="UTF-8" standalone="yes"?>
<Relationships xmlns="http://schemas.openxmlformats.org/package/2006/relationships"><Relationship Id="rId13" Type="http://schemas.openxmlformats.org/officeDocument/2006/relationships/printerSettings" Target="../printerSettings/printerSettings254.bin"/><Relationship Id="rId18" Type="http://schemas.openxmlformats.org/officeDocument/2006/relationships/printerSettings" Target="../printerSettings/printerSettings259.bin"/><Relationship Id="rId26" Type="http://schemas.openxmlformats.org/officeDocument/2006/relationships/printerSettings" Target="../printerSettings/printerSettings267.bin"/><Relationship Id="rId39" Type="http://schemas.openxmlformats.org/officeDocument/2006/relationships/printerSettings" Target="../printerSettings/printerSettings280.bin"/><Relationship Id="rId21" Type="http://schemas.openxmlformats.org/officeDocument/2006/relationships/printerSettings" Target="../printerSettings/printerSettings262.bin"/><Relationship Id="rId34" Type="http://schemas.openxmlformats.org/officeDocument/2006/relationships/printerSettings" Target="../printerSettings/printerSettings275.bin"/><Relationship Id="rId42" Type="http://schemas.openxmlformats.org/officeDocument/2006/relationships/printerSettings" Target="../printerSettings/printerSettings283.bin"/><Relationship Id="rId47" Type="http://schemas.openxmlformats.org/officeDocument/2006/relationships/printerSettings" Target="../printerSettings/printerSettings288.bin"/><Relationship Id="rId50" Type="http://schemas.openxmlformats.org/officeDocument/2006/relationships/printerSettings" Target="../printerSettings/printerSettings291.bin"/><Relationship Id="rId55" Type="http://schemas.openxmlformats.org/officeDocument/2006/relationships/printerSettings" Target="../printerSettings/printerSettings296.bin"/><Relationship Id="rId7" Type="http://schemas.openxmlformats.org/officeDocument/2006/relationships/printerSettings" Target="../printerSettings/printerSettings248.bin"/><Relationship Id="rId2" Type="http://schemas.openxmlformats.org/officeDocument/2006/relationships/printerSettings" Target="../printerSettings/printerSettings243.bin"/><Relationship Id="rId16" Type="http://schemas.openxmlformats.org/officeDocument/2006/relationships/printerSettings" Target="../printerSettings/printerSettings257.bin"/><Relationship Id="rId20" Type="http://schemas.openxmlformats.org/officeDocument/2006/relationships/printerSettings" Target="../printerSettings/printerSettings261.bin"/><Relationship Id="rId29" Type="http://schemas.openxmlformats.org/officeDocument/2006/relationships/printerSettings" Target="../printerSettings/printerSettings270.bin"/><Relationship Id="rId41" Type="http://schemas.openxmlformats.org/officeDocument/2006/relationships/printerSettings" Target="../printerSettings/printerSettings282.bin"/><Relationship Id="rId54" Type="http://schemas.openxmlformats.org/officeDocument/2006/relationships/printerSettings" Target="../printerSettings/printerSettings295.bin"/><Relationship Id="rId1" Type="http://schemas.openxmlformats.org/officeDocument/2006/relationships/printerSettings" Target="../printerSettings/printerSettings242.bin"/><Relationship Id="rId6" Type="http://schemas.openxmlformats.org/officeDocument/2006/relationships/printerSettings" Target="../printerSettings/printerSettings247.bin"/><Relationship Id="rId11" Type="http://schemas.openxmlformats.org/officeDocument/2006/relationships/printerSettings" Target="../printerSettings/printerSettings252.bin"/><Relationship Id="rId24" Type="http://schemas.openxmlformats.org/officeDocument/2006/relationships/printerSettings" Target="../printerSettings/printerSettings265.bin"/><Relationship Id="rId32" Type="http://schemas.openxmlformats.org/officeDocument/2006/relationships/printerSettings" Target="../printerSettings/printerSettings273.bin"/><Relationship Id="rId37" Type="http://schemas.openxmlformats.org/officeDocument/2006/relationships/printerSettings" Target="../printerSettings/printerSettings278.bin"/><Relationship Id="rId40" Type="http://schemas.openxmlformats.org/officeDocument/2006/relationships/printerSettings" Target="../printerSettings/printerSettings281.bin"/><Relationship Id="rId45" Type="http://schemas.openxmlformats.org/officeDocument/2006/relationships/printerSettings" Target="../printerSettings/printerSettings286.bin"/><Relationship Id="rId53" Type="http://schemas.openxmlformats.org/officeDocument/2006/relationships/printerSettings" Target="../printerSettings/printerSettings294.bin"/><Relationship Id="rId58" Type="http://schemas.openxmlformats.org/officeDocument/2006/relationships/printerSettings" Target="../printerSettings/printerSettings299.bin"/><Relationship Id="rId5" Type="http://schemas.openxmlformats.org/officeDocument/2006/relationships/printerSettings" Target="../printerSettings/printerSettings246.bin"/><Relationship Id="rId15" Type="http://schemas.openxmlformats.org/officeDocument/2006/relationships/printerSettings" Target="../printerSettings/printerSettings256.bin"/><Relationship Id="rId23" Type="http://schemas.openxmlformats.org/officeDocument/2006/relationships/printerSettings" Target="../printerSettings/printerSettings264.bin"/><Relationship Id="rId28" Type="http://schemas.openxmlformats.org/officeDocument/2006/relationships/printerSettings" Target="../printerSettings/printerSettings269.bin"/><Relationship Id="rId36" Type="http://schemas.openxmlformats.org/officeDocument/2006/relationships/printerSettings" Target="../printerSettings/printerSettings277.bin"/><Relationship Id="rId49" Type="http://schemas.openxmlformats.org/officeDocument/2006/relationships/printerSettings" Target="../printerSettings/printerSettings290.bin"/><Relationship Id="rId57" Type="http://schemas.openxmlformats.org/officeDocument/2006/relationships/printerSettings" Target="../printerSettings/printerSettings298.bin"/><Relationship Id="rId61" Type="http://schemas.openxmlformats.org/officeDocument/2006/relationships/printerSettings" Target="../printerSettings/printerSettings302.bin"/><Relationship Id="rId10" Type="http://schemas.openxmlformats.org/officeDocument/2006/relationships/printerSettings" Target="../printerSettings/printerSettings251.bin"/><Relationship Id="rId19" Type="http://schemas.openxmlformats.org/officeDocument/2006/relationships/printerSettings" Target="../printerSettings/printerSettings260.bin"/><Relationship Id="rId31" Type="http://schemas.openxmlformats.org/officeDocument/2006/relationships/printerSettings" Target="../printerSettings/printerSettings272.bin"/><Relationship Id="rId44" Type="http://schemas.openxmlformats.org/officeDocument/2006/relationships/printerSettings" Target="../printerSettings/printerSettings285.bin"/><Relationship Id="rId52" Type="http://schemas.openxmlformats.org/officeDocument/2006/relationships/printerSettings" Target="../printerSettings/printerSettings293.bin"/><Relationship Id="rId60" Type="http://schemas.openxmlformats.org/officeDocument/2006/relationships/printerSettings" Target="../printerSettings/printerSettings301.bin"/><Relationship Id="rId4" Type="http://schemas.openxmlformats.org/officeDocument/2006/relationships/printerSettings" Target="../printerSettings/printerSettings245.bin"/><Relationship Id="rId9" Type="http://schemas.openxmlformats.org/officeDocument/2006/relationships/printerSettings" Target="../printerSettings/printerSettings250.bin"/><Relationship Id="rId14" Type="http://schemas.openxmlformats.org/officeDocument/2006/relationships/printerSettings" Target="../printerSettings/printerSettings255.bin"/><Relationship Id="rId22" Type="http://schemas.openxmlformats.org/officeDocument/2006/relationships/printerSettings" Target="../printerSettings/printerSettings263.bin"/><Relationship Id="rId27" Type="http://schemas.openxmlformats.org/officeDocument/2006/relationships/printerSettings" Target="../printerSettings/printerSettings268.bin"/><Relationship Id="rId30" Type="http://schemas.openxmlformats.org/officeDocument/2006/relationships/printerSettings" Target="../printerSettings/printerSettings271.bin"/><Relationship Id="rId35" Type="http://schemas.openxmlformats.org/officeDocument/2006/relationships/printerSettings" Target="../printerSettings/printerSettings276.bin"/><Relationship Id="rId43" Type="http://schemas.openxmlformats.org/officeDocument/2006/relationships/printerSettings" Target="../printerSettings/printerSettings284.bin"/><Relationship Id="rId48" Type="http://schemas.openxmlformats.org/officeDocument/2006/relationships/printerSettings" Target="../printerSettings/printerSettings289.bin"/><Relationship Id="rId56" Type="http://schemas.openxmlformats.org/officeDocument/2006/relationships/printerSettings" Target="../printerSettings/printerSettings297.bin"/><Relationship Id="rId8" Type="http://schemas.openxmlformats.org/officeDocument/2006/relationships/printerSettings" Target="../printerSettings/printerSettings249.bin"/><Relationship Id="rId51" Type="http://schemas.openxmlformats.org/officeDocument/2006/relationships/printerSettings" Target="../printerSettings/printerSettings292.bin"/><Relationship Id="rId3" Type="http://schemas.openxmlformats.org/officeDocument/2006/relationships/printerSettings" Target="../printerSettings/printerSettings244.bin"/><Relationship Id="rId12" Type="http://schemas.openxmlformats.org/officeDocument/2006/relationships/printerSettings" Target="../printerSettings/printerSettings253.bin"/><Relationship Id="rId17" Type="http://schemas.openxmlformats.org/officeDocument/2006/relationships/printerSettings" Target="../printerSettings/printerSettings258.bin"/><Relationship Id="rId25" Type="http://schemas.openxmlformats.org/officeDocument/2006/relationships/printerSettings" Target="../printerSettings/printerSettings266.bin"/><Relationship Id="rId33" Type="http://schemas.openxmlformats.org/officeDocument/2006/relationships/printerSettings" Target="../printerSettings/printerSettings274.bin"/><Relationship Id="rId38" Type="http://schemas.openxmlformats.org/officeDocument/2006/relationships/printerSettings" Target="../printerSettings/printerSettings279.bin"/><Relationship Id="rId46" Type="http://schemas.openxmlformats.org/officeDocument/2006/relationships/printerSettings" Target="../printerSettings/printerSettings287.bin"/><Relationship Id="rId59" Type="http://schemas.openxmlformats.org/officeDocument/2006/relationships/printerSettings" Target="../printerSettings/printerSettings300.bin"/></Relationships>
</file>

<file path=xl/worksheets/_rels/sheet6.xml.rels><?xml version="1.0" encoding="UTF-8" standalone="yes"?>
<Relationships xmlns="http://schemas.openxmlformats.org/package/2006/relationships"><Relationship Id="rId13" Type="http://schemas.openxmlformats.org/officeDocument/2006/relationships/printerSettings" Target="../printerSettings/printerSettings315.bin"/><Relationship Id="rId18" Type="http://schemas.openxmlformats.org/officeDocument/2006/relationships/printerSettings" Target="../printerSettings/printerSettings320.bin"/><Relationship Id="rId26" Type="http://schemas.openxmlformats.org/officeDocument/2006/relationships/printerSettings" Target="../printerSettings/printerSettings328.bin"/><Relationship Id="rId39" Type="http://schemas.openxmlformats.org/officeDocument/2006/relationships/printerSettings" Target="../printerSettings/printerSettings341.bin"/><Relationship Id="rId21" Type="http://schemas.openxmlformats.org/officeDocument/2006/relationships/printerSettings" Target="../printerSettings/printerSettings323.bin"/><Relationship Id="rId34" Type="http://schemas.openxmlformats.org/officeDocument/2006/relationships/printerSettings" Target="../printerSettings/printerSettings336.bin"/><Relationship Id="rId42" Type="http://schemas.openxmlformats.org/officeDocument/2006/relationships/printerSettings" Target="../printerSettings/printerSettings344.bin"/><Relationship Id="rId47" Type="http://schemas.openxmlformats.org/officeDocument/2006/relationships/printerSettings" Target="../printerSettings/printerSettings349.bin"/><Relationship Id="rId50" Type="http://schemas.openxmlformats.org/officeDocument/2006/relationships/printerSettings" Target="../printerSettings/printerSettings352.bin"/><Relationship Id="rId55" Type="http://schemas.openxmlformats.org/officeDocument/2006/relationships/printerSettings" Target="../printerSettings/printerSettings357.bin"/><Relationship Id="rId7" Type="http://schemas.openxmlformats.org/officeDocument/2006/relationships/printerSettings" Target="../printerSettings/printerSettings309.bin"/><Relationship Id="rId2" Type="http://schemas.openxmlformats.org/officeDocument/2006/relationships/printerSettings" Target="../printerSettings/printerSettings304.bin"/><Relationship Id="rId16" Type="http://schemas.openxmlformats.org/officeDocument/2006/relationships/printerSettings" Target="../printerSettings/printerSettings318.bin"/><Relationship Id="rId20" Type="http://schemas.openxmlformats.org/officeDocument/2006/relationships/printerSettings" Target="../printerSettings/printerSettings322.bin"/><Relationship Id="rId29" Type="http://schemas.openxmlformats.org/officeDocument/2006/relationships/printerSettings" Target="../printerSettings/printerSettings331.bin"/><Relationship Id="rId41" Type="http://schemas.openxmlformats.org/officeDocument/2006/relationships/printerSettings" Target="../printerSettings/printerSettings343.bin"/><Relationship Id="rId54" Type="http://schemas.openxmlformats.org/officeDocument/2006/relationships/printerSettings" Target="../printerSettings/printerSettings356.bin"/><Relationship Id="rId1" Type="http://schemas.openxmlformats.org/officeDocument/2006/relationships/printerSettings" Target="../printerSettings/printerSettings303.bin"/><Relationship Id="rId6" Type="http://schemas.openxmlformats.org/officeDocument/2006/relationships/printerSettings" Target="../printerSettings/printerSettings308.bin"/><Relationship Id="rId11" Type="http://schemas.openxmlformats.org/officeDocument/2006/relationships/printerSettings" Target="../printerSettings/printerSettings313.bin"/><Relationship Id="rId24" Type="http://schemas.openxmlformats.org/officeDocument/2006/relationships/printerSettings" Target="../printerSettings/printerSettings326.bin"/><Relationship Id="rId32" Type="http://schemas.openxmlformats.org/officeDocument/2006/relationships/printerSettings" Target="../printerSettings/printerSettings334.bin"/><Relationship Id="rId37" Type="http://schemas.openxmlformats.org/officeDocument/2006/relationships/printerSettings" Target="../printerSettings/printerSettings339.bin"/><Relationship Id="rId40" Type="http://schemas.openxmlformats.org/officeDocument/2006/relationships/printerSettings" Target="../printerSettings/printerSettings342.bin"/><Relationship Id="rId45" Type="http://schemas.openxmlformats.org/officeDocument/2006/relationships/printerSettings" Target="../printerSettings/printerSettings347.bin"/><Relationship Id="rId53" Type="http://schemas.openxmlformats.org/officeDocument/2006/relationships/printerSettings" Target="../printerSettings/printerSettings355.bin"/><Relationship Id="rId58" Type="http://schemas.openxmlformats.org/officeDocument/2006/relationships/printerSettings" Target="../printerSettings/printerSettings360.bin"/><Relationship Id="rId5" Type="http://schemas.openxmlformats.org/officeDocument/2006/relationships/printerSettings" Target="../printerSettings/printerSettings307.bin"/><Relationship Id="rId15" Type="http://schemas.openxmlformats.org/officeDocument/2006/relationships/printerSettings" Target="../printerSettings/printerSettings317.bin"/><Relationship Id="rId23" Type="http://schemas.openxmlformats.org/officeDocument/2006/relationships/printerSettings" Target="../printerSettings/printerSettings325.bin"/><Relationship Id="rId28" Type="http://schemas.openxmlformats.org/officeDocument/2006/relationships/printerSettings" Target="../printerSettings/printerSettings330.bin"/><Relationship Id="rId36" Type="http://schemas.openxmlformats.org/officeDocument/2006/relationships/printerSettings" Target="../printerSettings/printerSettings338.bin"/><Relationship Id="rId49" Type="http://schemas.openxmlformats.org/officeDocument/2006/relationships/printerSettings" Target="../printerSettings/printerSettings351.bin"/><Relationship Id="rId57" Type="http://schemas.openxmlformats.org/officeDocument/2006/relationships/printerSettings" Target="../printerSettings/printerSettings359.bin"/><Relationship Id="rId61" Type="http://schemas.openxmlformats.org/officeDocument/2006/relationships/printerSettings" Target="../printerSettings/printerSettings363.bin"/><Relationship Id="rId10" Type="http://schemas.openxmlformats.org/officeDocument/2006/relationships/printerSettings" Target="../printerSettings/printerSettings312.bin"/><Relationship Id="rId19" Type="http://schemas.openxmlformats.org/officeDocument/2006/relationships/printerSettings" Target="../printerSettings/printerSettings321.bin"/><Relationship Id="rId31" Type="http://schemas.openxmlformats.org/officeDocument/2006/relationships/printerSettings" Target="../printerSettings/printerSettings333.bin"/><Relationship Id="rId44" Type="http://schemas.openxmlformats.org/officeDocument/2006/relationships/printerSettings" Target="../printerSettings/printerSettings346.bin"/><Relationship Id="rId52" Type="http://schemas.openxmlformats.org/officeDocument/2006/relationships/printerSettings" Target="../printerSettings/printerSettings354.bin"/><Relationship Id="rId60" Type="http://schemas.openxmlformats.org/officeDocument/2006/relationships/printerSettings" Target="../printerSettings/printerSettings362.bin"/><Relationship Id="rId4" Type="http://schemas.openxmlformats.org/officeDocument/2006/relationships/printerSettings" Target="../printerSettings/printerSettings306.bin"/><Relationship Id="rId9" Type="http://schemas.openxmlformats.org/officeDocument/2006/relationships/printerSettings" Target="../printerSettings/printerSettings311.bin"/><Relationship Id="rId14" Type="http://schemas.openxmlformats.org/officeDocument/2006/relationships/printerSettings" Target="../printerSettings/printerSettings316.bin"/><Relationship Id="rId22" Type="http://schemas.openxmlformats.org/officeDocument/2006/relationships/printerSettings" Target="../printerSettings/printerSettings324.bin"/><Relationship Id="rId27" Type="http://schemas.openxmlformats.org/officeDocument/2006/relationships/printerSettings" Target="../printerSettings/printerSettings329.bin"/><Relationship Id="rId30" Type="http://schemas.openxmlformats.org/officeDocument/2006/relationships/printerSettings" Target="../printerSettings/printerSettings332.bin"/><Relationship Id="rId35" Type="http://schemas.openxmlformats.org/officeDocument/2006/relationships/printerSettings" Target="../printerSettings/printerSettings337.bin"/><Relationship Id="rId43" Type="http://schemas.openxmlformats.org/officeDocument/2006/relationships/printerSettings" Target="../printerSettings/printerSettings345.bin"/><Relationship Id="rId48" Type="http://schemas.openxmlformats.org/officeDocument/2006/relationships/printerSettings" Target="../printerSettings/printerSettings350.bin"/><Relationship Id="rId56" Type="http://schemas.openxmlformats.org/officeDocument/2006/relationships/printerSettings" Target="../printerSettings/printerSettings358.bin"/><Relationship Id="rId8" Type="http://schemas.openxmlformats.org/officeDocument/2006/relationships/printerSettings" Target="../printerSettings/printerSettings310.bin"/><Relationship Id="rId51" Type="http://schemas.openxmlformats.org/officeDocument/2006/relationships/printerSettings" Target="../printerSettings/printerSettings353.bin"/><Relationship Id="rId3" Type="http://schemas.openxmlformats.org/officeDocument/2006/relationships/printerSettings" Target="../printerSettings/printerSettings305.bin"/><Relationship Id="rId12" Type="http://schemas.openxmlformats.org/officeDocument/2006/relationships/printerSettings" Target="../printerSettings/printerSettings314.bin"/><Relationship Id="rId17" Type="http://schemas.openxmlformats.org/officeDocument/2006/relationships/printerSettings" Target="../printerSettings/printerSettings319.bin"/><Relationship Id="rId25" Type="http://schemas.openxmlformats.org/officeDocument/2006/relationships/printerSettings" Target="../printerSettings/printerSettings327.bin"/><Relationship Id="rId33" Type="http://schemas.openxmlformats.org/officeDocument/2006/relationships/printerSettings" Target="../printerSettings/printerSettings335.bin"/><Relationship Id="rId38" Type="http://schemas.openxmlformats.org/officeDocument/2006/relationships/printerSettings" Target="../printerSettings/printerSettings340.bin"/><Relationship Id="rId46" Type="http://schemas.openxmlformats.org/officeDocument/2006/relationships/printerSettings" Target="../printerSettings/printerSettings348.bin"/><Relationship Id="rId59" Type="http://schemas.openxmlformats.org/officeDocument/2006/relationships/printerSettings" Target="../printerSettings/printerSettings361.bin"/></Relationships>
</file>

<file path=xl/worksheets/_rels/sheet8.xml.rels><?xml version="1.0" encoding="UTF-8" standalone="yes"?>
<Relationships xmlns="http://schemas.openxmlformats.org/package/2006/relationships"><Relationship Id="rId13" Type="http://schemas.openxmlformats.org/officeDocument/2006/relationships/printerSettings" Target="../printerSettings/printerSettings376.bin"/><Relationship Id="rId18" Type="http://schemas.openxmlformats.org/officeDocument/2006/relationships/printerSettings" Target="../printerSettings/printerSettings381.bin"/><Relationship Id="rId26" Type="http://schemas.openxmlformats.org/officeDocument/2006/relationships/printerSettings" Target="../printerSettings/printerSettings389.bin"/><Relationship Id="rId39" Type="http://schemas.openxmlformats.org/officeDocument/2006/relationships/printerSettings" Target="../printerSettings/printerSettings402.bin"/><Relationship Id="rId21" Type="http://schemas.openxmlformats.org/officeDocument/2006/relationships/printerSettings" Target="../printerSettings/printerSettings384.bin"/><Relationship Id="rId34" Type="http://schemas.openxmlformats.org/officeDocument/2006/relationships/printerSettings" Target="../printerSettings/printerSettings397.bin"/><Relationship Id="rId42" Type="http://schemas.openxmlformats.org/officeDocument/2006/relationships/printerSettings" Target="../printerSettings/printerSettings405.bin"/><Relationship Id="rId47" Type="http://schemas.openxmlformats.org/officeDocument/2006/relationships/printerSettings" Target="../printerSettings/printerSettings410.bin"/><Relationship Id="rId50" Type="http://schemas.openxmlformats.org/officeDocument/2006/relationships/printerSettings" Target="../printerSettings/printerSettings413.bin"/><Relationship Id="rId55" Type="http://schemas.openxmlformats.org/officeDocument/2006/relationships/printerSettings" Target="../printerSettings/printerSettings418.bin"/><Relationship Id="rId7" Type="http://schemas.openxmlformats.org/officeDocument/2006/relationships/printerSettings" Target="../printerSettings/printerSettings370.bin"/><Relationship Id="rId12" Type="http://schemas.openxmlformats.org/officeDocument/2006/relationships/printerSettings" Target="../printerSettings/printerSettings375.bin"/><Relationship Id="rId17" Type="http://schemas.openxmlformats.org/officeDocument/2006/relationships/printerSettings" Target="../printerSettings/printerSettings380.bin"/><Relationship Id="rId25" Type="http://schemas.openxmlformats.org/officeDocument/2006/relationships/printerSettings" Target="../printerSettings/printerSettings388.bin"/><Relationship Id="rId33" Type="http://schemas.openxmlformats.org/officeDocument/2006/relationships/printerSettings" Target="../printerSettings/printerSettings396.bin"/><Relationship Id="rId38" Type="http://schemas.openxmlformats.org/officeDocument/2006/relationships/printerSettings" Target="../printerSettings/printerSettings401.bin"/><Relationship Id="rId46" Type="http://schemas.openxmlformats.org/officeDocument/2006/relationships/printerSettings" Target="../printerSettings/printerSettings409.bin"/><Relationship Id="rId59" Type="http://schemas.openxmlformats.org/officeDocument/2006/relationships/printerSettings" Target="../printerSettings/printerSettings422.bin"/><Relationship Id="rId2" Type="http://schemas.openxmlformats.org/officeDocument/2006/relationships/printerSettings" Target="../printerSettings/printerSettings365.bin"/><Relationship Id="rId16" Type="http://schemas.openxmlformats.org/officeDocument/2006/relationships/printerSettings" Target="../printerSettings/printerSettings379.bin"/><Relationship Id="rId20" Type="http://schemas.openxmlformats.org/officeDocument/2006/relationships/printerSettings" Target="../printerSettings/printerSettings383.bin"/><Relationship Id="rId29" Type="http://schemas.openxmlformats.org/officeDocument/2006/relationships/printerSettings" Target="../printerSettings/printerSettings392.bin"/><Relationship Id="rId41" Type="http://schemas.openxmlformats.org/officeDocument/2006/relationships/printerSettings" Target="../printerSettings/printerSettings404.bin"/><Relationship Id="rId54" Type="http://schemas.openxmlformats.org/officeDocument/2006/relationships/printerSettings" Target="../printerSettings/printerSettings417.bin"/><Relationship Id="rId1" Type="http://schemas.openxmlformats.org/officeDocument/2006/relationships/printerSettings" Target="../printerSettings/printerSettings364.bin"/><Relationship Id="rId6" Type="http://schemas.openxmlformats.org/officeDocument/2006/relationships/printerSettings" Target="../printerSettings/printerSettings369.bin"/><Relationship Id="rId11" Type="http://schemas.openxmlformats.org/officeDocument/2006/relationships/printerSettings" Target="../printerSettings/printerSettings374.bin"/><Relationship Id="rId24" Type="http://schemas.openxmlformats.org/officeDocument/2006/relationships/printerSettings" Target="../printerSettings/printerSettings387.bin"/><Relationship Id="rId32" Type="http://schemas.openxmlformats.org/officeDocument/2006/relationships/printerSettings" Target="../printerSettings/printerSettings395.bin"/><Relationship Id="rId37" Type="http://schemas.openxmlformats.org/officeDocument/2006/relationships/printerSettings" Target="../printerSettings/printerSettings400.bin"/><Relationship Id="rId40" Type="http://schemas.openxmlformats.org/officeDocument/2006/relationships/printerSettings" Target="../printerSettings/printerSettings403.bin"/><Relationship Id="rId45" Type="http://schemas.openxmlformats.org/officeDocument/2006/relationships/printerSettings" Target="../printerSettings/printerSettings408.bin"/><Relationship Id="rId53" Type="http://schemas.openxmlformats.org/officeDocument/2006/relationships/printerSettings" Target="../printerSettings/printerSettings416.bin"/><Relationship Id="rId58" Type="http://schemas.openxmlformats.org/officeDocument/2006/relationships/printerSettings" Target="../printerSettings/printerSettings421.bin"/><Relationship Id="rId5" Type="http://schemas.openxmlformats.org/officeDocument/2006/relationships/printerSettings" Target="../printerSettings/printerSettings368.bin"/><Relationship Id="rId15" Type="http://schemas.openxmlformats.org/officeDocument/2006/relationships/printerSettings" Target="../printerSettings/printerSettings378.bin"/><Relationship Id="rId23" Type="http://schemas.openxmlformats.org/officeDocument/2006/relationships/printerSettings" Target="../printerSettings/printerSettings386.bin"/><Relationship Id="rId28" Type="http://schemas.openxmlformats.org/officeDocument/2006/relationships/printerSettings" Target="../printerSettings/printerSettings391.bin"/><Relationship Id="rId36" Type="http://schemas.openxmlformats.org/officeDocument/2006/relationships/printerSettings" Target="../printerSettings/printerSettings399.bin"/><Relationship Id="rId49" Type="http://schemas.openxmlformats.org/officeDocument/2006/relationships/printerSettings" Target="../printerSettings/printerSettings412.bin"/><Relationship Id="rId57" Type="http://schemas.openxmlformats.org/officeDocument/2006/relationships/printerSettings" Target="../printerSettings/printerSettings420.bin"/><Relationship Id="rId10" Type="http://schemas.openxmlformats.org/officeDocument/2006/relationships/printerSettings" Target="../printerSettings/printerSettings373.bin"/><Relationship Id="rId19" Type="http://schemas.openxmlformats.org/officeDocument/2006/relationships/printerSettings" Target="../printerSettings/printerSettings382.bin"/><Relationship Id="rId31" Type="http://schemas.openxmlformats.org/officeDocument/2006/relationships/printerSettings" Target="../printerSettings/printerSettings394.bin"/><Relationship Id="rId44" Type="http://schemas.openxmlformats.org/officeDocument/2006/relationships/printerSettings" Target="../printerSettings/printerSettings407.bin"/><Relationship Id="rId52" Type="http://schemas.openxmlformats.org/officeDocument/2006/relationships/printerSettings" Target="../printerSettings/printerSettings415.bin"/><Relationship Id="rId60" Type="http://schemas.openxmlformats.org/officeDocument/2006/relationships/printerSettings" Target="../printerSettings/printerSettings423.bin"/><Relationship Id="rId4" Type="http://schemas.openxmlformats.org/officeDocument/2006/relationships/printerSettings" Target="../printerSettings/printerSettings367.bin"/><Relationship Id="rId9" Type="http://schemas.openxmlformats.org/officeDocument/2006/relationships/printerSettings" Target="../printerSettings/printerSettings372.bin"/><Relationship Id="rId14" Type="http://schemas.openxmlformats.org/officeDocument/2006/relationships/printerSettings" Target="../printerSettings/printerSettings377.bin"/><Relationship Id="rId22" Type="http://schemas.openxmlformats.org/officeDocument/2006/relationships/printerSettings" Target="../printerSettings/printerSettings385.bin"/><Relationship Id="rId27" Type="http://schemas.openxmlformats.org/officeDocument/2006/relationships/printerSettings" Target="../printerSettings/printerSettings390.bin"/><Relationship Id="rId30" Type="http://schemas.openxmlformats.org/officeDocument/2006/relationships/printerSettings" Target="../printerSettings/printerSettings393.bin"/><Relationship Id="rId35" Type="http://schemas.openxmlformats.org/officeDocument/2006/relationships/printerSettings" Target="../printerSettings/printerSettings398.bin"/><Relationship Id="rId43" Type="http://schemas.openxmlformats.org/officeDocument/2006/relationships/printerSettings" Target="../printerSettings/printerSettings406.bin"/><Relationship Id="rId48" Type="http://schemas.openxmlformats.org/officeDocument/2006/relationships/printerSettings" Target="../printerSettings/printerSettings411.bin"/><Relationship Id="rId56" Type="http://schemas.openxmlformats.org/officeDocument/2006/relationships/printerSettings" Target="../printerSettings/printerSettings419.bin"/><Relationship Id="rId8" Type="http://schemas.openxmlformats.org/officeDocument/2006/relationships/printerSettings" Target="../printerSettings/printerSettings371.bin"/><Relationship Id="rId51" Type="http://schemas.openxmlformats.org/officeDocument/2006/relationships/printerSettings" Target="../printerSettings/printerSettings414.bin"/><Relationship Id="rId3" Type="http://schemas.openxmlformats.org/officeDocument/2006/relationships/printerSettings" Target="../printerSettings/printerSettings366.bin"/></Relationships>
</file>

<file path=xl/worksheets/_rels/sheet12.xml.rels><?xml version="1.0" encoding="UTF-8" standalone="yes"?>
<Relationships xmlns="http://schemas.openxmlformats.org/package/2006/relationships"><Relationship Id="rId13" Type="http://schemas.openxmlformats.org/officeDocument/2006/relationships/printerSettings" Target="../printerSettings/printerSettings436.bin"/><Relationship Id="rId18" Type="http://schemas.openxmlformats.org/officeDocument/2006/relationships/printerSettings" Target="../printerSettings/printerSettings441.bin"/><Relationship Id="rId26" Type="http://schemas.openxmlformats.org/officeDocument/2006/relationships/printerSettings" Target="../printerSettings/printerSettings449.bin"/><Relationship Id="rId39" Type="http://schemas.openxmlformats.org/officeDocument/2006/relationships/printerSettings" Target="../printerSettings/printerSettings462.bin"/><Relationship Id="rId21" Type="http://schemas.openxmlformats.org/officeDocument/2006/relationships/printerSettings" Target="../printerSettings/printerSettings444.bin"/><Relationship Id="rId34" Type="http://schemas.openxmlformats.org/officeDocument/2006/relationships/printerSettings" Target="../printerSettings/printerSettings457.bin"/><Relationship Id="rId42" Type="http://schemas.openxmlformats.org/officeDocument/2006/relationships/printerSettings" Target="../printerSettings/printerSettings465.bin"/><Relationship Id="rId47" Type="http://schemas.openxmlformats.org/officeDocument/2006/relationships/printerSettings" Target="../printerSettings/printerSettings470.bin"/><Relationship Id="rId50" Type="http://schemas.openxmlformats.org/officeDocument/2006/relationships/printerSettings" Target="../printerSettings/printerSettings473.bin"/><Relationship Id="rId55" Type="http://schemas.openxmlformats.org/officeDocument/2006/relationships/printerSettings" Target="../printerSettings/printerSettings478.bin"/><Relationship Id="rId7" Type="http://schemas.openxmlformats.org/officeDocument/2006/relationships/printerSettings" Target="../printerSettings/printerSettings430.bin"/><Relationship Id="rId2" Type="http://schemas.openxmlformats.org/officeDocument/2006/relationships/printerSettings" Target="../printerSettings/printerSettings425.bin"/><Relationship Id="rId16" Type="http://schemas.openxmlformats.org/officeDocument/2006/relationships/printerSettings" Target="../printerSettings/printerSettings439.bin"/><Relationship Id="rId20" Type="http://schemas.openxmlformats.org/officeDocument/2006/relationships/printerSettings" Target="../printerSettings/printerSettings443.bin"/><Relationship Id="rId29" Type="http://schemas.openxmlformats.org/officeDocument/2006/relationships/printerSettings" Target="../printerSettings/printerSettings452.bin"/><Relationship Id="rId41" Type="http://schemas.openxmlformats.org/officeDocument/2006/relationships/printerSettings" Target="../printerSettings/printerSettings464.bin"/><Relationship Id="rId54" Type="http://schemas.openxmlformats.org/officeDocument/2006/relationships/printerSettings" Target="../printerSettings/printerSettings477.bin"/><Relationship Id="rId62" Type="http://schemas.openxmlformats.org/officeDocument/2006/relationships/drawing" Target="../drawings/drawing3.xml"/><Relationship Id="rId1" Type="http://schemas.openxmlformats.org/officeDocument/2006/relationships/printerSettings" Target="../printerSettings/printerSettings424.bin"/><Relationship Id="rId6" Type="http://schemas.openxmlformats.org/officeDocument/2006/relationships/printerSettings" Target="../printerSettings/printerSettings429.bin"/><Relationship Id="rId11" Type="http://schemas.openxmlformats.org/officeDocument/2006/relationships/printerSettings" Target="../printerSettings/printerSettings434.bin"/><Relationship Id="rId24" Type="http://schemas.openxmlformats.org/officeDocument/2006/relationships/printerSettings" Target="../printerSettings/printerSettings447.bin"/><Relationship Id="rId32" Type="http://schemas.openxmlformats.org/officeDocument/2006/relationships/printerSettings" Target="../printerSettings/printerSettings455.bin"/><Relationship Id="rId37" Type="http://schemas.openxmlformats.org/officeDocument/2006/relationships/printerSettings" Target="../printerSettings/printerSettings460.bin"/><Relationship Id="rId40" Type="http://schemas.openxmlformats.org/officeDocument/2006/relationships/printerSettings" Target="../printerSettings/printerSettings463.bin"/><Relationship Id="rId45" Type="http://schemas.openxmlformats.org/officeDocument/2006/relationships/printerSettings" Target="../printerSettings/printerSettings468.bin"/><Relationship Id="rId53" Type="http://schemas.openxmlformats.org/officeDocument/2006/relationships/printerSettings" Target="../printerSettings/printerSettings476.bin"/><Relationship Id="rId58" Type="http://schemas.openxmlformats.org/officeDocument/2006/relationships/printerSettings" Target="../printerSettings/printerSettings481.bin"/><Relationship Id="rId5" Type="http://schemas.openxmlformats.org/officeDocument/2006/relationships/printerSettings" Target="../printerSettings/printerSettings428.bin"/><Relationship Id="rId15" Type="http://schemas.openxmlformats.org/officeDocument/2006/relationships/printerSettings" Target="../printerSettings/printerSettings438.bin"/><Relationship Id="rId23" Type="http://schemas.openxmlformats.org/officeDocument/2006/relationships/printerSettings" Target="../printerSettings/printerSettings446.bin"/><Relationship Id="rId28" Type="http://schemas.openxmlformats.org/officeDocument/2006/relationships/printerSettings" Target="../printerSettings/printerSettings451.bin"/><Relationship Id="rId36" Type="http://schemas.openxmlformats.org/officeDocument/2006/relationships/printerSettings" Target="../printerSettings/printerSettings459.bin"/><Relationship Id="rId49" Type="http://schemas.openxmlformats.org/officeDocument/2006/relationships/printerSettings" Target="../printerSettings/printerSettings472.bin"/><Relationship Id="rId57" Type="http://schemas.openxmlformats.org/officeDocument/2006/relationships/printerSettings" Target="../printerSettings/printerSettings480.bin"/><Relationship Id="rId61" Type="http://schemas.openxmlformats.org/officeDocument/2006/relationships/printerSettings" Target="../printerSettings/printerSettings484.bin"/><Relationship Id="rId10" Type="http://schemas.openxmlformats.org/officeDocument/2006/relationships/printerSettings" Target="../printerSettings/printerSettings433.bin"/><Relationship Id="rId19" Type="http://schemas.openxmlformats.org/officeDocument/2006/relationships/printerSettings" Target="../printerSettings/printerSettings442.bin"/><Relationship Id="rId31" Type="http://schemas.openxmlformats.org/officeDocument/2006/relationships/printerSettings" Target="../printerSettings/printerSettings454.bin"/><Relationship Id="rId44" Type="http://schemas.openxmlformats.org/officeDocument/2006/relationships/printerSettings" Target="../printerSettings/printerSettings467.bin"/><Relationship Id="rId52" Type="http://schemas.openxmlformats.org/officeDocument/2006/relationships/printerSettings" Target="../printerSettings/printerSettings475.bin"/><Relationship Id="rId60" Type="http://schemas.openxmlformats.org/officeDocument/2006/relationships/printerSettings" Target="../printerSettings/printerSettings483.bin"/><Relationship Id="rId4" Type="http://schemas.openxmlformats.org/officeDocument/2006/relationships/printerSettings" Target="../printerSettings/printerSettings427.bin"/><Relationship Id="rId9" Type="http://schemas.openxmlformats.org/officeDocument/2006/relationships/printerSettings" Target="../printerSettings/printerSettings432.bin"/><Relationship Id="rId14" Type="http://schemas.openxmlformats.org/officeDocument/2006/relationships/printerSettings" Target="../printerSettings/printerSettings437.bin"/><Relationship Id="rId22" Type="http://schemas.openxmlformats.org/officeDocument/2006/relationships/printerSettings" Target="../printerSettings/printerSettings445.bin"/><Relationship Id="rId27" Type="http://schemas.openxmlformats.org/officeDocument/2006/relationships/printerSettings" Target="../printerSettings/printerSettings450.bin"/><Relationship Id="rId30" Type="http://schemas.openxmlformats.org/officeDocument/2006/relationships/printerSettings" Target="../printerSettings/printerSettings453.bin"/><Relationship Id="rId35" Type="http://schemas.openxmlformats.org/officeDocument/2006/relationships/printerSettings" Target="../printerSettings/printerSettings458.bin"/><Relationship Id="rId43" Type="http://schemas.openxmlformats.org/officeDocument/2006/relationships/printerSettings" Target="../printerSettings/printerSettings466.bin"/><Relationship Id="rId48" Type="http://schemas.openxmlformats.org/officeDocument/2006/relationships/printerSettings" Target="../printerSettings/printerSettings471.bin"/><Relationship Id="rId56" Type="http://schemas.openxmlformats.org/officeDocument/2006/relationships/printerSettings" Target="../printerSettings/printerSettings479.bin"/><Relationship Id="rId8" Type="http://schemas.openxmlformats.org/officeDocument/2006/relationships/printerSettings" Target="../printerSettings/printerSettings431.bin"/><Relationship Id="rId51" Type="http://schemas.openxmlformats.org/officeDocument/2006/relationships/printerSettings" Target="../printerSettings/printerSettings474.bin"/><Relationship Id="rId3" Type="http://schemas.openxmlformats.org/officeDocument/2006/relationships/printerSettings" Target="../printerSettings/printerSettings426.bin"/><Relationship Id="rId12" Type="http://schemas.openxmlformats.org/officeDocument/2006/relationships/printerSettings" Target="../printerSettings/printerSettings435.bin"/><Relationship Id="rId17" Type="http://schemas.openxmlformats.org/officeDocument/2006/relationships/printerSettings" Target="../printerSettings/printerSettings440.bin"/><Relationship Id="rId25" Type="http://schemas.openxmlformats.org/officeDocument/2006/relationships/printerSettings" Target="../printerSettings/printerSettings448.bin"/><Relationship Id="rId33" Type="http://schemas.openxmlformats.org/officeDocument/2006/relationships/printerSettings" Target="../printerSettings/printerSettings456.bin"/><Relationship Id="rId38" Type="http://schemas.openxmlformats.org/officeDocument/2006/relationships/printerSettings" Target="../printerSettings/printerSettings461.bin"/><Relationship Id="rId46" Type="http://schemas.openxmlformats.org/officeDocument/2006/relationships/printerSettings" Target="../printerSettings/printerSettings469.bin"/><Relationship Id="rId59" Type="http://schemas.openxmlformats.org/officeDocument/2006/relationships/printerSettings" Target="../printerSettings/printerSettings482.bin"/></Relationships>
</file>

<file path=xl/worksheets/_rels/sheet13.xml.rels><?xml version="1.0" encoding="UTF-8" standalone="yes"?>
<Relationships xmlns="http://schemas.openxmlformats.org/package/2006/relationships"><Relationship Id="rId8" Type="http://schemas.openxmlformats.org/officeDocument/2006/relationships/printerSettings" Target="../printerSettings/printerSettings492.bin"/><Relationship Id="rId13" Type="http://schemas.openxmlformats.org/officeDocument/2006/relationships/printerSettings" Target="../printerSettings/printerSettings497.bin"/><Relationship Id="rId18" Type="http://schemas.openxmlformats.org/officeDocument/2006/relationships/printerSettings" Target="../printerSettings/printerSettings502.bin"/><Relationship Id="rId26" Type="http://schemas.openxmlformats.org/officeDocument/2006/relationships/printerSettings" Target="../printerSettings/printerSettings510.bin"/><Relationship Id="rId3" Type="http://schemas.openxmlformats.org/officeDocument/2006/relationships/printerSettings" Target="../printerSettings/printerSettings487.bin"/><Relationship Id="rId21" Type="http://schemas.openxmlformats.org/officeDocument/2006/relationships/printerSettings" Target="../printerSettings/printerSettings505.bin"/><Relationship Id="rId34" Type="http://schemas.openxmlformats.org/officeDocument/2006/relationships/printerSettings" Target="../printerSettings/printerSettings518.bin"/><Relationship Id="rId7" Type="http://schemas.openxmlformats.org/officeDocument/2006/relationships/printerSettings" Target="../printerSettings/printerSettings491.bin"/><Relationship Id="rId12" Type="http://schemas.openxmlformats.org/officeDocument/2006/relationships/printerSettings" Target="../printerSettings/printerSettings496.bin"/><Relationship Id="rId17" Type="http://schemas.openxmlformats.org/officeDocument/2006/relationships/printerSettings" Target="../printerSettings/printerSettings501.bin"/><Relationship Id="rId25" Type="http://schemas.openxmlformats.org/officeDocument/2006/relationships/printerSettings" Target="../printerSettings/printerSettings509.bin"/><Relationship Id="rId33" Type="http://schemas.openxmlformats.org/officeDocument/2006/relationships/printerSettings" Target="../printerSettings/printerSettings517.bin"/><Relationship Id="rId38" Type="http://schemas.openxmlformats.org/officeDocument/2006/relationships/printerSettings" Target="../printerSettings/printerSettings522.bin"/><Relationship Id="rId2" Type="http://schemas.openxmlformats.org/officeDocument/2006/relationships/printerSettings" Target="../printerSettings/printerSettings486.bin"/><Relationship Id="rId16" Type="http://schemas.openxmlformats.org/officeDocument/2006/relationships/printerSettings" Target="../printerSettings/printerSettings500.bin"/><Relationship Id="rId20" Type="http://schemas.openxmlformats.org/officeDocument/2006/relationships/printerSettings" Target="../printerSettings/printerSettings504.bin"/><Relationship Id="rId29" Type="http://schemas.openxmlformats.org/officeDocument/2006/relationships/printerSettings" Target="../printerSettings/printerSettings513.bin"/><Relationship Id="rId1" Type="http://schemas.openxmlformats.org/officeDocument/2006/relationships/printerSettings" Target="../printerSettings/printerSettings485.bin"/><Relationship Id="rId6" Type="http://schemas.openxmlformats.org/officeDocument/2006/relationships/printerSettings" Target="../printerSettings/printerSettings490.bin"/><Relationship Id="rId11" Type="http://schemas.openxmlformats.org/officeDocument/2006/relationships/printerSettings" Target="../printerSettings/printerSettings495.bin"/><Relationship Id="rId24" Type="http://schemas.openxmlformats.org/officeDocument/2006/relationships/printerSettings" Target="../printerSettings/printerSettings508.bin"/><Relationship Id="rId32" Type="http://schemas.openxmlformats.org/officeDocument/2006/relationships/printerSettings" Target="../printerSettings/printerSettings516.bin"/><Relationship Id="rId37" Type="http://schemas.openxmlformats.org/officeDocument/2006/relationships/printerSettings" Target="../printerSettings/printerSettings521.bin"/><Relationship Id="rId5" Type="http://schemas.openxmlformats.org/officeDocument/2006/relationships/printerSettings" Target="../printerSettings/printerSettings489.bin"/><Relationship Id="rId15" Type="http://schemas.openxmlformats.org/officeDocument/2006/relationships/printerSettings" Target="../printerSettings/printerSettings499.bin"/><Relationship Id="rId23" Type="http://schemas.openxmlformats.org/officeDocument/2006/relationships/printerSettings" Target="../printerSettings/printerSettings507.bin"/><Relationship Id="rId28" Type="http://schemas.openxmlformats.org/officeDocument/2006/relationships/printerSettings" Target="../printerSettings/printerSettings512.bin"/><Relationship Id="rId36" Type="http://schemas.openxmlformats.org/officeDocument/2006/relationships/printerSettings" Target="../printerSettings/printerSettings520.bin"/><Relationship Id="rId10" Type="http://schemas.openxmlformats.org/officeDocument/2006/relationships/printerSettings" Target="../printerSettings/printerSettings494.bin"/><Relationship Id="rId19" Type="http://schemas.openxmlformats.org/officeDocument/2006/relationships/printerSettings" Target="../printerSettings/printerSettings503.bin"/><Relationship Id="rId31" Type="http://schemas.openxmlformats.org/officeDocument/2006/relationships/printerSettings" Target="../printerSettings/printerSettings515.bin"/><Relationship Id="rId4" Type="http://schemas.openxmlformats.org/officeDocument/2006/relationships/printerSettings" Target="../printerSettings/printerSettings488.bin"/><Relationship Id="rId9" Type="http://schemas.openxmlformats.org/officeDocument/2006/relationships/printerSettings" Target="../printerSettings/printerSettings493.bin"/><Relationship Id="rId14" Type="http://schemas.openxmlformats.org/officeDocument/2006/relationships/printerSettings" Target="../printerSettings/printerSettings498.bin"/><Relationship Id="rId22" Type="http://schemas.openxmlformats.org/officeDocument/2006/relationships/printerSettings" Target="../printerSettings/printerSettings506.bin"/><Relationship Id="rId27" Type="http://schemas.openxmlformats.org/officeDocument/2006/relationships/printerSettings" Target="../printerSettings/printerSettings511.bin"/><Relationship Id="rId30" Type="http://schemas.openxmlformats.org/officeDocument/2006/relationships/printerSettings" Target="../printerSettings/printerSettings514.bin"/><Relationship Id="rId35" Type="http://schemas.openxmlformats.org/officeDocument/2006/relationships/printerSettings" Target="../printerSettings/printerSettings519.bin"/></Relationships>
</file>

<file path=xl/worksheets/_rels/sheet14.xml.rels><?xml version="1.0" encoding="UTF-8" standalone="yes"?>
<Relationships xmlns="http://schemas.openxmlformats.org/package/2006/relationships"><Relationship Id="rId13" Type="http://schemas.openxmlformats.org/officeDocument/2006/relationships/printerSettings" Target="../printerSettings/printerSettings535.bin"/><Relationship Id="rId18" Type="http://schemas.openxmlformats.org/officeDocument/2006/relationships/printerSettings" Target="../printerSettings/printerSettings540.bin"/><Relationship Id="rId26" Type="http://schemas.openxmlformats.org/officeDocument/2006/relationships/printerSettings" Target="../printerSettings/printerSettings548.bin"/><Relationship Id="rId39" Type="http://schemas.openxmlformats.org/officeDocument/2006/relationships/printerSettings" Target="../printerSettings/printerSettings561.bin"/><Relationship Id="rId21" Type="http://schemas.openxmlformats.org/officeDocument/2006/relationships/printerSettings" Target="../printerSettings/printerSettings543.bin"/><Relationship Id="rId34" Type="http://schemas.openxmlformats.org/officeDocument/2006/relationships/printerSettings" Target="../printerSettings/printerSettings556.bin"/><Relationship Id="rId42" Type="http://schemas.openxmlformats.org/officeDocument/2006/relationships/printerSettings" Target="../printerSettings/printerSettings564.bin"/><Relationship Id="rId47" Type="http://schemas.openxmlformats.org/officeDocument/2006/relationships/printerSettings" Target="../printerSettings/printerSettings569.bin"/><Relationship Id="rId50" Type="http://schemas.openxmlformats.org/officeDocument/2006/relationships/printerSettings" Target="../printerSettings/printerSettings572.bin"/><Relationship Id="rId55" Type="http://schemas.openxmlformats.org/officeDocument/2006/relationships/printerSettings" Target="../printerSettings/printerSettings577.bin"/><Relationship Id="rId7" Type="http://schemas.openxmlformats.org/officeDocument/2006/relationships/printerSettings" Target="../printerSettings/printerSettings529.bin"/><Relationship Id="rId2" Type="http://schemas.openxmlformats.org/officeDocument/2006/relationships/printerSettings" Target="../printerSettings/printerSettings524.bin"/><Relationship Id="rId16" Type="http://schemas.openxmlformats.org/officeDocument/2006/relationships/printerSettings" Target="../printerSettings/printerSettings538.bin"/><Relationship Id="rId20" Type="http://schemas.openxmlformats.org/officeDocument/2006/relationships/printerSettings" Target="../printerSettings/printerSettings542.bin"/><Relationship Id="rId29" Type="http://schemas.openxmlformats.org/officeDocument/2006/relationships/printerSettings" Target="../printerSettings/printerSettings551.bin"/><Relationship Id="rId41" Type="http://schemas.openxmlformats.org/officeDocument/2006/relationships/printerSettings" Target="../printerSettings/printerSettings563.bin"/><Relationship Id="rId54" Type="http://schemas.openxmlformats.org/officeDocument/2006/relationships/printerSettings" Target="../printerSettings/printerSettings576.bin"/><Relationship Id="rId62" Type="http://schemas.openxmlformats.org/officeDocument/2006/relationships/drawing" Target="../drawings/drawing4.xml"/><Relationship Id="rId1" Type="http://schemas.openxmlformats.org/officeDocument/2006/relationships/printerSettings" Target="../printerSettings/printerSettings523.bin"/><Relationship Id="rId6" Type="http://schemas.openxmlformats.org/officeDocument/2006/relationships/printerSettings" Target="../printerSettings/printerSettings528.bin"/><Relationship Id="rId11" Type="http://schemas.openxmlformats.org/officeDocument/2006/relationships/printerSettings" Target="../printerSettings/printerSettings533.bin"/><Relationship Id="rId24" Type="http://schemas.openxmlformats.org/officeDocument/2006/relationships/printerSettings" Target="../printerSettings/printerSettings546.bin"/><Relationship Id="rId32" Type="http://schemas.openxmlformats.org/officeDocument/2006/relationships/printerSettings" Target="../printerSettings/printerSettings554.bin"/><Relationship Id="rId37" Type="http://schemas.openxmlformats.org/officeDocument/2006/relationships/printerSettings" Target="../printerSettings/printerSettings559.bin"/><Relationship Id="rId40" Type="http://schemas.openxmlformats.org/officeDocument/2006/relationships/printerSettings" Target="../printerSettings/printerSettings562.bin"/><Relationship Id="rId45" Type="http://schemas.openxmlformats.org/officeDocument/2006/relationships/printerSettings" Target="../printerSettings/printerSettings567.bin"/><Relationship Id="rId53" Type="http://schemas.openxmlformats.org/officeDocument/2006/relationships/printerSettings" Target="../printerSettings/printerSettings575.bin"/><Relationship Id="rId58" Type="http://schemas.openxmlformats.org/officeDocument/2006/relationships/printerSettings" Target="../printerSettings/printerSettings580.bin"/><Relationship Id="rId5" Type="http://schemas.openxmlformats.org/officeDocument/2006/relationships/printerSettings" Target="../printerSettings/printerSettings527.bin"/><Relationship Id="rId15" Type="http://schemas.openxmlformats.org/officeDocument/2006/relationships/printerSettings" Target="../printerSettings/printerSettings537.bin"/><Relationship Id="rId23" Type="http://schemas.openxmlformats.org/officeDocument/2006/relationships/printerSettings" Target="../printerSettings/printerSettings545.bin"/><Relationship Id="rId28" Type="http://schemas.openxmlformats.org/officeDocument/2006/relationships/printerSettings" Target="../printerSettings/printerSettings550.bin"/><Relationship Id="rId36" Type="http://schemas.openxmlformats.org/officeDocument/2006/relationships/printerSettings" Target="../printerSettings/printerSettings558.bin"/><Relationship Id="rId49" Type="http://schemas.openxmlformats.org/officeDocument/2006/relationships/printerSettings" Target="../printerSettings/printerSettings571.bin"/><Relationship Id="rId57" Type="http://schemas.openxmlformats.org/officeDocument/2006/relationships/printerSettings" Target="../printerSettings/printerSettings579.bin"/><Relationship Id="rId61" Type="http://schemas.openxmlformats.org/officeDocument/2006/relationships/printerSettings" Target="../printerSettings/printerSettings583.bin"/><Relationship Id="rId10" Type="http://schemas.openxmlformats.org/officeDocument/2006/relationships/printerSettings" Target="../printerSettings/printerSettings532.bin"/><Relationship Id="rId19" Type="http://schemas.openxmlformats.org/officeDocument/2006/relationships/printerSettings" Target="../printerSettings/printerSettings541.bin"/><Relationship Id="rId31" Type="http://schemas.openxmlformats.org/officeDocument/2006/relationships/printerSettings" Target="../printerSettings/printerSettings553.bin"/><Relationship Id="rId44" Type="http://schemas.openxmlformats.org/officeDocument/2006/relationships/printerSettings" Target="../printerSettings/printerSettings566.bin"/><Relationship Id="rId52" Type="http://schemas.openxmlformats.org/officeDocument/2006/relationships/printerSettings" Target="../printerSettings/printerSettings574.bin"/><Relationship Id="rId60" Type="http://schemas.openxmlformats.org/officeDocument/2006/relationships/printerSettings" Target="../printerSettings/printerSettings582.bin"/><Relationship Id="rId4" Type="http://schemas.openxmlformats.org/officeDocument/2006/relationships/printerSettings" Target="../printerSettings/printerSettings526.bin"/><Relationship Id="rId9" Type="http://schemas.openxmlformats.org/officeDocument/2006/relationships/printerSettings" Target="../printerSettings/printerSettings531.bin"/><Relationship Id="rId14" Type="http://schemas.openxmlformats.org/officeDocument/2006/relationships/printerSettings" Target="../printerSettings/printerSettings536.bin"/><Relationship Id="rId22" Type="http://schemas.openxmlformats.org/officeDocument/2006/relationships/printerSettings" Target="../printerSettings/printerSettings544.bin"/><Relationship Id="rId27" Type="http://schemas.openxmlformats.org/officeDocument/2006/relationships/printerSettings" Target="../printerSettings/printerSettings549.bin"/><Relationship Id="rId30" Type="http://schemas.openxmlformats.org/officeDocument/2006/relationships/printerSettings" Target="../printerSettings/printerSettings552.bin"/><Relationship Id="rId35" Type="http://schemas.openxmlformats.org/officeDocument/2006/relationships/printerSettings" Target="../printerSettings/printerSettings557.bin"/><Relationship Id="rId43" Type="http://schemas.openxmlformats.org/officeDocument/2006/relationships/printerSettings" Target="../printerSettings/printerSettings565.bin"/><Relationship Id="rId48" Type="http://schemas.openxmlformats.org/officeDocument/2006/relationships/printerSettings" Target="../printerSettings/printerSettings570.bin"/><Relationship Id="rId56" Type="http://schemas.openxmlformats.org/officeDocument/2006/relationships/printerSettings" Target="../printerSettings/printerSettings578.bin"/><Relationship Id="rId8" Type="http://schemas.openxmlformats.org/officeDocument/2006/relationships/printerSettings" Target="../printerSettings/printerSettings530.bin"/><Relationship Id="rId51" Type="http://schemas.openxmlformats.org/officeDocument/2006/relationships/printerSettings" Target="../printerSettings/printerSettings573.bin"/><Relationship Id="rId3" Type="http://schemas.openxmlformats.org/officeDocument/2006/relationships/printerSettings" Target="../printerSettings/printerSettings525.bin"/><Relationship Id="rId12" Type="http://schemas.openxmlformats.org/officeDocument/2006/relationships/printerSettings" Target="../printerSettings/printerSettings534.bin"/><Relationship Id="rId17" Type="http://schemas.openxmlformats.org/officeDocument/2006/relationships/printerSettings" Target="../printerSettings/printerSettings539.bin"/><Relationship Id="rId25" Type="http://schemas.openxmlformats.org/officeDocument/2006/relationships/printerSettings" Target="../printerSettings/printerSettings547.bin"/><Relationship Id="rId33" Type="http://schemas.openxmlformats.org/officeDocument/2006/relationships/printerSettings" Target="../printerSettings/printerSettings555.bin"/><Relationship Id="rId38" Type="http://schemas.openxmlformats.org/officeDocument/2006/relationships/printerSettings" Target="../printerSettings/printerSettings560.bin"/><Relationship Id="rId46" Type="http://schemas.openxmlformats.org/officeDocument/2006/relationships/printerSettings" Target="../printerSettings/printerSettings568.bin"/><Relationship Id="rId59" Type="http://schemas.openxmlformats.org/officeDocument/2006/relationships/printerSettings" Target="../printerSettings/printerSettings58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B9F913-86E9-4815-846A-F66BEE4DFE0D}">
  <sheetPr codeName="Sheet15">
    <pageSetUpPr fitToPage="1"/>
  </sheetPr>
  <dimension ref="A1:BA79"/>
  <sheetViews>
    <sheetView showGridLines="0" zoomScale="40" zoomScaleNormal="40" workbookViewId="0">
      <selection activeCell="AR10" sqref="AR10"/>
    </sheetView>
  </sheetViews>
  <sheetFormatPr defaultColWidth="9.3828125" defaultRowHeight="12.9" x14ac:dyDescent="0.35"/>
  <cols>
    <col min="1" max="1" width="3.3828125" style="487" customWidth="1"/>
    <col min="2" max="2" width="14.61328125" style="342" customWidth="1"/>
    <col min="3" max="3" width="30.61328125" style="438" customWidth="1"/>
    <col min="4" max="5" width="9.3828125" style="342"/>
    <col min="6" max="6" width="14.61328125" style="342" customWidth="1"/>
    <col min="7" max="7" width="30.61328125" style="438" customWidth="1"/>
    <col min="8" max="9" width="9.3828125" style="342"/>
    <col min="10" max="10" width="3.53515625" style="487" customWidth="1"/>
    <col min="11" max="11" width="14.3828125" style="342" customWidth="1"/>
    <col min="12" max="12" width="30.61328125" style="438" customWidth="1"/>
    <col min="13" max="13" width="9.3828125" style="342"/>
    <col min="14" max="14" width="7.3828125" style="342" customWidth="1"/>
    <col min="15" max="15" width="11.61328125" style="342" customWidth="1"/>
    <col min="16" max="16" width="7.3828125" style="342" customWidth="1"/>
    <col min="17" max="17" width="3.61328125" style="342" customWidth="1"/>
    <col min="18" max="18" width="14.61328125" style="342" customWidth="1"/>
    <col min="19" max="19" width="30.61328125" style="438" customWidth="1"/>
    <col min="20" max="20" width="9.3828125" style="342"/>
    <col min="21" max="21" width="7.3828125" style="342" customWidth="1"/>
    <col min="22" max="22" width="11.3828125" style="342" customWidth="1"/>
    <col min="23" max="23" width="9" style="342" customWidth="1"/>
    <col min="24" max="24" width="3.61328125" style="342" customWidth="1"/>
    <col min="25" max="25" width="14.61328125" style="342" customWidth="1"/>
    <col min="26" max="26" width="30.61328125" style="438" customWidth="1"/>
    <col min="27" max="27" width="9.3828125" style="342"/>
    <col min="28" max="28" width="7.3828125" style="342" customWidth="1"/>
    <col min="29" max="29" width="11.61328125" style="342" customWidth="1"/>
    <col min="30" max="31" width="7.3828125" style="342" customWidth="1"/>
    <col min="32" max="32" width="7.61328125" style="477" customWidth="1"/>
    <col min="33" max="33" width="14.61328125" style="342" customWidth="1"/>
    <col min="34" max="34" width="30.61328125" style="438" customWidth="1"/>
    <col min="35" max="36" width="7.3828125" style="342" customWidth="1"/>
    <col min="37" max="37" width="11.61328125" style="342" customWidth="1"/>
    <col min="38" max="16384" width="9.3828125" style="342"/>
  </cols>
  <sheetData>
    <row r="1" spans="1:53" ht="36" customHeight="1" thickBot="1" x14ac:dyDescent="0.55000000000000004">
      <c r="A1" s="678" t="s">
        <v>398</v>
      </c>
      <c r="B1" s="679"/>
      <c r="C1" s="679"/>
      <c r="D1" s="679"/>
      <c r="E1" s="679"/>
      <c r="F1" s="679"/>
      <c r="G1" s="679"/>
      <c r="H1" s="679"/>
      <c r="I1" s="679"/>
      <c r="J1" s="679"/>
      <c r="K1" s="679"/>
      <c r="L1" s="679"/>
      <c r="M1" s="679"/>
      <c r="N1" s="679"/>
      <c r="O1" s="679"/>
      <c r="P1" s="679"/>
      <c r="Q1" s="679"/>
      <c r="R1" s="679"/>
      <c r="S1" s="679"/>
      <c r="T1" s="679"/>
      <c r="U1" s="679"/>
      <c r="V1" s="679"/>
      <c r="W1" s="679"/>
      <c r="X1" s="679"/>
      <c r="Y1" s="679"/>
      <c r="Z1" s="679"/>
      <c r="AA1" s="679"/>
      <c r="AB1" s="679"/>
      <c r="AC1" s="679"/>
      <c r="AD1" s="679"/>
      <c r="AE1" s="679"/>
      <c r="AF1" s="679"/>
      <c r="AG1" s="679"/>
      <c r="AH1" s="679"/>
      <c r="AI1" s="679"/>
      <c r="AJ1" s="679"/>
      <c r="AK1" s="679"/>
      <c r="AL1" s="679"/>
      <c r="BA1" s="488"/>
    </row>
    <row r="2" spans="1:53" ht="19.5" customHeight="1" thickBot="1" x14ac:dyDescent="0.55000000000000004">
      <c r="A2" s="680" t="s">
        <v>399</v>
      </c>
      <c r="B2" s="680"/>
      <c r="C2" s="680"/>
      <c r="D2" s="680"/>
      <c r="E2" s="680"/>
      <c r="F2" s="681"/>
      <c r="G2" s="451">
        <f>I5+P5+W5+AK5+P56</f>
        <v>9662.5717997499996</v>
      </c>
      <c r="H2" s="343"/>
      <c r="I2" s="344"/>
      <c r="J2" s="469"/>
      <c r="K2" s="469"/>
      <c r="L2" s="469"/>
      <c r="M2" s="469"/>
      <c r="N2" s="469"/>
      <c r="O2" s="469"/>
      <c r="P2" s="469"/>
      <c r="Q2" s="469"/>
      <c r="R2" s="469"/>
      <c r="S2" s="469"/>
      <c r="T2" s="469"/>
      <c r="U2" s="469"/>
      <c r="V2" s="469"/>
      <c r="W2" s="469"/>
      <c r="X2" s="469"/>
      <c r="Y2" s="469"/>
      <c r="Z2" s="469"/>
      <c r="AA2" s="469"/>
      <c r="AB2" s="469"/>
      <c r="AC2" s="469"/>
      <c r="AD2" s="469"/>
      <c r="AE2" s="469"/>
      <c r="AF2" s="476"/>
      <c r="AG2" s="469"/>
      <c r="AH2" s="469"/>
      <c r="AI2" s="469"/>
      <c r="AJ2" s="469"/>
      <c r="AK2" s="469"/>
      <c r="AL2" s="469"/>
    </row>
    <row r="3" spans="1:53" s="346" customFormat="1" ht="13.3" thickBot="1" x14ac:dyDescent="0.45">
      <c r="A3" s="477"/>
      <c r="C3" s="347"/>
      <c r="G3" s="347"/>
      <c r="J3" s="477"/>
      <c r="L3" s="347"/>
      <c r="S3" s="347"/>
      <c r="Z3" s="347"/>
      <c r="AF3" s="477"/>
      <c r="AH3" s="347"/>
    </row>
    <row r="4" spans="1:53" s="346" customFormat="1" ht="30" customHeight="1" thickBot="1" x14ac:dyDescent="0.45">
      <c r="A4" s="477"/>
      <c r="C4" s="347"/>
      <c r="D4" s="675" t="s">
        <v>400</v>
      </c>
      <c r="E4" s="676"/>
      <c r="F4" s="676"/>
      <c r="G4" s="676"/>
      <c r="H4" s="676"/>
      <c r="I4" s="677"/>
      <c r="J4" s="477"/>
      <c r="K4" s="675" t="s">
        <v>401</v>
      </c>
      <c r="L4" s="676"/>
      <c r="M4" s="676"/>
      <c r="N4" s="676"/>
      <c r="O4" s="676"/>
      <c r="P4" s="677"/>
      <c r="R4" s="675" t="s">
        <v>402</v>
      </c>
      <c r="S4" s="676"/>
      <c r="T4" s="676"/>
      <c r="U4" s="676"/>
      <c r="V4" s="676"/>
      <c r="W4" s="677"/>
      <c r="Z4" s="347"/>
      <c r="AC4" s="675" t="s">
        <v>502</v>
      </c>
      <c r="AD4" s="676"/>
      <c r="AE4" s="676"/>
      <c r="AF4" s="676"/>
      <c r="AG4" s="676"/>
      <c r="AH4" s="676"/>
      <c r="AI4" s="676"/>
      <c r="AJ4" s="676"/>
      <c r="AK4" s="677"/>
    </row>
    <row r="5" spans="1:53" s="346" customFormat="1" ht="30" customHeight="1" thickBot="1" x14ac:dyDescent="0.45">
      <c r="A5" s="477"/>
      <c r="C5" s="347"/>
      <c r="D5" s="348" t="s">
        <v>404</v>
      </c>
      <c r="E5" s="349"/>
      <c r="F5" s="350"/>
      <c r="G5" s="351" t="s">
        <v>405</v>
      </c>
      <c r="H5" s="352"/>
      <c r="I5" s="452">
        <f>C15+C21+C27+C33+C39+C45+C51+G15+G21+G27+G33</f>
        <v>6641.1443767799992</v>
      </c>
      <c r="J5" s="477"/>
      <c r="K5" s="348" t="s">
        <v>406</v>
      </c>
      <c r="L5" s="354"/>
      <c r="M5" s="350"/>
      <c r="N5" s="352" t="s">
        <v>405</v>
      </c>
      <c r="O5" s="352"/>
      <c r="P5" s="452">
        <f>L15+L21+L27+L33</f>
        <v>328.09799571000002</v>
      </c>
      <c r="R5" s="348" t="s">
        <v>489</v>
      </c>
      <c r="S5" s="354" t="s">
        <v>490</v>
      </c>
      <c r="T5" s="350"/>
      <c r="U5" s="352" t="s">
        <v>405</v>
      </c>
      <c r="V5" s="352"/>
      <c r="W5" s="353">
        <f>S15+S21+S27+S33+S39+S45+S51</f>
        <v>1604.5912258900003</v>
      </c>
      <c r="Z5" s="347"/>
      <c r="AC5" s="478" t="s">
        <v>408</v>
      </c>
      <c r="AD5" s="352"/>
      <c r="AE5" s="479"/>
      <c r="AF5" s="352"/>
      <c r="AG5" s="352"/>
      <c r="AH5" s="352"/>
      <c r="AI5" s="480" t="s">
        <v>405</v>
      </c>
      <c r="AJ5" s="352"/>
      <c r="AK5" s="453">
        <f>AD9+AD28+AD46+AL9</f>
        <v>1061.8362936999997</v>
      </c>
    </row>
    <row r="6" spans="1:53" s="346" customFormat="1" ht="30" customHeight="1" thickBot="1" x14ac:dyDescent="0.45">
      <c r="A6" s="477"/>
      <c r="C6" s="347"/>
      <c r="D6" s="672" t="s">
        <v>409</v>
      </c>
      <c r="E6" s="673"/>
      <c r="F6" s="674"/>
      <c r="G6" s="355"/>
      <c r="H6" s="356"/>
      <c r="I6" s="357"/>
      <c r="J6" s="477"/>
      <c r="K6" s="672" t="s">
        <v>410</v>
      </c>
      <c r="L6" s="673"/>
      <c r="M6" s="674"/>
      <c r="N6" s="358"/>
      <c r="O6" s="356"/>
      <c r="P6" s="357"/>
      <c r="R6" s="672" t="s">
        <v>504</v>
      </c>
      <c r="S6" s="673"/>
      <c r="T6" s="674"/>
      <c r="U6" s="358"/>
      <c r="V6" s="356"/>
      <c r="W6" s="357"/>
      <c r="Z6" s="347"/>
      <c r="AC6" s="672" t="s">
        <v>412</v>
      </c>
      <c r="AD6" s="673"/>
      <c r="AE6" s="674"/>
      <c r="AF6" s="481"/>
      <c r="AG6" s="359"/>
      <c r="AH6" s="360"/>
    </row>
    <row r="7" spans="1:53" s="346" customFormat="1" ht="13.3" thickBot="1" x14ac:dyDescent="0.45">
      <c r="A7" s="477"/>
      <c r="C7" s="347"/>
      <c r="E7" s="361"/>
      <c r="F7" s="362"/>
      <c r="G7" s="363"/>
      <c r="H7" s="361"/>
      <c r="J7" s="477"/>
      <c r="L7" s="364"/>
      <c r="M7" s="365"/>
      <c r="S7" s="364"/>
      <c r="T7" s="365"/>
      <c r="Z7" s="347"/>
      <c r="AC7" s="366"/>
      <c r="AE7" s="365"/>
      <c r="AF7" s="477"/>
      <c r="AH7" s="347"/>
    </row>
    <row r="8" spans="1:53" s="346" customFormat="1" ht="30" customHeight="1" thickBot="1" x14ac:dyDescent="0.45">
      <c r="A8" s="477"/>
      <c r="C8" s="347"/>
      <c r="D8" s="367"/>
      <c r="G8" s="347"/>
      <c r="H8" s="368"/>
      <c r="J8" s="477"/>
      <c r="L8" s="347"/>
      <c r="M8" s="369"/>
      <c r="S8" s="347"/>
      <c r="T8" s="369"/>
      <c r="Y8" s="675" t="s">
        <v>503</v>
      </c>
      <c r="Z8" s="676"/>
      <c r="AA8" s="676"/>
      <c r="AB8" s="676"/>
      <c r="AC8" s="676"/>
      <c r="AD8" s="677"/>
      <c r="AE8" s="448"/>
      <c r="AF8" s="482"/>
      <c r="AG8" s="675" t="s">
        <v>414</v>
      </c>
      <c r="AH8" s="676"/>
      <c r="AI8" s="676"/>
      <c r="AJ8" s="676"/>
      <c r="AK8" s="676"/>
      <c r="AL8" s="677"/>
    </row>
    <row r="9" spans="1:53" s="346" customFormat="1" ht="30" customHeight="1" thickBot="1" x14ac:dyDescent="0.45">
      <c r="A9" s="477"/>
      <c r="C9" s="347"/>
      <c r="D9" s="683" t="s">
        <v>415</v>
      </c>
      <c r="E9" s="684"/>
      <c r="G9" s="347"/>
      <c r="H9" s="685" t="s">
        <v>416</v>
      </c>
      <c r="I9" s="686"/>
      <c r="J9" s="477"/>
      <c r="L9" s="347"/>
      <c r="M9" s="369"/>
      <c r="S9" s="347"/>
      <c r="T9" s="369"/>
      <c r="Y9" s="672" t="s">
        <v>417</v>
      </c>
      <c r="Z9" s="673"/>
      <c r="AA9" s="674"/>
      <c r="AB9" s="352" t="s">
        <v>405</v>
      </c>
      <c r="AC9" s="352"/>
      <c r="AD9" s="452">
        <f>+Z17+Z24</f>
        <v>63.090548759999997</v>
      </c>
      <c r="AE9" s="450"/>
      <c r="AF9" s="483"/>
      <c r="AG9" s="348" t="s">
        <v>418</v>
      </c>
      <c r="AH9" s="354"/>
      <c r="AI9" s="350"/>
      <c r="AJ9" s="352" t="s">
        <v>405</v>
      </c>
      <c r="AK9" s="352"/>
      <c r="AL9" s="452">
        <f>+AH17+AH24+AH31+AH38+AH45+AH52+AH59</f>
        <v>717.26252254999986</v>
      </c>
    </row>
    <row r="10" spans="1:53" s="346" customFormat="1" ht="15" thickBot="1" x14ac:dyDescent="0.45">
      <c r="A10" s="477"/>
      <c r="C10" s="347"/>
      <c r="D10" s="365"/>
      <c r="E10" s="477"/>
      <c r="G10" s="347"/>
      <c r="H10" s="365"/>
      <c r="J10" s="477"/>
      <c r="L10" s="347"/>
      <c r="M10" s="369"/>
      <c r="R10" s="374" t="s">
        <v>419</v>
      </c>
      <c r="S10" s="347"/>
      <c r="T10" s="369"/>
      <c r="Z10" s="347"/>
      <c r="AA10" s="369"/>
      <c r="AE10" s="369"/>
      <c r="AF10" s="477"/>
      <c r="AG10" s="672" t="s">
        <v>420</v>
      </c>
      <c r="AH10" s="673"/>
      <c r="AI10" s="674"/>
      <c r="AJ10" s="375"/>
      <c r="AK10" s="375"/>
      <c r="AL10" s="376"/>
    </row>
    <row r="11" spans="1:53" s="346" customFormat="1" ht="30" customHeight="1" x14ac:dyDescent="0.4">
      <c r="A11" s="477"/>
      <c r="B11" s="377" t="s">
        <v>421</v>
      </c>
      <c r="C11" s="378" t="s">
        <v>112</v>
      </c>
      <c r="D11" s="370"/>
      <c r="E11" s="477"/>
      <c r="F11" s="379" t="s">
        <v>421</v>
      </c>
      <c r="G11" s="380" t="s">
        <v>99</v>
      </c>
      <c r="H11" s="370"/>
      <c r="J11" s="477"/>
      <c r="K11" s="381" t="s">
        <v>421</v>
      </c>
      <c r="L11" s="382" t="s">
        <v>108</v>
      </c>
      <c r="M11" s="370"/>
      <c r="R11" s="379" t="s">
        <v>421</v>
      </c>
      <c r="S11" s="380" t="s">
        <v>102</v>
      </c>
      <c r="T11" s="370"/>
      <c r="Z11" s="347"/>
      <c r="AA11" s="369"/>
      <c r="AE11" s="369"/>
      <c r="AF11" s="477"/>
      <c r="AH11" s="347"/>
      <c r="AI11" s="365"/>
    </row>
    <row r="12" spans="1:53" s="346" customFormat="1" ht="30" customHeight="1" thickBot="1" x14ac:dyDescent="0.45">
      <c r="A12" s="477"/>
      <c r="B12" s="385" t="s">
        <v>470</v>
      </c>
      <c r="C12" s="386" t="s">
        <v>472</v>
      </c>
      <c r="D12" s="369"/>
      <c r="E12" s="477"/>
      <c r="F12" s="387" t="s">
        <v>470</v>
      </c>
      <c r="G12" s="388" t="s">
        <v>480</v>
      </c>
      <c r="H12" s="369"/>
      <c r="J12" s="477"/>
      <c r="K12" s="389" t="s">
        <v>470</v>
      </c>
      <c r="L12" s="390" t="s">
        <v>486</v>
      </c>
      <c r="M12" s="369"/>
      <c r="R12" s="387" t="s">
        <v>470</v>
      </c>
      <c r="S12" s="388" t="s">
        <v>482</v>
      </c>
      <c r="T12" s="369"/>
      <c r="Z12" s="347"/>
      <c r="AA12" s="369"/>
      <c r="AE12" s="369"/>
      <c r="AF12" s="477"/>
      <c r="AH12" s="347"/>
      <c r="AI12" s="369"/>
    </row>
    <row r="13" spans="1:53" s="346" customFormat="1" ht="30" customHeight="1" x14ac:dyDescent="0.4">
      <c r="A13" s="477"/>
      <c r="B13" s="385" t="s">
        <v>422</v>
      </c>
      <c r="C13" s="386" t="s">
        <v>111</v>
      </c>
      <c r="D13" s="369"/>
      <c r="E13" s="477"/>
      <c r="F13" s="387" t="s">
        <v>422</v>
      </c>
      <c r="G13" s="388" t="s">
        <v>98</v>
      </c>
      <c r="H13" s="369"/>
      <c r="J13" s="477"/>
      <c r="K13" s="389" t="s">
        <v>422</v>
      </c>
      <c r="L13" s="390" t="s">
        <v>13</v>
      </c>
      <c r="M13" s="369"/>
      <c r="R13" s="387" t="s">
        <v>422</v>
      </c>
      <c r="S13" s="388" t="s">
        <v>101</v>
      </c>
      <c r="T13" s="369"/>
      <c r="Y13" s="404" t="s">
        <v>421</v>
      </c>
      <c r="Z13" s="405" t="s">
        <v>313</v>
      </c>
      <c r="AA13" s="370"/>
      <c r="AE13" s="369"/>
      <c r="AF13" s="477"/>
      <c r="AG13" s="383" t="s">
        <v>421</v>
      </c>
      <c r="AH13" s="384" t="s">
        <v>116</v>
      </c>
      <c r="AI13" s="362"/>
    </row>
    <row r="14" spans="1:53" s="346" customFormat="1" ht="30" customHeight="1" x14ac:dyDescent="0.4">
      <c r="A14" s="477"/>
      <c r="B14" s="394" t="s">
        <v>423</v>
      </c>
      <c r="C14" s="386" t="s">
        <v>424</v>
      </c>
      <c r="D14" s="369"/>
      <c r="E14" s="477"/>
      <c r="F14" s="395" t="s">
        <v>425</v>
      </c>
      <c r="G14" s="388" t="s">
        <v>426</v>
      </c>
      <c r="H14" s="369"/>
      <c r="J14" s="477"/>
      <c r="K14" s="389" t="s">
        <v>425</v>
      </c>
      <c r="L14" s="390" t="s">
        <v>427</v>
      </c>
      <c r="M14" s="369"/>
      <c r="R14" s="387" t="s">
        <v>425</v>
      </c>
      <c r="S14" s="388" t="s">
        <v>428</v>
      </c>
      <c r="T14" s="369"/>
      <c r="Y14" s="406" t="s">
        <v>470</v>
      </c>
      <c r="Z14" s="407" t="s">
        <v>481</v>
      </c>
      <c r="AA14" s="369"/>
      <c r="AE14" s="369"/>
      <c r="AF14" s="477"/>
      <c r="AG14" s="391" t="s">
        <v>470</v>
      </c>
      <c r="AH14" s="392" t="s">
        <v>479</v>
      </c>
      <c r="AI14" s="430"/>
    </row>
    <row r="15" spans="1:53" s="346" customFormat="1" ht="30" customHeight="1" thickBot="1" x14ac:dyDescent="0.45">
      <c r="A15" s="477"/>
      <c r="B15" s="396" t="s">
        <v>430</v>
      </c>
      <c r="C15" s="397">
        <f>VLOOKUP(C13,'5a)NDA MPPR'!$B$9:$AK$61,21,FALSE)</f>
        <v>1466.5527000100001</v>
      </c>
      <c r="D15" s="369"/>
      <c r="E15" s="477"/>
      <c r="F15" s="398" t="s">
        <v>430</v>
      </c>
      <c r="G15" s="399">
        <f>VLOOKUP(G13,'5a)NDA MPPR'!$B$9:$AK$61,21,FALSE)</f>
        <v>1445.0750578699999</v>
      </c>
      <c r="H15" s="369"/>
      <c r="J15" s="477"/>
      <c r="K15" s="400" t="s">
        <v>430</v>
      </c>
      <c r="L15" s="401">
        <f>VLOOKUP(L13,'5a)NDA MPPR'!$B$9:$AK$61,21,FALSE)</f>
        <v>148.9014076</v>
      </c>
      <c r="M15" s="369"/>
      <c r="R15" s="398" t="s">
        <v>430</v>
      </c>
      <c r="S15" s="399">
        <f>VLOOKUP(S13,'5a)NDA MPPR'!$B$9:$AK$61,21,FALSE)</f>
        <v>458.24395555000001</v>
      </c>
      <c r="T15" s="369"/>
      <c r="Y15" s="406" t="s">
        <v>422</v>
      </c>
      <c r="Z15" s="407" t="s">
        <v>329</v>
      </c>
      <c r="AA15" s="369"/>
      <c r="AE15" s="369"/>
      <c r="AF15" s="477"/>
      <c r="AG15" s="391" t="s">
        <v>422</v>
      </c>
      <c r="AH15" s="392" t="s">
        <v>115</v>
      </c>
      <c r="AI15" s="369"/>
    </row>
    <row r="16" spans="1:53" s="346" customFormat="1" ht="30" customHeight="1" thickBot="1" x14ac:dyDescent="0.45">
      <c r="A16" s="477"/>
      <c r="C16" s="347"/>
      <c r="D16" s="369"/>
      <c r="E16" s="477"/>
      <c r="G16" s="347"/>
      <c r="H16" s="369"/>
      <c r="J16" s="477"/>
      <c r="L16" s="347"/>
      <c r="M16" s="369"/>
      <c r="S16" s="347"/>
      <c r="U16" s="393"/>
      <c r="Y16" s="406" t="s">
        <v>425</v>
      </c>
      <c r="Z16" s="407" t="s">
        <v>433</v>
      </c>
      <c r="AA16" s="369"/>
      <c r="AE16" s="369"/>
      <c r="AF16" s="477"/>
      <c r="AG16" s="391" t="s">
        <v>423</v>
      </c>
      <c r="AH16" s="392" t="s">
        <v>429</v>
      </c>
      <c r="AI16" s="369"/>
    </row>
    <row r="17" spans="1:36" s="346" customFormat="1" ht="30" customHeight="1" thickBot="1" x14ac:dyDescent="0.45">
      <c r="A17" s="477"/>
      <c r="B17" s="377" t="s">
        <v>421</v>
      </c>
      <c r="C17" s="378" t="s">
        <v>114</v>
      </c>
      <c r="D17" s="370"/>
      <c r="E17" s="477"/>
      <c r="F17" s="383" t="s">
        <v>421</v>
      </c>
      <c r="G17" s="384" t="s">
        <v>123</v>
      </c>
      <c r="H17" s="370"/>
      <c r="J17" s="477"/>
      <c r="K17" s="381" t="s">
        <v>421</v>
      </c>
      <c r="L17" s="382" t="s">
        <v>107</v>
      </c>
      <c r="M17" s="370"/>
      <c r="R17" s="381" t="s">
        <v>421</v>
      </c>
      <c r="S17" s="382" t="s">
        <v>100</v>
      </c>
      <c r="T17" s="370"/>
      <c r="Y17" s="410" t="s">
        <v>430</v>
      </c>
      <c r="Z17" s="411">
        <f>VLOOKUP(Z15,'4b) SL EPO Extended Data Sheet'!$A$5:$AB$176,17,FALSE)/1000000</f>
        <v>23.35629093</v>
      </c>
      <c r="AA17" s="369"/>
      <c r="AE17" s="369"/>
      <c r="AF17" s="477"/>
      <c r="AG17" s="402" t="s">
        <v>430</v>
      </c>
      <c r="AH17" s="403">
        <f>VLOOKUP(AH15,'5a)NDA MPPR'!$B$9:$AK$61,21,FALSE)</f>
        <v>427.81347215</v>
      </c>
      <c r="AI17" s="369"/>
    </row>
    <row r="18" spans="1:36" s="346" customFormat="1" ht="30" customHeight="1" x14ac:dyDescent="0.4">
      <c r="A18" s="477"/>
      <c r="B18" s="385" t="s">
        <v>470</v>
      </c>
      <c r="C18" s="386" t="s">
        <v>473</v>
      </c>
      <c r="D18" s="369"/>
      <c r="E18" s="477"/>
      <c r="F18" s="391" t="s">
        <v>470</v>
      </c>
      <c r="G18" s="392" t="s">
        <v>477</v>
      </c>
      <c r="H18" s="369"/>
      <c r="J18" s="477"/>
      <c r="K18" s="389" t="s">
        <v>470</v>
      </c>
      <c r="L18" s="390" t="s">
        <v>486</v>
      </c>
      <c r="M18" s="369"/>
      <c r="R18" s="389" t="s">
        <v>470</v>
      </c>
      <c r="S18" s="390" t="s">
        <v>480</v>
      </c>
      <c r="T18" s="369"/>
      <c r="Z18" s="347"/>
      <c r="AA18" s="369"/>
      <c r="AE18" s="369"/>
      <c r="AF18" s="477"/>
      <c r="AG18" s="346" t="s">
        <v>414</v>
      </c>
      <c r="AH18" s="347"/>
      <c r="AI18" s="369"/>
    </row>
    <row r="19" spans="1:36" s="346" customFormat="1" ht="30" customHeight="1" thickBot="1" x14ac:dyDescent="0.45">
      <c r="A19" s="477"/>
      <c r="B19" s="385" t="s">
        <v>422</v>
      </c>
      <c r="C19" s="386" t="s">
        <v>113</v>
      </c>
      <c r="D19" s="369"/>
      <c r="E19" s="477"/>
      <c r="F19" s="391" t="s">
        <v>422</v>
      </c>
      <c r="G19" s="392" t="s">
        <v>5</v>
      </c>
      <c r="H19" s="369"/>
      <c r="J19" s="477"/>
      <c r="K19" s="389" t="s">
        <v>422</v>
      </c>
      <c r="L19" s="390" t="s">
        <v>234</v>
      </c>
      <c r="M19" s="369"/>
      <c r="R19" s="389" t="s">
        <v>422</v>
      </c>
      <c r="S19" s="390" t="s">
        <v>7</v>
      </c>
      <c r="T19" s="369"/>
      <c r="Z19" s="347"/>
      <c r="AA19" s="369"/>
      <c r="AE19" s="369"/>
      <c r="AF19" s="477"/>
      <c r="AH19" s="347"/>
      <c r="AI19" s="369"/>
    </row>
    <row r="20" spans="1:36" s="346" customFormat="1" ht="37.5" customHeight="1" x14ac:dyDescent="0.4">
      <c r="A20" s="477"/>
      <c r="B20" s="394" t="s">
        <v>423</v>
      </c>
      <c r="C20" s="386" t="s">
        <v>424</v>
      </c>
      <c r="D20" s="369"/>
      <c r="E20" s="477"/>
      <c r="F20" s="391" t="s">
        <v>425</v>
      </c>
      <c r="G20" s="392" t="s">
        <v>432</v>
      </c>
      <c r="H20" s="369"/>
      <c r="J20" s="477"/>
      <c r="K20" s="389" t="s">
        <v>425</v>
      </c>
      <c r="L20" s="390" t="s">
        <v>427</v>
      </c>
      <c r="M20" s="369"/>
      <c r="R20" s="409" t="s">
        <v>425</v>
      </c>
      <c r="S20" s="390" t="s">
        <v>426</v>
      </c>
      <c r="T20" s="369"/>
      <c r="Y20" s="404" t="s">
        <v>421</v>
      </c>
      <c r="Z20" s="405" t="s">
        <v>347</v>
      </c>
      <c r="AA20" s="370"/>
      <c r="AE20" s="369"/>
      <c r="AF20" s="477"/>
      <c r="AG20" s="383" t="s">
        <v>421</v>
      </c>
      <c r="AH20" s="384" t="s">
        <v>361</v>
      </c>
      <c r="AI20" s="362"/>
    </row>
    <row r="21" spans="1:36" s="346" customFormat="1" ht="30" customHeight="1" thickBot="1" x14ac:dyDescent="0.45">
      <c r="A21" s="477"/>
      <c r="B21" s="396" t="s">
        <v>430</v>
      </c>
      <c r="C21" s="397">
        <f>VLOOKUP(C19,'5a)NDA MPPR'!$B$9:$AK$61,21,FALSE)</f>
        <v>1120.8756530999999</v>
      </c>
      <c r="D21" s="369"/>
      <c r="E21" s="477"/>
      <c r="F21" s="402" t="s">
        <v>430</v>
      </c>
      <c r="G21" s="403">
        <f>VLOOKUP(G19,'5a)NDA MPPR'!$B$9:$AK$61,21,FALSE)</f>
        <v>315.08360672000003</v>
      </c>
      <c r="H21" s="369"/>
      <c r="J21" s="477"/>
      <c r="K21" s="400" t="s">
        <v>430</v>
      </c>
      <c r="L21" s="401">
        <f>VLOOKUP(L19,'5a)NDA MPPR'!$B$9:$AK$61,21,FALSE)</f>
        <v>87.561964900000007</v>
      </c>
      <c r="M21" s="369"/>
      <c r="R21" s="400" t="s">
        <v>430</v>
      </c>
      <c r="S21" s="401">
        <f>VLOOKUP(S19,'5a)NDA MPPR'!$B$9:$AK$61,21,FALSE)</f>
        <v>887.19569248000005</v>
      </c>
      <c r="T21" s="369"/>
      <c r="Y21" s="406" t="s">
        <v>470</v>
      </c>
      <c r="Z21" s="407" t="s">
        <v>478</v>
      </c>
      <c r="AA21" s="594"/>
      <c r="AB21" s="594"/>
      <c r="AE21" s="369"/>
      <c r="AF21" s="477" t="s">
        <v>467</v>
      </c>
      <c r="AG21" s="391" t="s">
        <v>470</v>
      </c>
      <c r="AH21" s="392" t="s">
        <v>478</v>
      </c>
      <c r="AI21" s="369"/>
    </row>
    <row r="22" spans="1:36" s="346" customFormat="1" ht="30" customHeight="1" thickBot="1" x14ac:dyDescent="0.45">
      <c r="A22" s="477"/>
      <c r="C22" s="347"/>
      <c r="D22" s="369"/>
      <c r="E22" s="477"/>
      <c r="G22" s="347"/>
      <c r="H22" s="369"/>
      <c r="J22" s="477"/>
      <c r="L22" s="347"/>
      <c r="M22" s="369"/>
      <c r="S22" s="347"/>
      <c r="T22" s="369"/>
      <c r="Y22" s="406" t="s">
        <v>422</v>
      </c>
      <c r="Z22" s="407" t="s">
        <v>348</v>
      </c>
      <c r="AA22" s="594"/>
      <c r="AB22" s="594"/>
      <c r="AE22" s="369"/>
      <c r="AF22" s="477"/>
      <c r="AG22" s="391" t="s">
        <v>422</v>
      </c>
      <c r="AH22" s="597" t="s">
        <v>362</v>
      </c>
      <c r="AI22" s="369"/>
    </row>
    <row r="23" spans="1:36" s="346" customFormat="1" ht="30" customHeight="1" x14ac:dyDescent="0.4">
      <c r="A23" s="477"/>
      <c r="B23" s="377" t="s">
        <v>421</v>
      </c>
      <c r="C23" s="378" t="s">
        <v>97</v>
      </c>
      <c r="D23" s="370"/>
      <c r="E23" s="477"/>
      <c r="F23" s="381" t="s">
        <v>421</v>
      </c>
      <c r="G23" s="382" t="s">
        <v>120</v>
      </c>
      <c r="H23" s="370"/>
      <c r="J23" s="477"/>
      <c r="K23" s="381" t="s">
        <v>421</v>
      </c>
      <c r="L23" s="382" t="s">
        <v>302</v>
      </c>
      <c r="M23" s="370"/>
      <c r="R23" s="381" t="s">
        <v>421</v>
      </c>
      <c r="S23" s="382" t="s">
        <v>312</v>
      </c>
      <c r="T23" s="370"/>
      <c r="Y23" s="406" t="s">
        <v>425</v>
      </c>
      <c r="Z23" s="407" t="s">
        <v>435</v>
      </c>
      <c r="AA23" s="594"/>
      <c r="AB23" s="594"/>
      <c r="AE23" s="369"/>
      <c r="AF23" s="477"/>
      <c r="AG23" s="391" t="s">
        <v>425</v>
      </c>
      <c r="AH23" s="392" t="s">
        <v>431</v>
      </c>
      <c r="AI23" s="369"/>
    </row>
    <row r="24" spans="1:36" s="346" customFormat="1" ht="30" customHeight="1" thickBot="1" x14ac:dyDescent="0.45">
      <c r="A24" s="477"/>
      <c r="B24" s="385" t="s">
        <v>470</v>
      </c>
      <c r="C24" s="386" t="s">
        <v>485</v>
      </c>
      <c r="D24" s="369"/>
      <c r="E24" s="477"/>
      <c r="F24" s="389" t="s">
        <v>470</v>
      </c>
      <c r="G24" s="390" t="s">
        <v>477</v>
      </c>
      <c r="H24" s="369"/>
      <c r="J24" s="477"/>
      <c r="K24" s="389" t="s">
        <v>470</v>
      </c>
      <c r="L24" s="390" t="s">
        <v>486</v>
      </c>
      <c r="M24" s="369"/>
      <c r="R24" s="389" t="s">
        <v>470</v>
      </c>
      <c r="S24" s="390" t="s">
        <v>480</v>
      </c>
      <c r="T24" s="369"/>
      <c r="Y24" s="410" t="s">
        <v>430</v>
      </c>
      <c r="Z24" s="411">
        <f>VLOOKUP(Z22,'4b) SL EPO Extended Data Sheet'!$A$5:$AB$176,17,FALSE)/1000000</f>
        <v>39.734257829999997</v>
      </c>
      <c r="AA24" s="594"/>
      <c r="AB24" s="594"/>
      <c r="AE24" s="369"/>
      <c r="AF24" s="477"/>
      <c r="AG24" s="402" t="s">
        <v>430</v>
      </c>
      <c r="AH24" s="403">
        <f>VLOOKUP(AH22,'4b) SL EPO Extended Data Sheet'!$A$5:$AB$176,17,FALSE)/1000000</f>
        <v>32.000670419999999</v>
      </c>
      <c r="AI24" s="369"/>
    </row>
    <row r="25" spans="1:36" s="346" customFormat="1" ht="30" customHeight="1" x14ac:dyDescent="0.4">
      <c r="A25" s="477"/>
      <c r="B25" s="385" t="s">
        <v>422</v>
      </c>
      <c r="C25" s="386" t="s">
        <v>96</v>
      </c>
      <c r="D25" s="369"/>
      <c r="E25" s="477"/>
      <c r="F25" s="389" t="s">
        <v>422</v>
      </c>
      <c r="G25" s="390" t="s">
        <v>119</v>
      </c>
      <c r="H25" s="369"/>
      <c r="J25" s="477"/>
      <c r="K25" s="389" t="s">
        <v>422</v>
      </c>
      <c r="L25" s="390" t="s">
        <v>307</v>
      </c>
      <c r="M25" s="369"/>
      <c r="R25" s="389" t="s">
        <v>422</v>
      </c>
      <c r="S25" s="390" t="s">
        <v>316</v>
      </c>
      <c r="T25" s="369"/>
      <c r="Z25" s="347"/>
      <c r="AA25" s="594"/>
      <c r="AB25" s="594"/>
      <c r="AE25" s="369"/>
      <c r="AF25" s="477"/>
      <c r="AG25" s="346" t="s">
        <v>436</v>
      </c>
      <c r="AH25" s="347"/>
      <c r="AI25" s="369"/>
    </row>
    <row r="26" spans="1:36" s="346" customFormat="1" ht="30" customHeight="1" thickBot="1" x14ac:dyDescent="0.45">
      <c r="A26" s="477"/>
      <c r="B26" s="385" t="s">
        <v>423</v>
      </c>
      <c r="C26" s="386" t="s">
        <v>438</v>
      </c>
      <c r="D26" s="369"/>
      <c r="E26" s="477"/>
      <c r="F26" s="389" t="s">
        <v>425</v>
      </c>
      <c r="G26" s="390" t="s">
        <v>432</v>
      </c>
      <c r="H26" s="369"/>
      <c r="J26" s="477"/>
      <c r="K26" s="389" t="s">
        <v>425</v>
      </c>
      <c r="L26" s="390" t="s">
        <v>427</v>
      </c>
      <c r="M26" s="369"/>
      <c r="R26" s="389" t="s">
        <v>425</v>
      </c>
      <c r="S26" s="390" t="s">
        <v>426</v>
      </c>
      <c r="T26" s="369"/>
      <c r="Z26" s="347"/>
      <c r="AA26" s="594"/>
      <c r="AB26" s="594"/>
      <c r="AE26" s="369"/>
      <c r="AF26" s="477"/>
      <c r="AH26" s="347"/>
      <c r="AI26" s="369"/>
    </row>
    <row r="27" spans="1:36" s="346" customFormat="1" ht="30" customHeight="1" thickBot="1" x14ac:dyDescent="0.45">
      <c r="A27" s="477"/>
      <c r="B27" s="396" t="s">
        <v>430</v>
      </c>
      <c r="C27" s="397">
        <f>VLOOKUP(C25,'5a)NDA MPPR'!$B$9:$AK$61,21,FALSE)</f>
        <v>749.16802775999997</v>
      </c>
      <c r="D27" s="369"/>
      <c r="E27" s="477"/>
      <c r="F27" s="400" t="s">
        <v>430</v>
      </c>
      <c r="G27" s="401">
        <f>VLOOKUP(G25,'5a)NDA MPPR'!$B$9:$AK$61,21,FALSE)</f>
        <v>71.07906328</v>
      </c>
      <c r="H27" s="369"/>
      <c r="J27" s="477"/>
      <c r="K27" s="400" t="s">
        <v>430</v>
      </c>
      <c r="L27" s="401">
        <f>VLOOKUP(L25,'5a)NDA MPPR'!$B$9:$AK$61,21,FALSE)</f>
        <v>53.218374470000001</v>
      </c>
      <c r="M27" s="369"/>
      <c r="R27" s="400" t="s">
        <v>430</v>
      </c>
      <c r="S27" s="401">
        <f>VLOOKUP(S25,'4b) SL EPO Extended Data Sheet'!$A$5:$AB$176,17,FALSE)/1000000</f>
        <v>101.98065956000001</v>
      </c>
      <c r="T27" s="369"/>
      <c r="Y27" s="672" t="s">
        <v>447</v>
      </c>
      <c r="Z27" s="673"/>
      <c r="AA27" s="673"/>
      <c r="AB27" s="673"/>
      <c r="AC27" s="673"/>
      <c r="AD27" s="674"/>
      <c r="AE27" s="370"/>
      <c r="AF27" s="477"/>
      <c r="AG27" s="404" t="s">
        <v>421</v>
      </c>
      <c r="AH27" s="405" t="s">
        <v>341</v>
      </c>
      <c r="AI27" s="362"/>
      <c r="AJ27" s="393"/>
    </row>
    <row r="28" spans="1:36" s="346" customFormat="1" ht="30" customHeight="1" thickBot="1" x14ac:dyDescent="0.45">
      <c r="A28" s="477"/>
      <c r="C28" s="347"/>
      <c r="D28" s="369"/>
      <c r="E28" s="477"/>
      <c r="G28" s="347"/>
      <c r="H28" s="369"/>
      <c r="J28" s="477"/>
      <c r="L28" s="347"/>
      <c r="M28" s="369"/>
      <c r="S28" s="347"/>
      <c r="T28" s="369"/>
      <c r="Y28" s="348" t="s">
        <v>448</v>
      </c>
      <c r="Z28" s="372"/>
      <c r="AA28" s="373"/>
      <c r="AB28" s="352" t="s">
        <v>405</v>
      </c>
      <c r="AC28" s="371"/>
      <c r="AD28" s="452">
        <f>Z35+Z42</f>
        <v>122.47096683999999</v>
      </c>
      <c r="AE28" s="369"/>
      <c r="AF28" s="477"/>
      <c r="AG28" s="406" t="s">
        <v>470</v>
      </c>
      <c r="AH28" s="407" t="s">
        <v>475</v>
      </c>
      <c r="AI28" s="369"/>
      <c r="AJ28" s="393"/>
    </row>
    <row r="29" spans="1:36" s="346" customFormat="1" ht="30" customHeight="1" x14ac:dyDescent="0.4">
      <c r="A29" s="477"/>
      <c r="B29" s="377" t="s">
        <v>421</v>
      </c>
      <c r="C29" s="378" t="s">
        <v>110</v>
      </c>
      <c r="D29" s="370"/>
      <c r="E29" s="477"/>
      <c r="F29" s="413" t="s">
        <v>421</v>
      </c>
      <c r="G29" s="414" t="s">
        <v>122</v>
      </c>
      <c r="H29" s="370"/>
      <c r="J29" s="477"/>
      <c r="K29" s="381" t="s">
        <v>421</v>
      </c>
      <c r="L29" s="382" t="s">
        <v>171</v>
      </c>
      <c r="M29" s="370"/>
      <c r="R29" s="381" t="s">
        <v>421</v>
      </c>
      <c r="S29" s="382" t="s">
        <v>104</v>
      </c>
      <c r="T29" s="370"/>
      <c r="Y29" s="595"/>
      <c r="Z29" s="596"/>
      <c r="AA29" s="430"/>
      <c r="AE29" s="369"/>
      <c r="AF29" s="477"/>
      <c r="AG29" s="406" t="s">
        <v>422</v>
      </c>
      <c r="AH29" s="407" t="s">
        <v>342</v>
      </c>
      <c r="AI29" s="369"/>
      <c r="AJ29" s="393"/>
    </row>
    <row r="30" spans="1:36" s="346" customFormat="1" ht="30" customHeight="1" thickBot="1" x14ac:dyDescent="0.45">
      <c r="A30" s="477"/>
      <c r="B30" s="385" t="s">
        <v>470</v>
      </c>
      <c r="C30" s="386" t="s">
        <v>474</v>
      </c>
      <c r="D30" s="369"/>
      <c r="E30" s="477"/>
      <c r="F30" s="415" t="s">
        <v>470</v>
      </c>
      <c r="G30" s="416" t="s">
        <v>477</v>
      </c>
      <c r="H30" s="594"/>
      <c r="J30" s="477"/>
      <c r="K30" s="389" t="s">
        <v>470</v>
      </c>
      <c r="L30" s="390" t="s">
        <v>486</v>
      </c>
      <c r="M30" s="594"/>
      <c r="R30" s="389" t="s">
        <v>470</v>
      </c>
      <c r="S30" s="390" t="s">
        <v>482</v>
      </c>
      <c r="T30" s="369"/>
      <c r="Z30" s="347"/>
      <c r="AA30" s="369"/>
      <c r="AE30" s="369"/>
      <c r="AF30" s="477"/>
      <c r="AG30" s="406" t="s">
        <v>423</v>
      </c>
      <c r="AH30" s="407" t="s">
        <v>429</v>
      </c>
      <c r="AI30" s="369"/>
      <c r="AJ30" s="393"/>
    </row>
    <row r="31" spans="1:36" s="346" customFormat="1" ht="30" customHeight="1" thickBot="1" x14ac:dyDescent="0.45">
      <c r="A31" s="477"/>
      <c r="B31" s="385" t="s">
        <v>422</v>
      </c>
      <c r="C31" s="386" t="s">
        <v>109</v>
      </c>
      <c r="D31" s="369"/>
      <c r="E31" s="477"/>
      <c r="F31" s="415" t="s">
        <v>422</v>
      </c>
      <c r="G31" s="416" t="s">
        <v>121</v>
      </c>
      <c r="J31" s="477"/>
      <c r="K31" s="389" t="s">
        <v>422</v>
      </c>
      <c r="L31" s="390" t="s">
        <v>306</v>
      </c>
      <c r="R31" s="389" t="s">
        <v>422</v>
      </c>
      <c r="S31" s="390" t="s">
        <v>103</v>
      </c>
      <c r="T31" s="369"/>
      <c r="Y31" s="404" t="s">
        <v>421</v>
      </c>
      <c r="Z31" s="405" t="s">
        <v>343</v>
      </c>
      <c r="AA31" s="370"/>
      <c r="AE31" s="369"/>
      <c r="AF31" s="477" t="s">
        <v>467</v>
      </c>
      <c r="AG31" s="410" t="s">
        <v>430</v>
      </c>
      <c r="AH31" s="411">
        <f>VLOOKUP(AH29,'4b) SL EPO Extended Data Sheet'!$A$5:$AB$176,17,FALSE)/1000000</f>
        <v>82.916699319999992</v>
      </c>
      <c r="AI31" s="369"/>
      <c r="AJ31" s="393"/>
    </row>
    <row r="32" spans="1:36" s="346" customFormat="1" ht="30" customHeight="1" x14ac:dyDescent="0.4">
      <c r="A32" s="477"/>
      <c r="B32" s="385" t="s">
        <v>423</v>
      </c>
      <c r="C32" s="386" t="s">
        <v>438</v>
      </c>
      <c r="D32" s="369"/>
      <c r="E32" s="477"/>
      <c r="F32" s="415" t="s">
        <v>425</v>
      </c>
      <c r="G32" s="416" t="s">
        <v>432</v>
      </c>
      <c r="J32" s="477"/>
      <c r="K32" s="389" t="s">
        <v>425</v>
      </c>
      <c r="L32" s="390" t="s">
        <v>424</v>
      </c>
      <c r="R32" s="389" t="s">
        <v>425</v>
      </c>
      <c r="S32" s="390" t="s">
        <v>428</v>
      </c>
      <c r="T32" s="369"/>
      <c r="Y32" s="406" t="s">
        <v>470</v>
      </c>
      <c r="Z32" s="407" t="s">
        <v>472</v>
      </c>
      <c r="AA32" s="430"/>
      <c r="AE32" s="369"/>
      <c r="AF32" s="477" t="s">
        <v>467</v>
      </c>
      <c r="AI32" s="369"/>
    </row>
    <row r="33" spans="1:43" s="346" customFormat="1" ht="30" customHeight="1" thickBot="1" x14ac:dyDescent="0.45">
      <c r="A33" s="477"/>
      <c r="B33" s="396" t="s">
        <v>430</v>
      </c>
      <c r="C33" s="397">
        <f>VLOOKUP(C31,'4b) SL EPO Extended Data Sheet'!$A$5:$AB$176,17,FALSE)/1000000</f>
        <v>157.94101037999999</v>
      </c>
      <c r="D33" s="369"/>
      <c r="E33" s="477"/>
      <c r="F33" s="417" t="s">
        <v>430</v>
      </c>
      <c r="G33" s="418">
        <f>VLOOKUP(G31,'5a)NDA MPPR'!$B$9:$AK$61,21,FALSE)</f>
        <v>18.769073489999997</v>
      </c>
      <c r="J33" s="477"/>
      <c r="K33" s="400" t="s">
        <v>430</v>
      </c>
      <c r="L33" s="401">
        <f>VLOOKUP(L31,'4b) SL EPO Extended Data Sheet'!$A$5:$AB$176,17,FALSE)/1000000</f>
        <v>38.41624874</v>
      </c>
      <c r="R33" s="400" t="s">
        <v>430</v>
      </c>
      <c r="S33" s="401">
        <f>VLOOKUP(S31,'5a)NDA MPPR'!$B$9:$AK$61,21,FALSE)</f>
        <v>72.459951750000002</v>
      </c>
      <c r="T33" s="369"/>
      <c r="Y33" s="406" t="s">
        <v>422</v>
      </c>
      <c r="Z33" s="407" t="s">
        <v>344</v>
      </c>
      <c r="AA33" s="369"/>
      <c r="AE33" s="369"/>
      <c r="AF33" s="477"/>
      <c r="AI33" s="369"/>
    </row>
    <row r="34" spans="1:43" s="346" customFormat="1" ht="30" customHeight="1" thickBot="1" x14ac:dyDescent="0.45">
      <c r="A34" s="477"/>
      <c r="C34" s="347"/>
      <c r="D34" s="369"/>
      <c r="E34" s="477"/>
      <c r="F34" s="374" t="s">
        <v>437</v>
      </c>
      <c r="G34" s="347"/>
      <c r="J34" s="477"/>
      <c r="K34" s="374" t="s">
        <v>487</v>
      </c>
      <c r="L34" s="347"/>
      <c r="S34" s="347"/>
      <c r="T34" s="369"/>
      <c r="Y34" s="406" t="s">
        <v>425</v>
      </c>
      <c r="Z34" s="407" t="s">
        <v>451</v>
      </c>
      <c r="AA34" s="369"/>
      <c r="AE34" s="369"/>
      <c r="AF34" s="477"/>
      <c r="AG34" s="383" t="s">
        <v>421</v>
      </c>
      <c r="AH34" s="384" t="s">
        <v>363</v>
      </c>
      <c r="AI34" s="362"/>
    </row>
    <row r="35" spans="1:43" s="346" customFormat="1" ht="30" customHeight="1" thickBot="1" x14ac:dyDescent="0.45">
      <c r="A35" s="477"/>
      <c r="B35" s="377" t="s">
        <v>421</v>
      </c>
      <c r="C35" s="378" t="s">
        <v>339</v>
      </c>
      <c r="D35" s="370"/>
      <c r="E35" s="477"/>
      <c r="G35" s="347"/>
      <c r="J35" s="477"/>
      <c r="R35" s="381" t="s">
        <v>421</v>
      </c>
      <c r="S35" s="382" t="s">
        <v>106</v>
      </c>
      <c r="T35" s="370"/>
      <c r="Y35" s="410" t="s">
        <v>430</v>
      </c>
      <c r="Z35" s="411">
        <f>VLOOKUP(Z33,'4b) SL EPO Extended Data Sheet'!$A$5:$AB$176,17,FALSE)/1000000</f>
        <v>84.193985359999999</v>
      </c>
      <c r="AA35" s="369"/>
      <c r="AE35" s="369"/>
      <c r="AF35" s="477"/>
      <c r="AG35" s="391" t="s">
        <v>470</v>
      </c>
      <c r="AH35" s="392" t="s">
        <v>478</v>
      </c>
      <c r="AI35" s="369"/>
    </row>
    <row r="36" spans="1:43" s="346" customFormat="1" ht="30" customHeight="1" x14ac:dyDescent="0.35">
      <c r="A36" s="477"/>
      <c r="B36" s="385" t="s">
        <v>470</v>
      </c>
      <c r="C36" s="386" t="s">
        <v>483</v>
      </c>
      <c r="D36" s="369"/>
      <c r="E36" s="477"/>
      <c r="G36" s="347"/>
      <c r="J36" s="477"/>
      <c r="R36" s="389" t="s">
        <v>470</v>
      </c>
      <c r="S36" s="390" t="s">
        <v>482</v>
      </c>
      <c r="T36" s="369"/>
      <c r="Y36" s="342"/>
      <c r="Z36" s="444"/>
      <c r="AA36" s="369"/>
      <c r="AE36" s="369"/>
      <c r="AF36" s="477"/>
      <c r="AG36" s="391" t="s">
        <v>422</v>
      </c>
      <c r="AH36" s="597" t="s">
        <v>364</v>
      </c>
      <c r="AI36" s="369"/>
    </row>
    <row r="37" spans="1:43" s="346" customFormat="1" ht="30" customHeight="1" thickBot="1" x14ac:dyDescent="0.45">
      <c r="A37" s="477"/>
      <c r="B37" s="385" t="s">
        <v>422</v>
      </c>
      <c r="C37" s="386" t="s">
        <v>340</v>
      </c>
      <c r="D37" s="369"/>
      <c r="E37" s="477"/>
      <c r="G37" s="347"/>
      <c r="J37" s="477"/>
      <c r="R37" s="389" t="s">
        <v>422</v>
      </c>
      <c r="S37" s="390" t="s">
        <v>105</v>
      </c>
      <c r="T37" s="369"/>
      <c r="Z37" s="408"/>
      <c r="AA37" s="369"/>
      <c r="AE37" s="369"/>
      <c r="AF37" s="477"/>
      <c r="AG37" s="391" t="s">
        <v>425</v>
      </c>
      <c r="AH37" s="392" t="s">
        <v>440</v>
      </c>
      <c r="AI37" s="369"/>
    </row>
    <row r="38" spans="1:43" s="346" customFormat="1" ht="30" customHeight="1" thickBot="1" x14ac:dyDescent="0.45">
      <c r="A38" s="477"/>
      <c r="B38" s="385" t="s">
        <v>425</v>
      </c>
      <c r="C38" s="386" t="s">
        <v>443</v>
      </c>
      <c r="D38" s="369"/>
      <c r="G38" s="347"/>
      <c r="J38" s="477"/>
      <c r="R38" s="389" t="s">
        <v>425</v>
      </c>
      <c r="S38" s="390" t="s">
        <v>428</v>
      </c>
      <c r="T38" s="369"/>
      <c r="Y38" s="404" t="s">
        <v>421</v>
      </c>
      <c r="Z38" s="405" t="s">
        <v>345</v>
      </c>
      <c r="AA38" s="370"/>
      <c r="AB38" s="443"/>
      <c r="AC38" s="443"/>
      <c r="AD38" s="443"/>
      <c r="AE38" s="369"/>
      <c r="AF38" s="477" t="s">
        <v>467</v>
      </c>
      <c r="AG38" s="402" t="s">
        <v>430</v>
      </c>
      <c r="AH38" s="403">
        <f>VLOOKUP(AH36,'4b) SL EPO Extended Data Sheet'!$A$5:$AB$176,17,FALSE)/1000000</f>
        <v>31.203278149999999</v>
      </c>
      <c r="AI38" s="369"/>
    </row>
    <row r="39" spans="1:43" s="346" customFormat="1" ht="30" customHeight="1" thickBot="1" x14ac:dyDescent="0.45">
      <c r="A39" s="477"/>
      <c r="B39" s="396" t="s">
        <v>430</v>
      </c>
      <c r="C39" s="397">
        <f>VLOOKUP(C37,'4b) SL EPO Extended Data Sheet'!$A$5:$AB$176,17,FALSE)/1000000</f>
        <v>341.04334896</v>
      </c>
      <c r="D39" s="369"/>
      <c r="G39" s="347"/>
      <c r="J39" s="477"/>
      <c r="R39" s="400" t="s">
        <v>430</v>
      </c>
      <c r="S39" s="401">
        <f>VLOOKUP(S37,'4b) SL EPO Extended Data Sheet'!$A$5:$AB$176,17,FALSE)/1000000</f>
        <v>36.171780210000001</v>
      </c>
      <c r="T39" s="369"/>
      <c r="Y39" s="406" t="s">
        <v>470</v>
      </c>
      <c r="Z39" s="407" t="s">
        <v>472</v>
      </c>
      <c r="AB39" s="443"/>
      <c r="AC39" s="443"/>
      <c r="AD39" s="443"/>
      <c r="AE39" s="369"/>
      <c r="AF39" s="477"/>
      <c r="AG39" s="346" t="s">
        <v>434</v>
      </c>
      <c r="AH39" s="347"/>
      <c r="AI39" s="369"/>
      <c r="AO39" s="447" t="s">
        <v>439</v>
      </c>
    </row>
    <row r="40" spans="1:43" s="346" customFormat="1" ht="30" customHeight="1" thickBot="1" x14ac:dyDescent="0.45">
      <c r="A40" s="477"/>
      <c r="C40" s="347"/>
      <c r="D40" s="369"/>
      <c r="G40" s="347"/>
      <c r="J40" s="484"/>
      <c r="S40" s="347"/>
      <c r="T40" s="369"/>
      <c r="Y40" s="406" t="s">
        <v>422</v>
      </c>
      <c r="Z40" s="407" t="s">
        <v>346</v>
      </c>
      <c r="AA40" s="443"/>
      <c r="AB40" s="443"/>
      <c r="AC40" s="443"/>
      <c r="AD40" s="443"/>
      <c r="AE40" s="369"/>
      <c r="AF40" s="477"/>
      <c r="AH40" s="347"/>
      <c r="AI40" s="369"/>
    </row>
    <row r="41" spans="1:43" s="346" customFormat="1" ht="30" customHeight="1" thickBot="1" x14ac:dyDescent="0.45">
      <c r="A41" s="477"/>
      <c r="B41" s="377" t="s">
        <v>421</v>
      </c>
      <c r="C41" s="378" t="s">
        <v>172</v>
      </c>
      <c r="D41" s="370"/>
      <c r="G41" s="347"/>
      <c r="J41" s="477"/>
      <c r="R41" s="381" t="s">
        <v>421</v>
      </c>
      <c r="S41" s="382" t="s">
        <v>314</v>
      </c>
      <c r="T41" s="370"/>
      <c r="U41" s="393"/>
      <c r="Y41" s="441" t="s">
        <v>458</v>
      </c>
      <c r="Z41" s="407" t="s">
        <v>459</v>
      </c>
      <c r="AB41" s="443"/>
      <c r="AC41" s="443"/>
      <c r="AD41" s="443"/>
      <c r="AE41" s="369"/>
      <c r="AF41" s="477"/>
      <c r="AG41" s="404" t="s">
        <v>421</v>
      </c>
      <c r="AH41" s="405" t="s">
        <v>370</v>
      </c>
      <c r="AI41" s="370"/>
      <c r="AP41" s="422"/>
      <c r="AQ41" s="346" t="s">
        <v>441</v>
      </c>
    </row>
    <row r="42" spans="1:43" s="346" customFormat="1" ht="30" customHeight="1" thickBot="1" x14ac:dyDescent="0.45">
      <c r="A42" s="477"/>
      <c r="B42" s="385" t="s">
        <v>470</v>
      </c>
      <c r="C42" s="386" t="s">
        <v>475</v>
      </c>
      <c r="D42" s="369"/>
      <c r="G42" s="347"/>
      <c r="J42" s="477"/>
      <c r="R42" s="389" t="s">
        <v>470</v>
      </c>
      <c r="S42" s="390" t="s">
        <v>484</v>
      </c>
      <c r="T42" s="369"/>
      <c r="U42" s="594"/>
      <c r="Y42" s="410" t="s">
        <v>430</v>
      </c>
      <c r="Z42" s="411">
        <f>VLOOKUP(Z40,'4b) SL EPO Extended Data Sheet'!$A$5:$AB$176,17,FALSE)/1000000</f>
        <v>38.276981479999996</v>
      </c>
      <c r="AA42" s="443"/>
      <c r="AB42" s="443"/>
      <c r="AC42" s="443"/>
      <c r="AD42" s="443"/>
      <c r="AE42" s="369"/>
      <c r="AF42" s="477"/>
      <c r="AG42" s="406" t="s">
        <v>470</v>
      </c>
      <c r="AH42" s="407" t="s">
        <v>479</v>
      </c>
      <c r="AI42" s="369"/>
    </row>
    <row r="43" spans="1:43" s="346" customFormat="1" ht="30" customHeight="1" thickBot="1" x14ac:dyDescent="0.4">
      <c r="A43" s="477"/>
      <c r="B43" s="385" t="s">
        <v>422</v>
      </c>
      <c r="C43" s="386" t="s">
        <v>236</v>
      </c>
      <c r="D43" s="369"/>
      <c r="G43" s="347"/>
      <c r="J43" s="477"/>
      <c r="R43" s="389" t="s">
        <v>422</v>
      </c>
      <c r="S43" s="390" t="s">
        <v>317</v>
      </c>
      <c r="T43" s="369"/>
      <c r="Y43" s="342"/>
      <c r="Z43" s="444"/>
      <c r="AE43" s="369"/>
      <c r="AF43" s="477"/>
      <c r="AG43" s="406" t="s">
        <v>422</v>
      </c>
      <c r="AH43" s="407" t="s">
        <v>374</v>
      </c>
      <c r="AI43" s="369"/>
      <c r="AP43" s="423"/>
      <c r="AQ43" s="346" t="s">
        <v>442</v>
      </c>
    </row>
    <row r="44" spans="1:43" s="346" customFormat="1" ht="30" customHeight="1" thickBot="1" x14ac:dyDescent="0.45">
      <c r="A44" s="477"/>
      <c r="B44" s="385" t="s">
        <v>425</v>
      </c>
      <c r="C44" s="386" t="s">
        <v>429</v>
      </c>
      <c r="D44" s="369"/>
      <c r="G44" s="347"/>
      <c r="J44" s="477"/>
      <c r="R44" s="389" t="s">
        <v>425</v>
      </c>
      <c r="S44" s="390" t="s">
        <v>426</v>
      </c>
      <c r="T44" s="421"/>
      <c r="Z44" s="444"/>
      <c r="AE44" s="369"/>
      <c r="AF44" s="477" t="s">
        <v>467</v>
      </c>
      <c r="AG44" s="406" t="s">
        <v>423</v>
      </c>
      <c r="AH44" s="412" t="s">
        <v>429</v>
      </c>
      <c r="AI44" s="369"/>
      <c r="AP44" s="420"/>
    </row>
    <row r="45" spans="1:43" s="346" customFormat="1" ht="30" customHeight="1" thickBot="1" x14ac:dyDescent="0.45">
      <c r="A45" s="477"/>
      <c r="B45" s="396" t="s">
        <v>430</v>
      </c>
      <c r="C45" s="397">
        <f>VLOOKUP(C43,'5a)NDA MPPR'!$B$9:$AK$61,21,FALSE)</f>
        <v>35.500378959999999</v>
      </c>
      <c r="D45" s="369"/>
      <c r="G45" s="347"/>
      <c r="J45" s="477"/>
      <c r="R45" s="400" t="s">
        <v>430</v>
      </c>
      <c r="S45" s="401">
        <f>VLOOKUP(S43,'4b) SL EPO Extended Data Sheet'!$A$5:$AB$176,17,FALSE)/1000000</f>
        <v>20.468821050000003</v>
      </c>
      <c r="U45" s="393"/>
      <c r="Y45" s="473" t="s">
        <v>471</v>
      </c>
      <c r="Z45" s="474"/>
      <c r="AA45" s="592"/>
      <c r="AB45" s="592"/>
      <c r="AC45" s="592"/>
      <c r="AD45" s="593"/>
      <c r="AE45" s="362"/>
      <c r="AF45" s="477"/>
      <c r="AG45" s="410" t="s">
        <v>430</v>
      </c>
      <c r="AH45" s="411">
        <f>VLOOKUP(AH43,'4b) SL EPO Extended Data Sheet'!$A$5:$AB$176,17,FALSE)/1000000</f>
        <v>58.647950659999999</v>
      </c>
      <c r="AI45" s="369"/>
      <c r="AP45" s="424"/>
      <c r="AQ45" s="346" t="s">
        <v>444</v>
      </c>
    </row>
    <row r="46" spans="1:43" s="346" customFormat="1" ht="30" customHeight="1" thickBot="1" x14ac:dyDescent="0.45">
      <c r="A46" s="484"/>
      <c r="C46" s="347"/>
      <c r="D46" s="369"/>
      <c r="G46" s="347"/>
      <c r="J46" s="484"/>
      <c r="L46" s="347"/>
      <c r="S46" s="347"/>
      <c r="T46" s="369"/>
      <c r="Y46" s="348" t="s">
        <v>462</v>
      </c>
      <c r="Z46" s="446"/>
      <c r="AA46" s="373"/>
      <c r="AB46" s="352" t="s">
        <v>405</v>
      </c>
      <c r="AC46" s="371"/>
      <c r="AD46" s="452">
        <f>Z52</f>
        <v>159.01225555000002</v>
      </c>
      <c r="AF46" s="477"/>
      <c r="AH46" s="347"/>
      <c r="AI46" s="369"/>
    </row>
    <row r="47" spans="1:43" s="346" customFormat="1" ht="30" customHeight="1" thickBot="1" x14ac:dyDescent="0.45">
      <c r="A47" s="477"/>
      <c r="B47" s="377" t="s">
        <v>421</v>
      </c>
      <c r="C47" s="378" t="s">
        <v>296</v>
      </c>
      <c r="D47" s="370"/>
      <c r="G47" s="347"/>
      <c r="J47" s="477"/>
      <c r="L47" s="347"/>
      <c r="R47" s="381" t="s">
        <v>421</v>
      </c>
      <c r="S47" s="382" t="s">
        <v>372</v>
      </c>
      <c r="T47" s="370"/>
      <c r="U47" s="393"/>
      <c r="Y47" s="366"/>
      <c r="Z47" s="366"/>
      <c r="AA47" s="365"/>
      <c r="AF47" s="477"/>
      <c r="AH47" s="347"/>
      <c r="AI47" s="369"/>
      <c r="AP47" s="426"/>
      <c r="AQ47" s="346" t="s">
        <v>445</v>
      </c>
    </row>
    <row r="48" spans="1:43" s="346" customFormat="1" ht="30" customHeight="1" thickBot="1" x14ac:dyDescent="0.4">
      <c r="A48" s="477"/>
      <c r="B48" s="385" t="s">
        <v>470</v>
      </c>
      <c r="C48" s="386" t="s">
        <v>473</v>
      </c>
      <c r="E48" s="428"/>
      <c r="G48" s="347"/>
      <c r="J48" s="477"/>
      <c r="L48" s="347"/>
      <c r="R48" s="389" t="s">
        <v>470</v>
      </c>
      <c r="S48" s="390" t="s">
        <v>484</v>
      </c>
      <c r="T48" s="594"/>
      <c r="U48" s="594"/>
      <c r="Y48" s="404" t="s">
        <v>421</v>
      </c>
      <c r="Z48" s="405" t="s">
        <v>353</v>
      </c>
      <c r="AA48" s="370"/>
      <c r="AB48" s="342"/>
      <c r="AF48" s="477"/>
      <c r="AG48" s="404" t="s">
        <v>421</v>
      </c>
      <c r="AH48" s="405" t="s">
        <v>357</v>
      </c>
      <c r="AI48" s="370"/>
    </row>
    <row r="49" spans="1:43" s="346" customFormat="1" ht="30" customHeight="1" thickBot="1" x14ac:dyDescent="0.4">
      <c r="A49" s="477"/>
      <c r="B49" s="385" t="s">
        <v>422</v>
      </c>
      <c r="C49" s="386" t="s">
        <v>291</v>
      </c>
      <c r="E49" s="428"/>
      <c r="G49" s="347"/>
      <c r="J49" s="477"/>
      <c r="L49" s="347"/>
      <c r="R49" s="389" t="s">
        <v>422</v>
      </c>
      <c r="S49" s="390" t="s">
        <v>373</v>
      </c>
      <c r="Y49" s="406" t="s">
        <v>470</v>
      </c>
      <c r="Z49" s="407" t="s">
        <v>481</v>
      </c>
      <c r="AA49" s="342"/>
      <c r="AB49" s="342"/>
      <c r="AF49" s="477" t="s">
        <v>467</v>
      </c>
      <c r="AG49" s="406" t="s">
        <v>470</v>
      </c>
      <c r="AH49" s="407" t="s">
        <v>479</v>
      </c>
      <c r="AI49" s="369"/>
      <c r="AP49" s="427"/>
      <c r="AQ49" s="346" t="s">
        <v>446</v>
      </c>
    </row>
    <row r="50" spans="1:43" s="346" customFormat="1" ht="30" customHeight="1" x14ac:dyDescent="0.35">
      <c r="A50" s="477"/>
      <c r="B50" s="385" t="s">
        <v>423</v>
      </c>
      <c r="C50" s="386" t="s">
        <v>424</v>
      </c>
      <c r="E50" s="428"/>
      <c r="G50" s="347"/>
      <c r="J50" s="477"/>
      <c r="L50" s="347"/>
      <c r="R50" s="389" t="s">
        <v>425</v>
      </c>
      <c r="S50" s="390" t="s">
        <v>426</v>
      </c>
      <c r="Y50" s="406" t="s">
        <v>422</v>
      </c>
      <c r="Z50" s="407" t="s">
        <v>354</v>
      </c>
      <c r="AA50" s="342"/>
      <c r="AB50" s="342"/>
      <c r="AF50" s="477"/>
      <c r="AG50" s="406" t="s">
        <v>422</v>
      </c>
      <c r="AH50" s="407" t="s">
        <v>358</v>
      </c>
      <c r="AI50" s="369"/>
    </row>
    <row r="51" spans="1:43" s="346" customFormat="1" ht="30" customHeight="1" thickBot="1" x14ac:dyDescent="0.4">
      <c r="A51" s="477"/>
      <c r="B51" s="396" t="s">
        <v>430</v>
      </c>
      <c r="C51" s="397">
        <f>VLOOKUP(C49,'4b) SL EPO Extended Data Sheet'!$A$5:$AB$176,17,FALSE)/1000000</f>
        <v>920.05645625</v>
      </c>
      <c r="E51" s="428"/>
      <c r="G51" s="347"/>
      <c r="J51" s="477"/>
      <c r="L51" s="347"/>
      <c r="R51" s="400" t="s">
        <v>430</v>
      </c>
      <c r="S51" s="401">
        <f>VLOOKUP(S49,'4b) SL EPO Extended Data Sheet'!$A$5:$AB$176,17,FALSE)/1000000</f>
        <v>28.070365289999998</v>
      </c>
      <c r="Y51" s="406" t="s">
        <v>425</v>
      </c>
      <c r="Z51" s="407" t="s">
        <v>464</v>
      </c>
      <c r="AA51" s="342"/>
      <c r="AB51" s="342"/>
      <c r="AF51" s="477"/>
      <c r="AG51" s="406" t="s">
        <v>423</v>
      </c>
      <c r="AH51" s="412" t="s">
        <v>429</v>
      </c>
      <c r="AI51" s="369"/>
    </row>
    <row r="52" spans="1:43" s="346" customFormat="1" ht="30" customHeight="1" thickBot="1" x14ac:dyDescent="0.4">
      <c r="A52" s="477"/>
      <c r="B52" s="374" t="s">
        <v>449</v>
      </c>
      <c r="C52" s="429"/>
      <c r="E52" s="428"/>
      <c r="G52" s="347"/>
      <c r="J52" s="477"/>
      <c r="L52" s="347"/>
      <c r="S52" s="347"/>
      <c r="Y52" s="410" t="s">
        <v>430</v>
      </c>
      <c r="Z52" s="411">
        <f>VLOOKUP(Z50,'4b) SL EPO Extended Data Sheet'!$A$5:$AB$176,17,FALSE)/1000000</f>
        <v>159.01225555000002</v>
      </c>
      <c r="AA52" s="342"/>
      <c r="AB52" s="342"/>
      <c r="AF52" s="477"/>
      <c r="AG52" s="410" t="s">
        <v>430</v>
      </c>
      <c r="AH52" s="411">
        <f>VLOOKUP(AH50,'4b) SL EPO Extended Data Sheet'!$A$5:$AB$176,17,FALSE)/1000000</f>
        <v>42.416380079999996</v>
      </c>
      <c r="AI52" s="369"/>
    </row>
    <row r="53" spans="1:43" s="346" customFormat="1" ht="30" customHeight="1" thickBot="1" x14ac:dyDescent="0.4">
      <c r="A53" s="477"/>
      <c r="B53" s="431" t="s">
        <v>421</v>
      </c>
      <c r="C53" s="432" t="s">
        <v>450</v>
      </c>
      <c r="E53" s="428"/>
      <c r="G53" s="347"/>
      <c r="J53" s="477"/>
      <c r="S53" s="347"/>
      <c r="Y53" s="342"/>
      <c r="Z53" s="438"/>
      <c r="AA53" s="342"/>
      <c r="AB53" s="342"/>
      <c r="AE53" s="342"/>
      <c r="AF53" s="477"/>
      <c r="AH53" s="347"/>
      <c r="AI53" s="369"/>
    </row>
    <row r="54" spans="1:43" s="346" customFormat="1" ht="30" customHeight="1" thickBot="1" x14ac:dyDescent="0.4">
      <c r="A54" s="477"/>
      <c r="B54" s="433" t="s">
        <v>470</v>
      </c>
      <c r="C54" s="434" t="s">
        <v>472</v>
      </c>
      <c r="D54" s="440"/>
      <c r="E54" s="428"/>
      <c r="G54" s="347"/>
      <c r="J54" s="477"/>
      <c r="S54" s="347"/>
      <c r="Y54" s="342"/>
      <c r="Z54" s="438"/>
      <c r="AA54" s="342"/>
      <c r="AB54" s="342"/>
      <c r="AE54" s="342"/>
      <c r="AF54" s="477"/>
      <c r="AH54" s="347"/>
      <c r="AI54" s="369"/>
    </row>
    <row r="55" spans="1:43" s="346" customFormat="1" ht="30" customHeight="1" thickBot="1" x14ac:dyDescent="0.4">
      <c r="A55" s="477"/>
      <c r="B55" s="433" t="s">
        <v>422</v>
      </c>
      <c r="C55" s="434" t="s">
        <v>452</v>
      </c>
      <c r="E55" s="428"/>
      <c r="G55" s="347"/>
      <c r="J55" s="477"/>
      <c r="K55" s="470" t="s">
        <v>453</v>
      </c>
      <c r="L55" s="471"/>
      <c r="M55" s="471"/>
      <c r="N55" s="471"/>
      <c r="O55" s="471"/>
      <c r="P55" s="472"/>
      <c r="S55" s="347"/>
      <c r="Y55" s="342"/>
      <c r="Z55" s="438"/>
      <c r="AA55" s="342"/>
      <c r="AB55" s="342"/>
      <c r="AE55" s="342"/>
      <c r="AF55" s="477" t="s">
        <v>467</v>
      </c>
      <c r="AG55" s="404" t="s">
        <v>421</v>
      </c>
      <c r="AH55" s="405" t="s">
        <v>359</v>
      </c>
      <c r="AI55" s="370"/>
    </row>
    <row r="56" spans="1:43" s="346" customFormat="1" ht="30" customHeight="1" thickBot="1" x14ac:dyDescent="0.4">
      <c r="A56" s="477"/>
      <c r="B56" s="436" t="s">
        <v>430</v>
      </c>
      <c r="C56" s="437" t="s">
        <v>450</v>
      </c>
      <c r="E56" s="428"/>
      <c r="G56" s="347"/>
      <c r="J56" s="477"/>
      <c r="K56" s="669" t="s">
        <v>465</v>
      </c>
      <c r="L56" s="670"/>
      <c r="M56" s="671"/>
      <c r="N56" s="352" t="s">
        <v>405</v>
      </c>
      <c r="O56" s="352"/>
      <c r="P56" s="452">
        <f>L64+L77</f>
        <v>26.901907670000003</v>
      </c>
      <c r="R56" s="342"/>
      <c r="S56" s="438"/>
      <c r="T56" s="342"/>
      <c r="Y56" s="342"/>
      <c r="Z56" s="438"/>
      <c r="AA56" s="342"/>
      <c r="AB56" s="342"/>
      <c r="AE56" s="342"/>
      <c r="AF56" s="477"/>
      <c r="AG56" s="406" t="s">
        <v>470</v>
      </c>
      <c r="AH56" s="407" t="s">
        <v>479</v>
      </c>
    </row>
    <row r="57" spans="1:43" s="346" customFormat="1" ht="30" customHeight="1" thickBot="1" x14ac:dyDescent="0.4">
      <c r="A57" s="477"/>
      <c r="B57" s="439"/>
      <c r="C57" s="429"/>
      <c r="E57" s="428"/>
      <c r="F57" s="682" t="s">
        <v>454</v>
      </c>
      <c r="G57" s="682"/>
      <c r="H57" s="682"/>
      <c r="J57" s="477"/>
      <c r="K57" s="669" t="s">
        <v>491</v>
      </c>
      <c r="L57" s="670"/>
      <c r="M57" s="671"/>
      <c r="N57" s="359"/>
      <c r="O57" s="359"/>
      <c r="P57" s="357"/>
      <c r="R57" s="342"/>
      <c r="S57" s="438"/>
      <c r="T57" s="342"/>
      <c r="Y57" s="342"/>
      <c r="Z57" s="438"/>
      <c r="AA57" s="342"/>
      <c r="AB57" s="342"/>
      <c r="AE57" s="342"/>
      <c r="AF57" s="477"/>
      <c r="AG57" s="406" t="s">
        <v>422</v>
      </c>
      <c r="AH57" s="407" t="s">
        <v>360</v>
      </c>
    </row>
    <row r="58" spans="1:43" s="346" customFormat="1" ht="30" customHeight="1" thickBot="1" x14ac:dyDescent="0.4">
      <c r="A58" s="484"/>
      <c r="B58" s="431" t="s">
        <v>421</v>
      </c>
      <c r="C58" s="432" t="s">
        <v>456</v>
      </c>
      <c r="E58" s="428"/>
      <c r="F58" s="682"/>
      <c r="G58" s="682"/>
      <c r="H58" s="682"/>
      <c r="J58" s="477"/>
      <c r="L58" s="347"/>
      <c r="M58" s="369"/>
      <c r="S58" s="347"/>
      <c r="Y58" s="342"/>
      <c r="Z58" s="438"/>
      <c r="AA58" s="342"/>
      <c r="AB58" s="342"/>
      <c r="AE58" s="342"/>
      <c r="AF58" s="477"/>
      <c r="AG58" s="406" t="s">
        <v>423</v>
      </c>
      <c r="AH58" s="412" t="s">
        <v>429</v>
      </c>
    </row>
    <row r="59" spans="1:43" s="346" customFormat="1" ht="30" customHeight="1" thickBot="1" x14ac:dyDescent="0.4">
      <c r="A59" s="477"/>
      <c r="B59" s="433" t="s">
        <v>470</v>
      </c>
      <c r="C59" s="434" t="s">
        <v>478</v>
      </c>
      <c r="D59" s="440"/>
      <c r="E59" s="428"/>
      <c r="F59" s="682"/>
      <c r="G59" s="682"/>
      <c r="H59" s="682"/>
      <c r="J59" s="477"/>
      <c r="L59" s="347"/>
      <c r="M59" s="369"/>
      <c r="S59" s="347"/>
      <c r="Y59" s="342"/>
      <c r="Z59" s="438"/>
      <c r="AA59" s="342"/>
      <c r="AB59" s="342"/>
      <c r="AE59" s="342"/>
      <c r="AF59" s="477"/>
      <c r="AG59" s="410" t="s">
        <v>430</v>
      </c>
      <c r="AH59" s="411">
        <f>VLOOKUP(AH57,'4b) SL EPO Extended Data Sheet'!$A$5:$AB$176,17,FALSE)/1000000</f>
        <v>42.264071770000001</v>
      </c>
    </row>
    <row r="60" spans="1:43" s="346" customFormat="1" ht="30" customHeight="1" x14ac:dyDescent="0.35">
      <c r="A60" s="477"/>
      <c r="B60" s="433" t="s">
        <v>422</v>
      </c>
      <c r="C60" s="434" t="s">
        <v>476</v>
      </c>
      <c r="D60" s="442"/>
      <c r="E60" s="428"/>
      <c r="F60" s="682"/>
      <c r="G60" s="682"/>
      <c r="H60" s="682"/>
      <c r="J60" s="477"/>
      <c r="K60" s="379" t="s">
        <v>421</v>
      </c>
      <c r="L60" s="380" t="s">
        <v>315</v>
      </c>
      <c r="M60" s="370"/>
      <c r="S60" s="485"/>
      <c r="U60" s="342"/>
      <c r="Y60" s="342"/>
      <c r="Z60" s="438"/>
      <c r="AA60" s="342"/>
      <c r="AB60" s="342"/>
      <c r="AC60" s="342"/>
      <c r="AD60" s="342"/>
      <c r="AE60" s="342"/>
      <c r="AF60" s="477"/>
      <c r="AH60" s="347"/>
      <c r="AI60" s="342"/>
    </row>
    <row r="61" spans="1:43" s="346" customFormat="1" ht="30" customHeight="1" thickBot="1" x14ac:dyDescent="0.6">
      <c r="A61" s="477"/>
      <c r="B61" s="436" t="s">
        <v>430</v>
      </c>
      <c r="C61" s="437" t="s">
        <v>450</v>
      </c>
      <c r="D61" s="442"/>
      <c r="E61" s="428"/>
      <c r="F61" s="682"/>
      <c r="G61" s="682"/>
      <c r="H61" s="682"/>
      <c r="J61" s="477"/>
      <c r="K61" s="387" t="s">
        <v>470</v>
      </c>
      <c r="L61" s="388" t="s">
        <v>478</v>
      </c>
      <c r="S61" s="486"/>
      <c r="Y61" s="342"/>
      <c r="Z61" s="438"/>
      <c r="AA61" s="342"/>
      <c r="AB61" s="342"/>
      <c r="AC61" s="342"/>
      <c r="AD61" s="342"/>
      <c r="AE61" s="342"/>
      <c r="AF61" s="477" t="s">
        <v>467</v>
      </c>
      <c r="AH61" s="347"/>
      <c r="AI61" s="342"/>
    </row>
    <row r="62" spans="1:43" s="346" customFormat="1" ht="30" customHeight="1" thickBot="1" x14ac:dyDescent="0.6">
      <c r="A62" s="477"/>
      <c r="B62" s="342"/>
      <c r="C62" s="438"/>
      <c r="D62" s="442"/>
      <c r="E62" s="428"/>
      <c r="F62" s="682"/>
      <c r="G62" s="682"/>
      <c r="H62" s="682"/>
      <c r="J62" s="477"/>
      <c r="K62" s="387" t="s">
        <v>422</v>
      </c>
      <c r="L62" s="388" t="s">
        <v>318</v>
      </c>
      <c r="R62" s="342"/>
      <c r="S62" s="486"/>
      <c r="T62" s="342"/>
      <c r="Y62" s="342"/>
      <c r="Z62" s="438"/>
      <c r="AA62" s="342"/>
      <c r="AB62" s="342"/>
      <c r="AC62" s="342"/>
      <c r="AD62" s="342"/>
      <c r="AE62" s="342"/>
      <c r="AF62" s="477"/>
      <c r="AH62" s="347"/>
      <c r="AI62" s="342"/>
      <c r="AJ62" s="342"/>
    </row>
    <row r="63" spans="1:43" s="346" customFormat="1" ht="30" customHeight="1" thickBot="1" x14ac:dyDescent="0.4">
      <c r="A63" s="477"/>
      <c r="B63" s="431" t="s">
        <v>421</v>
      </c>
      <c r="C63" s="432" t="s">
        <v>450</v>
      </c>
      <c r="D63" s="445"/>
      <c r="E63" s="428"/>
      <c r="G63" s="347"/>
      <c r="J63" s="477"/>
      <c r="K63" s="387" t="s">
        <v>425</v>
      </c>
      <c r="L63" s="388" t="s">
        <v>463</v>
      </c>
      <c r="R63" s="342"/>
      <c r="S63" s="438"/>
      <c r="T63" s="342"/>
      <c r="Y63" s="342"/>
      <c r="Z63" s="438"/>
      <c r="AA63" s="342"/>
      <c r="AB63" s="342"/>
      <c r="AE63" s="342"/>
      <c r="AF63" s="477"/>
      <c r="AH63" s="347"/>
      <c r="AI63" s="342"/>
      <c r="AJ63" s="342"/>
    </row>
    <row r="64" spans="1:43" s="346" customFormat="1" ht="30" customHeight="1" thickBot="1" x14ac:dyDescent="0.4">
      <c r="A64" s="477"/>
      <c r="B64" s="433" t="s">
        <v>470</v>
      </c>
      <c r="C64" s="434" t="s">
        <v>436</v>
      </c>
      <c r="D64" s="594"/>
      <c r="G64" s="347"/>
      <c r="J64" s="477"/>
      <c r="K64" s="398" t="s">
        <v>430</v>
      </c>
      <c r="L64" s="399">
        <f>VLOOKUP(L62,'4b) SL EPO Extended Data Sheet'!$A$5:$AB$176,17,FALSE)/1000000</f>
        <v>26.901907670000003</v>
      </c>
      <c r="R64" s="342"/>
      <c r="S64" s="438"/>
      <c r="T64" s="342"/>
      <c r="Y64" s="342"/>
      <c r="Z64" s="438"/>
      <c r="AA64" s="342"/>
      <c r="AB64" s="342"/>
      <c r="AE64" s="342"/>
      <c r="AF64" s="477"/>
      <c r="AH64" s="347"/>
      <c r="AI64" s="342"/>
      <c r="AJ64" s="342"/>
    </row>
    <row r="65" spans="1:46" s="346" customFormat="1" ht="30" customHeight="1" x14ac:dyDescent="0.35">
      <c r="A65" s="477"/>
      <c r="B65" s="433" t="s">
        <v>422</v>
      </c>
      <c r="C65" s="434" t="s">
        <v>461</v>
      </c>
      <c r="D65" s="342"/>
      <c r="E65" s="342"/>
      <c r="G65" s="347"/>
      <c r="J65" s="477"/>
      <c r="L65" s="347"/>
      <c r="R65" s="342"/>
      <c r="S65" s="438"/>
      <c r="T65" s="342"/>
      <c r="Y65" s="342"/>
      <c r="Z65" s="438"/>
      <c r="AA65" s="342"/>
      <c r="AB65" s="342"/>
      <c r="AE65" s="342"/>
      <c r="AF65" s="477"/>
      <c r="AH65" s="347"/>
      <c r="AI65" s="342"/>
      <c r="AJ65" s="342"/>
    </row>
    <row r="66" spans="1:46" s="346" customFormat="1" ht="30" customHeight="1" thickBot="1" x14ac:dyDescent="0.4">
      <c r="A66" s="477"/>
      <c r="B66" s="436" t="s">
        <v>430</v>
      </c>
      <c r="C66" s="437" t="s">
        <v>450</v>
      </c>
      <c r="D66" s="342"/>
      <c r="G66" s="347"/>
      <c r="J66" s="477"/>
      <c r="L66" s="347"/>
      <c r="R66" s="342"/>
      <c r="S66" s="438"/>
      <c r="T66" s="342"/>
      <c r="U66" s="342"/>
      <c r="Y66" s="342"/>
      <c r="Z66" s="438"/>
      <c r="AA66" s="342"/>
      <c r="AB66" s="342"/>
      <c r="AE66" s="342"/>
      <c r="AF66" s="477"/>
      <c r="AH66" s="347"/>
      <c r="AI66" s="342"/>
      <c r="AJ66" s="342"/>
    </row>
    <row r="67" spans="1:46" s="346" customFormat="1" ht="30" customHeight="1" x14ac:dyDescent="0.35">
      <c r="A67" s="477"/>
      <c r="B67" s="342"/>
      <c r="C67" s="438"/>
      <c r="D67" s="342"/>
      <c r="E67" s="342"/>
      <c r="G67" s="347"/>
      <c r="J67" s="477"/>
      <c r="L67" s="347"/>
      <c r="R67" s="342"/>
      <c r="S67" s="438"/>
      <c r="T67" s="342"/>
      <c r="U67" s="342"/>
      <c r="V67" s="342"/>
      <c r="W67" s="342"/>
      <c r="Y67" s="342"/>
      <c r="Z67" s="438"/>
      <c r="AA67" s="342"/>
      <c r="AB67" s="342"/>
      <c r="AC67" s="342"/>
      <c r="AD67" s="342"/>
      <c r="AE67" s="342"/>
      <c r="AF67" s="477"/>
      <c r="AH67" s="347"/>
      <c r="AI67" s="342"/>
      <c r="AJ67" s="342"/>
    </row>
    <row r="68" spans="1:46" s="346" customFormat="1" ht="30" customHeight="1" x14ac:dyDescent="0.35">
      <c r="A68" s="477"/>
      <c r="B68" s="342"/>
      <c r="C68" s="438"/>
      <c r="D68" s="342"/>
      <c r="E68" s="342"/>
      <c r="G68" s="347"/>
      <c r="J68" s="477"/>
      <c r="L68" s="347"/>
      <c r="R68" s="342"/>
      <c r="S68" s="438"/>
      <c r="T68" s="342"/>
      <c r="U68" s="342"/>
      <c r="Y68" s="342"/>
      <c r="Z68" s="438"/>
      <c r="AA68" s="342"/>
      <c r="AB68" s="342"/>
      <c r="AC68" s="342"/>
      <c r="AD68" s="342"/>
      <c r="AE68" s="342"/>
      <c r="AF68" s="477"/>
      <c r="AH68" s="347"/>
      <c r="AI68" s="342"/>
      <c r="AJ68" s="342"/>
      <c r="AL68" s="342"/>
    </row>
    <row r="69" spans="1:46" s="346" customFormat="1" ht="30" customHeight="1" x14ac:dyDescent="0.35">
      <c r="A69" s="477"/>
      <c r="B69" s="342"/>
      <c r="C69" s="438"/>
      <c r="D69" s="342"/>
      <c r="E69" s="342"/>
      <c r="F69" s="342"/>
      <c r="G69" s="438"/>
      <c r="H69" s="342"/>
      <c r="J69" s="477"/>
      <c r="L69" s="347"/>
      <c r="R69" s="342"/>
      <c r="S69" s="438"/>
      <c r="T69" s="342"/>
      <c r="U69" s="342"/>
      <c r="X69" s="342"/>
      <c r="Y69" s="342"/>
      <c r="Z69" s="438"/>
      <c r="AA69" s="342"/>
      <c r="AB69" s="342"/>
      <c r="AC69" s="342"/>
      <c r="AD69" s="342"/>
      <c r="AE69" s="342"/>
      <c r="AF69" s="477"/>
      <c r="AG69" s="342"/>
      <c r="AH69" s="438"/>
      <c r="AI69" s="342"/>
      <c r="AJ69" s="342"/>
      <c r="AK69" s="342"/>
      <c r="AL69" s="342"/>
    </row>
    <row r="70" spans="1:46" s="346" customFormat="1" ht="30" customHeight="1" x14ac:dyDescent="0.35">
      <c r="A70" s="477"/>
      <c r="B70" s="342"/>
      <c r="C70" s="438"/>
      <c r="D70" s="342"/>
      <c r="E70" s="342"/>
      <c r="F70" s="342"/>
      <c r="G70" s="438"/>
      <c r="H70" s="342"/>
      <c r="J70" s="477"/>
      <c r="L70" s="347"/>
      <c r="R70" s="342"/>
      <c r="S70" s="438"/>
      <c r="T70" s="342"/>
      <c r="U70" s="342"/>
      <c r="X70" s="342"/>
      <c r="Y70" s="342"/>
      <c r="Z70" s="438"/>
      <c r="AA70" s="342"/>
      <c r="AB70" s="342"/>
      <c r="AC70" s="342"/>
      <c r="AD70" s="342"/>
      <c r="AE70" s="342"/>
      <c r="AF70" s="477"/>
      <c r="AG70" s="342"/>
      <c r="AH70" s="438"/>
      <c r="AI70" s="342"/>
      <c r="AJ70" s="342"/>
      <c r="AK70" s="342"/>
      <c r="AL70" s="342"/>
      <c r="AP70" s="342"/>
      <c r="AQ70" s="342"/>
      <c r="AR70" s="342"/>
      <c r="AS70" s="342"/>
      <c r="AT70" s="342"/>
    </row>
    <row r="71" spans="1:46" s="346" customFormat="1" ht="30" customHeight="1" x14ac:dyDescent="0.35">
      <c r="A71" s="477"/>
      <c r="B71" s="342"/>
      <c r="C71" s="438"/>
      <c r="D71" s="342"/>
      <c r="E71" s="342"/>
      <c r="F71" s="342"/>
      <c r="G71" s="438"/>
      <c r="H71" s="342"/>
      <c r="J71" s="477"/>
      <c r="L71" s="347"/>
      <c r="R71" s="342"/>
      <c r="S71" s="438"/>
      <c r="T71" s="342"/>
      <c r="U71" s="342"/>
      <c r="X71" s="342"/>
      <c r="Y71" s="342"/>
      <c r="Z71" s="438"/>
      <c r="AA71" s="342"/>
      <c r="AB71" s="342"/>
      <c r="AC71" s="342"/>
      <c r="AD71" s="342"/>
      <c r="AE71" s="342"/>
      <c r="AF71" s="477"/>
      <c r="AG71" s="342"/>
      <c r="AH71" s="438"/>
      <c r="AI71" s="342"/>
      <c r="AJ71" s="342"/>
      <c r="AK71" s="342"/>
      <c r="AL71" s="342"/>
      <c r="AP71" s="342"/>
      <c r="AQ71" s="342"/>
      <c r="AR71" s="342"/>
      <c r="AS71" s="342"/>
      <c r="AT71" s="342"/>
    </row>
    <row r="72" spans="1:46" ht="30" customHeight="1" x14ac:dyDescent="0.35">
      <c r="I72" s="438"/>
      <c r="J72" s="342"/>
      <c r="L72" s="342"/>
      <c r="P72" s="346"/>
      <c r="V72" s="346"/>
      <c r="W72" s="346"/>
    </row>
    <row r="73" spans="1:46" ht="30" customHeight="1" x14ac:dyDescent="0.35">
      <c r="I73" s="438"/>
      <c r="J73" s="342"/>
      <c r="L73" s="342"/>
      <c r="P73" s="346"/>
    </row>
    <row r="74" spans="1:46" ht="30" customHeight="1" x14ac:dyDescent="0.35">
      <c r="I74" s="438"/>
      <c r="J74" s="342"/>
      <c r="L74" s="342"/>
    </row>
    <row r="75" spans="1:46" ht="30" customHeight="1" x14ac:dyDescent="0.35">
      <c r="I75" s="438"/>
      <c r="J75" s="342"/>
      <c r="L75" s="342"/>
    </row>
    <row r="76" spans="1:46" ht="30" customHeight="1" x14ac:dyDescent="0.35">
      <c r="I76" s="438"/>
      <c r="J76" s="342"/>
      <c r="L76" s="342"/>
    </row>
    <row r="77" spans="1:46" ht="30" customHeight="1" x14ac:dyDescent="0.35">
      <c r="I77" s="438"/>
      <c r="J77" s="342"/>
      <c r="L77" s="342"/>
    </row>
    <row r="78" spans="1:46" ht="30" customHeight="1" x14ac:dyDescent="0.35">
      <c r="I78" s="438"/>
      <c r="J78" s="342"/>
      <c r="L78" s="342"/>
    </row>
    <row r="79" spans="1:46" ht="30" customHeight="1" x14ac:dyDescent="0.35"/>
  </sheetData>
  <sheetProtection algorithmName="SHA-512" hashValue="4ribixOOj+jyowZR9RsqFxvJFrSjcYg7bjD434yUVn3m9wNiVfl2jhiiVrUtcAApH5n/60jjnGFr2vc5Na6llg==" saltValue="vU+YMQvhEs7g3PJOmzD2TQ==" spinCount="100000" sheet="1" objects="1" scenarios="1"/>
  <customSheetViews>
    <customSheetView guid="{800416AC-1374-44AC-811C-612C85EF24E6}" scale="70" showGridLines="0" fitToPage="1" printArea="1" topLeftCell="A21">
      <selection activeCell="C21" sqref="C21"/>
      <pageMargins left="0.7" right="0.7" top="0.75" bottom="0.75" header="0.3" footer="0.3"/>
      <pageSetup paperSize="8" scale="30" orientation="landscape" r:id="rId1"/>
    </customSheetView>
    <customSheetView guid="{FBC63E8F-69FE-4648-B709-FA1212EFFB29}" scale="80" showGridLines="0" fitToPage="1" printArea="1" topLeftCell="D1">
      <selection activeCell="V9" sqref="V9"/>
      <pageMargins left="0.7" right="0.7" top="0.75" bottom="0.75" header="0.3" footer="0.3"/>
      <pageSetup paperSize="8" scale="31" orientation="landscape" r:id="rId2"/>
    </customSheetView>
    <customSheetView guid="{C7C13768-4A8D-4CBA-978C-F4A7B5550C00}" scale="70" showGridLines="0" fitToPage="1" printArea="1">
      <selection activeCell="L9" sqref="L9"/>
      <pageMargins left="0.7" right="0.7" top="0.75" bottom="0.75" header="0.3" footer="0.3"/>
      <pageSetup paperSize="8" scale="30" orientation="landscape" r:id="rId3"/>
    </customSheetView>
    <customSheetView guid="{466708C2-41CE-4656-AB81-E1E49DF5945D}" scale="55" showGridLines="0" fitToPage="1" printArea="1" topLeftCell="F41">
      <selection activeCell="AZ4" sqref="AZ4"/>
      <pageMargins left="0.7" right="0.7" top="0.75" bottom="0.75" header="0.3" footer="0.3"/>
      <pageSetup paperSize="8" scale="30" orientation="landscape" r:id="rId4"/>
    </customSheetView>
    <customSheetView guid="{E3A3AE56-8881-4A6F-9299-803C489AD1B4}" scale="70" showGridLines="0" fitToPage="1" printArea="1" topLeftCell="E1">
      <selection activeCell="H38" sqref="H38"/>
      <pageMargins left="0.7" right="0.7" top="0.75" bottom="0.75" header="0.3" footer="0.3"/>
      <pageSetup paperSize="8" scale="30" orientation="landscape" r:id="rId5"/>
    </customSheetView>
    <customSheetView guid="{83044EFE-7F92-4F81-B034-85D9567158C2}" scale="55" showGridLines="0" fitToPage="1" printArea="1">
      <selection activeCell="AZ4" sqref="AZ4"/>
      <pageMargins left="0.7" right="0.7" top="0.75" bottom="0.75" header="0.3" footer="0.3"/>
      <pageSetup paperSize="8" scale="30" orientation="landscape" r:id="rId6"/>
    </customSheetView>
    <customSheetView guid="{E4713981-DD11-40CE-BE52-873D93BDDE05}" scale="55" showGridLines="0" fitToPage="1">
      <selection activeCell="AZ4" sqref="AZ4"/>
      <pageMargins left="0.7" right="0.7" top="0.75" bottom="0.75" header="0.3" footer="0.3"/>
      <pageSetup paperSize="8" scale="32" orientation="landscape" r:id="rId7"/>
    </customSheetView>
    <customSheetView guid="{442F9A23-CA6E-4109-B10C-ACF5FD36B859}" scale="55" showGridLines="0" fitToPage="1" printArea="1">
      <selection activeCell="AZ4" sqref="AZ4"/>
      <pageMargins left="0.7" right="0.7" top="0.75" bottom="0.75" header="0.3" footer="0.3"/>
      <pageSetup paperSize="8" scale="32" orientation="landscape" r:id="rId8"/>
    </customSheetView>
    <customSheetView guid="{B434A8A8-5A4C-48C0-82E7-2458B9D2EEEF}" scale="55" showGridLines="0" fitToPage="1" printArea="1">
      <selection activeCell="AZ4" sqref="AZ4"/>
      <pageMargins left="0.7" right="0.7" top="0.75" bottom="0.75" header="0.3" footer="0.3"/>
      <pageSetup paperSize="8" scale="30" orientation="landscape" r:id="rId9"/>
    </customSheetView>
    <customSheetView guid="{3827E543-57D2-48C8-B786-7077EA079DD2}" scale="55" showGridLines="0" fitToPage="1" printArea="1">
      <selection activeCell="L8" sqref="L8"/>
      <pageMargins left="0.7" right="0.7" top="0.75" bottom="0.75" header="0.3" footer="0.3"/>
      <pageSetup paperSize="8" scale="30" orientation="landscape" r:id="rId10"/>
    </customSheetView>
    <customSheetView guid="{2EA8DBF7-9763-457C-AA9F-1EEB2F136D1F}" scale="55" showGridLines="0" fitToPage="1">
      <selection activeCell="AZ4" sqref="AZ4"/>
      <pageMargins left="0.7" right="0.7" top="0.75" bottom="0.75" header="0.3" footer="0.3"/>
      <pageSetup paperSize="8" scale="30" orientation="landscape" r:id="rId11"/>
    </customSheetView>
    <customSheetView guid="{70582C04-BB53-4A99-A3C1-673011D9AE1C}" scale="55" showGridLines="0" fitToPage="1" printArea="1">
      <selection activeCell="AZ4" sqref="AZ4"/>
      <pageMargins left="0.7" right="0.7" top="0.75" bottom="0.75" header="0.3" footer="0.3"/>
      <pageSetup paperSize="8" scale="30" orientation="landscape" r:id="rId12"/>
    </customSheetView>
    <customSheetView guid="{37F5A0AB-EB39-4832-9D67-F67D908BF486}" scale="40" showGridLines="0" fitToPage="1" printArea="1" topLeftCell="A2">
      <selection activeCell="O13" sqref="O13"/>
      <pageMargins left="0.7" right="0.7" top="0.75" bottom="0.75" header="0.3" footer="0.3"/>
      <pageSetup paperSize="8" scale="30" orientation="landscape" r:id="rId13"/>
    </customSheetView>
    <customSheetView guid="{78AA4A71-CE17-4C4D-849E-E3E1A44EA907}" scale="70" showGridLines="0" fitToPage="1" printArea="1" topLeftCell="E1">
      <selection activeCell="H38" sqref="H38"/>
      <pageMargins left="0.7" right="0.7" top="0.75" bottom="0.75" header="0.3" footer="0.3"/>
      <pageSetup paperSize="8" scale="30" orientation="landscape" r:id="rId14"/>
    </customSheetView>
    <customSheetView guid="{51DFD3D6-BC25-47B4-B28F-D640534DB3A9}" scale="55" showGridLines="0" fitToPage="1" printArea="1" topLeftCell="A9">
      <selection activeCell="C45" sqref="C45"/>
      <pageMargins left="0.7" right="0.7" top="0.75" bottom="0.75" header="0.3" footer="0.3"/>
      <pageSetup paperSize="8" scale="32" orientation="landscape" r:id="rId15"/>
    </customSheetView>
    <customSheetView guid="{CA7E8063-5145-49E1-8E00-2E1025705A81}" scale="55" showGridLines="0" fitToPage="1" printArea="1">
      <selection activeCell="AZ4" sqref="AZ4"/>
      <pageMargins left="0.7" right="0.7" top="0.75" bottom="0.75" header="0.3" footer="0.3"/>
      <pageSetup paperSize="8" scale="32" orientation="landscape" r:id="rId16"/>
    </customSheetView>
    <customSheetView guid="{75EE3B92-AF4D-4E93-A70E-6ADE60CC674F}" scale="55" showGridLines="0" fitToPage="1" topLeftCell="L1">
      <selection activeCell="AZ4" sqref="AZ4"/>
      <pageMargins left="0.7" right="0.7" top="0.75" bottom="0.75" header="0.3" footer="0.3"/>
      <pageSetup paperSize="8" scale="33" orientation="landscape" r:id="rId17"/>
    </customSheetView>
    <customSheetView guid="{29AC9BE3-332A-4738-949C-1F8C0D32BAEE}" scale="70" showGridLines="0" fitToPage="1" topLeftCell="E1">
      <selection activeCell="H38" sqref="H38"/>
      <pageMargins left="0.7" right="0.7" top="0.75" bottom="0.75" header="0.3" footer="0.3"/>
      <pageSetup paperSize="8" scale="30" orientation="landscape" r:id="rId18"/>
    </customSheetView>
    <customSheetView guid="{42B0E8B1-ADFA-49AE-A83B-82D384737703}" scale="70" showGridLines="0" fitToPage="1" printArea="1" topLeftCell="E1">
      <selection activeCell="H38" sqref="H38"/>
      <pageMargins left="0.7" right="0.7" top="0.75" bottom="0.75" header="0.3" footer="0.3"/>
      <pageSetup paperSize="8" scale="30" orientation="landscape" r:id="rId19"/>
    </customSheetView>
    <customSheetView guid="{D59DDBAA-620D-43B7-A6D9-759808D3397A}" scale="55" showGridLines="0" fitToPage="1" printArea="1">
      <selection activeCell="AZ4" sqref="AZ4"/>
      <pageMargins left="0.7" right="0.7" top="0.75" bottom="0.75" header="0.3" footer="0.3"/>
      <pageSetup paperSize="8" scale="32" orientation="landscape" r:id="rId20"/>
    </customSheetView>
    <customSheetView guid="{F4A6298C-1A75-4FA9-A6A4-2BE13CCFE545}" scale="70" showGridLines="0" fitToPage="1" printArea="1" topLeftCell="E1">
      <selection activeCell="H38" sqref="H38"/>
      <pageMargins left="0.7" right="0.7" top="0.75" bottom="0.75" header="0.3" footer="0.3"/>
      <pageSetup paperSize="8" scale="32" orientation="landscape" r:id="rId21"/>
    </customSheetView>
    <customSheetView guid="{9F91FBC4-6A13-42C2-A2D9-42A2AC814E28}" scale="55" showGridLines="0" fitToPage="1" printArea="1">
      <selection activeCell="AZ4" sqref="AZ4"/>
      <pageMargins left="0.7" right="0.7" top="0.75" bottom="0.75" header="0.3" footer="0.3"/>
      <pageSetup paperSize="8" scale="30" orientation="landscape" r:id="rId22"/>
    </customSheetView>
    <customSheetView guid="{DF265C7B-1EEB-47EB-982A-6938E81F7AC2}" scale="55" showGridLines="0" fitToPage="1" printArea="1">
      <selection activeCell="AZ4" sqref="AZ4"/>
      <pageMargins left="0.7" right="0.7" top="0.75" bottom="0.75" header="0.3" footer="0.3"/>
      <pageSetup paperSize="8" scale="30" orientation="landscape" r:id="rId23"/>
    </customSheetView>
    <customSheetView guid="{8263C9D2-452D-46FA-AFA0-452B42DC0298}" scale="80" showGridLines="0" fitToPage="1" printArea="1" topLeftCell="D1">
      <selection activeCell="V9" sqref="V9"/>
      <pageMargins left="0.7" right="0.7" top="0.75" bottom="0.75" header="0.3" footer="0.3"/>
      <pageSetup paperSize="8" scale="32" orientation="landscape" r:id="rId24"/>
    </customSheetView>
    <customSheetView guid="{151EB58C-4EFD-4330-8D1A-8AACF5F7C679}" scale="55" showGridLines="0" fitToPage="1">
      <selection activeCell="AZ4" sqref="AZ4"/>
      <pageMargins left="0.7" right="0.7" top="0.75" bottom="0.75" header="0.3" footer="0.3"/>
      <pageSetup paperSize="8" scale="32" orientation="landscape" r:id="rId25"/>
    </customSheetView>
    <customSheetView guid="{8CB67476-3FD4-42E0-ACD6-62ACA9412843}" scale="55" showGridLines="0" fitToPage="1" printArea="1">
      <selection activeCell="AZ4" sqref="AZ4"/>
      <pageMargins left="0.7" right="0.7" top="0.75" bottom="0.75" header="0.3" footer="0.3"/>
      <pageSetup paperSize="8" scale="30" orientation="landscape" r:id="rId26"/>
    </customSheetView>
    <customSheetView guid="{51B3083F-A103-41AB-A137-63549C54B838}" scale="55" showGridLines="0" fitToPage="1" printArea="1">
      <selection activeCell="L8" sqref="L8"/>
      <pageMargins left="0.7" right="0.7" top="0.75" bottom="0.75" header="0.3" footer="0.3"/>
      <pageSetup paperSize="8" scale="30" orientation="landscape" r:id="rId27"/>
    </customSheetView>
    <customSheetView guid="{E06B4FE8-6127-47B2-A6A5-4FAC9EEB4538}" scale="55" showGridLines="0" fitToPage="1" printArea="1">
      <selection activeCell="AZ4" sqref="AZ4"/>
      <pageMargins left="0.7" right="0.7" top="0.75" bottom="0.75" header="0.3" footer="0.3"/>
      <pageSetup paperSize="8" scale="30" orientation="landscape" r:id="rId28"/>
    </customSheetView>
    <customSheetView guid="{593284E7-E32C-4D6C-8C2F-3DEEF9DEE1DF}" scale="55" showGridLines="0" fitToPage="1" printArea="1">
      <selection activeCell="AZ4" sqref="AZ4"/>
      <pageMargins left="0.7" right="0.7" top="0.75" bottom="0.75" header="0.3" footer="0.3"/>
      <pageSetup paperSize="8" scale="30" orientation="landscape" r:id="rId29"/>
    </customSheetView>
    <customSheetView guid="{351EFD38-BF62-4E34-A37F-0EEB3E165043}" scale="55" showGridLines="0" fitToPage="1" printArea="1" topLeftCell="F41">
      <selection activeCell="AZ4" sqref="AZ4"/>
      <pageMargins left="0.7" right="0.7" top="0.75" bottom="0.75" header="0.3" footer="0.3"/>
      <pageSetup paperSize="8" scale="30" orientation="landscape" r:id="rId30"/>
    </customSheetView>
    <customSheetView guid="{EB96DBE4-2D64-4388-853C-CB52A0CB79BA}" scale="55" showGridLines="0" fitToPage="1">
      <selection activeCell="AZ4" sqref="AZ4"/>
      <pageMargins left="0.7" right="0.7" top="0.75" bottom="0.75" header="0.3" footer="0.3"/>
      <pageSetup paperSize="8" scale="32" orientation="landscape" r:id="rId31"/>
    </customSheetView>
    <customSheetView guid="{016CEBB2-C827-48F4-95E1-85D8C5129F41}" scale="55" showGridLines="0" fitToPage="1" printArea="1">
      <selection activeCell="AZ4" sqref="AZ4"/>
      <pageMargins left="0.7" right="0.7" top="0.75" bottom="0.75" header="0.3" footer="0.3"/>
      <pageSetup paperSize="8" scale="36" orientation="landscape" r:id="rId32"/>
    </customSheetView>
    <customSheetView guid="{008CCD98-7480-4C51-806A-4B55C801DDC2}" scale="55" showGridLines="0" fitToPage="1">
      <selection activeCell="AZ4" sqref="AZ4"/>
      <pageMargins left="0.7" right="0.7" top="0.75" bottom="0.75" header="0.3" footer="0.3"/>
      <pageSetup paperSize="8" scale="36" orientation="landscape" r:id="rId33"/>
    </customSheetView>
    <customSheetView guid="{4E6F9C2D-76F2-4884-BBF6-E02A7BAE11EF}" scale="55" showGridLines="0" fitToPage="1">
      <selection activeCell="AZ4" sqref="AZ4"/>
      <pageMargins left="0.7" right="0.7" top="0.75" bottom="0.75" header="0.3" footer="0.3"/>
      <pageSetup paperSize="8" scale="35" orientation="landscape" r:id="rId34"/>
    </customSheetView>
    <customSheetView guid="{C39AE06A-FC0A-4D7D-B287-2FA9CA174191}" scale="55" showGridLines="0" fitToPage="1">
      <selection activeCell="I22" sqref="I22"/>
      <pageMargins left="0.7" right="0.7" top="0.75" bottom="0.75" header="0.3" footer="0.3"/>
      <pageSetup paperSize="8" scale="36" orientation="landscape" r:id="rId35"/>
    </customSheetView>
    <customSheetView guid="{D16D941B-FC89-4FEC-A49B-5FA2532584DE}" scale="55" showGridLines="0" fitToPage="1" printArea="1">
      <selection activeCell="AZ4" sqref="AZ4"/>
      <pageMargins left="0.7" right="0.7" top="0.75" bottom="0.75" header="0.3" footer="0.3"/>
      <pageSetup paperSize="8" scale="30" orientation="landscape" r:id="rId36"/>
    </customSheetView>
    <customSheetView guid="{3BB18945-69B5-4B22-8D55-989F8F233459}" scale="70" showGridLines="0" fitToPage="1" printArea="1" topLeftCell="E1">
      <selection activeCell="H38" sqref="H38"/>
      <pageMargins left="0.7" right="0.7" top="0.75" bottom="0.75" header="0.3" footer="0.3"/>
      <pageSetup paperSize="8" scale="32" orientation="landscape" r:id="rId37"/>
    </customSheetView>
    <customSheetView guid="{B84DA703-8C5B-4100-91A4-8807E303D379}" scale="55" showGridLines="0" fitToPage="1" printArea="1">
      <selection activeCell="AZ4" sqref="AZ4"/>
      <pageMargins left="0.7" right="0.7" top="0.75" bottom="0.75" header="0.3" footer="0.3"/>
      <pageSetup paperSize="8" scale="32" orientation="landscape" r:id="rId38"/>
    </customSheetView>
    <customSheetView guid="{B0A28FD4-D7F6-428C-A7F7-92132DCD74BB}" scale="55" showGridLines="0" fitToPage="1" printArea="1">
      <selection activeCell="AZ4" sqref="AZ4"/>
      <pageMargins left="0.7" right="0.7" top="0.75" bottom="0.75" header="0.3" footer="0.3"/>
      <pageSetup paperSize="8" scale="30" orientation="landscape" r:id="rId39"/>
    </customSheetView>
    <customSheetView guid="{3C97F0B0-2F3C-4E03-96E0-0C4FEC2F24AC}" scale="55" showGridLines="0" fitToPage="1" printArea="1">
      <selection activeCell="L8" sqref="L8"/>
      <pageMargins left="0.7" right="0.7" top="0.75" bottom="0.75" header="0.3" footer="0.3"/>
      <pageSetup paperSize="8" scale="30" orientation="landscape" r:id="rId40"/>
    </customSheetView>
    <customSheetView guid="{A03C6B09-6B58-4DDE-A3B2-41A27A7049D9}" scale="55" showGridLines="0" fitToPage="1" printArea="1">
      <selection activeCell="AZ4" sqref="AZ4"/>
      <pageMargins left="0.7" right="0.7" top="0.75" bottom="0.75" header="0.3" footer="0.3"/>
      <pageSetup paperSize="8" scale="31" orientation="landscape" r:id="rId41"/>
    </customSheetView>
    <customSheetView guid="{4EBEE699-7DEF-4A50-9CB7-490835CF0B98}" scale="55" showGridLines="0" fitToPage="1" printArea="1">
      <selection activeCell="AZ4" sqref="AZ4"/>
      <pageMargins left="0.7" right="0.7" top="0.75" bottom="0.75" header="0.3" footer="0.3"/>
      <pageSetup paperSize="8" scale="30" orientation="landscape" r:id="rId42"/>
    </customSheetView>
    <customSheetView guid="{451730E2-FFE9-4FCE-B8B5-64952C26C672}" scale="55" showGridLines="0" fitToPage="1" printArea="1">
      <selection activeCell="AZ4" sqref="AZ4"/>
      <pageMargins left="0.7" right="0.7" top="0.75" bottom="0.75" header="0.3" footer="0.3"/>
      <pageSetup paperSize="8" scale="30" orientation="landscape" r:id="rId43"/>
    </customSheetView>
    <customSheetView guid="{9AF6E233-883D-48B4-95AB-42B37199AB9E}" scale="55" showGridLines="0" fitToPage="1" printArea="1">
      <selection activeCell="AZ4" sqref="AZ4"/>
      <pageMargins left="0.7" right="0.7" top="0.75" bottom="0.75" header="0.3" footer="0.3"/>
      <pageSetup paperSize="8" scale="30" orientation="landscape" r:id="rId44"/>
    </customSheetView>
    <customSheetView guid="{1ECD6E30-299B-4354-A416-2DAFF33C7022}" scale="55" showGridLines="0" fitToPage="1">
      <selection activeCell="AZ4" sqref="AZ4"/>
      <pageMargins left="0.7" right="0.7" top="0.75" bottom="0.75" header="0.3" footer="0.3"/>
      <pageSetup paperSize="8" scale="34" orientation="landscape" r:id="rId45"/>
    </customSheetView>
    <customSheetView guid="{97D58294-343B-4B62-A826-0DDDE29B5F0D}" scale="55" showGridLines="0" fitToPage="1" printArea="1">
      <selection activeCell="AZ4" sqref="AZ4"/>
      <pageMargins left="0.7" right="0.7" top="0.75" bottom="0.75" header="0.3" footer="0.3"/>
      <pageSetup paperSize="8" scale="32" orientation="landscape" r:id="rId46"/>
    </customSheetView>
    <customSheetView guid="{BDCD1595-C0B8-4F6C-B01C-3472C895B827}" scale="55" showGridLines="0" fitToPage="1" printArea="1">
      <selection activeCell="AZ4" sqref="AZ4"/>
      <pageMargins left="0.7" right="0.7" top="0.75" bottom="0.75" header="0.3" footer="0.3"/>
      <pageSetup paperSize="8" scale="32" orientation="landscape" r:id="rId47"/>
    </customSheetView>
    <customSheetView guid="{9355C9F4-9C07-4A93-B7F2-69F1D1526716}" scale="55" showGridLines="0" fitToPage="1" printArea="1" topLeftCell="A19">
      <selection activeCell="R41" sqref="R41"/>
      <pageMargins left="0.7" right="0.7" top="0.75" bottom="0.75" header="0.3" footer="0.3"/>
      <pageSetup paperSize="8" scale="30" orientation="landscape" r:id="rId48"/>
    </customSheetView>
    <customSheetView guid="{F5FA2A23-9E46-4C2F-B1EE-B71787F95C57}" scale="55" showGridLines="0" fitToPage="1" printArea="1">
      <selection activeCell="AZ4" sqref="AZ4"/>
      <pageMargins left="0.7" right="0.7" top="0.75" bottom="0.75" header="0.3" footer="0.3"/>
      <pageSetup paperSize="8" scale="32" orientation="landscape" r:id="rId49"/>
    </customSheetView>
    <customSheetView guid="{B95D32C7-1418-4EF6-8936-849885C54A4A}" scale="25" showGridLines="0" fitToPage="1" printArea="1">
      <selection activeCell="G15" sqref="G15"/>
      <pageMargins left="0.7" right="0.7" top="0.75" bottom="0.75" header="0.3" footer="0.3"/>
      <pageSetup paperSize="8" scale="32" orientation="landscape" r:id="rId50"/>
    </customSheetView>
    <customSheetView guid="{602520CD-F98C-43A6-AA0D-88893E9CB6E8}" scale="55" showGridLines="0" fitToPage="1" printArea="1">
      <selection activeCell="L8" sqref="L8"/>
      <pageMargins left="0.7" right="0.7" top="0.75" bottom="0.75" header="0.3" footer="0.3"/>
      <pageSetup paperSize="8" scale="30" orientation="landscape" r:id="rId51"/>
    </customSheetView>
    <customSheetView guid="{A8E976B8-D767-4DB4-82BD-ABE90880F33F}" scale="55" showGridLines="0" fitToPage="1" printArea="1">
      <selection activeCell="L8" sqref="L8"/>
      <pageMargins left="0.7" right="0.7" top="0.75" bottom="0.75" header="0.3" footer="0.3"/>
      <pageSetup paperSize="8" scale="32" orientation="landscape" r:id="rId52"/>
    </customSheetView>
    <customSheetView guid="{D850720D-4A1C-48F2-8E1D-8E09B7414A1A}" scale="55" showGridLines="0" fitToPage="1" printArea="1">
      <selection activeCell="AZ4" sqref="AZ4"/>
      <pageMargins left="0.7" right="0.7" top="0.75" bottom="0.75" header="0.3" footer="0.3"/>
      <pageSetup paperSize="8" scale="30" orientation="landscape" r:id="rId53"/>
    </customSheetView>
    <customSheetView guid="{C57A83F1-F5A3-470B-9579-6A222C54F4E8}" scale="70" showGridLines="0" fitToPage="1" printArea="1" topLeftCell="E1">
      <selection activeCell="H38" sqref="H38"/>
      <pageMargins left="0.7" right="0.7" top="0.75" bottom="0.75" header="0.3" footer="0.3"/>
      <pageSetup paperSize="8" scale="32" orientation="landscape" r:id="rId54"/>
    </customSheetView>
    <customSheetView guid="{2608BE9B-66AC-4D4C-8EE0-E88C94E88140}" scale="55" showGridLines="0" fitToPage="1">
      <selection activeCell="AZ4" sqref="AZ4"/>
      <pageMargins left="0.7" right="0.7" top="0.75" bottom="0.75" header="0.3" footer="0.3"/>
      <pageSetup paperSize="8" scale="32" orientation="landscape" r:id="rId55"/>
    </customSheetView>
    <customSheetView guid="{EDD5A64E-02C0-4DD6-80BA-449123FCDAA2}" scale="55" showGridLines="0" fitToPage="1" printArea="1">
      <selection activeCell="AZ4" sqref="AZ4"/>
      <pageMargins left="0.7" right="0.7" top="0.75" bottom="0.75" header="0.3" footer="0.3"/>
      <pageSetup paperSize="8" scale="30" orientation="landscape" r:id="rId56"/>
    </customSheetView>
    <customSheetView guid="{B8317A9A-0FFD-4A18-80F7-203DB2FC8CA5}" scale="55" showGridLines="0" fitToPage="1" printArea="1">
      <selection activeCell="L8" sqref="L8"/>
      <pageMargins left="0.7" right="0.7" top="0.75" bottom="0.75" header="0.3" footer="0.3"/>
      <pageSetup paperSize="8" scale="30" orientation="landscape" r:id="rId57"/>
    </customSheetView>
    <customSheetView guid="{7E571F1D-D438-4605-90D6-3F831F76D652}" scale="70" showGridLines="0" fitToPage="1" printArea="1" topLeftCell="A21">
      <selection activeCell="C21" sqref="C21"/>
      <pageMargins left="0.7" right="0.7" top="0.75" bottom="0.75" header="0.3" footer="0.3"/>
      <pageSetup paperSize="8" scale="31" orientation="landscape" r:id="rId58"/>
    </customSheetView>
  </customSheetViews>
  <mergeCells count="18">
    <mergeCell ref="Y27:AD27"/>
    <mergeCell ref="F57:H62"/>
    <mergeCell ref="D9:E9"/>
    <mergeCell ref="H9:I9"/>
    <mergeCell ref="Y9:AA9"/>
    <mergeCell ref="A1:AL1"/>
    <mergeCell ref="A2:F2"/>
    <mergeCell ref="D4:I4"/>
    <mergeCell ref="K4:P4"/>
    <mergeCell ref="R4:W4"/>
    <mergeCell ref="AC4:AK4"/>
    <mergeCell ref="AG10:AI10"/>
    <mergeCell ref="D6:F6"/>
    <mergeCell ref="K6:M6"/>
    <mergeCell ref="R6:T6"/>
    <mergeCell ref="AC6:AE6"/>
    <mergeCell ref="Y8:AD8"/>
    <mergeCell ref="AG8:AL8"/>
  </mergeCells>
  <pageMargins left="0.7" right="0.7" top="0.75" bottom="0.75" header="0.3" footer="0.3"/>
  <pageSetup paperSize="8" scale="33" orientation="landscape" r:id="rId59"/>
  <drawing r:id="rId6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657240-7DA6-4B43-9929-0D4FE09759C9}">
  <sheetPr codeName="Sheet6">
    <pageSetUpPr fitToPage="1"/>
  </sheetPr>
  <dimension ref="A1:AL65"/>
  <sheetViews>
    <sheetView showGridLines="0" topLeftCell="A24" zoomScale="55" zoomScaleNormal="70" workbookViewId="0">
      <selection activeCell="G39" sqref="G39"/>
    </sheetView>
  </sheetViews>
  <sheetFormatPr defaultColWidth="9.3828125" defaultRowHeight="12.9" x14ac:dyDescent="0.35"/>
  <cols>
    <col min="1" max="1" width="3.3828125" style="342" customWidth="1"/>
    <col min="2" max="2" width="11.53515625" style="342" customWidth="1"/>
    <col min="3" max="3" width="30.53515625" style="438" customWidth="1"/>
    <col min="4" max="5" width="9.3828125" style="342"/>
    <col min="6" max="6" width="11.53515625" style="342" customWidth="1"/>
    <col min="7" max="7" width="30.53515625" style="438" customWidth="1"/>
    <col min="8" max="9" width="9.3828125" style="342"/>
    <col min="10" max="10" width="3.53515625" style="342" customWidth="1"/>
    <col min="11" max="11" width="11.53515625" style="342" customWidth="1"/>
    <col min="12" max="12" width="30.53515625" style="438" customWidth="1"/>
    <col min="13" max="13" width="9.3828125" style="342"/>
    <col min="14" max="16" width="7.3828125" style="342" customWidth="1"/>
    <col min="17" max="17" width="3.61328125" style="342" customWidth="1"/>
    <col min="18" max="18" width="11.53515625" style="342" customWidth="1"/>
    <col min="19" max="19" width="30.53515625" style="438" customWidth="1"/>
    <col min="20" max="20" width="9.3828125" style="342"/>
    <col min="21" max="22" width="7.3828125" style="342" customWidth="1"/>
    <col min="23" max="23" width="7.53515625" style="342" customWidth="1"/>
    <col min="24" max="24" width="3.61328125" style="342" customWidth="1"/>
    <col min="25" max="25" width="11.53515625" style="342" customWidth="1"/>
    <col min="26" max="26" width="30.53515625" style="438" customWidth="1"/>
    <col min="27" max="27" width="9.3828125" style="342"/>
    <col min="28" max="31" width="7.3828125" style="342" customWidth="1"/>
    <col min="32" max="32" width="7.53515625" style="342" customWidth="1"/>
    <col min="33" max="33" width="11.53515625" style="342" customWidth="1"/>
    <col min="34" max="34" width="30.53515625" style="438" customWidth="1"/>
    <col min="35" max="36" width="7.3828125" style="342" customWidth="1"/>
    <col min="37" max="37" width="7.53515625" style="342" customWidth="1"/>
    <col min="38" max="16384" width="9.3828125" style="342"/>
  </cols>
  <sheetData>
    <row r="1" spans="1:38" ht="36" customHeight="1" thickBot="1" x14ac:dyDescent="0.4">
      <c r="A1" s="679" t="s">
        <v>398</v>
      </c>
      <c r="B1" s="679"/>
      <c r="C1" s="679"/>
      <c r="D1" s="679"/>
      <c r="E1" s="679"/>
      <c r="F1" s="679"/>
      <c r="G1" s="679"/>
      <c r="H1" s="679"/>
      <c r="I1" s="679"/>
      <c r="J1" s="679"/>
      <c r="K1" s="679"/>
      <c r="L1" s="679"/>
      <c r="M1" s="679"/>
      <c r="N1" s="679"/>
      <c r="O1" s="679"/>
      <c r="P1" s="679"/>
      <c r="Q1" s="679"/>
      <c r="R1" s="679"/>
      <c r="S1" s="679"/>
      <c r="T1" s="679"/>
      <c r="U1" s="679"/>
      <c r="V1" s="679"/>
      <c r="W1" s="679"/>
      <c r="X1" s="679"/>
      <c r="Y1" s="679"/>
      <c r="Z1" s="679"/>
      <c r="AA1" s="679"/>
      <c r="AB1" s="679"/>
      <c r="AC1" s="679"/>
      <c r="AD1" s="679"/>
      <c r="AE1" s="679"/>
      <c r="AF1" s="679"/>
      <c r="AG1" s="679"/>
      <c r="AH1" s="679"/>
      <c r="AI1" s="679"/>
      <c r="AJ1" s="679"/>
      <c r="AK1" s="679"/>
      <c r="AL1" s="679"/>
    </row>
    <row r="2" spans="1:38" ht="19.5" customHeight="1" thickBot="1" x14ac:dyDescent="0.55000000000000004">
      <c r="A2" s="680" t="s">
        <v>399</v>
      </c>
      <c r="B2" s="680"/>
      <c r="C2" s="680"/>
      <c r="D2" s="680"/>
      <c r="E2" s="680"/>
      <c r="F2" s="681"/>
      <c r="G2" s="451" t="e">
        <f>I5+P5+W5+AH5+P53</f>
        <v>#N/A</v>
      </c>
      <c r="H2" s="343"/>
      <c r="I2" s="344"/>
      <c r="J2" s="345"/>
      <c r="K2" s="345"/>
      <c r="L2" s="345"/>
      <c r="M2" s="345"/>
      <c r="N2" s="345"/>
      <c r="O2" s="345"/>
      <c r="P2" s="345"/>
      <c r="Q2" s="345"/>
      <c r="R2" s="345"/>
      <c r="S2" s="345"/>
      <c r="T2" s="345"/>
      <c r="U2" s="345"/>
      <c r="V2" s="345"/>
      <c r="W2" s="345"/>
      <c r="X2" s="345"/>
      <c r="Y2" s="345"/>
      <c r="Z2" s="345"/>
      <c r="AA2" s="345"/>
      <c r="AB2" s="345"/>
      <c r="AC2" s="345"/>
      <c r="AD2" s="345"/>
      <c r="AE2" s="345"/>
      <c r="AF2" s="345"/>
      <c r="AG2" s="345"/>
      <c r="AH2" s="345"/>
      <c r="AI2" s="345"/>
      <c r="AJ2" s="345"/>
      <c r="AK2" s="345"/>
      <c r="AL2" s="345"/>
    </row>
    <row r="3" spans="1:38" s="346" customFormat="1" ht="13.3" thickBot="1" x14ac:dyDescent="0.45">
      <c r="C3" s="347"/>
      <c r="G3" s="347"/>
      <c r="L3" s="347"/>
      <c r="S3" s="347"/>
      <c r="Z3" s="347"/>
      <c r="AH3" s="347"/>
    </row>
    <row r="4" spans="1:38" s="346" customFormat="1" ht="30" customHeight="1" thickBot="1" x14ac:dyDescent="0.45">
      <c r="C4" s="347"/>
      <c r="D4" s="675" t="s">
        <v>400</v>
      </c>
      <c r="E4" s="676"/>
      <c r="F4" s="676"/>
      <c r="G4" s="676"/>
      <c r="H4" s="676"/>
      <c r="I4" s="677"/>
      <c r="K4" s="675" t="s">
        <v>401</v>
      </c>
      <c r="L4" s="676"/>
      <c r="M4" s="676"/>
      <c r="N4" s="676"/>
      <c r="O4" s="676"/>
      <c r="P4" s="677"/>
      <c r="R4" s="675" t="s">
        <v>402</v>
      </c>
      <c r="S4" s="676"/>
      <c r="T4" s="676"/>
      <c r="U4" s="676"/>
      <c r="V4" s="676"/>
      <c r="W4" s="677"/>
      <c r="Z4" s="347"/>
      <c r="AC4" s="675" t="s">
        <v>403</v>
      </c>
      <c r="AD4" s="676"/>
      <c r="AE4" s="676"/>
      <c r="AF4" s="676"/>
      <c r="AG4" s="676"/>
      <c r="AH4" s="677"/>
    </row>
    <row r="5" spans="1:38" s="346" customFormat="1" ht="30" customHeight="1" thickBot="1" x14ac:dyDescent="0.45">
      <c r="C5" s="347"/>
      <c r="D5" s="348" t="s">
        <v>404</v>
      </c>
      <c r="E5" s="349"/>
      <c r="F5" s="350"/>
      <c r="G5" s="351" t="s">
        <v>405</v>
      </c>
      <c r="H5" s="352"/>
      <c r="I5" s="452" t="e">
        <f>C14+C19+C24+C29+C34+C39+C44+C49+G14+G19+G24+G29</f>
        <v>#N/A</v>
      </c>
      <c r="K5" s="348" t="s">
        <v>406</v>
      </c>
      <c r="L5" s="354"/>
      <c r="M5" s="350"/>
      <c r="N5" s="352" t="s">
        <v>405</v>
      </c>
      <c r="O5" s="352"/>
      <c r="P5" s="452" t="e">
        <f>L14+L19+L24+L29+L34+L39</f>
        <v>#N/A</v>
      </c>
      <c r="R5" s="348" t="s">
        <v>407</v>
      </c>
      <c r="S5" s="354"/>
      <c r="T5" s="350"/>
      <c r="U5" s="352" t="s">
        <v>405</v>
      </c>
      <c r="V5" s="352"/>
      <c r="W5" s="353" t="e">
        <f>S14+S19+S24+S29+S34+S39+S44+S49</f>
        <v>#N/A</v>
      </c>
      <c r="Z5" s="347"/>
      <c r="AC5" s="348" t="s">
        <v>408</v>
      </c>
      <c r="AD5" s="349"/>
      <c r="AE5" s="350"/>
      <c r="AF5" s="352" t="s">
        <v>405</v>
      </c>
      <c r="AG5" s="352"/>
      <c r="AH5" s="453" t="e">
        <f>AD9+AD47+AD60+AL9</f>
        <v>#N/A</v>
      </c>
    </row>
    <row r="6" spans="1:38" s="346" customFormat="1" ht="30" customHeight="1" thickBot="1" x14ac:dyDescent="0.45">
      <c r="C6" s="347"/>
      <c r="D6" s="672" t="s">
        <v>409</v>
      </c>
      <c r="E6" s="673"/>
      <c r="F6" s="674"/>
      <c r="G6" s="355"/>
      <c r="H6" s="356"/>
      <c r="I6" s="357"/>
      <c r="K6" s="672" t="s">
        <v>410</v>
      </c>
      <c r="L6" s="673"/>
      <c r="M6" s="674"/>
      <c r="N6" s="358"/>
      <c r="O6" s="356"/>
      <c r="P6" s="357"/>
      <c r="R6" s="672" t="s">
        <v>411</v>
      </c>
      <c r="S6" s="673"/>
      <c r="T6" s="674"/>
      <c r="U6" s="358"/>
      <c r="V6" s="356"/>
      <c r="W6" s="357"/>
      <c r="Z6" s="347"/>
      <c r="AC6" s="672" t="s">
        <v>412</v>
      </c>
      <c r="AD6" s="673"/>
      <c r="AE6" s="674"/>
      <c r="AF6" s="359"/>
      <c r="AG6" s="359"/>
      <c r="AH6" s="360"/>
    </row>
    <row r="7" spans="1:38" s="346" customFormat="1" ht="13.3" thickBot="1" x14ac:dyDescent="0.45">
      <c r="C7" s="347"/>
      <c r="E7" s="361"/>
      <c r="F7" s="362"/>
      <c r="G7" s="363"/>
      <c r="H7" s="361"/>
      <c r="L7" s="364"/>
      <c r="M7" s="365"/>
      <c r="S7" s="364"/>
      <c r="T7" s="365"/>
      <c r="Z7" s="347"/>
      <c r="AC7" s="366"/>
      <c r="AE7" s="365"/>
      <c r="AH7" s="347"/>
    </row>
    <row r="8" spans="1:38" s="346" customFormat="1" ht="30" customHeight="1" thickBot="1" x14ac:dyDescent="0.45">
      <c r="C8" s="347"/>
      <c r="D8" s="367"/>
      <c r="G8" s="347"/>
      <c r="H8" s="368"/>
      <c r="L8" s="347"/>
      <c r="M8" s="369"/>
      <c r="S8" s="347"/>
      <c r="T8" s="369"/>
      <c r="Y8" s="675" t="s">
        <v>413</v>
      </c>
      <c r="Z8" s="676"/>
      <c r="AA8" s="676"/>
      <c r="AB8" s="676"/>
      <c r="AC8" s="676"/>
      <c r="AD8" s="677"/>
      <c r="AE8" s="448"/>
      <c r="AF8" s="449"/>
      <c r="AG8" s="675" t="s">
        <v>414</v>
      </c>
      <c r="AH8" s="676"/>
      <c r="AI8" s="676"/>
      <c r="AJ8" s="676"/>
      <c r="AK8" s="676"/>
      <c r="AL8" s="677"/>
    </row>
    <row r="9" spans="1:38" s="346" customFormat="1" ht="30" customHeight="1" thickBot="1" x14ac:dyDescent="0.45">
      <c r="C9" s="347"/>
      <c r="D9" s="683" t="s">
        <v>415</v>
      </c>
      <c r="E9" s="684"/>
      <c r="G9" s="347"/>
      <c r="H9" s="685" t="s">
        <v>416</v>
      </c>
      <c r="I9" s="686"/>
      <c r="L9" s="347"/>
      <c r="M9" s="369"/>
      <c r="S9" s="347"/>
      <c r="T9" s="369"/>
      <c r="Y9" s="672" t="s">
        <v>417</v>
      </c>
      <c r="Z9" s="673"/>
      <c r="AA9" s="674"/>
      <c r="AB9" s="352" t="s">
        <v>405</v>
      </c>
      <c r="AC9" s="352"/>
      <c r="AD9" s="452">
        <f>Z14+Z19+Z24+Z29+Z34+Z39+Z44</f>
        <v>676.02499315</v>
      </c>
      <c r="AE9" s="450"/>
      <c r="AF9" s="374"/>
      <c r="AG9" s="348" t="s">
        <v>418</v>
      </c>
      <c r="AH9" s="354"/>
      <c r="AI9" s="350"/>
      <c r="AJ9" s="352" t="s">
        <v>405</v>
      </c>
      <c r="AK9" s="352"/>
      <c r="AL9" s="452" t="e">
        <f>AH16+AH22+AH28</f>
        <v>#N/A</v>
      </c>
    </row>
    <row r="10" spans="1:38" s="346" customFormat="1" ht="15" thickBot="1" x14ac:dyDescent="0.45">
      <c r="C10" s="347"/>
      <c r="D10" s="365"/>
      <c r="G10" s="347"/>
      <c r="H10" s="365"/>
      <c r="L10" s="347"/>
      <c r="M10" s="369"/>
      <c r="R10" s="374" t="s">
        <v>419</v>
      </c>
      <c r="S10" s="347"/>
      <c r="T10" s="369"/>
      <c r="Z10" s="347"/>
      <c r="AA10" s="369"/>
      <c r="AE10" s="369"/>
      <c r="AG10" s="672" t="s">
        <v>420</v>
      </c>
      <c r="AH10" s="673"/>
      <c r="AI10" s="674"/>
      <c r="AJ10" s="375"/>
      <c r="AK10" s="375"/>
      <c r="AL10" s="376"/>
    </row>
    <row r="11" spans="1:38" s="346" customFormat="1" ht="30" customHeight="1" x14ac:dyDescent="0.4">
      <c r="B11" s="377" t="s">
        <v>421</v>
      </c>
      <c r="C11" s="378" t="s">
        <v>112</v>
      </c>
      <c r="D11" s="370"/>
      <c r="F11" s="379" t="s">
        <v>421</v>
      </c>
      <c r="G11" s="380" t="s">
        <v>99</v>
      </c>
      <c r="H11" s="370"/>
      <c r="K11" s="381" t="s">
        <v>421</v>
      </c>
      <c r="L11" s="382" t="s">
        <v>108</v>
      </c>
      <c r="M11" s="370"/>
      <c r="R11" s="379" t="s">
        <v>421</v>
      </c>
      <c r="S11" s="380" t="s">
        <v>102</v>
      </c>
      <c r="T11" s="370"/>
      <c r="Y11" s="383" t="s">
        <v>421</v>
      </c>
      <c r="Z11" s="384" t="s">
        <v>116</v>
      </c>
      <c r="AA11" s="370"/>
      <c r="AE11" s="369"/>
      <c r="AH11" s="347"/>
      <c r="AI11" s="369"/>
    </row>
    <row r="12" spans="1:38" s="346" customFormat="1" ht="30" customHeight="1" thickBot="1" x14ac:dyDescent="0.45">
      <c r="B12" s="385" t="s">
        <v>422</v>
      </c>
      <c r="C12" s="386" t="s">
        <v>111</v>
      </c>
      <c r="D12" s="369"/>
      <c r="F12" s="387" t="s">
        <v>422</v>
      </c>
      <c r="G12" s="388" t="s">
        <v>98</v>
      </c>
      <c r="H12" s="369"/>
      <c r="K12" s="389" t="s">
        <v>422</v>
      </c>
      <c r="L12" s="390" t="s">
        <v>13</v>
      </c>
      <c r="M12" s="369"/>
      <c r="R12" s="387" t="s">
        <v>422</v>
      </c>
      <c r="S12" s="388" t="s">
        <v>101</v>
      </c>
      <c r="T12" s="369"/>
      <c r="Y12" s="391" t="s">
        <v>422</v>
      </c>
      <c r="Z12" s="392" t="s">
        <v>115</v>
      </c>
      <c r="AA12" s="369"/>
      <c r="AE12" s="369"/>
      <c r="AG12" s="346" t="s">
        <v>414</v>
      </c>
      <c r="AH12" s="347"/>
      <c r="AJ12" s="393"/>
    </row>
    <row r="13" spans="1:38" s="346" customFormat="1" ht="30" customHeight="1" x14ac:dyDescent="0.4">
      <c r="B13" s="394" t="s">
        <v>423</v>
      </c>
      <c r="C13" s="386" t="s">
        <v>424</v>
      </c>
      <c r="D13" s="369"/>
      <c r="F13" s="395" t="s">
        <v>425</v>
      </c>
      <c r="G13" s="388" t="s">
        <v>426</v>
      </c>
      <c r="H13" s="369"/>
      <c r="K13" s="389" t="s">
        <v>425</v>
      </c>
      <c r="L13" s="390" t="s">
        <v>427</v>
      </c>
      <c r="M13" s="369"/>
      <c r="R13" s="387" t="s">
        <v>425</v>
      </c>
      <c r="S13" s="388" t="s">
        <v>428</v>
      </c>
      <c r="T13" s="369"/>
      <c r="Y13" s="391" t="s">
        <v>423</v>
      </c>
      <c r="Z13" s="392" t="s">
        <v>429</v>
      </c>
      <c r="AA13" s="369"/>
      <c r="AE13" s="369"/>
      <c r="AG13" s="383" t="s">
        <v>421</v>
      </c>
      <c r="AH13" s="384" t="s">
        <v>361</v>
      </c>
      <c r="AI13" s="369"/>
    </row>
    <row r="14" spans="1:38" s="346" customFormat="1" ht="30" customHeight="1" thickBot="1" x14ac:dyDescent="0.45">
      <c r="B14" s="396" t="s">
        <v>430</v>
      </c>
      <c r="C14" s="397">
        <f>VLOOKUP(C12,'5a)NDA MPPR'!$B$9:$AK$61,21,FALSE)</f>
        <v>1466.5527000100001</v>
      </c>
      <c r="D14" s="369"/>
      <c r="F14" s="398" t="s">
        <v>430</v>
      </c>
      <c r="G14" s="399">
        <f>VLOOKUP(G12,'5a)NDA MPPR'!$B$9:$AK$61,21,FALSE)</f>
        <v>1445.0750578699999</v>
      </c>
      <c r="H14" s="369"/>
      <c r="K14" s="400" t="s">
        <v>430</v>
      </c>
      <c r="L14" s="401">
        <f>VLOOKUP(L12,'5a)NDA MPPR'!$B$9:$AK$61,21,FALSE)</f>
        <v>148.9014076</v>
      </c>
      <c r="M14" s="369"/>
      <c r="R14" s="398" t="s">
        <v>430</v>
      </c>
      <c r="S14" s="399">
        <f>VLOOKUP(S12,'5a)NDA MPPR'!$B$9:$AK$61,21,FALSE)</f>
        <v>458.24395555000001</v>
      </c>
      <c r="T14" s="369"/>
      <c r="Y14" s="402" t="s">
        <v>430</v>
      </c>
      <c r="Z14" s="403">
        <f>VLOOKUP(Z12,'5a)NDA MPPR'!$B$9:$AK$61,21,FALSE)</f>
        <v>427.81347215</v>
      </c>
      <c r="AA14" s="369"/>
      <c r="AE14" s="369"/>
      <c r="AG14" s="391" t="s">
        <v>422</v>
      </c>
      <c r="AH14" s="392" t="s">
        <v>362</v>
      </c>
      <c r="AI14" s="370"/>
    </row>
    <row r="15" spans="1:38" s="346" customFormat="1" ht="30" customHeight="1" thickBot="1" x14ac:dyDescent="0.45">
      <c r="C15" s="347"/>
      <c r="D15" s="369"/>
      <c r="G15" s="347"/>
      <c r="H15" s="369"/>
      <c r="L15" s="347"/>
      <c r="M15" s="369"/>
      <c r="S15" s="347"/>
      <c r="U15" s="393"/>
      <c r="Z15" s="347"/>
      <c r="AA15" s="369"/>
      <c r="AE15" s="369"/>
      <c r="AG15" s="391" t="s">
        <v>425</v>
      </c>
      <c r="AH15" s="392" t="s">
        <v>431</v>
      </c>
      <c r="AI15" s="369"/>
    </row>
    <row r="16" spans="1:38" s="346" customFormat="1" ht="30" customHeight="1" thickBot="1" x14ac:dyDescent="0.45">
      <c r="B16" s="377" t="s">
        <v>421</v>
      </c>
      <c r="C16" s="378" t="s">
        <v>114</v>
      </c>
      <c r="D16" s="370"/>
      <c r="F16" s="383" t="s">
        <v>421</v>
      </c>
      <c r="G16" s="384" t="s">
        <v>123</v>
      </c>
      <c r="H16" s="370"/>
      <c r="K16" s="381" t="s">
        <v>421</v>
      </c>
      <c r="L16" s="382" t="s">
        <v>107</v>
      </c>
      <c r="M16" s="370"/>
      <c r="R16" s="381" t="s">
        <v>421</v>
      </c>
      <c r="S16" s="382" t="s">
        <v>100</v>
      </c>
      <c r="T16" s="370"/>
      <c r="Y16" s="404" t="s">
        <v>421</v>
      </c>
      <c r="Z16" s="405" t="s">
        <v>313</v>
      </c>
      <c r="AA16" s="370"/>
      <c r="AE16" s="369"/>
      <c r="AG16" s="402" t="s">
        <v>430</v>
      </c>
      <c r="AH16" s="403">
        <f>VLOOKUP(AH14,'4b) SL EPO Extended Data Sheet'!$A$5:$AB$176,16,FALSE)/1000000</f>
        <v>32.152518999999998</v>
      </c>
      <c r="AI16" s="369"/>
    </row>
    <row r="17" spans="2:36" s="346" customFormat="1" ht="30" customHeight="1" x14ac:dyDescent="0.4">
      <c r="B17" s="385" t="s">
        <v>422</v>
      </c>
      <c r="C17" s="386" t="s">
        <v>113</v>
      </c>
      <c r="D17" s="369"/>
      <c r="F17" s="391" t="s">
        <v>422</v>
      </c>
      <c r="G17" s="392" t="s">
        <v>5</v>
      </c>
      <c r="H17" s="369"/>
      <c r="K17" s="389" t="s">
        <v>422</v>
      </c>
      <c r="L17" s="390" t="s">
        <v>234</v>
      </c>
      <c r="M17" s="369"/>
      <c r="R17" s="389" t="s">
        <v>422</v>
      </c>
      <c r="S17" s="390" t="s">
        <v>7</v>
      </c>
      <c r="T17" s="369"/>
      <c r="Y17" s="406" t="s">
        <v>422</v>
      </c>
      <c r="Z17" s="407" t="s">
        <v>329</v>
      </c>
      <c r="AA17" s="369"/>
      <c r="AE17" s="369"/>
      <c r="AH17" s="408"/>
      <c r="AJ17" s="393"/>
    </row>
    <row r="18" spans="2:36" s="346" customFormat="1" ht="30" customHeight="1" thickBot="1" x14ac:dyDescent="0.45">
      <c r="B18" s="394" t="s">
        <v>423</v>
      </c>
      <c r="C18" s="386" t="s">
        <v>424</v>
      </c>
      <c r="D18" s="369"/>
      <c r="F18" s="391" t="s">
        <v>425</v>
      </c>
      <c r="G18" s="392" t="s">
        <v>432</v>
      </c>
      <c r="H18" s="369"/>
      <c r="K18" s="389" t="s">
        <v>425</v>
      </c>
      <c r="L18" s="390" t="s">
        <v>427</v>
      </c>
      <c r="M18" s="369"/>
      <c r="R18" s="409" t="s">
        <v>425</v>
      </c>
      <c r="S18" s="390" t="s">
        <v>426</v>
      </c>
      <c r="T18" s="369"/>
      <c r="Y18" s="406" t="s">
        <v>425</v>
      </c>
      <c r="Z18" s="407" t="s">
        <v>433</v>
      </c>
      <c r="AA18" s="369"/>
      <c r="AE18" s="369"/>
      <c r="AG18" s="346" t="s">
        <v>434</v>
      </c>
      <c r="AH18" s="347"/>
      <c r="AJ18" s="393"/>
    </row>
    <row r="19" spans="2:36" s="346" customFormat="1" ht="30" customHeight="1" thickBot="1" x14ac:dyDescent="0.45">
      <c r="B19" s="396" t="s">
        <v>430</v>
      </c>
      <c r="C19" s="397">
        <f>VLOOKUP(C17,'5a)NDA MPPR'!$B$9:$AK$61,21,FALSE)</f>
        <v>1120.8756530999999</v>
      </c>
      <c r="D19" s="369"/>
      <c r="F19" s="402" t="s">
        <v>430</v>
      </c>
      <c r="G19" s="403">
        <f>VLOOKUP(G17,'5a)NDA MPPR'!$B$9:$AK$61,21,FALSE)</f>
        <v>315.08360672000003</v>
      </c>
      <c r="H19" s="369"/>
      <c r="K19" s="400" t="s">
        <v>430</v>
      </c>
      <c r="L19" s="401">
        <f>VLOOKUP(L17,'5a)NDA MPPR'!$B$9:$AK$61,21,FALSE)</f>
        <v>87.561964900000007</v>
      </c>
      <c r="M19" s="369"/>
      <c r="R19" s="400" t="s">
        <v>430</v>
      </c>
      <c r="S19" s="401">
        <f>VLOOKUP(S17,'5a)NDA MPPR'!$B$9:$AK$61,21,FALSE)</f>
        <v>887.19569248000005</v>
      </c>
      <c r="T19" s="369"/>
      <c r="Y19" s="410" t="s">
        <v>430</v>
      </c>
      <c r="Z19" s="411">
        <f>VLOOKUP(Z17,'4b) SL EPO Extended Data Sheet'!$A$5:$AB$176,16,FALSE)/1000000</f>
        <v>20.914988999999998</v>
      </c>
      <c r="AA19" s="369"/>
      <c r="AE19" s="369"/>
      <c r="AG19" s="404" t="s">
        <v>421</v>
      </c>
      <c r="AH19" s="405" t="s">
        <v>370</v>
      </c>
      <c r="AI19" s="362"/>
      <c r="AJ19" s="393"/>
    </row>
    <row r="20" spans="2:36" s="346" customFormat="1" ht="30" customHeight="1" thickBot="1" x14ac:dyDescent="0.45">
      <c r="C20" s="347"/>
      <c r="D20" s="369"/>
      <c r="G20" s="347"/>
      <c r="H20" s="369"/>
      <c r="L20" s="347"/>
      <c r="M20" s="369"/>
      <c r="S20" s="347"/>
      <c r="T20" s="369"/>
      <c r="Z20" s="347"/>
      <c r="AA20" s="369"/>
      <c r="AE20" s="369"/>
      <c r="AG20" s="406" t="s">
        <v>422</v>
      </c>
      <c r="AH20" s="407" t="s">
        <v>374</v>
      </c>
      <c r="AJ20" s="393"/>
    </row>
    <row r="21" spans="2:36" s="346" customFormat="1" ht="30" customHeight="1" x14ac:dyDescent="0.4">
      <c r="B21" s="377" t="s">
        <v>421</v>
      </c>
      <c r="C21" s="378" t="s">
        <v>118</v>
      </c>
      <c r="D21" s="370"/>
      <c r="F21" s="381" t="s">
        <v>421</v>
      </c>
      <c r="G21" s="382" t="s">
        <v>120</v>
      </c>
      <c r="H21" s="370"/>
      <c r="K21" s="381" t="s">
        <v>421</v>
      </c>
      <c r="L21" s="382" t="s">
        <v>302</v>
      </c>
      <c r="M21" s="370"/>
      <c r="R21" s="381" t="s">
        <v>421</v>
      </c>
      <c r="S21" s="382" t="s">
        <v>312</v>
      </c>
      <c r="T21" s="370"/>
      <c r="Y21" s="404" t="s">
        <v>421</v>
      </c>
      <c r="Z21" s="405" t="s">
        <v>347</v>
      </c>
      <c r="AA21" s="370"/>
      <c r="AE21" s="369"/>
      <c r="AG21" s="406" t="s">
        <v>423</v>
      </c>
      <c r="AH21" s="412" t="s">
        <v>429</v>
      </c>
      <c r="AJ21" s="393"/>
    </row>
    <row r="22" spans="2:36" s="346" customFormat="1" ht="30" customHeight="1" thickBot="1" x14ac:dyDescent="0.45">
      <c r="B22" s="385" t="s">
        <v>422</v>
      </c>
      <c r="C22" s="386" t="s">
        <v>117</v>
      </c>
      <c r="D22" s="369"/>
      <c r="F22" s="389" t="s">
        <v>422</v>
      </c>
      <c r="G22" s="390" t="s">
        <v>119</v>
      </c>
      <c r="H22" s="369"/>
      <c r="K22" s="389" t="s">
        <v>422</v>
      </c>
      <c r="L22" s="390" t="s">
        <v>307</v>
      </c>
      <c r="M22" s="369"/>
      <c r="R22" s="389" t="s">
        <v>422</v>
      </c>
      <c r="S22" s="390" t="s">
        <v>316</v>
      </c>
      <c r="T22" s="369"/>
      <c r="Y22" s="406" t="s">
        <v>422</v>
      </c>
      <c r="Z22" s="407" t="s">
        <v>348</v>
      </c>
      <c r="AA22" s="369"/>
      <c r="AE22" s="369"/>
      <c r="AG22" s="410" t="s">
        <v>430</v>
      </c>
      <c r="AH22" s="411">
        <f>VLOOKUP(AH20,'4b) SL EPO Extended Data Sheet'!$A$5:$AB$176,16,FALSE)/1000000</f>
        <v>64.421715000000006</v>
      </c>
      <c r="AJ22" s="393"/>
    </row>
    <row r="23" spans="2:36" s="346" customFormat="1" ht="30" customHeight="1" x14ac:dyDescent="0.4">
      <c r="B23" s="385" t="s">
        <v>423</v>
      </c>
      <c r="C23" s="386" t="s">
        <v>429</v>
      </c>
      <c r="D23" s="369"/>
      <c r="F23" s="389" t="s">
        <v>425</v>
      </c>
      <c r="G23" s="390" t="s">
        <v>432</v>
      </c>
      <c r="H23" s="369"/>
      <c r="K23" s="389" t="s">
        <v>425</v>
      </c>
      <c r="L23" s="390" t="s">
        <v>427</v>
      </c>
      <c r="M23" s="369"/>
      <c r="R23" s="389" t="s">
        <v>425</v>
      </c>
      <c r="S23" s="390" t="s">
        <v>426</v>
      </c>
      <c r="T23" s="369"/>
      <c r="Y23" s="406" t="s">
        <v>425</v>
      </c>
      <c r="Z23" s="407" t="s">
        <v>435</v>
      </c>
      <c r="AA23" s="369"/>
      <c r="AE23" s="369"/>
      <c r="AH23" s="347"/>
      <c r="AJ23" s="393"/>
    </row>
    <row r="24" spans="2:36" s="346" customFormat="1" ht="30" customHeight="1" thickBot="1" x14ac:dyDescent="0.45">
      <c r="B24" s="396" t="s">
        <v>430</v>
      </c>
      <c r="C24" s="397" t="e">
        <f>VLOOKUP(C22,'5a)NDA MPPR'!$B$9:$AK$61,21,FALSE)</f>
        <v>#N/A</v>
      </c>
      <c r="D24" s="369"/>
      <c r="F24" s="400" t="s">
        <v>430</v>
      </c>
      <c r="G24" s="401">
        <f>VLOOKUP(G22,'5a)NDA MPPR'!$B$9:$AK$61,21,FALSE)</f>
        <v>71.07906328</v>
      </c>
      <c r="H24" s="369"/>
      <c r="K24" s="400" t="s">
        <v>430</v>
      </c>
      <c r="L24" s="401">
        <f>VLOOKUP(L22,'5a)NDA MPPR'!$B$9:$AK$61,21,FALSE)</f>
        <v>53.218374470000001</v>
      </c>
      <c r="M24" s="369"/>
      <c r="R24" s="400" t="s">
        <v>430</v>
      </c>
      <c r="S24" s="401">
        <f>VLOOKUP(S22,'4b) SL EPO Extended Data Sheet'!$A$5:$AB$176,16,FALSE)/1000000</f>
        <v>103.818153</v>
      </c>
      <c r="T24" s="369"/>
      <c r="Y24" s="410" t="s">
        <v>430</v>
      </c>
      <c r="Z24" s="411">
        <f>VLOOKUP(Z22,'4b) SL EPO Extended Data Sheet'!$A$5:$AB$176,16,FALSE)/1000000</f>
        <v>26.545166999999999</v>
      </c>
      <c r="AA24" s="369"/>
      <c r="AE24" s="369"/>
      <c r="AG24" s="346" t="s">
        <v>436</v>
      </c>
      <c r="AH24" s="347"/>
      <c r="AJ24" s="393"/>
    </row>
    <row r="25" spans="2:36" s="346" customFormat="1" ht="30" customHeight="1" thickBot="1" x14ac:dyDescent="0.45">
      <c r="B25" s="374" t="s">
        <v>437</v>
      </c>
      <c r="C25" s="347"/>
      <c r="D25" s="369"/>
      <c r="G25" s="347"/>
      <c r="H25" s="369"/>
      <c r="L25" s="347"/>
      <c r="M25" s="369"/>
      <c r="S25" s="347"/>
      <c r="T25" s="369"/>
      <c r="Z25" s="347"/>
      <c r="AA25" s="369"/>
      <c r="AE25" s="369"/>
      <c r="AG25" s="404" t="s">
        <v>421</v>
      </c>
      <c r="AH25" s="405" t="s">
        <v>355</v>
      </c>
      <c r="AI25" s="369"/>
      <c r="AJ25" s="393"/>
    </row>
    <row r="26" spans="2:36" s="346" customFormat="1" ht="30" customHeight="1" x14ac:dyDescent="0.4">
      <c r="B26" s="377" t="s">
        <v>421</v>
      </c>
      <c r="C26" s="378" t="s">
        <v>97</v>
      </c>
      <c r="D26" s="370"/>
      <c r="F26" s="413" t="s">
        <v>421</v>
      </c>
      <c r="G26" s="414" t="s">
        <v>122</v>
      </c>
      <c r="H26" s="370"/>
      <c r="K26" s="381" t="s">
        <v>421</v>
      </c>
      <c r="L26" s="382" t="s">
        <v>171</v>
      </c>
      <c r="M26" s="370"/>
      <c r="R26" s="381" t="s">
        <v>421</v>
      </c>
      <c r="S26" s="382" t="s">
        <v>104</v>
      </c>
      <c r="T26" s="370"/>
      <c r="Y26" s="404" t="s">
        <v>421</v>
      </c>
      <c r="Z26" s="405" t="s">
        <v>341</v>
      </c>
      <c r="AA26" s="370"/>
      <c r="AE26" s="369"/>
      <c r="AG26" s="406" t="s">
        <v>422</v>
      </c>
      <c r="AH26" s="407" t="s">
        <v>356</v>
      </c>
      <c r="AI26" s="370"/>
    </row>
    <row r="27" spans="2:36" s="346" customFormat="1" ht="30" customHeight="1" x14ac:dyDescent="0.4">
      <c r="B27" s="385" t="s">
        <v>422</v>
      </c>
      <c r="C27" s="386" t="s">
        <v>96</v>
      </c>
      <c r="D27" s="369"/>
      <c r="F27" s="415" t="s">
        <v>422</v>
      </c>
      <c r="G27" s="416" t="s">
        <v>121</v>
      </c>
      <c r="K27" s="389" t="s">
        <v>422</v>
      </c>
      <c r="L27" s="390" t="s">
        <v>306</v>
      </c>
      <c r="M27" s="369"/>
      <c r="R27" s="389" t="s">
        <v>422</v>
      </c>
      <c r="S27" s="390" t="s">
        <v>103</v>
      </c>
      <c r="T27" s="369"/>
      <c r="Y27" s="406" t="s">
        <v>422</v>
      </c>
      <c r="Z27" s="407" t="s">
        <v>342</v>
      </c>
      <c r="AA27" s="369"/>
      <c r="AE27" s="369"/>
      <c r="AG27" s="406" t="s">
        <v>423</v>
      </c>
      <c r="AH27" s="407" t="s">
        <v>429</v>
      </c>
    </row>
    <row r="28" spans="2:36" s="346" customFormat="1" ht="30" customHeight="1" thickBot="1" x14ac:dyDescent="0.45">
      <c r="B28" s="385" t="s">
        <v>423</v>
      </c>
      <c r="C28" s="386" t="s">
        <v>438</v>
      </c>
      <c r="D28" s="369"/>
      <c r="F28" s="415" t="s">
        <v>425</v>
      </c>
      <c r="G28" s="416" t="s">
        <v>432</v>
      </c>
      <c r="K28" s="389" t="s">
        <v>425</v>
      </c>
      <c r="L28" s="390" t="s">
        <v>424</v>
      </c>
      <c r="M28" s="369"/>
      <c r="R28" s="389" t="s">
        <v>425</v>
      </c>
      <c r="S28" s="390" t="s">
        <v>428</v>
      </c>
      <c r="T28" s="369"/>
      <c r="Y28" s="406" t="s">
        <v>423</v>
      </c>
      <c r="Z28" s="407" t="s">
        <v>429</v>
      </c>
      <c r="AA28" s="369"/>
      <c r="AE28" s="369"/>
      <c r="AG28" s="410" t="s">
        <v>430</v>
      </c>
      <c r="AH28" s="411" t="e">
        <f>VLOOKUP(AH26,'4b) SL EPO Extended Data Sheet'!$A$5:$AB$176,16,FALSE)/1000000</f>
        <v>#N/A</v>
      </c>
    </row>
    <row r="29" spans="2:36" s="346" customFormat="1" ht="30" customHeight="1" thickBot="1" x14ac:dyDescent="0.45">
      <c r="B29" s="396" t="s">
        <v>430</v>
      </c>
      <c r="C29" s="397">
        <f>VLOOKUP(C27,'5a)NDA MPPR'!$B$9:$AK$61,21,FALSE)</f>
        <v>749.16802775999997</v>
      </c>
      <c r="D29" s="369"/>
      <c r="F29" s="417" t="s">
        <v>430</v>
      </c>
      <c r="G29" s="418">
        <f>VLOOKUP(G27,'5a)NDA MPPR'!$B$9:$AK$61,21,FALSE)</f>
        <v>18.769073489999997</v>
      </c>
      <c r="K29" s="400" t="s">
        <v>430</v>
      </c>
      <c r="L29" s="401">
        <f>VLOOKUP(L27,'4b) SL EPO Extended Data Sheet'!$A$5:$AB$176,16,FALSE)/1000000</f>
        <v>38.593831999999999</v>
      </c>
      <c r="M29" s="369"/>
      <c r="R29" s="400" t="s">
        <v>430</v>
      </c>
      <c r="S29" s="401">
        <f>VLOOKUP(S27,'5a)NDA MPPR'!$B$9:$AK$61,21,FALSE)</f>
        <v>72.459951750000002</v>
      </c>
      <c r="T29" s="369"/>
      <c r="Y29" s="410" t="s">
        <v>430</v>
      </c>
      <c r="Z29" s="411">
        <f>VLOOKUP(Z27,'4b) SL EPO Extended Data Sheet'!$A$5:$AB$176,16,FALSE)/1000000</f>
        <v>84.328299000000001</v>
      </c>
      <c r="AA29" s="369"/>
      <c r="AE29" s="369"/>
      <c r="AH29" s="347"/>
    </row>
    <row r="30" spans="2:36" s="346" customFormat="1" ht="30" customHeight="1" thickBot="1" x14ac:dyDescent="0.45">
      <c r="C30" s="347"/>
      <c r="D30" s="369"/>
      <c r="F30" s="374" t="s">
        <v>437</v>
      </c>
      <c r="G30" s="347"/>
      <c r="L30" s="347"/>
      <c r="M30" s="369"/>
      <c r="S30" s="347"/>
      <c r="T30" s="369"/>
      <c r="Z30" s="347"/>
      <c r="AA30" s="369"/>
      <c r="AE30" s="369"/>
      <c r="AH30" s="347"/>
    </row>
    <row r="31" spans="2:36" s="346" customFormat="1" ht="30" customHeight="1" x14ac:dyDescent="0.4">
      <c r="B31" s="377" t="s">
        <v>421</v>
      </c>
      <c r="C31" s="378" t="s">
        <v>110</v>
      </c>
      <c r="D31" s="370"/>
      <c r="G31" s="347"/>
      <c r="K31" s="404" t="s">
        <v>421</v>
      </c>
      <c r="L31" s="405" t="s">
        <v>349</v>
      </c>
      <c r="M31" s="370"/>
      <c r="R31" s="381" t="s">
        <v>421</v>
      </c>
      <c r="S31" s="382" t="s">
        <v>106</v>
      </c>
      <c r="T31" s="370"/>
      <c r="Y31" s="383" t="s">
        <v>421</v>
      </c>
      <c r="Z31" s="384" t="s">
        <v>363</v>
      </c>
      <c r="AA31" s="370"/>
      <c r="AE31" s="369"/>
      <c r="AG31" s="447" t="s">
        <v>439</v>
      </c>
      <c r="AH31" s="347"/>
    </row>
    <row r="32" spans="2:36" s="346" customFormat="1" ht="30" customHeight="1" thickBot="1" x14ac:dyDescent="0.45">
      <c r="B32" s="385" t="s">
        <v>422</v>
      </c>
      <c r="C32" s="386" t="s">
        <v>109</v>
      </c>
      <c r="D32" s="369"/>
      <c r="G32" s="347"/>
      <c r="K32" s="406" t="s">
        <v>422</v>
      </c>
      <c r="L32" s="407" t="s">
        <v>350</v>
      </c>
      <c r="M32" s="419"/>
      <c r="R32" s="389" t="s">
        <v>422</v>
      </c>
      <c r="S32" s="390" t="s">
        <v>105</v>
      </c>
      <c r="T32" s="369"/>
      <c r="Y32" s="391" t="s">
        <v>422</v>
      </c>
      <c r="Z32" s="392" t="s">
        <v>364</v>
      </c>
      <c r="AB32" s="393"/>
      <c r="AE32" s="369"/>
      <c r="AG32" s="420"/>
      <c r="AH32" s="347"/>
    </row>
    <row r="33" spans="2:34" s="346" customFormat="1" ht="30" customHeight="1" thickBot="1" x14ac:dyDescent="0.45">
      <c r="B33" s="385" t="s">
        <v>423</v>
      </c>
      <c r="C33" s="386" t="s">
        <v>438</v>
      </c>
      <c r="D33" s="369"/>
      <c r="G33" s="347"/>
      <c r="K33" s="406" t="s">
        <v>423</v>
      </c>
      <c r="L33" s="407" t="s">
        <v>438</v>
      </c>
      <c r="M33" s="421"/>
      <c r="R33" s="389" t="s">
        <v>425</v>
      </c>
      <c r="S33" s="390" t="s">
        <v>428</v>
      </c>
      <c r="T33" s="369"/>
      <c r="Y33" s="391" t="s">
        <v>425</v>
      </c>
      <c r="Z33" s="392" t="s">
        <v>440</v>
      </c>
      <c r="AB33" s="393"/>
      <c r="AE33" s="369"/>
      <c r="AG33" s="422"/>
      <c r="AH33" s="347" t="s">
        <v>441</v>
      </c>
    </row>
    <row r="34" spans="2:34" s="346" customFormat="1" ht="30" customHeight="1" thickBot="1" x14ac:dyDescent="0.45">
      <c r="B34" s="396" t="s">
        <v>430</v>
      </c>
      <c r="C34" s="397">
        <f>VLOOKUP(C32,'4b) SL EPO Extended Data Sheet'!$A$5:$AB$176,16,FALSE)/1000000</f>
        <v>142.42993999999999</v>
      </c>
      <c r="D34" s="369"/>
      <c r="G34" s="347"/>
      <c r="K34" s="410" t="s">
        <v>430</v>
      </c>
      <c r="L34" s="411" t="e">
        <f>VLOOKUP(L32,'4b) SL EPO Extended Data Sheet'!$A$5:$AB$176,16,FALSE)/1000000</f>
        <v>#N/A</v>
      </c>
      <c r="N34" s="393"/>
      <c r="R34" s="400" t="s">
        <v>430</v>
      </c>
      <c r="S34" s="401">
        <f>VLOOKUP(S32,'4b) SL EPO Extended Data Sheet'!$A$5:$AB$176,16,FALSE)/1000000</f>
        <v>74.471368999999996</v>
      </c>
      <c r="T34" s="369"/>
      <c r="Y34" s="402" t="s">
        <v>430</v>
      </c>
      <c r="Z34" s="403">
        <f>VLOOKUP(Z32,'4b) SL EPO Extended Data Sheet'!$A$5:$AB$176,16,FALSE)/1000000</f>
        <v>30.826938999999999</v>
      </c>
      <c r="AB34" s="393"/>
      <c r="AE34" s="369"/>
      <c r="AH34" s="347"/>
    </row>
    <row r="35" spans="2:34" s="346" customFormat="1" ht="30" customHeight="1" thickBot="1" x14ac:dyDescent="0.45">
      <c r="C35" s="347"/>
      <c r="D35" s="369"/>
      <c r="G35" s="347"/>
      <c r="L35" s="347"/>
      <c r="M35" s="369"/>
      <c r="S35" s="347"/>
      <c r="T35" s="369"/>
      <c r="Z35" s="347"/>
      <c r="AA35" s="369"/>
      <c r="AE35" s="369"/>
      <c r="AG35" s="423"/>
      <c r="AH35" s="347" t="s">
        <v>442</v>
      </c>
    </row>
    <row r="36" spans="2:34" s="346" customFormat="1" ht="30" customHeight="1" thickBot="1" x14ac:dyDescent="0.45">
      <c r="B36" s="377" t="s">
        <v>421</v>
      </c>
      <c r="C36" s="378" t="s">
        <v>339</v>
      </c>
      <c r="D36" s="370"/>
      <c r="G36" s="347"/>
      <c r="K36" s="404" t="s">
        <v>421</v>
      </c>
      <c r="L36" s="405" t="s">
        <v>351</v>
      </c>
      <c r="M36" s="370"/>
      <c r="R36" s="381" t="s">
        <v>421</v>
      </c>
      <c r="S36" s="382" t="s">
        <v>94</v>
      </c>
      <c r="T36" s="370"/>
      <c r="Y36" s="404" t="s">
        <v>421</v>
      </c>
      <c r="Z36" s="405" t="s">
        <v>357</v>
      </c>
      <c r="AA36" s="370"/>
      <c r="AE36" s="369"/>
      <c r="AG36" s="420"/>
      <c r="AH36" s="347"/>
    </row>
    <row r="37" spans="2:34" s="346" customFormat="1" ht="30" customHeight="1" thickBot="1" x14ac:dyDescent="0.45">
      <c r="B37" s="385" t="s">
        <v>422</v>
      </c>
      <c r="C37" s="386" t="s">
        <v>340</v>
      </c>
      <c r="D37" s="369"/>
      <c r="G37" s="347"/>
      <c r="K37" s="406" t="s">
        <v>422</v>
      </c>
      <c r="L37" s="407" t="s">
        <v>352</v>
      </c>
      <c r="R37" s="389" t="s">
        <v>422</v>
      </c>
      <c r="S37" s="390" t="s">
        <v>93</v>
      </c>
      <c r="T37" s="419"/>
      <c r="Y37" s="406" t="s">
        <v>422</v>
      </c>
      <c r="Z37" s="407" t="s">
        <v>358</v>
      </c>
      <c r="AB37" s="393"/>
      <c r="AE37" s="369"/>
      <c r="AG37" s="424"/>
      <c r="AH37" s="347" t="s">
        <v>444</v>
      </c>
    </row>
    <row r="38" spans="2:34" s="346" customFormat="1" ht="30" customHeight="1" thickBot="1" x14ac:dyDescent="0.45">
      <c r="B38" s="385" t="s">
        <v>425</v>
      </c>
      <c r="C38" s="386" t="s">
        <v>443</v>
      </c>
      <c r="D38" s="369"/>
      <c r="G38" s="347"/>
      <c r="K38" s="406" t="s">
        <v>423</v>
      </c>
      <c r="L38" s="407" t="s">
        <v>438</v>
      </c>
      <c r="R38" s="389" t="s">
        <v>425</v>
      </c>
      <c r="S38" s="390" t="s">
        <v>443</v>
      </c>
      <c r="T38" s="421"/>
      <c r="Y38" s="406" t="s">
        <v>423</v>
      </c>
      <c r="Z38" s="412" t="s">
        <v>429</v>
      </c>
      <c r="AB38" s="393"/>
      <c r="AE38" s="369"/>
      <c r="AH38" s="347"/>
    </row>
    <row r="39" spans="2:34" s="346" customFormat="1" ht="30" customHeight="1" thickBot="1" x14ac:dyDescent="0.45">
      <c r="B39" s="396" t="s">
        <v>430</v>
      </c>
      <c r="C39" s="397">
        <f>VLOOKUP(C37,'4b) SL EPO Extended Data Sheet'!$A$5:$AB$176,16,FALSE)/1000000</f>
        <v>340</v>
      </c>
      <c r="D39" s="369"/>
      <c r="G39" s="347"/>
      <c r="K39" s="410" t="s">
        <v>430</v>
      </c>
      <c r="L39" s="411" t="e">
        <f>VLOOKUP(L37,'4b) SL EPO Extended Data Sheet'!$A$5:$AB$176,16,FALSE)/1000000</f>
        <v>#N/A</v>
      </c>
      <c r="R39" s="400" t="s">
        <v>430</v>
      </c>
      <c r="S39" s="401" t="e">
        <f>VLOOKUP(S37,'4b) SL EPO Extended Data Sheet'!$A$5:$AB$176,16,FALSE)/1000000</f>
        <v>#N/A</v>
      </c>
      <c r="U39" s="393"/>
      <c r="Y39" s="410" t="s">
        <v>430</v>
      </c>
      <c r="Z39" s="411">
        <f>VLOOKUP(Z37,'4b) SL EPO Extended Data Sheet'!$A$5:$AB$176,16,FALSE)/1000000</f>
        <v>42.841253999999999</v>
      </c>
      <c r="AB39" s="393"/>
      <c r="AE39" s="369"/>
      <c r="AG39" s="426"/>
      <c r="AH39" s="347" t="s">
        <v>445</v>
      </c>
    </row>
    <row r="40" spans="2:34" s="346" customFormat="1" ht="30" customHeight="1" thickBot="1" x14ac:dyDescent="0.45">
      <c r="C40" s="347"/>
      <c r="D40" s="369"/>
      <c r="G40" s="347"/>
      <c r="L40" s="347"/>
      <c r="S40" s="347"/>
      <c r="T40" s="369"/>
      <c r="Z40" s="347"/>
      <c r="AB40" s="393"/>
      <c r="AE40" s="369"/>
      <c r="AH40" s="347"/>
    </row>
    <row r="41" spans="2:34" s="346" customFormat="1" ht="30" customHeight="1" thickBot="1" x14ac:dyDescent="0.45">
      <c r="B41" s="377" t="s">
        <v>421</v>
      </c>
      <c r="C41" s="378" t="s">
        <v>172</v>
      </c>
      <c r="D41" s="370"/>
      <c r="G41" s="347"/>
      <c r="L41" s="347"/>
      <c r="R41" s="381" t="s">
        <v>421</v>
      </c>
      <c r="S41" s="382" t="s">
        <v>314</v>
      </c>
      <c r="T41" s="370"/>
      <c r="Y41" s="404" t="s">
        <v>421</v>
      </c>
      <c r="Z41" s="405" t="s">
        <v>359</v>
      </c>
      <c r="AA41" s="425"/>
      <c r="AB41" s="393"/>
      <c r="AE41" s="369"/>
      <c r="AG41" s="427"/>
      <c r="AH41" s="347" t="s">
        <v>446</v>
      </c>
    </row>
    <row r="42" spans="2:34" s="346" customFormat="1" ht="30" customHeight="1" x14ac:dyDescent="0.4">
      <c r="B42" s="385" t="s">
        <v>422</v>
      </c>
      <c r="C42" s="386" t="s">
        <v>236</v>
      </c>
      <c r="D42" s="369"/>
      <c r="G42" s="347"/>
      <c r="L42" s="347"/>
      <c r="R42" s="389" t="s">
        <v>422</v>
      </c>
      <c r="S42" s="390" t="s">
        <v>317</v>
      </c>
      <c r="T42" s="419"/>
      <c r="Y42" s="406" t="s">
        <v>422</v>
      </c>
      <c r="Z42" s="407" t="s">
        <v>360</v>
      </c>
      <c r="AE42" s="369"/>
      <c r="AH42" s="347"/>
    </row>
    <row r="43" spans="2:34" s="346" customFormat="1" ht="30" customHeight="1" x14ac:dyDescent="0.4">
      <c r="B43" s="385" t="s">
        <v>425</v>
      </c>
      <c r="C43" s="386" t="s">
        <v>429</v>
      </c>
      <c r="D43" s="369"/>
      <c r="G43" s="347"/>
      <c r="L43" s="347"/>
      <c r="R43" s="389" t="s">
        <v>425</v>
      </c>
      <c r="S43" s="390" t="s">
        <v>426</v>
      </c>
      <c r="T43" s="421"/>
      <c r="Y43" s="406" t="s">
        <v>423</v>
      </c>
      <c r="Z43" s="412" t="s">
        <v>429</v>
      </c>
      <c r="AE43" s="369"/>
      <c r="AH43" s="347"/>
    </row>
    <row r="44" spans="2:34" s="346" customFormat="1" ht="30" customHeight="1" thickBot="1" x14ac:dyDescent="0.45">
      <c r="B44" s="396" t="s">
        <v>430</v>
      </c>
      <c r="C44" s="397">
        <f>VLOOKUP(C42,'5a)NDA MPPR'!$B$9:$AK$61,21,FALSE)</f>
        <v>35.500378959999999</v>
      </c>
      <c r="D44" s="369"/>
      <c r="G44" s="347"/>
      <c r="L44" s="347"/>
      <c r="R44" s="400" t="s">
        <v>430</v>
      </c>
      <c r="S44" s="401">
        <f>VLOOKUP(S42,'4b) SL EPO Extended Data Sheet'!$A$5:$AB$176,16,FALSE)/1000000</f>
        <v>19.192466</v>
      </c>
      <c r="U44" s="393"/>
      <c r="Y44" s="410" t="s">
        <v>430</v>
      </c>
      <c r="Z44" s="411">
        <f>VLOOKUP(Z42,'4b) SL EPO Extended Data Sheet'!$A$5:$AB$176,16,FALSE)/1000000</f>
        <v>42.754873000000003</v>
      </c>
      <c r="AE44" s="369"/>
      <c r="AH44" s="347"/>
    </row>
    <row r="45" spans="2:34" s="346" customFormat="1" ht="30" customHeight="1" thickBot="1" x14ac:dyDescent="0.45">
      <c r="C45" s="347"/>
      <c r="D45" s="369"/>
      <c r="G45" s="347"/>
      <c r="L45" s="347"/>
      <c r="S45" s="347"/>
      <c r="T45" s="369"/>
      <c r="Z45" s="347"/>
      <c r="AE45" s="369"/>
      <c r="AH45" s="347"/>
    </row>
    <row r="46" spans="2:34" s="346" customFormat="1" ht="30" customHeight="1" thickBot="1" x14ac:dyDescent="0.45">
      <c r="B46" s="377" t="s">
        <v>421</v>
      </c>
      <c r="C46" s="378" t="s">
        <v>296</v>
      </c>
      <c r="D46" s="370"/>
      <c r="G46" s="347"/>
      <c r="L46" s="347"/>
      <c r="R46" s="381" t="s">
        <v>421</v>
      </c>
      <c r="S46" s="382" t="s">
        <v>372</v>
      </c>
      <c r="T46" s="370"/>
      <c r="Y46" s="675" t="s">
        <v>447</v>
      </c>
      <c r="Z46" s="676"/>
      <c r="AA46" s="676"/>
      <c r="AB46" s="676"/>
      <c r="AC46" s="676"/>
      <c r="AD46" s="677"/>
      <c r="AE46" s="370"/>
      <c r="AH46" s="347"/>
    </row>
    <row r="47" spans="2:34" s="346" customFormat="1" ht="30" customHeight="1" thickBot="1" x14ac:dyDescent="0.45">
      <c r="B47" s="385" t="s">
        <v>422</v>
      </c>
      <c r="C47" s="386" t="s">
        <v>291</v>
      </c>
      <c r="E47" s="428"/>
      <c r="G47" s="347"/>
      <c r="L47" s="347"/>
      <c r="R47" s="389" t="s">
        <v>422</v>
      </c>
      <c r="S47" s="390" t="s">
        <v>373</v>
      </c>
      <c r="Y47" s="348" t="s">
        <v>448</v>
      </c>
      <c r="Z47" s="372"/>
      <c r="AA47" s="373"/>
      <c r="AB47" s="352" t="s">
        <v>405</v>
      </c>
      <c r="AC47" s="371"/>
      <c r="AD47" s="452">
        <f>Z52+Z57</f>
        <v>102.147037</v>
      </c>
      <c r="AE47" s="369"/>
      <c r="AH47" s="347"/>
    </row>
    <row r="48" spans="2:34" s="346" customFormat="1" ht="30" customHeight="1" thickBot="1" x14ac:dyDescent="0.45">
      <c r="B48" s="385" t="s">
        <v>423</v>
      </c>
      <c r="C48" s="386" t="s">
        <v>424</v>
      </c>
      <c r="E48" s="428"/>
      <c r="G48" s="347"/>
      <c r="L48" s="347"/>
      <c r="R48" s="389" t="s">
        <v>425</v>
      </c>
      <c r="S48" s="390" t="s">
        <v>426</v>
      </c>
      <c r="Z48" s="347"/>
      <c r="AA48" s="369"/>
      <c r="AB48" s="375"/>
      <c r="AC48" s="375"/>
      <c r="AD48" s="376"/>
      <c r="AE48" s="369"/>
      <c r="AH48" s="347"/>
    </row>
    <row r="49" spans="2:38" s="346" customFormat="1" ht="30" customHeight="1" thickBot="1" x14ac:dyDescent="0.45">
      <c r="B49" s="396" t="s">
        <v>430</v>
      </c>
      <c r="C49" s="397">
        <f>VLOOKUP(C47,'4b) SL EPO Extended Data Sheet'!$A$5:$AB$176,16,FALSE)/1000000</f>
        <v>919.61825599999997</v>
      </c>
      <c r="E49" s="428"/>
      <c r="G49" s="347"/>
      <c r="L49" s="347"/>
      <c r="R49" s="400" t="s">
        <v>430</v>
      </c>
      <c r="S49" s="401">
        <f>VLOOKUP(S47,'4b) SL EPO Extended Data Sheet'!$A$5:$AB$176,16,FALSE)/1000000</f>
        <v>18.788383</v>
      </c>
      <c r="Y49" s="404" t="s">
        <v>421</v>
      </c>
      <c r="Z49" s="405" t="s">
        <v>343</v>
      </c>
      <c r="AA49" s="370"/>
      <c r="AE49" s="369"/>
      <c r="AH49" s="347"/>
    </row>
    <row r="50" spans="2:38" s="346" customFormat="1" ht="30" customHeight="1" thickBot="1" x14ac:dyDescent="0.45">
      <c r="B50" s="374" t="s">
        <v>449</v>
      </c>
      <c r="C50" s="429"/>
      <c r="E50" s="428"/>
      <c r="G50" s="347"/>
      <c r="L50" s="347"/>
      <c r="S50" s="347"/>
      <c r="Y50" s="406" t="s">
        <v>422</v>
      </c>
      <c r="Z50" s="407" t="s">
        <v>344</v>
      </c>
      <c r="AA50" s="430"/>
      <c r="AE50" s="369"/>
      <c r="AH50" s="347"/>
    </row>
    <row r="51" spans="2:38" s="346" customFormat="1" ht="30" customHeight="1" thickBot="1" x14ac:dyDescent="0.4">
      <c r="B51" s="431" t="s">
        <v>421</v>
      </c>
      <c r="C51" s="432" t="s">
        <v>450</v>
      </c>
      <c r="D51" s="361"/>
      <c r="E51" s="428"/>
      <c r="G51" s="347"/>
      <c r="L51" s="347"/>
      <c r="S51" s="347"/>
      <c r="Y51" s="406" t="s">
        <v>425</v>
      </c>
      <c r="Z51" s="407" t="s">
        <v>451</v>
      </c>
      <c r="AA51" s="369"/>
      <c r="AE51" s="369"/>
      <c r="AH51" s="347"/>
      <c r="AJ51" s="342"/>
      <c r="AK51" s="342"/>
    </row>
    <row r="52" spans="2:38" s="346" customFormat="1" ht="30" customHeight="1" thickBot="1" x14ac:dyDescent="0.4">
      <c r="B52" s="433" t="s">
        <v>422</v>
      </c>
      <c r="C52" s="434" t="s">
        <v>452</v>
      </c>
      <c r="D52" s="435"/>
      <c r="E52" s="428"/>
      <c r="G52" s="347"/>
      <c r="K52" s="675" t="s">
        <v>453</v>
      </c>
      <c r="L52" s="676"/>
      <c r="M52" s="676"/>
      <c r="N52" s="676"/>
      <c r="O52" s="676"/>
      <c r="P52" s="677"/>
      <c r="S52" s="347"/>
      <c r="Y52" s="410" t="s">
        <v>430</v>
      </c>
      <c r="Z52" s="411">
        <f>VLOOKUP(Z50,'4b) SL EPO Extended Data Sheet'!$A$5:$AB$176,16,FALSE)/1000000</f>
        <v>66.045681999999999</v>
      </c>
      <c r="AA52" s="369"/>
      <c r="AE52" s="369"/>
      <c r="AH52" s="347"/>
      <c r="AJ52" s="342"/>
      <c r="AK52" s="342"/>
    </row>
    <row r="53" spans="2:38" s="346" customFormat="1" ht="30" customHeight="1" thickBot="1" x14ac:dyDescent="0.4">
      <c r="B53" s="436" t="s">
        <v>430</v>
      </c>
      <c r="C53" s="437" t="s">
        <v>450</v>
      </c>
      <c r="E53" s="428"/>
      <c r="G53" s="347"/>
      <c r="K53" s="672" t="s">
        <v>465</v>
      </c>
      <c r="L53" s="673"/>
      <c r="M53" s="674"/>
      <c r="N53" s="352" t="s">
        <v>405</v>
      </c>
      <c r="O53" s="352"/>
      <c r="P53" s="452" t="e">
        <f>L59+L64</f>
        <v>#N/A</v>
      </c>
      <c r="R53" s="342"/>
      <c r="S53" s="438"/>
      <c r="T53" s="342"/>
      <c r="Z53" s="408"/>
      <c r="AA53" s="369"/>
      <c r="AE53" s="369"/>
      <c r="AG53" s="342"/>
      <c r="AH53" s="438"/>
      <c r="AJ53" s="342"/>
      <c r="AK53" s="342"/>
    </row>
    <row r="54" spans="2:38" s="346" customFormat="1" ht="30" customHeight="1" thickBot="1" x14ac:dyDescent="0.4">
      <c r="B54" s="439"/>
      <c r="C54" s="429"/>
      <c r="E54" s="428"/>
      <c r="F54" s="682" t="s">
        <v>454</v>
      </c>
      <c r="G54" s="682"/>
      <c r="H54" s="682"/>
      <c r="K54" s="672" t="s">
        <v>455</v>
      </c>
      <c r="L54" s="673"/>
      <c r="M54" s="674"/>
      <c r="N54" s="359"/>
      <c r="O54" s="359"/>
      <c r="P54" s="357"/>
      <c r="R54" s="342"/>
      <c r="S54" s="438"/>
      <c r="T54" s="342"/>
      <c r="U54" s="342"/>
      <c r="V54" s="342"/>
      <c r="W54" s="342"/>
      <c r="Y54" s="404" t="s">
        <v>421</v>
      </c>
      <c r="Z54" s="405" t="s">
        <v>345</v>
      </c>
      <c r="AA54" s="370"/>
      <c r="AE54" s="369"/>
      <c r="AG54" s="342"/>
      <c r="AH54" s="438"/>
      <c r="AJ54" s="342"/>
      <c r="AK54" s="342"/>
    </row>
    <row r="55" spans="2:38" s="346" customFormat="1" ht="30" customHeight="1" thickBot="1" x14ac:dyDescent="0.4">
      <c r="B55" s="431" t="s">
        <v>421</v>
      </c>
      <c r="C55" s="432" t="s">
        <v>456</v>
      </c>
      <c r="D55" s="361"/>
      <c r="E55" s="428"/>
      <c r="F55" s="682"/>
      <c r="G55" s="682"/>
      <c r="H55" s="682"/>
      <c r="L55" s="347"/>
      <c r="M55" s="369"/>
      <c r="S55" s="347"/>
      <c r="Y55" s="406" t="s">
        <v>422</v>
      </c>
      <c r="Z55" s="407" t="s">
        <v>346</v>
      </c>
      <c r="AE55" s="369"/>
      <c r="AF55" s="342"/>
      <c r="AG55" s="342"/>
      <c r="AH55" s="438"/>
      <c r="AJ55" s="342"/>
      <c r="AK55" s="342"/>
    </row>
    <row r="56" spans="2:38" s="346" customFormat="1" ht="30" customHeight="1" x14ac:dyDescent="0.35">
      <c r="B56" s="433" t="s">
        <v>422</v>
      </c>
      <c r="C56" s="434" t="s">
        <v>457</v>
      </c>
      <c r="D56" s="440"/>
      <c r="F56" s="682"/>
      <c r="G56" s="682"/>
      <c r="H56" s="682"/>
      <c r="K56" s="379" t="s">
        <v>421</v>
      </c>
      <c r="L56" s="380" t="s">
        <v>375</v>
      </c>
      <c r="M56" s="370"/>
      <c r="S56" s="347"/>
      <c r="Y56" s="441" t="s">
        <v>458</v>
      </c>
      <c r="Z56" s="407" t="s">
        <v>459</v>
      </c>
      <c r="AE56" s="369"/>
      <c r="AF56" s="342"/>
      <c r="AG56" s="342"/>
      <c r="AH56" s="438"/>
      <c r="AI56" s="342"/>
      <c r="AJ56" s="342"/>
      <c r="AK56" s="342"/>
      <c r="AL56" s="342"/>
    </row>
    <row r="57" spans="2:38" s="346" customFormat="1" ht="30" customHeight="1" thickBot="1" x14ac:dyDescent="0.4">
      <c r="B57" s="436" t="s">
        <v>430</v>
      </c>
      <c r="C57" s="437" t="s">
        <v>450</v>
      </c>
      <c r="D57" s="442"/>
      <c r="F57" s="682"/>
      <c r="G57" s="682"/>
      <c r="H57" s="682"/>
      <c r="K57" s="387" t="s">
        <v>422</v>
      </c>
      <c r="L57" s="388" t="s">
        <v>378</v>
      </c>
      <c r="M57" s="369"/>
      <c r="S57" s="347"/>
      <c r="Y57" s="410" t="s">
        <v>430</v>
      </c>
      <c r="Z57" s="411">
        <f>VLOOKUP(Z55,'4b) SL EPO Extended Data Sheet'!$A$5:$AB$176,16,FALSE)/1000000</f>
        <v>36.101354999999998</v>
      </c>
      <c r="AB57" s="443"/>
      <c r="AC57" s="443"/>
      <c r="AD57" s="443"/>
      <c r="AE57" s="369"/>
      <c r="AF57" s="342"/>
      <c r="AG57" s="342"/>
      <c r="AH57" s="438"/>
      <c r="AI57" s="342"/>
      <c r="AJ57" s="342"/>
      <c r="AK57" s="342"/>
      <c r="AL57" s="342"/>
    </row>
    <row r="58" spans="2:38" ht="30" customHeight="1" thickBot="1" x14ac:dyDescent="0.4">
      <c r="D58" s="442"/>
      <c r="F58" s="682"/>
      <c r="G58" s="682"/>
      <c r="H58" s="682"/>
      <c r="K58" s="387" t="s">
        <v>425</v>
      </c>
      <c r="L58" s="388" t="s">
        <v>466</v>
      </c>
      <c r="M58" s="369"/>
      <c r="N58" s="346"/>
      <c r="O58" s="346"/>
      <c r="P58" s="346"/>
      <c r="U58" s="346"/>
      <c r="V58" s="346"/>
      <c r="W58" s="346"/>
      <c r="Y58" s="346"/>
      <c r="Z58" s="444"/>
      <c r="AA58" s="443"/>
      <c r="AB58" s="443"/>
      <c r="AC58" s="443"/>
      <c r="AD58" s="443"/>
      <c r="AE58" s="362"/>
    </row>
    <row r="59" spans="2:38" ht="30" customHeight="1" thickBot="1" x14ac:dyDescent="0.4">
      <c r="B59" s="431" t="s">
        <v>421</v>
      </c>
      <c r="C59" s="432" t="s">
        <v>450</v>
      </c>
      <c r="D59" s="445"/>
      <c r="K59" s="398" t="s">
        <v>430</v>
      </c>
      <c r="L59" s="399" t="e">
        <f>VLOOKUP(L57,'4b) SL EPO Extended Data Sheet'!$A$5:$AB$176,16,FALSE)/1000000</f>
        <v>#N/A</v>
      </c>
      <c r="M59" s="369"/>
      <c r="N59" s="346"/>
      <c r="O59" s="346"/>
      <c r="P59" s="346"/>
      <c r="Y59" s="675" t="s">
        <v>460</v>
      </c>
      <c r="Z59" s="676"/>
      <c r="AA59" s="676"/>
      <c r="AB59" s="676"/>
      <c r="AC59" s="676"/>
      <c r="AD59" s="677"/>
      <c r="AE59" s="346"/>
    </row>
    <row r="60" spans="2:38" ht="30" customHeight="1" thickBot="1" x14ac:dyDescent="0.4">
      <c r="B60" s="433" t="s">
        <v>422</v>
      </c>
      <c r="C60" s="434" t="s">
        <v>461</v>
      </c>
      <c r="K60" s="346"/>
      <c r="L60" s="347"/>
      <c r="M60" s="369"/>
      <c r="N60" s="346"/>
      <c r="O60" s="346"/>
      <c r="P60" s="346"/>
      <c r="Y60" s="348" t="s">
        <v>462</v>
      </c>
      <c r="Z60" s="446"/>
      <c r="AA60" s="373"/>
      <c r="AB60" s="352" t="s">
        <v>405</v>
      </c>
      <c r="AC60" s="371"/>
      <c r="AD60" s="452">
        <f>Z65</f>
        <v>155.655666</v>
      </c>
      <c r="AE60" s="346"/>
    </row>
    <row r="61" spans="2:38" ht="30" customHeight="1" thickBot="1" x14ac:dyDescent="0.4">
      <c r="B61" s="436" t="s">
        <v>430</v>
      </c>
      <c r="C61" s="437" t="s">
        <v>450</v>
      </c>
      <c r="K61" s="379" t="s">
        <v>421</v>
      </c>
      <c r="L61" s="380" t="s">
        <v>315</v>
      </c>
      <c r="M61" s="370"/>
      <c r="N61" s="346"/>
      <c r="O61" s="346"/>
      <c r="P61" s="346"/>
      <c r="Y61" s="366"/>
      <c r="Z61" s="366"/>
      <c r="AA61" s="365"/>
      <c r="AB61" s="346"/>
      <c r="AC61" s="346"/>
      <c r="AD61" s="346"/>
    </row>
    <row r="62" spans="2:38" ht="30" customHeight="1" x14ac:dyDescent="0.35">
      <c r="K62" s="387" t="s">
        <v>422</v>
      </c>
      <c r="L62" s="388" t="s">
        <v>318</v>
      </c>
      <c r="M62" s="346"/>
      <c r="N62" s="346"/>
      <c r="O62" s="346"/>
      <c r="P62" s="346"/>
      <c r="Y62" s="404" t="s">
        <v>421</v>
      </c>
      <c r="Z62" s="405" t="s">
        <v>353</v>
      </c>
      <c r="AA62" s="370"/>
      <c r="AB62" s="346"/>
      <c r="AC62" s="346"/>
      <c r="AD62" s="346"/>
    </row>
    <row r="63" spans="2:38" ht="30" customHeight="1" x14ac:dyDescent="0.35">
      <c r="K63" s="387" t="s">
        <v>425</v>
      </c>
      <c r="L63" s="388" t="s">
        <v>463</v>
      </c>
      <c r="M63" s="346"/>
      <c r="Y63" s="406" t="s">
        <v>422</v>
      </c>
      <c r="Z63" s="407" t="s">
        <v>354</v>
      </c>
      <c r="AA63" s="346"/>
      <c r="AB63" s="346"/>
      <c r="AC63" s="346"/>
      <c r="AD63" s="346"/>
    </row>
    <row r="64" spans="2:38" ht="30" customHeight="1" thickBot="1" x14ac:dyDescent="0.4">
      <c r="K64" s="398" t="s">
        <v>430</v>
      </c>
      <c r="L64" s="399">
        <f>VLOOKUP(L62,'4b) SL EPO Extended Data Sheet'!$A$5:$AB$176,16,FALSE)/1000000</f>
        <v>31.971081999999999</v>
      </c>
      <c r="Y64" s="406" t="s">
        <v>425</v>
      </c>
      <c r="Z64" s="407" t="s">
        <v>464</v>
      </c>
      <c r="AB64" s="346"/>
      <c r="AC64" s="346"/>
      <c r="AD64" s="346"/>
    </row>
    <row r="65" spans="25:26" ht="30" customHeight="1" thickBot="1" x14ac:dyDescent="0.4">
      <c r="Y65" s="410" t="s">
        <v>430</v>
      </c>
      <c r="Z65" s="411">
        <f>VLOOKUP(Z63,'4b) SL EPO Extended Data Sheet'!$A$5:$AB$176,16,FALSE)/1000000</f>
        <v>155.655666</v>
      </c>
    </row>
  </sheetData>
  <sheetProtection algorithmName="SHA-512" hashValue="EXtRA8BOdhEUdCgoG6fPg60X/qs08OPmfZfRZ4E05fROcP3Klu8WO2k2C+uvcKQzdovBt2kXvbkD4iZ0G9h62A==" saltValue="LrF94rbNH04APNoqZGXGoQ==" spinCount="100000" sheet="1" objects="1" scenarios="1"/>
  <customSheetViews>
    <customSheetView guid="{800416AC-1374-44AC-811C-612C85EF24E6}" scale="55" showGridLines="0" fitToPage="1" state="hidden" topLeftCell="A24">
      <selection activeCell="G39" sqref="G39"/>
      <pageMargins left="0.7" right="0.7" top="0.75" bottom="0.75" header="0.3" footer="0.3"/>
      <pageSetup paperSize="8" scale="37" orientation="landscape" r:id="rId1"/>
    </customSheetView>
    <customSheetView guid="{FBC63E8F-69FE-4648-B709-FA1212EFFB29}" scale="55" showGridLines="0" fitToPage="1" state="hidden" topLeftCell="A24">
      <selection activeCell="G39" sqref="G39"/>
      <pageMargins left="0.7" right="0.7" top="0.75" bottom="0.75" header="0.3" footer="0.3"/>
      <pageSetup paperSize="8" scale="37" orientation="landscape" r:id="rId2"/>
    </customSheetView>
    <customSheetView guid="{C7C13768-4A8D-4CBA-978C-F4A7B5550C00}" scale="55" showGridLines="0" fitToPage="1" state="hidden" topLeftCell="A24">
      <selection activeCell="G39" sqref="G39"/>
      <pageMargins left="0.7" right="0.7" top="0.75" bottom="0.75" header="0.3" footer="0.3"/>
      <pageSetup paperSize="8" scale="37" orientation="landscape" r:id="rId3"/>
    </customSheetView>
    <customSheetView guid="{466708C2-41CE-4656-AB81-E1E49DF5945D}" scale="55" showGridLines="0" fitToPage="1" state="hidden" topLeftCell="A24">
      <selection activeCell="G39" sqref="G39"/>
      <pageMargins left="0.7" right="0.7" top="0.75" bottom="0.75" header="0.3" footer="0.3"/>
      <pageSetup paperSize="8" scale="37" orientation="landscape" r:id="rId4"/>
    </customSheetView>
    <customSheetView guid="{E3A3AE56-8881-4A6F-9299-803C489AD1B4}" scale="55" showGridLines="0" fitToPage="1" state="hidden" topLeftCell="A24">
      <selection activeCell="G39" sqref="G39"/>
      <pageMargins left="0.7" right="0.7" top="0.75" bottom="0.75" header="0.3" footer="0.3"/>
      <pageSetup paperSize="8" scale="37" orientation="landscape" r:id="rId5"/>
    </customSheetView>
    <customSheetView guid="{83044EFE-7F92-4F81-B034-85D9567158C2}" scale="55" showGridLines="0" fitToPage="1" state="hidden" topLeftCell="A24">
      <selection activeCell="G39" sqref="G39"/>
      <pageMargins left="0.7" right="0.7" top="0.75" bottom="0.75" header="0.3" footer="0.3"/>
      <pageSetup paperSize="8" scale="37" orientation="landscape" r:id="rId6"/>
    </customSheetView>
    <customSheetView guid="{E4713981-DD11-40CE-BE52-873D93BDDE05}" scale="55" showGridLines="0" fitToPage="1" state="hidden" topLeftCell="A24">
      <selection activeCell="G39" sqref="G39"/>
      <pageMargins left="0.7" right="0.7" top="0.75" bottom="0.75" header="0.3" footer="0.3"/>
      <pageSetup paperSize="8" scale="37" orientation="landscape" r:id="rId7"/>
    </customSheetView>
    <customSheetView guid="{442F9A23-CA6E-4109-B10C-ACF5FD36B859}" scale="55" showGridLines="0" fitToPage="1" state="hidden" topLeftCell="A24">
      <selection activeCell="G39" sqref="G39"/>
      <pageMargins left="0.7" right="0.7" top="0.75" bottom="0.75" header="0.3" footer="0.3"/>
      <pageSetup paperSize="8" scale="37" orientation="landscape" r:id="rId8"/>
    </customSheetView>
    <customSheetView guid="{B434A8A8-5A4C-48C0-82E7-2458B9D2EEEF}" scale="55" showGridLines="0" fitToPage="1" state="hidden" topLeftCell="A24">
      <selection activeCell="G39" sqref="G39"/>
      <pageMargins left="0.7" right="0.7" top="0.75" bottom="0.75" header="0.3" footer="0.3"/>
      <pageSetup paperSize="8" scale="37" orientation="landscape" r:id="rId9"/>
    </customSheetView>
    <customSheetView guid="{3827E543-57D2-48C8-B786-7077EA079DD2}" scale="55" showGridLines="0" fitToPage="1" state="hidden" topLeftCell="A24">
      <selection activeCell="G39" sqref="G39"/>
      <pageMargins left="0.7" right="0.7" top="0.75" bottom="0.75" header="0.3" footer="0.3"/>
      <pageSetup paperSize="8" scale="37" orientation="landscape" r:id="rId10"/>
    </customSheetView>
    <customSheetView guid="{2EA8DBF7-9763-457C-AA9F-1EEB2F136D1F}" scale="55" showGridLines="0" fitToPage="1" state="hidden" topLeftCell="A24">
      <selection activeCell="G39" sqref="G39"/>
      <pageMargins left="0.7" right="0.7" top="0.75" bottom="0.75" header="0.3" footer="0.3"/>
      <pageSetup paperSize="8" scale="37" orientation="landscape" r:id="rId11"/>
    </customSheetView>
    <customSheetView guid="{70582C04-BB53-4A99-A3C1-673011D9AE1C}" scale="55" showGridLines="0" fitToPage="1" printArea="1" state="hidden">
      <selection sqref="A1:AL1"/>
      <pageMargins left="0.7" right="0.7" top="0.75" bottom="0.75" header="0.3" footer="0.3"/>
      <pageSetup paperSize="8" scale="37" orientation="landscape" r:id="rId12"/>
    </customSheetView>
    <customSheetView guid="{37F5A0AB-EB39-4832-9D67-F67D908BF486}" scale="55" showGridLines="0" fitToPage="1" printArea="1" state="hidden">
      <selection sqref="A1:AL1"/>
      <pageMargins left="0.7" right="0.7" top="0.75" bottom="0.75" header="0.3" footer="0.3"/>
      <pageSetup paperSize="8" scale="37" orientation="landscape" r:id="rId13"/>
    </customSheetView>
    <customSheetView guid="{78AA4A71-CE17-4C4D-849E-E3E1A44EA907}" scale="55" showGridLines="0" fitToPage="1" printArea="1" state="hidden" topLeftCell="A24">
      <selection activeCell="G39" sqref="G39"/>
      <pageMargins left="0.7" right="0.7" top="0.75" bottom="0.75" header="0.3" footer="0.3"/>
      <pageSetup paperSize="8" scale="37" orientation="landscape" r:id="rId14"/>
    </customSheetView>
    <customSheetView guid="{51DFD3D6-BC25-47B4-B28F-D640534DB3A9}" scale="55" showGridLines="0" fitToPage="1" printArea="1" topLeftCell="A7">
      <selection activeCell="G39" sqref="G39"/>
      <pageMargins left="0.7" right="0.7" top="0.75" bottom="0.75" header="0.3" footer="0.3"/>
      <pageSetup paperSize="8" scale="39" orientation="landscape" r:id="rId15"/>
    </customSheetView>
    <customSheetView guid="{CA7E8063-5145-49E1-8E00-2E1025705A81}" scale="55" showGridLines="0" fitToPage="1" printArea="1" state="hidden" topLeftCell="A24">
      <selection activeCell="G39" sqref="G39"/>
      <pageMargins left="0.7" right="0.7" top="0.75" bottom="0.75" header="0.3" footer="0.3"/>
      <pageSetup paperSize="8" scale="39" orientation="landscape" r:id="rId16"/>
    </customSheetView>
    <customSheetView guid="{75EE3B92-AF4D-4E93-A70E-6ADE60CC674F}" scale="55" showGridLines="0" fitToPage="1" state="hidden" topLeftCell="A24">
      <selection activeCell="G39" sqref="G39"/>
      <pageMargins left="0.7" right="0.7" top="0.75" bottom="0.75" header="0.3" footer="0.3"/>
      <pageSetup paperSize="8" scale="37" orientation="landscape" r:id="rId17"/>
    </customSheetView>
    <customSheetView guid="{29AC9BE3-332A-4738-949C-1F8C0D32BAEE}" scale="55" showGridLines="0" fitToPage="1" printArea="1" topLeftCell="A24">
      <selection activeCell="G39" sqref="G39"/>
      <pageMargins left="0.7" right="0.7" top="0.75" bottom="0.75" header="0.3" footer="0.3"/>
      <pageSetup paperSize="8" scale="39" orientation="landscape" r:id="rId18"/>
    </customSheetView>
    <customSheetView guid="{42B0E8B1-ADFA-49AE-A83B-82D384737703}" scale="55" showGridLines="0" fitToPage="1" printArea="1" state="hidden" topLeftCell="A24">
      <selection activeCell="G39" sqref="G39"/>
      <pageMargins left="0.7" right="0.7" top="0.75" bottom="0.75" header="0.3" footer="0.3"/>
      <pageSetup paperSize="8" scale="37" orientation="landscape" r:id="rId19"/>
    </customSheetView>
    <customSheetView guid="{D59DDBAA-620D-43B7-A6D9-759808D3397A}" scale="55" showGridLines="0" fitToPage="1" printArea="1" state="hidden">
      <selection sqref="A1:AL1"/>
      <pageMargins left="0.7" right="0.7" top="0.75" bottom="0.75" header="0.3" footer="0.3"/>
      <pageSetup paperSize="8" scale="39" orientation="landscape" r:id="rId20"/>
    </customSheetView>
    <customSheetView guid="{F4A6298C-1A75-4FA9-A6A4-2BE13CCFE545}" scale="55" showGridLines="0" fitToPage="1" printArea="1" state="hidden" topLeftCell="A24">
      <selection activeCell="G39" sqref="G39"/>
      <pageMargins left="0.7" right="0.7" top="0.75" bottom="0.75" header="0.3" footer="0.3"/>
      <pageSetup paperSize="8" scale="39" orientation="landscape" r:id="rId21"/>
    </customSheetView>
    <customSheetView guid="{9F91FBC4-6A13-42C2-A2D9-42A2AC814E28}" scale="55" showGridLines="0" fitToPage="1" printArea="1" topLeftCell="A24">
      <selection activeCell="G39" sqref="G39"/>
      <pageMargins left="0.7" right="0.7" top="0.75" bottom="0.75" header="0.3" footer="0.3"/>
      <pageSetup paperSize="8" scale="37" orientation="landscape" r:id="rId22"/>
    </customSheetView>
    <customSheetView guid="{DF265C7B-1EEB-47EB-982A-6938E81F7AC2}" scale="55" showGridLines="0" fitToPage="1" printArea="1" state="hidden">
      <selection sqref="A1:AL1"/>
      <pageMargins left="0.7" right="0.7" top="0.75" bottom="0.75" header="0.3" footer="0.3"/>
      <pageSetup paperSize="8" scale="37" orientation="landscape" r:id="rId23"/>
    </customSheetView>
    <customSheetView guid="{8263C9D2-452D-46FA-AFA0-452B42DC0298}" scale="55" showGridLines="0" fitToPage="1" printArea="1" state="hidden">
      <selection sqref="A1:AL1"/>
      <pageMargins left="0.7" right="0.7" top="0.75" bottom="0.75" header="0.3" footer="0.3"/>
      <pageSetup paperSize="8" scale="39" orientation="landscape" r:id="rId24"/>
    </customSheetView>
    <customSheetView guid="{151EB58C-4EFD-4330-8D1A-8AACF5F7C679}" scale="55" showGridLines="0" fitToPage="1" topLeftCell="A24">
      <selection activeCell="G39" sqref="G39"/>
      <pageMargins left="0.7" right="0.7" top="0.75" bottom="0.75" header="0.3" footer="0.3"/>
      <pageSetup paperSize="8" scale="39" orientation="landscape" r:id="rId25"/>
    </customSheetView>
    <customSheetView guid="{8CB67476-3FD4-42E0-ACD6-62ACA9412843}" scale="55" showGridLines="0" fitToPage="1" printArea="1" state="hidden" topLeftCell="A24">
      <selection activeCell="G39" sqref="G39"/>
      <pageMargins left="0.7" right="0.7" top="0.75" bottom="0.75" header="0.3" footer="0.3"/>
      <pageSetup paperSize="8" scale="37" orientation="landscape" r:id="rId26"/>
    </customSheetView>
    <customSheetView guid="{51B3083F-A103-41AB-A137-63549C54B838}" scale="55" showGridLines="0" fitToPage="1" printArea="1" state="hidden">
      <selection sqref="A1:AL1"/>
      <pageMargins left="0.7" right="0.7" top="0.75" bottom="0.75" header="0.3" footer="0.3"/>
      <pageSetup paperSize="8" scale="37" orientation="landscape" r:id="rId27"/>
    </customSheetView>
    <customSheetView guid="{E06B4FE8-6127-47B2-A6A5-4FAC9EEB4538}" scale="55" showGridLines="0" fitToPage="1" printArea="1" topLeftCell="A24">
      <selection activeCell="G39" sqref="G39"/>
      <pageMargins left="0.7" right="0.7" top="0.75" bottom="0.75" header="0.3" footer="0.3"/>
      <pageSetup paperSize="8" scale="37" orientation="landscape" r:id="rId28"/>
    </customSheetView>
    <customSheetView guid="{593284E7-E32C-4D6C-8C2F-3DEEF9DEE1DF}" scale="55" showGridLines="0" fitToPage="1" printArea="1" topLeftCell="A24">
      <selection activeCell="G39" sqref="G39"/>
      <pageMargins left="0.7" right="0.7" top="0.75" bottom="0.75" header="0.3" footer="0.3"/>
      <pageSetup paperSize="8" scale="37" orientation="landscape" r:id="rId29"/>
    </customSheetView>
    <customSheetView guid="{351EFD38-BF62-4E34-A37F-0EEB3E165043}" scale="55" showGridLines="0" fitToPage="1" printArea="1" state="hidden">
      <selection sqref="A1:AL1"/>
      <pageMargins left="0.7" right="0.7" top="0.75" bottom="0.75" header="0.3" footer="0.3"/>
      <pageSetup paperSize="8" scale="37" orientation="landscape" r:id="rId30"/>
    </customSheetView>
    <customSheetView guid="{EB96DBE4-2D64-4388-853C-CB52A0CB79BA}" scale="55" showGridLines="0" fitToPage="1" state="hidden">
      <selection sqref="A1:AL1"/>
      <pageMargins left="0.7" right="0.7" top="0.75" bottom="0.75" header="0.3" footer="0.3"/>
      <pageSetup paperSize="8" scale="39" orientation="landscape" r:id="rId31"/>
    </customSheetView>
    <customSheetView guid="{016CEBB2-C827-48F4-95E1-85D8C5129F41}" scale="55" showGridLines="0" fitToPage="1" printArea="1" topLeftCell="A24">
      <selection activeCell="G39" sqref="G39"/>
      <pageMargins left="0.7" right="0.7" top="0.75" bottom="0.75" header="0.3" footer="0.3"/>
      <pageSetup paperSize="8" scale="37" orientation="landscape" r:id="rId32"/>
    </customSheetView>
    <customSheetView guid="{D27C51BB-BB54-4F37-8171-98067C39697C}" scale="55" showGridLines="0" fitToPage="1" topLeftCell="A24">
      <selection activeCell="G39" sqref="G39"/>
      <pageMargins left="0.7" right="0.7" top="0.75" bottom="0.75" header="0.3" footer="0.3"/>
      <pageSetup paperSize="8" scale="37" orientation="landscape" r:id="rId33"/>
    </customSheetView>
    <customSheetView guid="{008CCD98-7480-4C51-806A-4B55C801DDC2}" scale="55" showGridLines="0" fitToPage="1" state="hidden">
      <selection sqref="A1:AL1"/>
      <pageMargins left="0.7" right="0.7" top="0.75" bottom="0.75" header="0.3" footer="0.3"/>
      <pageSetup paperSize="8" scale="38" orientation="landscape" r:id="rId34"/>
    </customSheetView>
    <customSheetView guid="{4E6F9C2D-76F2-4884-BBF6-E02A7BAE11EF}" scale="55" showGridLines="0" fitToPage="1" topLeftCell="A24">
      <selection activeCell="G39" sqref="G39"/>
      <pageMargins left="0.7" right="0.7" top="0.75" bottom="0.75" header="0.3" footer="0.3"/>
      <pageSetup paperSize="8" scale="37" orientation="landscape" r:id="rId35"/>
    </customSheetView>
    <customSheetView guid="{C39AE06A-FC0A-4D7D-B287-2FA9CA174191}" scale="55" showGridLines="0" fitToPage="1" printArea="1" topLeftCell="A24">
      <selection activeCell="G39" sqref="G39"/>
      <pageMargins left="0.7" right="0.7" top="0.75" bottom="0.75" header="0.3" footer="0.3"/>
      <pageSetup paperSize="8" scale="39" orientation="landscape" r:id="rId36"/>
    </customSheetView>
    <customSheetView guid="{D16D941B-FC89-4FEC-A49B-5FA2532584DE}" scale="55" showGridLines="0" fitToPage="1" printArea="1" topLeftCell="A24">
      <selection activeCell="G39" sqref="G39"/>
      <pageMargins left="0.7" right="0.7" top="0.75" bottom="0.75" header="0.3" footer="0.3"/>
      <pageSetup paperSize="8" scale="37" orientation="landscape" r:id="rId37"/>
    </customSheetView>
    <customSheetView guid="{3BB18945-69B5-4B22-8D55-989F8F233459}" scale="70" showGridLines="0" fitToPage="1" printArea="1" state="hidden">
      <selection activeCell="S39" sqref="S39"/>
      <pageMargins left="0.7" right="0.7" top="0.75" bottom="0.75" header="0.3" footer="0.3"/>
      <pageSetup paperSize="8" scale="39" orientation="landscape" r:id="rId38"/>
    </customSheetView>
    <customSheetView guid="{B84DA703-8C5B-4100-91A4-8807E303D379}" scale="55" showGridLines="0" fitToPage="1" printArea="1" state="hidden">
      <selection sqref="A1:AL1"/>
      <pageMargins left="0.7" right="0.7" top="0.75" bottom="0.75" header="0.3" footer="0.3"/>
      <pageSetup paperSize="8" scale="39" orientation="landscape" r:id="rId39"/>
    </customSheetView>
    <customSheetView guid="{B0A28FD4-D7F6-428C-A7F7-92132DCD74BB}" scale="55" showGridLines="0" fitToPage="1" printArea="1" state="hidden">
      <selection sqref="A1:AL1"/>
      <pageMargins left="0.7" right="0.7" top="0.75" bottom="0.75" header="0.3" footer="0.3"/>
      <pageSetup paperSize="8" scale="37" orientation="landscape" r:id="rId40"/>
    </customSheetView>
    <customSheetView guid="{3C97F0B0-2F3C-4E03-96E0-0C4FEC2F24AC}" scale="55" showGridLines="0" fitToPage="1" printArea="1" state="hidden">
      <selection sqref="A1:AL1"/>
      <pageMargins left="0.7" right="0.7" top="0.75" bottom="0.75" header="0.3" footer="0.3"/>
      <pageSetup paperSize="8" scale="37" orientation="landscape" r:id="rId41"/>
    </customSheetView>
    <customSheetView guid="{A03C6B09-6B58-4DDE-A3B2-41A27A7049D9}" scale="55" showGridLines="0" fitToPage="1" printArea="1" state="hidden" topLeftCell="A24">
      <selection activeCell="G39" sqref="G39"/>
      <pageMargins left="0.7" right="0.7" top="0.75" bottom="0.75" header="0.3" footer="0.3"/>
      <pageSetup paperSize="8" scale="38" orientation="landscape" r:id="rId42"/>
    </customSheetView>
    <customSheetView guid="{4EBEE699-7DEF-4A50-9CB7-490835CF0B98}" scale="55" showGridLines="0" fitToPage="1" printArea="1" state="hidden" topLeftCell="A24">
      <selection activeCell="G39" sqref="G39"/>
      <pageMargins left="0.7" right="0.7" top="0.75" bottom="0.75" header="0.3" footer="0.3"/>
      <pageSetup paperSize="8" scale="37" orientation="landscape" r:id="rId43"/>
    </customSheetView>
    <customSheetView guid="{451730E2-FFE9-4FCE-B8B5-64952C26C672}" scale="55" showGridLines="0" fitToPage="1" printArea="1" state="hidden" topLeftCell="A24">
      <selection activeCell="G39" sqref="G39"/>
      <pageMargins left="0.7" right="0.7" top="0.75" bottom="0.75" header="0.3" footer="0.3"/>
      <pageSetup paperSize="8" scale="37" orientation="landscape" r:id="rId44"/>
    </customSheetView>
    <customSheetView guid="{9AF6E233-883D-48B4-95AB-42B37199AB9E}" scale="55" showGridLines="0" fitToPage="1" printArea="1" topLeftCell="A24">
      <selection activeCell="G39" sqref="G39"/>
      <pageMargins left="0.7" right="0.7" top="0.75" bottom="0.75" header="0.3" footer="0.3"/>
      <pageSetup paperSize="8" scale="37" orientation="landscape" r:id="rId45"/>
    </customSheetView>
    <customSheetView guid="{1ECD6E30-299B-4354-A416-2DAFF33C7022}" scale="55" showGridLines="0" fitToPage="1" state="hidden">
      <selection sqref="A1:AL1"/>
      <pageMargins left="0.7" right="0.7" top="0.75" bottom="0.75" header="0.3" footer="0.3"/>
      <pageSetup paperSize="8" scale="39" orientation="landscape" r:id="rId46"/>
    </customSheetView>
    <customSheetView guid="{97D58294-343B-4B62-A826-0DDDE29B5F0D}" scale="55" showGridLines="0" fitToPage="1" printArea="1" state="hidden">
      <selection sqref="A1:AL1"/>
      <pageMargins left="0.7" right="0.7" top="0.75" bottom="0.75" header="0.3" footer="0.3"/>
      <pageSetup paperSize="8" scale="39" orientation="landscape" r:id="rId47"/>
    </customSheetView>
    <customSheetView guid="{BDCD1595-C0B8-4F6C-B01C-3472C895B827}" scale="55" showGridLines="0" fitToPage="1" printArea="1" state="hidden" topLeftCell="A24">
      <selection activeCell="G39" sqref="G39"/>
      <pageMargins left="0.7" right="0.7" top="0.75" bottom="0.75" header="0.3" footer="0.3"/>
      <pageSetup paperSize="8" scale="39" orientation="landscape" r:id="rId48"/>
    </customSheetView>
    <customSheetView guid="{9355C9F4-9C07-4A93-B7F2-69F1D1526716}" scale="55" showGridLines="0" fitToPage="1" printArea="1" state="hidden">
      <selection sqref="A1:AL1"/>
      <pageMargins left="0.7" right="0.7" top="0.75" bottom="0.75" header="0.3" footer="0.3"/>
      <pageSetup paperSize="8" scale="37" orientation="landscape" r:id="rId49"/>
    </customSheetView>
    <customSheetView guid="{F5FA2A23-9E46-4C2F-B1EE-B71787F95C57}" scale="55" showGridLines="0" fitToPage="1" printArea="1" topLeftCell="A24">
      <selection activeCell="G39" sqref="G39"/>
      <pageMargins left="0.7" right="0.7" top="0.75" bottom="0.75" header="0.3" footer="0.3"/>
      <pageSetup paperSize="8" scale="39" orientation="landscape" r:id="rId50"/>
    </customSheetView>
    <customSheetView guid="{B95D32C7-1418-4EF6-8936-849885C54A4A}" scale="55" showGridLines="0" fitToPage="1" printArea="1" state="hidden">
      <selection sqref="A1:AL1"/>
      <pageMargins left="0.7" right="0.7" top="0.75" bottom="0.75" header="0.3" footer="0.3"/>
      <pageSetup paperSize="8" scale="39" orientation="landscape" r:id="rId51"/>
    </customSheetView>
    <customSheetView guid="{602520CD-F98C-43A6-AA0D-88893E9CB6E8}" scale="55" showGridLines="0" fitToPage="1" state="hidden" topLeftCell="A24">
      <selection activeCell="G39" sqref="G39"/>
      <pageMargins left="0.7" right="0.7" top="0.75" bottom="0.75" header="0.3" footer="0.3"/>
      <pageSetup paperSize="8" scale="37" orientation="landscape" r:id="rId52"/>
    </customSheetView>
    <customSheetView guid="{A8E976B8-D767-4DB4-82BD-ABE90880F33F}" scale="55" showGridLines="0" fitToPage="1" state="hidden" topLeftCell="A24">
      <selection activeCell="G39" sqref="G39"/>
      <pageMargins left="0.7" right="0.7" top="0.75" bottom="0.75" header="0.3" footer="0.3"/>
      <pageSetup paperSize="8" scale="37" orientation="landscape" r:id="rId53"/>
    </customSheetView>
    <customSheetView guid="{D850720D-4A1C-48F2-8E1D-8E09B7414A1A}" scale="55" showGridLines="0" fitToPage="1" state="hidden" topLeftCell="A24">
      <selection activeCell="G39" sqref="G39"/>
      <pageMargins left="0.7" right="0.7" top="0.75" bottom="0.75" header="0.3" footer="0.3"/>
      <pageSetup paperSize="8" scale="37" orientation="landscape" r:id="rId54"/>
    </customSheetView>
    <customSheetView guid="{C57A83F1-F5A3-470B-9579-6A222C54F4E8}" scale="55" showGridLines="0" fitToPage="1" state="hidden" topLeftCell="A24">
      <selection activeCell="G39" sqref="G39"/>
      <pageMargins left="0.7" right="0.7" top="0.75" bottom="0.75" header="0.3" footer="0.3"/>
      <pageSetup paperSize="8" scale="37" orientation="landscape" r:id="rId55"/>
    </customSheetView>
    <customSheetView guid="{2608BE9B-66AC-4D4C-8EE0-E88C94E88140}" scale="55" showGridLines="0" fitToPage="1" state="hidden" topLeftCell="A24">
      <selection activeCell="G39" sqref="G39"/>
      <pageMargins left="0.7" right="0.7" top="0.75" bottom="0.75" header="0.3" footer="0.3"/>
      <pageSetup paperSize="8" scale="37" orientation="landscape" r:id="rId56"/>
    </customSheetView>
    <customSheetView guid="{EDD5A64E-02C0-4DD6-80BA-449123FCDAA2}" scale="55" showGridLines="0" fitToPage="1" state="hidden" topLeftCell="A24">
      <selection activeCell="G39" sqref="G39"/>
      <pageMargins left="0.7" right="0.7" top="0.75" bottom="0.75" header="0.3" footer="0.3"/>
      <pageSetup paperSize="8" scale="37" orientation="landscape" r:id="rId57"/>
    </customSheetView>
    <customSheetView guid="{B8317A9A-0FFD-4A18-80F7-203DB2FC8CA5}" scale="55" showGridLines="0" fitToPage="1" state="hidden" topLeftCell="A24">
      <selection activeCell="G39" sqref="G39"/>
      <pageMargins left="0.7" right="0.7" top="0.75" bottom="0.75" header="0.3" footer="0.3"/>
      <pageSetup paperSize="8" scale="37" orientation="landscape" r:id="rId58"/>
    </customSheetView>
    <customSheetView guid="{7E571F1D-D438-4605-90D6-3F831F76D652}" scale="55" showGridLines="0" fitToPage="1" state="hidden" topLeftCell="A24">
      <selection activeCell="G39" sqref="G39"/>
      <pageMargins left="0.7" right="0.7" top="0.75" bottom="0.75" header="0.3" footer="0.3"/>
      <pageSetup paperSize="8" scale="37" orientation="landscape" r:id="rId59"/>
    </customSheetView>
  </customSheetViews>
  <mergeCells count="22">
    <mergeCell ref="A1:AL1"/>
    <mergeCell ref="A2:F2"/>
    <mergeCell ref="D4:I4"/>
    <mergeCell ref="K4:P4"/>
    <mergeCell ref="R4:W4"/>
    <mergeCell ref="AC4:AH4"/>
    <mergeCell ref="AG10:AI10"/>
    <mergeCell ref="Y46:AD46"/>
    <mergeCell ref="K52:P52"/>
    <mergeCell ref="D6:F6"/>
    <mergeCell ref="K6:M6"/>
    <mergeCell ref="R6:T6"/>
    <mergeCell ref="AC6:AE6"/>
    <mergeCell ref="Y8:AD8"/>
    <mergeCell ref="AG8:AL8"/>
    <mergeCell ref="K53:M53"/>
    <mergeCell ref="F54:H58"/>
    <mergeCell ref="K54:M54"/>
    <mergeCell ref="Y59:AD59"/>
    <mergeCell ref="D9:E9"/>
    <mergeCell ref="H9:I9"/>
    <mergeCell ref="Y9:AA9"/>
  </mergeCells>
  <pageMargins left="0.7" right="0.7" top="0.75" bottom="0.75" header="0.3" footer="0.3"/>
  <pageSetup paperSize="8" scale="37" orientation="landscape" r:id="rId60"/>
  <drawing r:id="rId6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6A98AA-A1B5-4985-8790-C4F4707E9C8A}">
  <sheetPr codeName="Sheet1">
    <pageSetUpPr autoPageBreaks="0" fitToPage="1"/>
  </sheetPr>
  <dimension ref="A1:BD301"/>
  <sheetViews>
    <sheetView showGridLines="0" tabSelected="1" topLeftCell="A2" zoomScale="40" zoomScaleNormal="40" zoomScaleSheetLayoutView="55" zoomScalePageLayoutView="70" workbookViewId="0">
      <selection activeCell="AN3" sqref="AN3"/>
    </sheetView>
  </sheetViews>
  <sheetFormatPr defaultColWidth="8.53515625" defaultRowHeight="14.6" x14ac:dyDescent="0.4"/>
  <cols>
    <col min="1" max="1" width="1.53515625" style="299" customWidth="1"/>
    <col min="2" max="2" width="12" style="15" customWidth="1"/>
    <col min="3" max="3" width="36.53515625" style="279" customWidth="1"/>
    <col min="4" max="4" width="9.53515625" style="1" customWidth="1"/>
    <col min="5" max="5" width="0.53515625" style="15" customWidth="1"/>
    <col min="6" max="6" width="8.53515625" style="15" customWidth="1"/>
    <col min="7" max="7" width="8.53515625" customWidth="1"/>
    <col min="8" max="8" width="0.3828125" style="15" customWidth="1"/>
    <col min="9" max="9" width="9.61328125" style="15" customWidth="1"/>
    <col min="10" max="11" width="9.3828125" style="15" customWidth="1"/>
    <col min="12" max="12" width="15.61328125" style="15" bestFit="1" customWidth="1"/>
    <col min="13" max="13" width="10.53515625" style="15" customWidth="1"/>
    <col min="14" max="14" width="0.3828125" style="15" customWidth="1"/>
    <col min="15" max="16" width="9.53515625" style="15" customWidth="1"/>
    <col min="17" max="17" width="0.53515625" style="15" customWidth="1"/>
    <col min="18" max="19" width="8.53515625" style="15" customWidth="1"/>
    <col min="20" max="20" width="0.3828125" style="15" customWidth="1"/>
    <col min="21" max="21" width="9.3828125" style="15" customWidth="1"/>
    <col min="22" max="22" width="0.3828125" style="15" customWidth="1"/>
    <col min="23" max="24" width="9.53515625" style="15" customWidth="1"/>
    <col min="25" max="25" width="8.53515625" style="15" customWidth="1"/>
    <col min="26" max="26" width="0.3828125" style="15" customWidth="1"/>
    <col min="27" max="27" width="15.3828125" style="15" customWidth="1"/>
    <col min="28" max="28" width="11" style="15" customWidth="1"/>
    <col min="29" max="29" width="9.3828125" style="15" customWidth="1"/>
    <col min="30" max="30" width="0.3828125" style="15" customWidth="1"/>
    <col min="31" max="31" width="11.3828125" style="1" customWidth="1"/>
    <col min="32" max="32" width="12.61328125" style="1" customWidth="1"/>
    <col min="33" max="33" width="10.3828125" style="1" customWidth="1"/>
    <col min="34" max="34" width="11.53515625" style="1" bestFit="1" customWidth="1"/>
    <col min="35" max="35" width="10.53515625" style="1" customWidth="1"/>
    <col min="36" max="37" width="8.3828125" style="1" customWidth="1"/>
    <col min="38" max="38" width="0.3828125" style="1" customWidth="1"/>
    <col min="39" max="39" width="8.53515625" style="15" customWidth="1"/>
    <col min="40" max="40" width="8.53515625" style="15"/>
    <col min="41" max="47" width="0" style="15" hidden="1" customWidth="1"/>
    <col min="48" max="48" width="12.3828125" style="639" bestFit="1" customWidth="1"/>
    <col min="49" max="49" width="9.61328125" style="639" customWidth="1"/>
    <col min="50" max="50" width="2.61328125" style="207" customWidth="1"/>
    <col min="51" max="51" width="10.61328125" style="80" bestFit="1" customWidth="1"/>
    <col min="52" max="52" width="9.3828125" style="207" bestFit="1" customWidth="1"/>
    <col min="53" max="53" width="10.3828125" style="80" bestFit="1" customWidth="1"/>
    <col min="54" max="54" width="9.3828125" style="207" bestFit="1" customWidth="1"/>
    <col min="55" max="16384" width="8.53515625" style="15"/>
  </cols>
  <sheetData>
    <row r="1" spans="1:56" ht="11.8" hidden="1" customHeight="1" x14ac:dyDescent="0.4">
      <c r="F1" s="1"/>
      <c r="G1" s="1"/>
      <c r="AE1" s="42"/>
      <c r="AF1" s="42"/>
      <c r="AG1" s="42"/>
      <c r="AH1" s="42"/>
      <c r="AI1" s="42"/>
      <c r="AJ1" s="42"/>
      <c r="AK1" s="42"/>
    </row>
    <row r="2" spans="1:56" ht="12" customHeight="1" x14ac:dyDescent="0.4">
      <c r="A2" s="647"/>
      <c r="B2" s="94"/>
      <c r="C2" s="490"/>
      <c r="F2" s="1"/>
      <c r="G2" s="1"/>
    </row>
    <row r="3" spans="1:56" ht="23.25" customHeight="1" x14ac:dyDescent="0.4">
      <c r="B3" s="725" t="s">
        <v>377</v>
      </c>
      <c r="C3" s="725" t="s">
        <v>0</v>
      </c>
      <c r="D3" s="746" t="s">
        <v>488</v>
      </c>
      <c r="F3" s="727" t="s">
        <v>47</v>
      </c>
      <c r="G3" s="743"/>
      <c r="H3" s="743"/>
      <c r="I3" s="743"/>
      <c r="J3" s="743"/>
      <c r="K3" s="743"/>
      <c r="L3" s="743"/>
      <c r="M3" s="743"/>
      <c r="N3" s="743"/>
      <c r="O3" s="743"/>
      <c r="P3" s="743"/>
      <c r="R3" s="703" t="s">
        <v>69</v>
      </c>
      <c r="S3" s="703"/>
      <c r="T3" s="703"/>
      <c r="U3" s="703"/>
      <c r="V3" s="703"/>
      <c r="W3" s="703"/>
      <c r="X3" s="703"/>
      <c r="Y3" s="703"/>
      <c r="Z3" s="703"/>
      <c r="AA3" s="703"/>
      <c r="AB3" s="703"/>
      <c r="AC3" s="703"/>
      <c r="AD3" s="703"/>
      <c r="AE3" s="703"/>
      <c r="AF3" s="703"/>
      <c r="AG3" s="703"/>
      <c r="AH3" s="703"/>
      <c r="AI3" s="703"/>
      <c r="AJ3" s="703"/>
      <c r="AK3" s="703"/>
      <c r="AM3" s="750" t="s">
        <v>70</v>
      </c>
      <c r="AO3" s="688" t="s">
        <v>135</v>
      </c>
      <c r="AP3" s="688"/>
      <c r="AQ3" s="688"/>
      <c r="AS3" s="688" t="s">
        <v>136</v>
      </c>
      <c r="AT3" s="688"/>
      <c r="AV3" s="694" t="s">
        <v>137</v>
      </c>
      <c r="AW3" s="694"/>
      <c r="AY3" s="695" t="s">
        <v>147</v>
      </c>
      <c r="AZ3" s="696"/>
      <c r="BA3" s="696"/>
      <c r="BB3" s="697"/>
    </row>
    <row r="4" spans="1:56" ht="23.25" customHeight="1" x14ac:dyDescent="0.4">
      <c r="B4" s="725"/>
      <c r="C4" s="725"/>
      <c r="D4" s="746"/>
      <c r="E4" s="1"/>
      <c r="F4" s="733" t="s">
        <v>170</v>
      </c>
      <c r="G4" s="734"/>
      <c r="H4" s="44"/>
      <c r="I4" s="726" t="s">
        <v>48</v>
      </c>
      <c r="J4" s="727"/>
      <c r="K4" s="727"/>
      <c r="L4" s="727"/>
      <c r="M4" s="727"/>
      <c r="N4" s="1"/>
      <c r="O4" s="703" t="s">
        <v>30</v>
      </c>
      <c r="P4" s="704"/>
      <c r="Q4" s="1"/>
      <c r="R4" s="731" t="s">
        <v>71</v>
      </c>
      <c r="S4" s="732"/>
      <c r="T4" s="28"/>
      <c r="U4" s="735" t="s">
        <v>72</v>
      </c>
      <c r="V4" s="28"/>
      <c r="W4" s="736" t="s">
        <v>33</v>
      </c>
      <c r="X4" s="737"/>
      <c r="Y4" s="737"/>
      <c r="Z4" s="737"/>
      <c r="AA4" s="737"/>
      <c r="AB4" s="737"/>
      <c r="AC4" s="738"/>
      <c r="AD4" s="45"/>
      <c r="AE4" s="715" t="s">
        <v>218</v>
      </c>
      <c r="AF4" s="715"/>
      <c r="AG4" s="715"/>
      <c r="AH4" s="715"/>
      <c r="AI4" s="715"/>
      <c r="AJ4" s="715"/>
      <c r="AK4" s="713"/>
      <c r="AL4" s="46"/>
      <c r="AM4" s="750"/>
      <c r="AO4" s="688"/>
      <c r="AP4" s="688"/>
      <c r="AQ4" s="688"/>
      <c r="AS4" s="688"/>
      <c r="AT4" s="688"/>
      <c r="AV4" s="694"/>
      <c r="AW4" s="694"/>
      <c r="AY4" s="698"/>
      <c r="AZ4" s="699"/>
      <c r="BA4" s="699"/>
      <c r="BB4" s="700"/>
    </row>
    <row r="5" spans="1:56" ht="23.25" customHeight="1" x14ac:dyDescent="0.4">
      <c r="B5" s="725"/>
      <c r="C5" s="725"/>
      <c r="D5" s="746"/>
      <c r="E5" s="1"/>
      <c r="F5" s="733"/>
      <c r="G5" s="734"/>
      <c r="H5" s="28"/>
      <c r="I5" s="724" t="s">
        <v>142</v>
      </c>
      <c r="J5" s="713" t="s">
        <v>73</v>
      </c>
      <c r="K5" s="714"/>
      <c r="L5" s="713" t="s">
        <v>74</v>
      </c>
      <c r="M5" s="717"/>
      <c r="N5" s="1"/>
      <c r="O5" s="747" t="s">
        <v>51</v>
      </c>
      <c r="P5" s="744" t="s">
        <v>2</v>
      </c>
      <c r="Q5" s="1"/>
      <c r="R5" s="733"/>
      <c r="S5" s="734"/>
      <c r="T5" s="28"/>
      <c r="U5" s="735"/>
      <c r="V5" s="28"/>
      <c r="W5" s="715" t="s">
        <v>73</v>
      </c>
      <c r="X5" s="716"/>
      <c r="Y5" s="716"/>
      <c r="Z5" s="29"/>
      <c r="AA5" s="715" t="s">
        <v>74</v>
      </c>
      <c r="AB5" s="716"/>
      <c r="AC5" s="716"/>
      <c r="AD5" s="45"/>
      <c r="AE5" s="715" t="s">
        <v>75</v>
      </c>
      <c r="AF5" s="715" t="s">
        <v>76</v>
      </c>
      <c r="AG5" s="715" t="s">
        <v>77</v>
      </c>
      <c r="AH5" s="715" t="s">
        <v>78</v>
      </c>
      <c r="AI5" s="715" t="s">
        <v>79</v>
      </c>
      <c r="AJ5" s="715" t="s">
        <v>80</v>
      </c>
      <c r="AK5" s="713"/>
      <c r="AL5" s="46"/>
      <c r="AM5" s="750"/>
      <c r="AO5" s="688" t="s">
        <v>130</v>
      </c>
      <c r="AP5" s="688" t="s">
        <v>131</v>
      </c>
      <c r="AQ5" s="688" t="s">
        <v>133</v>
      </c>
      <c r="AS5" s="688" t="s">
        <v>132</v>
      </c>
      <c r="AT5" s="688" t="s">
        <v>134</v>
      </c>
      <c r="AV5" s="638" t="s">
        <v>160</v>
      </c>
      <c r="AW5" s="638" t="s">
        <v>161</v>
      </c>
      <c r="AY5" s="701" t="s">
        <v>73</v>
      </c>
      <c r="AZ5" s="702"/>
      <c r="BA5" s="701" t="s">
        <v>74</v>
      </c>
      <c r="BB5" s="702"/>
    </row>
    <row r="6" spans="1:56" ht="45" customHeight="1" x14ac:dyDescent="0.4">
      <c r="B6" s="725"/>
      <c r="C6" s="725"/>
      <c r="D6" s="746"/>
      <c r="E6" s="1"/>
      <c r="F6" s="703"/>
      <c r="G6" s="704"/>
      <c r="H6" s="30"/>
      <c r="I6" s="749"/>
      <c r="J6" s="65" t="s">
        <v>178</v>
      </c>
      <c r="K6" s="64" t="s">
        <v>179</v>
      </c>
      <c r="L6" s="66" t="s">
        <v>178</v>
      </c>
      <c r="M6" s="67" t="s">
        <v>179</v>
      </c>
      <c r="N6" s="1"/>
      <c r="O6" s="748"/>
      <c r="P6" s="745"/>
      <c r="Q6" s="1"/>
      <c r="R6" s="703"/>
      <c r="S6" s="704"/>
      <c r="T6" s="30"/>
      <c r="U6" s="735"/>
      <c r="V6" s="30"/>
      <c r="W6" s="18" t="s">
        <v>81</v>
      </c>
      <c r="X6" s="18" t="s">
        <v>82</v>
      </c>
      <c r="Y6" s="18" t="s">
        <v>83</v>
      </c>
      <c r="Z6" s="30"/>
      <c r="AA6" s="18" t="s">
        <v>81</v>
      </c>
      <c r="AB6" s="18" t="s">
        <v>84</v>
      </c>
      <c r="AC6" s="18" t="s">
        <v>85</v>
      </c>
      <c r="AD6" s="47"/>
      <c r="AE6" s="724"/>
      <c r="AF6" s="724"/>
      <c r="AG6" s="724"/>
      <c r="AH6" s="724"/>
      <c r="AI6" s="724"/>
      <c r="AJ6" s="298" t="s">
        <v>215</v>
      </c>
      <c r="AK6" s="55" t="s">
        <v>86</v>
      </c>
      <c r="AL6" s="46"/>
      <c r="AM6" s="750"/>
      <c r="AO6" s="688"/>
      <c r="AP6" s="688"/>
      <c r="AQ6" s="688"/>
      <c r="AS6" s="688"/>
      <c r="AT6" s="688"/>
      <c r="AV6" s="638" t="s">
        <v>87</v>
      </c>
      <c r="AW6" s="638" t="s">
        <v>162</v>
      </c>
      <c r="AY6" s="638" t="s">
        <v>148</v>
      </c>
      <c r="AZ6" s="638" t="s">
        <v>149</v>
      </c>
      <c r="BA6" s="638" t="s">
        <v>148</v>
      </c>
      <c r="BB6" s="638" t="s">
        <v>149</v>
      </c>
    </row>
    <row r="7" spans="1:56" ht="5.25" customHeight="1" thickBot="1" x14ac:dyDescent="0.45">
      <c r="C7" s="491"/>
      <c r="G7" s="15"/>
      <c r="W7" s="1"/>
      <c r="X7" s="1"/>
      <c r="Y7" s="1"/>
      <c r="Z7" s="1"/>
      <c r="AA7" s="1"/>
      <c r="AB7" s="1"/>
      <c r="AC7" s="1"/>
    </row>
    <row r="8" spans="1:56" s="505" customFormat="1" ht="24" customHeight="1" thickBot="1" x14ac:dyDescent="0.45">
      <c r="A8" s="299"/>
      <c r="B8" s="718" t="s">
        <v>320</v>
      </c>
      <c r="C8" s="719"/>
      <c r="D8" s="719"/>
      <c r="E8" s="719"/>
      <c r="F8" s="719"/>
      <c r="G8" s="719"/>
      <c r="H8" s="719"/>
      <c r="I8" s="719"/>
      <c r="J8" s="719"/>
      <c r="K8" s="719"/>
      <c r="L8" s="719"/>
      <c r="M8" s="719"/>
      <c r="N8" s="719"/>
      <c r="O8" s="719"/>
      <c r="P8" s="719"/>
      <c r="Q8" s="719"/>
      <c r="R8" s="719"/>
      <c r="S8" s="719"/>
      <c r="T8" s="719"/>
      <c r="U8" s="719"/>
      <c r="V8" s="719"/>
      <c r="W8" s="719"/>
      <c r="X8" s="719"/>
      <c r="Y8" s="719"/>
      <c r="Z8" s="719"/>
      <c r="AA8" s="719"/>
      <c r="AB8" s="719"/>
      <c r="AC8" s="719"/>
      <c r="AD8" s="719"/>
      <c r="AE8" s="719"/>
      <c r="AF8" s="719"/>
      <c r="AG8" s="719"/>
      <c r="AH8" s="719"/>
      <c r="AI8" s="719"/>
      <c r="AJ8" s="719"/>
      <c r="AK8" s="719"/>
      <c r="AL8" s="719"/>
      <c r="AM8" s="720"/>
      <c r="AV8" s="622"/>
      <c r="AW8" s="645"/>
      <c r="AX8" s="642"/>
      <c r="AY8" s="622"/>
      <c r="AZ8" s="624"/>
      <c r="BA8" s="623"/>
      <c r="BB8" s="625"/>
    </row>
    <row r="9" spans="1:56" s="505" customFormat="1" ht="5.25" customHeight="1" thickBot="1" x14ac:dyDescent="0.45">
      <c r="A9" s="299"/>
      <c r="B9" s="78"/>
      <c r="C9" s="78"/>
      <c r="D9" s="79"/>
      <c r="E9" s="79"/>
      <c r="F9" s="79"/>
      <c r="G9" s="79"/>
      <c r="H9" s="79"/>
      <c r="I9" s="79"/>
      <c r="J9" s="79"/>
      <c r="K9" s="79"/>
      <c r="L9" s="79"/>
      <c r="M9" s="79"/>
      <c r="N9" s="79"/>
      <c r="O9" s="79"/>
      <c r="P9" s="79"/>
      <c r="Q9" s="79"/>
      <c r="R9" s="79"/>
      <c r="S9" s="79"/>
      <c r="T9" s="79"/>
      <c r="U9" s="79"/>
      <c r="V9" s="79"/>
      <c r="W9" s="79"/>
      <c r="X9" s="79"/>
      <c r="Y9" s="79"/>
      <c r="Z9" s="79"/>
      <c r="AA9" s="79"/>
      <c r="AB9" s="79"/>
      <c r="AC9" s="79"/>
      <c r="AD9" s="79"/>
      <c r="AE9" s="79"/>
      <c r="AF9" s="79"/>
      <c r="AG9" s="79"/>
      <c r="AH9" s="79"/>
      <c r="AI9" s="79"/>
      <c r="AJ9" s="79"/>
      <c r="AK9" s="79"/>
      <c r="AL9" s="79"/>
      <c r="AM9" s="79"/>
      <c r="AO9" s="81"/>
      <c r="AP9" s="81"/>
      <c r="AQ9" s="81"/>
      <c r="AR9" s="81"/>
      <c r="AS9" s="81"/>
      <c r="AT9" s="81"/>
      <c r="AU9" s="81"/>
      <c r="AV9" s="639"/>
      <c r="AW9" s="646"/>
      <c r="AX9" s="642"/>
      <c r="AY9" s="644"/>
      <c r="AZ9" s="609"/>
      <c r="BA9" s="605"/>
      <c r="BB9" s="610"/>
      <c r="BC9" s="81"/>
      <c r="BD9" s="81"/>
    </row>
    <row r="10" spans="1:56" s="505" customFormat="1" ht="51.75" hidden="1" customHeight="1" thickBot="1" x14ac:dyDescent="0.45">
      <c r="A10" s="299"/>
      <c r="B10" s="728" t="s">
        <v>397</v>
      </c>
      <c r="C10" s="729"/>
      <c r="D10" s="729"/>
      <c r="E10" s="729"/>
      <c r="F10" s="729"/>
      <c r="G10" s="729"/>
      <c r="H10" s="729"/>
      <c r="I10" s="729"/>
      <c r="J10" s="729"/>
      <c r="K10" s="729"/>
      <c r="L10" s="729"/>
      <c r="M10" s="729"/>
      <c r="N10" s="729"/>
      <c r="O10" s="729"/>
      <c r="P10" s="729"/>
      <c r="Q10" s="729"/>
      <c r="R10" s="729"/>
      <c r="S10" s="729"/>
      <c r="T10" s="729"/>
      <c r="U10" s="729"/>
      <c r="V10" s="729"/>
      <c r="W10" s="729"/>
      <c r="X10" s="729"/>
      <c r="Y10" s="729"/>
      <c r="Z10" s="729"/>
      <c r="AA10" s="729"/>
      <c r="AB10" s="729"/>
      <c r="AC10" s="729"/>
      <c r="AD10" s="729"/>
      <c r="AE10" s="729"/>
      <c r="AF10" s="729"/>
      <c r="AG10" s="729"/>
      <c r="AH10" s="729"/>
      <c r="AI10" s="729"/>
      <c r="AJ10" s="729"/>
      <c r="AK10" s="729"/>
      <c r="AL10" s="729"/>
      <c r="AM10" s="730"/>
      <c r="AV10" s="639"/>
      <c r="AW10" s="646"/>
      <c r="AX10" s="642"/>
      <c r="AY10" s="644"/>
      <c r="AZ10" s="609"/>
      <c r="BA10" s="605"/>
      <c r="BB10" s="610"/>
    </row>
    <row r="11" spans="1:56" s="505" customFormat="1" ht="36" customHeight="1" x14ac:dyDescent="0.4">
      <c r="A11" s="299"/>
      <c r="B11" s="261" t="s">
        <v>164</v>
      </c>
      <c r="C11" s="589" t="s">
        <v>311</v>
      </c>
      <c r="D11" s="249" t="s">
        <v>3</v>
      </c>
      <c r="E11" s="250"/>
      <c r="F11" s="244" t="str">
        <f>VLOOKUP(C11,'5a)NDA MPPR'!$B$9:$AK$61,3,FALSE)</f>
        <v>G</v>
      </c>
      <c r="G11" s="246">
        <f>VLOOKUP(C11,'5a)NDA MPPR'!$B$9:$AK$61,4,FALSE)</f>
        <v>0</v>
      </c>
      <c r="H11" s="263"/>
      <c r="I11" s="252" t="str">
        <f>VLOOKUP(C11,'5a)NDA MPPR'!$B$9:$AK$61,6,FALSE)</f>
        <v>PBC 
(Jun-24)</v>
      </c>
      <c r="J11" s="48">
        <f>VLOOKUP(C11,'5a)NDA MPPR'!$B$9:$AK$61,7,FALSE)</f>
        <v>904</v>
      </c>
      <c r="K11" s="48">
        <f>VLOOKUP(C11,'5a)NDA MPPR'!$B$9:$AK$61,8,FALSE)</f>
        <v>921.8</v>
      </c>
      <c r="L11" s="254">
        <f>VLOOKUP(C11,'5a)NDA MPPR'!$B$9:$AK$61,9,FALSE)</f>
        <v>46022</v>
      </c>
      <c r="M11" s="254">
        <f>VLOOKUP(C11,'5a)NDA MPPR'!$B$9:$AK$61,10,FALSE)</f>
        <v>46234</v>
      </c>
      <c r="N11" s="250"/>
      <c r="O11" s="48">
        <f>VLOOKUP(C11,'5a)NDA MPPR'!$B$9:$AK$61,12,FALSE)</f>
        <v>921.8</v>
      </c>
      <c r="P11" s="48">
        <f>VLOOKUP(C11,'5a)NDA MPPR'!$B$9:$AK$61,13,FALSE)</f>
        <v>921.8</v>
      </c>
      <c r="Q11" s="250"/>
      <c r="R11" s="244" t="str">
        <f>VLOOKUP(C11,'5a)NDA MPPR'!$B$9:$AK$61,15,FALSE)</f>
        <v>N/A</v>
      </c>
      <c r="S11" s="246">
        <f>VLOOKUP(C11,'5a)NDA MPPR'!$B$9:$AK$61,16,FALSE)</f>
        <v>0</v>
      </c>
      <c r="T11" s="251"/>
      <c r="U11" s="255" t="str">
        <f>VLOOKUP(C11,'5a)NDA MPPR'!$B$9:$AK$61,18,FALSE)</f>
        <v>PBC
(Oct-21)</v>
      </c>
      <c r="V11" s="251"/>
      <c r="W11" s="49" t="str">
        <f>VLOOKUP(C11,'5a)NDA MPPR'!$B$9:$AK$61,20,FALSE)</f>
        <v>-</v>
      </c>
      <c r="X11" s="49">
        <f>VLOOKUP(C11,'5a)NDA MPPR'!$B$9:$AK$61,21,FALSE)</f>
        <v>914.56678155999998</v>
      </c>
      <c r="Y11" s="49">
        <f>VLOOKUP(C11,'5a)NDA MPPR'!$B$9:$AK$61,22,FALSE)</f>
        <v>-6.9</v>
      </c>
      <c r="Z11" s="50"/>
      <c r="AA11" s="254" t="str">
        <f>VLOOKUP(C11,'5a)NDA MPPR'!$B$9:$AK$61,24,FALSE)</f>
        <v>-</v>
      </c>
      <c r="AB11" s="254">
        <f>VLOOKUP(C11,'5a)NDA MPPR'!$B$9:$AK$61,25,FALSE)</f>
        <v>46234</v>
      </c>
      <c r="AC11" s="264">
        <f>VLOOKUP(C11,'5a)NDA MPPR'!$B$9:$AK$61,26,FALSE)</f>
        <v>0</v>
      </c>
      <c r="AD11" s="250"/>
      <c r="AE11" s="49">
        <f>VLOOKUP(C11,'5a)NDA MPPR'!$B$9:$AK$61,28,FALSE)</f>
        <v>0</v>
      </c>
      <c r="AF11" s="49">
        <f>VLOOKUP(C11,'5a)NDA MPPR'!$B$9:$AK$61,29,FALSE)</f>
        <v>0</v>
      </c>
      <c r="AG11" s="52">
        <f>VLOOKUP(C11,'5a)NDA MPPR'!$B$9:$AK$61,30,FALSE)</f>
        <v>909.09983131999991</v>
      </c>
      <c r="AH11" s="256">
        <f>VLOOKUP(C11,'5a)NDA MPPR'!$B$9:$AK$61,31,FALSE)</f>
        <v>0</v>
      </c>
      <c r="AI11" s="256">
        <f>VLOOKUP(C11,'5a)NDA MPPR'!$B$9:$AK$61,32,FALSE)</f>
        <v>0</v>
      </c>
      <c r="AJ11" s="258">
        <f>VLOOKUP(C11,'5a)NDA MPPR'!$B$9:$AK$61,33,FALSE)</f>
        <v>0</v>
      </c>
      <c r="AK11" s="259">
        <f>VLOOKUP(C11,'5a)NDA MPPR'!$B$9:$AK$61,34,FALSE)</f>
        <v>0</v>
      </c>
      <c r="AL11" s="249"/>
      <c r="AM11" s="247" t="str">
        <f>VLOOKUP(C11,'5a)NDA MPPR'!$B$9:$AK$61,36,FALSE)</f>
        <v>N/A</v>
      </c>
      <c r="AV11" s="631">
        <v>921.42523013000005</v>
      </c>
      <c r="AW11" s="607">
        <v>46234</v>
      </c>
      <c r="AX11" s="642"/>
      <c r="AY11" s="631">
        <v>0</v>
      </c>
      <c r="AZ11" s="641"/>
      <c r="BA11" s="607" t="s">
        <v>331</v>
      </c>
      <c r="BB11" s="613"/>
    </row>
    <row r="12" spans="1:56" s="505" customFormat="1" ht="91.5" customHeight="1" thickBot="1" x14ac:dyDescent="0.45">
      <c r="A12" s="299" t="str">
        <f>C11</f>
        <v>Sellafield Security Enhancement Programme (SSEP)</v>
      </c>
      <c r="B12" s="705" t="str">
        <f>VLOOKUP($C11,'5a)NDA MPPR'!$A$9:$AK$61,2,FALSE)</f>
        <v>The Sellafield Security Enhancement Programme (SSEP) represents a series of interdependent security enhancement projects, which encompass site-wide improvement initiatives, and some facility-specific asset improvements. The Delivery Confidence Assessment remains Green. The NDA revised Programme Business Case value of £921.8m was released to SL in June 2024, with Department for Energy Security and Net Zero (DESNZ) PIC holding the upper range figure of £929.8m. The SSAU and CNC OU P80 sanction request submissions were approved at the NDA Group Investment Committee (GIC) in September 2024. The assessment work on Encrypted Comms project is complete resulting in a significant reduction in the project scope. The project EAC has therefore been reduced accordingly. Formal governance steps will conclude during period 8. The programme lifecycle EAC has therefore been reduced to reflect the EC position. The Programme Ready for FOC, based on the latest SSAU project data, remains forecast as March 2026 due to delays to the progression of the Legacy SMS migrations, which are scheduled to take place after the L1 commissioning of the new boundaries.. This is subject to ongoing reviews of the available operational, engineering and maintenance resources needed to review and sign off the various systems and assets being delivered by the projects to underpin the Custody Transfer Certificate (CTC). The overall outturn project delivery performance remains in line with sanctioned plans. Security Systems Architecture Upgrade (SSAU), Encrypted Comms (EC) &amp; Civil Nuclear Constabulary (CNC) Operational Unit (CNC OU) Projects (all reported as projects in their own right on the MPPR) are, based on the respective projects latest EAC figures, affordable within the released SSEP sanction. The Main Site Command Facility (MSCF) continues to improve its operational capability with Phases 1 &amp; 2 of the revised 3 Phase Capability Delivery Plan now complete. (Phase 1: The High Security Area (HSA)1 Boundary declared operational in March 2024 &amp; Phase 2: The achievement of a Green rating for the complex and challenging Level 1 Regulator Evaluated Demonstration Exercise in November 2024). As a consequence the Regulator confirmed in December 2024, Physical Security no longer needs to be monitored at the “Enhanced Level” and has therefore been returned to “Routine Level” with the Nuclear Site Security Plan (NSSP) and Security Improvement Schedule (SIS) updated accordingly; a significant achievement for the Sellafield Site. Phase 3 will achieve the agreed security outcomes and associated security risk reduction benefits by no later than May 2027 for Full Operating Capability (FOC). The latest programme forecast aligns with the current CNC OU P80 sanction date of 31 July 2026. The programme remains within its sanctioned tolerances.</v>
      </c>
      <c r="C12" s="706"/>
      <c r="D12" s="706"/>
      <c r="E12" s="706"/>
      <c r="F12" s="706"/>
      <c r="G12" s="706"/>
      <c r="H12" s="706"/>
      <c r="I12" s="706"/>
      <c r="J12" s="706"/>
      <c r="K12" s="706"/>
      <c r="L12" s="706"/>
      <c r="M12" s="706"/>
      <c r="N12" s="706"/>
      <c r="O12" s="706"/>
      <c r="P12" s="706"/>
      <c r="Q12" s="706"/>
      <c r="R12" s="706"/>
      <c r="S12" s="706"/>
      <c r="T12" s="706"/>
      <c r="U12" s="706"/>
      <c r="V12" s="706"/>
      <c r="W12" s="706"/>
      <c r="X12" s="706"/>
      <c r="Y12" s="706"/>
      <c r="Z12" s="706"/>
      <c r="AA12" s="706"/>
      <c r="AB12" s="706"/>
      <c r="AC12" s="706"/>
      <c r="AD12" s="706"/>
      <c r="AE12" s="706"/>
      <c r="AF12" s="706"/>
      <c r="AG12" s="706"/>
      <c r="AH12" s="706"/>
      <c r="AI12" s="706"/>
      <c r="AJ12" s="706"/>
      <c r="AK12" s="706"/>
      <c r="AL12" s="706"/>
      <c r="AM12" s="707"/>
      <c r="AV12" s="606"/>
      <c r="AW12" s="608"/>
      <c r="AX12" s="642"/>
      <c r="AY12" s="606"/>
      <c r="AZ12" s="612"/>
      <c r="BA12" s="608"/>
      <c r="BB12" s="614"/>
    </row>
    <row r="13" spans="1:56" s="505" customFormat="1" ht="5.25" customHeight="1" thickBot="1" x14ac:dyDescent="0.45">
      <c r="A13" s="299"/>
      <c r="B13" s="501"/>
      <c r="C13" s="491"/>
      <c r="D13" s="501"/>
      <c r="E13" s="501"/>
      <c r="F13" s="501"/>
      <c r="G13" s="501"/>
      <c r="H13" s="501"/>
      <c r="I13" s="501"/>
      <c r="J13" s="501"/>
      <c r="K13" s="501"/>
      <c r="L13" s="501"/>
      <c r="M13" s="501"/>
      <c r="N13" s="501"/>
      <c r="O13" s="501"/>
      <c r="P13" s="501"/>
      <c r="Q13" s="501"/>
      <c r="R13" s="501"/>
      <c r="S13" s="501"/>
      <c r="T13" s="501"/>
      <c r="U13" s="501"/>
      <c r="V13" s="501"/>
      <c r="W13" s="501"/>
      <c r="X13" s="501"/>
      <c r="Y13" s="501"/>
      <c r="Z13" s="501"/>
      <c r="AA13" s="501"/>
      <c r="AB13" s="501"/>
      <c r="AC13" s="501"/>
      <c r="AD13" s="501"/>
      <c r="AE13" s="501"/>
      <c r="AF13" s="501"/>
      <c r="AG13" s="501"/>
      <c r="AH13" s="501"/>
      <c r="AI13" s="501"/>
      <c r="AJ13" s="501"/>
      <c r="AK13" s="501"/>
      <c r="AL13" s="501"/>
      <c r="AM13" s="501"/>
      <c r="AV13" s="654"/>
      <c r="AW13" s="646"/>
      <c r="AX13" s="642"/>
      <c r="AY13" s="644"/>
      <c r="AZ13" s="609"/>
      <c r="BA13" s="605"/>
      <c r="BB13" s="610"/>
    </row>
    <row r="14" spans="1:56" ht="24" customHeight="1" thickBot="1" x14ac:dyDescent="0.45">
      <c r="B14" s="721" t="s">
        <v>193</v>
      </c>
      <c r="C14" s="722"/>
      <c r="D14" s="722"/>
      <c r="E14" s="722"/>
      <c r="F14" s="722"/>
      <c r="G14" s="722"/>
      <c r="H14" s="722"/>
      <c r="I14" s="722"/>
      <c r="J14" s="722"/>
      <c r="K14" s="722"/>
      <c r="L14" s="722"/>
      <c r="M14" s="722"/>
      <c r="N14" s="722"/>
      <c r="O14" s="722"/>
      <c r="P14" s="722"/>
      <c r="Q14" s="722"/>
      <c r="R14" s="722"/>
      <c r="S14" s="722"/>
      <c r="T14" s="722"/>
      <c r="U14" s="722"/>
      <c r="V14" s="722"/>
      <c r="W14" s="722"/>
      <c r="X14" s="722"/>
      <c r="Y14" s="722"/>
      <c r="Z14" s="722"/>
      <c r="AA14" s="722"/>
      <c r="AB14" s="722"/>
      <c r="AC14" s="722"/>
      <c r="AD14" s="722"/>
      <c r="AE14" s="722"/>
      <c r="AF14" s="722"/>
      <c r="AG14" s="722"/>
      <c r="AH14" s="722"/>
      <c r="AI14" s="722"/>
      <c r="AJ14" s="722"/>
      <c r="AK14" s="722"/>
      <c r="AL14" s="722"/>
      <c r="AM14" s="723"/>
      <c r="AV14" s="622"/>
      <c r="AW14" s="645"/>
      <c r="AX14" s="642"/>
      <c r="AY14" s="622"/>
      <c r="AZ14" s="624"/>
      <c r="BA14" s="623"/>
      <c r="BB14" s="625"/>
    </row>
    <row r="15" spans="1:56" ht="5.25" customHeight="1" thickBot="1" x14ac:dyDescent="0.45">
      <c r="C15" s="491"/>
      <c r="G15" s="15"/>
      <c r="W15" s="1"/>
      <c r="X15" s="1"/>
      <c r="Y15" s="1"/>
      <c r="Z15" s="1"/>
      <c r="AA15" s="1"/>
      <c r="AB15" s="1"/>
      <c r="AC15" s="1"/>
      <c r="AO15" s="505"/>
      <c r="AP15" s="505"/>
      <c r="AQ15" s="505"/>
      <c r="AR15" s="505"/>
      <c r="AS15" s="505"/>
      <c r="AT15" s="505"/>
      <c r="AU15" s="505"/>
      <c r="AW15" s="646"/>
      <c r="AX15" s="642"/>
      <c r="AY15" s="644"/>
      <c r="AZ15" s="609"/>
      <c r="BA15" s="605"/>
      <c r="BB15" s="610"/>
      <c r="BC15" s="505"/>
      <c r="BD15" s="505"/>
    </row>
    <row r="16" spans="1:56" s="267" customFormat="1" ht="56.25" hidden="1" customHeight="1" thickBot="1" x14ac:dyDescent="0.45">
      <c r="A16" s="299"/>
      <c r="B16" s="728" t="s">
        <v>397</v>
      </c>
      <c r="C16" s="729"/>
      <c r="D16" s="729"/>
      <c r="E16" s="729"/>
      <c r="F16" s="729"/>
      <c r="G16" s="729"/>
      <c r="H16" s="729"/>
      <c r="I16" s="729"/>
      <c r="J16" s="729"/>
      <c r="K16" s="729"/>
      <c r="L16" s="729"/>
      <c r="M16" s="729"/>
      <c r="N16" s="729"/>
      <c r="O16" s="729"/>
      <c r="P16" s="729"/>
      <c r="Q16" s="729"/>
      <c r="R16" s="729"/>
      <c r="S16" s="729"/>
      <c r="T16" s="729"/>
      <c r="U16" s="729"/>
      <c r="V16" s="729"/>
      <c r="W16" s="729"/>
      <c r="X16" s="729"/>
      <c r="Y16" s="729"/>
      <c r="Z16" s="729"/>
      <c r="AA16" s="729"/>
      <c r="AB16" s="729"/>
      <c r="AC16" s="729"/>
      <c r="AD16" s="729"/>
      <c r="AE16" s="729"/>
      <c r="AF16" s="729"/>
      <c r="AG16" s="729"/>
      <c r="AH16" s="729"/>
      <c r="AI16" s="729"/>
      <c r="AJ16" s="729"/>
      <c r="AK16" s="729"/>
      <c r="AL16" s="729"/>
      <c r="AM16" s="730"/>
      <c r="AO16" s="505"/>
      <c r="AP16" s="505"/>
      <c r="AQ16" s="505"/>
      <c r="AR16" s="505"/>
      <c r="AS16" s="505"/>
      <c r="AT16" s="505"/>
      <c r="AU16" s="505"/>
      <c r="AV16" s="639"/>
      <c r="AW16" s="646"/>
      <c r="AX16" s="642"/>
      <c r="AY16" s="644"/>
      <c r="AZ16" s="609"/>
      <c r="BA16" s="605"/>
      <c r="BB16" s="610"/>
      <c r="BC16" s="505"/>
      <c r="BD16" s="505"/>
    </row>
    <row r="17" spans="1:56" ht="36" customHeight="1" x14ac:dyDescent="0.4">
      <c r="B17" s="216" t="s">
        <v>122</v>
      </c>
      <c r="C17" s="587" t="s">
        <v>121</v>
      </c>
      <c r="D17" s="540" t="s">
        <v>3</v>
      </c>
      <c r="E17" s="535"/>
      <c r="F17" s="244" t="str">
        <f>VLOOKUP(C17,'5a)NDA MPPR'!$B$9:$AK$61,3,FALSE)</f>
        <v>R</v>
      </c>
      <c r="G17" s="246">
        <f>VLOOKUP(C17,'5a)NDA MPPR'!$B$9:$AK$61,4,FALSE)</f>
        <v>0</v>
      </c>
      <c r="H17" s="536"/>
      <c r="I17" s="537" t="str">
        <f>VLOOKUP(C17,'5a)NDA MPPR'!$B$9:$AK$61,6,FALSE)</f>
        <v>OBC
(Mar-20)</v>
      </c>
      <c r="J17" s="180">
        <f>VLOOKUP(C17,'5a)NDA MPPR'!$B$9:$AK$61,7,FALSE)</f>
        <v>25.838000000000001</v>
      </c>
      <c r="K17" s="49">
        <f>VLOOKUP(C17,'5a)NDA MPPR'!$B$9:$AK$61,8,FALSE)</f>
        <v>31.94</v>
      </c>
      <c r="L17" s="538">
        <f>VLOOKUP(C17,'5a)NDA MPPR'!$B$9:$AK$61,9,FALSE)</f>
        <v>45058</v>
      </c>
      <c r="M17" s="538">
        <f>VLOOKUP(C17,'5a)NDA MPPR'!$B$9:$AK$61,10,FALSE)</f>
        <v>45412</v>
      </c>
      <c r="N17" s="535">
        <f>'3) BC and Sanction'!I94</f>
        <v>0</v>
      </c>
      <c r="O17" s="49">
        <f>VLOOKUP(C17,'5a)NDA MPPR'!$B$9:$AK$61,12,FALSE)</f>
        <v>31.9</v>
      </c>
      <c r="P17" s="48">
        <f>VLOOKUP(C17,'5a)NDA MPPR'!$B$9:$AK$61,13,FALSE)</f>
        <v>25.8</v>
      </c>
      <c r="Q17" s="535"/>
      <c r="R17" s="244" t="str">
        <f>VLOOKUP(C17,'5a)NDA MPPR'!$B$9:$AK$61,15,FALSE)</f>
        <v>R</v>
      </c>
      <c r="S17" s="246">
        <f>VLOOKUP(C17,'5a)NDA MPPR'!$B$9:$AK$61,16,FALSE)</f>
        <v>0</v>
      </c>
      <c r="T17" s="536"/>
      <c r="U17" s="554" t="str">
        <f>VLOOKUP(C17,'5a)NDA MPPR'!$B$9:$AK$61,18,FALSE)</f>
        <v>OBC
 (Mar-25)</v>
      </c>
      <c r="V17" s="536"/>
      <c r="W17" s="49">
        <f>VLOOKUP(C17,'5a)NDA MPPR'!$B$9:$AK$61,20,FALSE)</f>
        <v>25.979194</v>
      </c>
      <c r="X17" s="49">
        <f>VLOOKUP(C17,'5a)NDA MPPR'!$B$9:$AK$61,21,FALSE)</f>
        <v>18.769073489999997</v>
      </c>
      <c r="Y17" s="49">
        <f>VLOOKUP(C17,'5a)NDA MPPR'!$B$9:$AK$61,22,FALSE)</f>
        <v>-7</v>
      </c>
      <c r="Z17" s="50"/>
      <c r="AA17" s="538">
        <f>VLOOKUP(C17,'5a)NDA MPPR'!$B$9:$AK$61,24,FALSE)</f>
        <v>45058</v>
      </c>
      <c r="AB17" s="538">
        <f>VLOOKUP(C17,'5a)NDA MPPR'!$B$9:$AK$61,25,FALSE)</f>
        <v>46175</v>
      </c>
      <c r="AC17" s="51">
        <f>VLOOKUP(C17,'5a)NDA MPPR'!$B$9:$AK$61,26,FALSE)</f>
        <v>0</v>
      </c>
      <c r="AD17" s="535"/>
      <c r="AE17" s="49">
        <f>VLOOKUP(C17,'5a)NDA MPPR'!$B$9:$AK$61,28,FALSE)</f>
        <v>19.634302820000002</v>
      </c>
      <c r="AF17" s="49">
        <f>VLOOKUP(C17,'5a)NDA MPPR'!$B$9:$AK$61,29,FALSE)</f>
        <v>19.634302982700003</v>
      </c>
      <c r="AG17" s="52">
        <f>VLOOKUP(C17,'5a)NDA MPPR'!$B$9:$AK$61,30,FALSE)</f>
        <v>16.96907349</v>
      </c>
      <c r="AH17" s="539">
        <f>VLOOKUP(C17,'5a)NDA MPPR'!$B$9:$AK$61,31,FALSE)</f>
        <v>1.1570639371837619</v>
      </c>
      <c r="AI17" s="90">
        <f>VLOOKUP(C17,'5a)NDA MPPR'!$B$9:$AK$61,32,FALSE)</f>
        <v>1.0000000082865179</v>
      </c>
      <c r="AJ17" s="575">
        <f>VLOOKUP(C17,'5a)NDA MPPR'!$B$9:$AK$61,33,FALSE)</f>
        <v>0.75577028371242005</v>
      </c>
      <c r="AK17" s="574">
        <f>VLOOKUP(C17,'5a)NDA MPPR'!$B$9:$AK$61,34,FALSE)</f>
        <v>0.75577028997512397</v>
      </c>
      <c r="AL17" s="540"/>
      <c r="AM17" s="247" t="str">
        <f>VLOOKUP(C17,'5a)NDA MPPR'!$B$9:$AK$61,36,FALSE)</f>
        <v>G</v>
      </c>
      <c r="AO17" s="15" t="e">
        <f>#REF!-#REF!</f>
        <v>#REF!</v>
      </c>
      <c r="AP17" s="15" t="e">
        <f>#REF!-#REF!</f>
        <v>#REF!</v>
      </c>
      <c r="AQ17" s="15" t="e">
        <f>#REF!-#REF!</f>
        <v>#REF!</v>
      </c>
      <c r="AS17" s="15" t="e">
        <f>#REF!-#REF!</f>
        <v>#REF!</v>
      </c>
      <c r="AT17" s="15" t="e">
        <f>#REF!-#REF!</f>
        <v>#REF!</v>
      </c>
      <c r="AV17" s="631">
        <v>25.76910247</v>
      </c>
      <c r="AW17" s="607">
        <v>46175</v>
      </c>
      <c r="AX17" s="642"/>
      <c r="AY17" s="631">
        <v>25.979194</v>
      </c>
      <c r="AZ17" s="611">
        <f>W17-AY17</f>
        <v>0</v>
      </c>
      <c r="BA17" s="607">
        <v>45058</v>
      </c>
      <c r="BB17" s="613">
        <f>AA17-BA17</f>
        <v>0</v>
      </c>
    </row>
    <row r="18" spans="1:56" ht="73.5" customHeight="1" thickBot="1" x14ac:dyDescent="0.45">
      <c r="A18" s="299" t="str">
        <f>C17</f>
        <v>Enhanced CNC Airwave System (Encrypted Comms)</v>
      </c>
      <c r="B18" s="705" t="str">
        <f>VLOOKUP($C17,'5a)NDA MPPR'!$A$9:$AK$61,2,FALSE)</f>
        <v xml:space="preserve">The Encrypted Communications (EC) project will deliver the ability for the Civil Nuclear Constabulary (CNC), and other emergency responders utilising current Airwave and/or future Emergency Services Network, to clearly communicate with their Command and Control, both during routine patrols and in emergency response, within a number of identified facilities. The Delivery Confidence Assessment remains Red, since the forecast end date is outside of the Business Case P80 date due to the project currently being on hold pending a future scope delivery decision by the Security &amp; Resilience Programme. The project has to date provided a proven technical infrastructure solution to two initial facilities (which will fully operationalise in late 2025). The decision timeline for further scope delivery has been linked to the production by S&amp;R of Facility Security Plans and their associated Physical Security Vulnerability Assessments (PSVA), since this gives the most robust answer (for both the EC project and the PSVA process) in terms of need. The assessment work on Encrypted Comms project is now complete, resulting in a significant reduction in the project scope. The project EAC has therefore been reduced accordingly. Formal governance steps will conclude during Period 8. The Baseline status is Red, reflective of the current pause. The project has implemented a deferral change control reflecting the impact of the pause to the project; this is within SL delegation and went to the Group Investment Panel (GIC) for noting in late April. Capability and Capacity RAG is Green and it should be noted minimal resource is assigned as the project is on hold. </v>
      </c>
      <c r="C18" s="706"/>
      <c r="D18" s="706"/>
      <c r="E18" s="706"/>
      <c r="F18" s="706"/>
      <c r="G18" s="706"/>
      <c r="H18" s="706"/>
      <c r="I18" s="706"/>
      <c r="J18" s="706"/>
      <c r="K18" s="706"/>
      <c r="L18" s="706"/>
      <c r="M18" s="706"/>
      <c r="N18" s="706"/>
      <c r="O18" s="706"/>
      <c r="P18" s="706"/>
      <c r="Q18" s="706"/>
      <c r="R18" s="706"/>
      <c r="S18" s="706"/>
      <c r="T18" s="706"/>
      <c r="U18" s="706"/>
      <c r="V18" s="706"/>
      <c r="W18" s="706"/>
      <c r="X18" s="706"/>
      <c r="Y18" s="706"/>
      <c r="Z18" s="706"/>
      <c r="AA18" s="706"/>
      <c r="AB18" s="706"/>
      <c r="AC18" s="706"/>
      <c r="AD18" s="706"/>
      <c r="AE18" s="706"/>
      <c r="AF18" s="706"/>
      <c r="AG18" s="706"/>
      <c r="AH18" s="706"/>
      <c r="AI18" s="706"/>
      <c r="AJ18" s="706"/>
      <c r="AK18" s="706"/>
      <c r="AL18" s="706"/>
      <c r="AM18" s="707"/>
      <c r="AV18" s="606"/>
      <c r="AW18" s="608"/>
      <c r="AX18" s="642"/>
      <c r="AY18" s="606"/>
      <c r="AZ18" s="612"/>
      <c r="BA18" s="608"/>
      <c r="BB18" s="614"/>
    </row>
    <row r="19" spans="1:56" s="466" customFormat="1" ht="5.25" customHeight="1" thickBot="1" x14ac:dyDescent="0.45">
      <c r="A19" s="299"/>
      <c r="B19" s="96"/>
      <c r="C19" s="96"/>
      <c r="D19" s="96"/>
      <c r="E19" s="96"/>
      <c r="F19" s="96"/>
      <c r="G19" s="96"/>
      <c r="H19" s="96"/>
      <c r="I19" s="96"/>
      <c r="J19" s="96"/>
      <c r="K19" s="96"/>
      <c r="L19" s="96"/>
      <c r="M19" s="96"/>
      <c r="N19" s="96"/>
      <c r="O19" s="96"/>
      <c r="P19" s="96"/>
      <c r="Q19" s="96"/>
      <c r="R19" s="96"/>
      <c r="S19" s="96"/>
      <c r="T19" s="96"/>
      <c r="U19" s="96"/>
      <c r="V19" s="96"/>
      <c r="W19" s="96"/>
      <c r="X19" s="96"/>
      <c r="Y19" s="96"/>
      <c r="Z19" s="96"/>
      <c r="AA19" s="96"/>
      <c r="AB19" s="96"/>
      <c r="AC19" s="96"/>
      <c r="AD19" s="96"/>
      <c r="AE19" s="96"/>
      <c r="AF19" s="96"/>
      <c r="AG19" s="96"/>
      <c r="AH19" s="96"/>
      <c r="AI19" s="96"/>
      <c r="AJ19" s="96"/>
      <c r="AK19" s="96"/>
      <c r="AL19" s="96"/>
      <c r="AM19" s="96"/>
      <c r="AO19" s="15"/>
      <c r="AP19" s="15"/>
      <c r="AQ19" s="15"/>
      <c r="AR19" s="15"/>
      <c r="AS19" s="15"/>
      <c r="AT19" s="15"/>
      <c r="AU19" s="15"/>
      <c r="AV19" s="639"/>
      <c r="AW19" s="646"/>
      <c r="AX19" s="642"/>
      <c r="AY19" s="644"/>
      <c r="AZ19" s="609"/>
      <c r="BA19" s="605"/>
      <c r="BB19" s="610"/>
      <c r="BC19" s="15"/>
      <c r="BD19" s="15"/>
    </row>
    <row r="20" spans="1:56" ht="36" customHeight="1" x14ac:dyDescent="0.4">
      <c r="B20" s="216" t="s">
        <v>99</v>
      </c>
      <c r="C20" s="587" t="s">
        <v>98</v>
      </c>
      <c r="D20" s="540" t="s">
        <v>3</v>
      </c>
      <c r="E20" s="535"/>
      <c r="F20" s="244" t="str">
        <f>VLOOKUP(C20,'5a)NDA MPPR'!$B$9:$AK$61,3,FALSE)</f>
        <v>A</v>
      </c>
      <c r="G20" s="245">
        <f>VLOOKUP(C20,'5a)NDA MPPR'!$B$9:$AK$61,4,FALSE)</f>
        <v>-1</v>
      </c>
      <c r="H20" s="536"/>
      <c r="I20" s="537" t="str">
        <f>VLOOKUP(C20,'5a)NDA MPPR'!$B$9:$AK$61,6,FALSE)</f>
        <v>FBC
(Jul-22)</v>
      </c>
      <c r="J20" s="72">
        <f>VLOOKUP(C20,'5a)NDA MPPR'!$B$9:$AK$61,7,FALSE)</f>
        <v>1316</v>
      </c>
      <c r="K20" s="48">
        <f>VLOOKUP(C20,'5a)NDA MPPR'!$B$9:$AK$61,8,FALSE)</f>
        <v>1512</v>
      </c>
      <c r="L20" s="538">
        <f>VLOOKUP(C20,'5a)NDA MPPR'!$B$9:$AK$61,9,FALSE)</f>
        <v>46332</v>
      </c>
      <c r="M20" s="538">
        <f>VLOOKUP(C20,'5a)NDA MPPR'!$B$9:$AK$61,10,FALSE)</f>
        <v>46847</v>
      </c>
      <c r="N20" s="535">
        <f>'3) BC and Sanction'!I97</f>
        <v>0</v>
      </c>
      <c r="O20" s="48">
        <f>VLOOKUP(C20,'5a)NDA MPPR'!$B$9:$AK$61,12,FALSE)</f>
        <v>1512</v>
      </c>
      <c r="P20" s="48">
        <f>VLOOKUP(C20,'5a)NDA MPPR'!$B$9:$AK$61,13,FALSE)</f>
        <v>1389.2</v>
      </c>
      <c r="Q20" s="535"/>
      <c r="R20" s="244" t="str">
        <f>VLOOKUP(C20,'5a)NDA MPPR'!$B$9:$AK$61,15,FALSE)</f>
        <v>A</v>
      </c>
      <c r="S20" s="245">
        <f>VLOOKUP(C20,'5a)NDA MPPR'!$B$9:$AK$61,16,FALSE)</f>
        <v>0</v>
      </c>
      <c r="T20" s="536"/>
      <c r="U20" s="554" t="str">
        <f>VLOOKUP(C20,'5a)NDA MPPR'!$B$9:$AK$61,18,FALSE)</f>
        <v>FBC Re.
 (Nov-24)</v>
      </c>
      <c r="V20" s="536"/>
      <c r="W20" s="49">
        <f>VLOOKUP(C20,'5a)NDA MPPR'!$B$9:$AK$61,20,FALSE)</f>
        <v>1335.4604200000001</v>
      </c>
      <c r="X20" s="49">
        <f>VLOOKUP(C20,'5a)NDA MPPR'!$B$9:$AK$61,21,FALSE)</f>
        <v>1445.0750578699999</v>
      </c>
      <c r="Y20" s="49">
        <f>VLOOKUP(C20,'5a)NDA MPPR'!$B$9:$AK$61,22,FALSE)</f>
        <v>0</v>
      </c>
      <c r="Z20" s="50"/>
      <c r="AA20" s="538">
        <f>VLOOKUP(C20,'5a)NDA MPPR'!$B$9:$AK$61,24,FALSE)</f>
        <v>46402</v>
      </c>
      <c r="AB20" s="538">
        <f>VLOOKUP(C20,'5a)NDA MPPR'!$B$9:$AK$61,25,FALSE)</f>
        <v>46609</v>
      </c>
      <c r="AC20" s="51">
        <f>VLOOKUP(C20,'5a)NDA MPPR'!$B$9:$AK$61,26,FALSE)</f>
        <v>0</v>
      </c>
      <c r="AD20" s="535"/>
      <c r="AE20" s="49">
        <f>VLOOKUP(C20,'5a)NDA MPPR'!$B$9:$AK$61,28,FALSE)</f>
        <v>1268.0732876300001</v>
      </c>
      <c r="AF20" s="49">
        <f>VLOOKUP(C20,'5a)NDA MPPR'!$B$9:$AK$61,29,FALSE)</f>
        <v>1213.6179299946</v>
      </c>
      <c r="AG20" s="52">
        <f>VLOOKUP(C20,'5a)NDA MPPR'!$B$9:$AK$61,30,FALSE)</f>
        <v>1338.8088684900001</v>
      </c>
      <c r="AH20" s="539">
        <f>VLOOKUP(C20,'5a)NDA MPPR'!$B$9:$AK$61,31,FALSE)</f>
        <v>0.90649080578873154</v>
      </c>
      <c r="AI20" s="98">
        <f>VLOOKUP(C20,'5a)NDA MPPR'!$B$9:$AK$61,32,FALSE)</f>
        <v>0.95705661639070105</v>
      </c>
      <c r="AJ20" s="575">
        <f>VLOOKUP(C20,'5a)NDA MPPR'!$B$9:$AK$61,33,FALSE)</f>
        <v>0.94954015007797843</v>
      </c>
      <c r="AK20" s="574">
        <f>VLOOKUP(C20,'5a)NDA MPPR'!$B$9:$AK$61,34,FALSE)</f>
        <v>0.9087636831607484</v>
      </c>
      <c r="AL20" s="540"/>
      <c r="AM20" s="247" t="str">
        <f>VLOOKUP(C20,'5a)NDA MPPR'!$B$9:$AK$61,36,FALSE)</f>
        <v>G</v>
      </c>
      <c r="AO20" s="15">
        <f>T27-G27</f>
        <v>0</v>
      </c>
      <c r="AP20" s="15">
        <f>T27-K27</f>
        <v>0</v>
      </c>
      <c r="AQ20" s="15">
        <f>X27-I27</f>
        <v>0</v>
      </c>
      <c r="AS20" s="15">
        <f>T27-S27</f>
        <v>0</v>
      </c>
      <c r="AT20" s="15">
        <f>X27-W27</f>
        <v>0</v>
      </c>
      <c r="AV20" s="631">
        <v>1445.0750572300001</v>
      </c>
      <c r="AW20" s="607">
        <v>46609</v>
      </c>
      <c r="AX20" s="642"/>
      <c r="AY20" s="631">
        <v>1335.4604200000001</v>
      </c>
      <c r="AZ20" s="611">
        <f>W20-AY20</f>
        <v>0</v>
      </c>
      <c r="BA20" s="607">
        <v>46402</v>
      </c>
      <c r="BB20" s="613">
        <f>AA20-BA20</f>
        <v>0</v>
      </c>
    </row>
    <row r="21" spans="1:56" ht="89.25" customHeight="1" thickBot="1" x14ac:dyDescent="0.45">
      <c r="A21" s="299" t="str">
        <f>C20</f>
        <v>Box Encapsulation Plant</v>
      </c>
      <c r="B21" s="705" t="str">
        <f>VLOOKUP($C20,'5a)NDA MPPR'!$A$9:$AK$61,2,FALSE)</f>
        <v xml:space="preserve">The BEP Project provides the Magnox Swarf Storage Silos (MSSS) Programme the capability to receive, package, inspect, and transfer Intermediate Level Waste to interim stores. At completion, BEP will enable waste retrieval at pace, to maintain an As Low as Reasonably Practicable (ALARP) position, a fundamental requirement of Sellafield Ltd site license conditions.  The first project benefit: Regulatory approval to Start Active Commissioning is forecast 10th August 2027.  Estimated date for first MSSS box into BEP and Active Commissioning of MSSS waste is November 2027, with benefits realisation associated with the start of Operations April 2028.  Project Completion including governance is currently forecast as August 2028, within the period of ‘up to 12 months’ after the Start of Active Commissioning defined in the approved Resubmitted Business Case.  The Delivery Confidence Assessment (DCA) has changed to Amber to recognise the Project challenges that are being managed, the Baseline RAG remains Amber.  Lifetime EAC is beyond sanction P50 but within sanction P80 cost. The preparation of a P80 Drawdown is underway, targeting executive decisions by end of this calendar year.  There is no change in period to the Start Active Commissioning forecast and lifecycle EAC.  The project acknowledges pressure on the forecast P50 position following cost growth and schedule slippage in the deterministic Joint Venture (JV) EAC and programme from the impact of Fault Observations (FOBs) on critical path commissioning activities and on-going construction delays impacting the handover of Safety Transfer Certificates (STCs) to commissioning.   These delays reflect the projects strategic decision to target more complex STCs first with the majority of these STCs due to be delivered in the coming months. Whilst these delays have resulted in deterministic float erosion and caused a narrowing of the forecasted range (August to November 2027 and £1,445m to £1,475m) confidence remains in delivering within P80 parameters.  Highlights in period the handover of 250 STC (WTC Decontamination &amp; Maintenance) from Construction to Commissioning achieved .  Grout Plant Engineering Orders (EOs) and Technical Requisitions (TRs) complete.  The Capability and Capacity status remains Green this period as the project continues the transition from Construction to Commissioning, with resource transition plans developed.
</v>
      </c>
      <c r="C21" s="706"/>
      <c r="D21" s="706"/>
      <c r="E21" s="706"/>
      <c r="F21" s="706"/>
      <c r="G21" s="706"/>
      <c r="H21" s="706"/>
      <c r="I21" s="706"/>
      <c r="J21" s="706"/>
      <c r="K21" s="706"/>
      <c r="L21" s="706"/>
      <c r="M21" s="706"/>
      <c r="N21" s="706"/>
      <c r="O21" s="706"/>
      <c r="P21" s="706"/>
      <c r="Q21" s="706"/>
      <c r="R21" s="706"/>
      <c r="S21" s="706"/>
      <c r="T21" s="706"/>
      <c r="U21" s="706"/>
      <c r="V21" s="706"/>
      <c r="W21" s="706"/>
      <c r="X21" s="706"/>
      <c r="Y21" s="706"/>
      <c r="Z21" s="706"/>
      <c r="AA21" s="706"/>
      <c r="AB21" s="706"/>
      <c r="AC21" s="706"/>
      <c r="AD21" s="706"/>
      <c r="AE21" s="706"/>
      <c r="AF21" s="706"/>
      <c r="AG21" s="706"/>
      <c r="AH21" s="706"/>
      <c r="AI21" s="706"/>
      <c r="AJ21" s="706"/>
      <c r="AK21" s="706"/>
      <c r="AL21" s="706"/>
      <c r="AM21" s="707"/>
      <c r="AO21" s="466"/>
      <c r="AP21" s="466"/>
      <c r="AQ21" s="466"/>
      <c r="AR21" s="466"/>
      <c r="AS21" s="466"/>
      <c r="AT21" s="466"/>
      <c r="AU21" s="466"/>
      <c r="AV21" s="606"/>
      <c r="AW21" s="608"/>
      <c r="AX21" s="642"/>
      <c r="AY21" s="606"/>
      <c r="AZ21" s="612"/>
      <c r="BA21" s="608"/>
      <c r="BB21" s="614"/>
      <c r="BC21" s="466"/>
      <c r="BD21" s="466"/>
    </row>
    <row r="22" spans="1:56" ht="5.15" customHeight="1" thickBot="1" x14ac:dyDescent="0.45">
      <c r="B22" s="73"/>
      <c r="C22" s="467"/>
      <c r="D22" s="61"/>
      <c r="E22" s="61"/>
      <c r="F22" s="61"/>
      <c r="G22" s="61"/>
      <c r="H22" s="61"/>
      <c r="I22" s="61"/>
      <c r="J22" s="61"/>
      <c r="K22" s="61"/>
      <c r="L22" s="61"/>
      <c r="M22" s="61"/>
      <c r="N22" s="61"/>
      <c r="O22" s="61"/>
      <c r="P22" s="61"/>
      <c r="Q22" s="61"/>
      <c r="R22" s="61"/>
      <c r="S22" s="61"/>
      <c r="T22" s="61"/>
      <c r="U22" s="61"/>
      <c r="V22" s="61"/>
      <c r="W22" s="61"/>
      <c r="X22" s="61"/>
      <c r="Y22" s="61"/>
      <c r="Z22" s="61"/>
      <c r="AA22" s="61"/>
      <c r="AB22" s="61"/>
      <c r="AC22" s="61"/>
      <c r="AD22" s="61"/>
      <c r="AE22" s="61"/>
      <c r="AF22" s="61"/>
      <c r="AG22" s="61"/>
      <c r="AH22" s="61"/>
      <c r="AI22" s="61"/>
      <c r="AJ22" s="61"/>
      <c r="AK22" s="61"/>
      <c r="AL22" s="61"/>
      <c r="AM22" s="73"/>
      <c r="AW22" s="646"/>
      <c r="AX22" s="642"/>
      <c r="AY22" s="644"/>
      <c r="AZ22" s="609"/>
      <c r="BA22" s="605"/>
      <c r="BB22" s="610"/>
    </row>
    <row r="23" spans="1:56" ht="36" customHeight="1" x14ac:dyDescent="0.4">
      <c r="B23" s="216" t="s">
        <v>112</v>
      </c>
      <c r="C23" s="587" t="s">
        <v>111</v>
      </c>
      <c r="D23" s="540" t="s">
        <v>3</v>
      </c>
      <c r="E23" s="535"/>
      <c r="F23" s="244" t="str">
        <f>VLOOKUP(C23,'5a)NDA MPPR'!$B$9:$AK$61,3,FALSE)</f>
        <v>A</v>
      </c>
      <c r="G23" s="245">
        <f>VLOOKUP(C23,'5a)NDA MPPR'!$B$9:$AK$61,4,FALSE)</f>
        <v>-1</v>
      </c>
      <c r="H23" s="536"/>
      <c r="I23" s="537" t="str">
        <f>VLOOKUP(C23,'5a)NDA MPPR'!$B$9:$AK$61,6,FALSE)</f>
        <v>FBC
(Jul-21)</v>
      </c>
      <c r="J23" s="243">
        <f>VLOOKUP(C23,'5a)NDA MPPR'!$B$9:$AK$61,7,FALSE)</f>
        <v>1335.43</v>
      </c>
      <c r="K23" s="243">
        <f>VLOOKUP(C23,'5a)NDA MPPR'!$B$9:$AK$61,8,FALSE)</f>
        <v>1673</v>
      </c>
      <c r="L23" s="538">
        <f>VLOOKUP(C23,'5a)NDA MPPR'!$B$9:$AK$61,9,FALSE)</f>
        <v>47400</v>
      </c>
      <c r="M23" s="538">
        <f>VLOOKUP(C23,'5a)NDA MPPR'!$B$9:$AK$61,10,FALSE)</f>
        <v>48274</v>
      </c>
      <c r="N23" s="537">
        <f>'3) BC and Sanction'!I106</f>
        <v>0</v>
      </c>
      <c r="O23" s="243">
        <f>VLOOKUP(C23,'5a)NDA MPPR'!$B$9:$AK$61,12,FALSE)</f>
        <v>1673</v>
      </c>
      <c r="P23" s="243">
        <f>VLOOKUP(C23,'5a)NDA MPPR'!$B$9:$AK$61,13,FALSE)</f>
        <v>1482.9</v>
      </c>
      <c r="Q23" s="535"/>
      <c r="R23" s="244" t="str">
        <f>VLOOKUP(C23,'5a)NDA MPPR'!$B$9:$AK$61,15,FALSE)</f>
        <v>A</v>
      </c>
      <c r="S23" s="245">
        <f>VLOOKUP(C23,'5a)NDA MPPR'!$B$9:$AK$61,16,FALSE)</f>
        <v>-1</v>
      </c>
      <c r="T23" s="536"/>
      <c r="U23" s="554" t="str">
        <f>VLOOKUP(C23,'5a)NDA MPPR'!$B$9:$AK$61,18,FALSE)</f>
        <v>FBC
 (Oct-25)</v>
      </c>
      <c r="V23" s="536"/>
      <c r="W23" s="49">
        <f>VLOOKUP(C23,'5a)NDA MPPR'!$B$9:$AK$61,20,FALSE)</f>
        <v>1479.319029</v>
      </c>
      <c r="X23" s="49">
        <f>VLOOKUP(C23,'5a)NDA MPPR'!$B$9:$AK$61,21,FALSE)</f>
        <v>1466.5527000100001</v>
      </c>
      <c r="Y23" s="49">
        <f>VLOOKUP(C23,'5a)NDA MPPR'!$B$9:$AK$61,22,FALSE)</f>
        <v>0</v>
      </c>
      <c r="Z23" s="50"/>
      <c r="AA23" s="538">
        <f>VLOOKUP(C23,'5a)NDA MPPR'!$B$9:$AK$61,24,FALSE)</f>
        <v>47574</v>
      </c>
      <c r="AB23" s="538">
        <f>VLOOKUP(C23,'5a)NDA MPPR'!$B$9:$AK$61,25,FALSE)</f>
        <v>47574</v>
      </c>
      <c r="AC23" s="51">
        <f>VLOOKUP(C23,'5a)NDA MPPR'!$B$9:$AK$61,26,FALSE)</f>
        <v>0</v>
      </c>
      <c r="AD23" s="535"/>
      <c r="AE23" s="49">
        <f>VLOOKUP(C23,'5a)NDA MPPR'!$B$9:$AK$61,28,FALSE)</f>
        <v>1122.4111965999998</v>
      </c>
      <c r="AF23" s="49">
        <f>VLOOKUP(C23,'5a)NDA MPPR'!$B$9:$AK$61,29,FALSE)</f>
        <v>976.10643689879998</v>
      </c>
      <c r="AG23" s="52">
        <f>VLOOKUP(C23,'5a)NDA MPPR'!$B$9:$AK$61,30,FALSE)</f>
        <v>1030.0308059199999</v>
      </c>
      <c r="AH23" s="539">
        <f>VLOOKUP(C23,'5a)NDA MPPR'!$B$9:$AK$61,31,FALSE)</f>
        <v>0.9476478094526154</v>
      </c>
      <c r="AI23" s="98">
        <f>VLOOKUP(C23,'5a)NDA MPPR'!$B$9:$AK$61,32,FALSE)</f>
        <v>0.86965137184626695</v>
      </c>
      <c r="AJ23" s="575">
        <f>VLOOKUP(C23,'5a)NDA MPPR'!$B$9:$AK$61,33,FALSE)</f>
        <v>0.75873504943604686</v>
      </c>
      <c r="AK23" s="574">
        <f>VLOOKUP(C23,'5a)NDA MPPR'!$B$9:$AK$61,34,FALSE)</f>
        <v>0.65983497660990342</v>
      </c>
      <c r="AL23" s="540"/>
      <c r="AM23" s="247" t="str">
        <f>VLOOKUP(C23,'5a)NDA MPPR'!$B$9:$AK$61,36,FALSE)</f>
        <v>A</v>
      </c>
      <c r="AO23" s="15">
        <f>T21-G21</f>
        <v>0</v>
      </c>
      <c r="AP23" s="15">
        <f>T21-K21</f>
        <v>0</v>
      </c>
      <c r="AQ23" s="15">
        <f>X21-I21</f>
        <v>0</v>
      </c>
      <c r="AS23" s="15">
        <f>T21-S21</f>
        <v>0</v>
      </c>
      <c r="AT23" s="15">
        <f>X21-W21</f>
        <v>0</v>
      </c>
      <c r="AV23" s="631">
        <v>1466.5522970899999</v>
      </c>
      <c r="AW23" s="607">
        <v>47574</v>
      </c>
      <c r="AX23" s="642"/>
      <c r="AY23" s="631">
        <v>1479.3190300000001</v>
      </c>
      <c r="AZ23" s="611">
        <f>W23-AY23</f>
        <v>-1.0000001111620804E-6</v>
      </c>
      <c r="BA23" s="607">
        <v>47574</v>
      </c>
      <c r="BB23" s="613">
        <f>AA23-BA23</f>
        <v>0</v>
      </c>
    </row>
    <row r="24" spans="1:56" ht="114" customHeight="1" thickBot="1" x14ac:dyDescent="0.45">
      <c r="A24" s="299" t="str">
        <f>C23</f>
        <v>Sellafield Product &amp; Residue Store Retreatment Plant</v>
      </c>
      <c r="B24" s="705" t="str">
        <f>VLOOKUP($C23,'5a)NDA MPPR'!$A$9:$AK$61,2,FALSE)</f>
        <v>The Sellafield Product &amp; Residue Store Retreatment Plant (SRP) project is a key element of the Sellafield Ltd ‘Special Nuclear Materials (SNM) Future State Programme’. The SRP is a complex major project required to provide the capability to receive special nuclear material in existing packages, from existing stores on the Sellafield site, and process the material into a form and package suitable for safe and secure long-term interim storage. The SRO Delivery Confidence Assessment (DCA) has moved from Green to Amber against the P80 cost and schedule from the Full Business Case (FBC) approved by HMG in July 2021. This is primarily reflective of the previously reported emerging issue relating to legislative changes to Passive Fire Protection standards, following the implementation of the Building Safety Act 2022. This Act represents a major regulatory shift in the UK construction industry, particularly in fire safety aiming to improve accountability and safety following the Grenfell Tower Inquiry. The impact of the Passive Fire Protection standards will require a significant amount of engineering design rework and additional installation work in the facility; the main impact is expected to be on the timescales to achieve readiness of the facility for Glove box installation, which has now become the critical path. The initial assessment has been carried out and is currently being quantified and assured and an assessment is also being made as to how this issue should be considered in terms of the projects current P80 sanctioned cost and schedule.  Additionally, as previously reported the project has been impacted by extraordinary inflation incurred to date. Following the DESNZ PIC decision in Q2 24/25 to postpone the £164.6m Inflation Sanction relief, the project has had to absorb inflationary costs using its existing contingency. As a result, £128.9m of the P50–P80 sanctioned contingency has been utilised, leaving £190m remaining. This erosion of contingency increases the likelihood of a future re-sanction request for additional P50–P80 funding, particularly as further events may arise that impact the remaining contingency. The project will be requesting P80 cost and schedule relief to DESNZ PIC when appropriate. Key recommendations and actions from the last Gate 0/ Annual Review have been addressed and a review of the effectiveness of the close out actions will be carried out in Quarter 4. These  included the requirement to ensure sufficient design engineering resource was in place to support safety case, and mitigation of the risk of delays relating to furnace manufacture (impacting installation of both Glove Boxes and MEICA equipment). The Capability and Capacity RAG status remains Amber with ongoing challenges in recruitment principally across several disciplines including construction, engineering, commissioning, and quality. Finally, the successful active commissioning and future operations of the SRP facility are contingent upon several dependencies managed within the SNM Future State Programme. A critical dependency is the availability of SNM analytical capability, which is essential to support both commissioning and ongoing operational activities. To address this, a dedicated project is being developed and delivered through the PPP to ensure the required analytical capability is in place. The SNM Future State Programme team is responsible for managing all dependencies associated with SRP, with the overarching goal of ensuring that all necessary capabilities are aligned and available to enable the delivery of SRP outcomes and the realisation of associated benefits.</v>
      </c>
      <c r="C24" s="706"/>
      <c r="D24" s="706"/>
      <c r="E24" s="706"/>
      <c r="F24" s="706"/>
      <c r="G24" s="706"/>
      <c r="H24" s="706"/>
      <c r="I24" s="706"/>
      <c r="J24" s="706"/>
      <c r="K24" s="706"/>
      <c r="L24" s="706"/>
      <c r="M24" s="706"/>
      <c r="N24" s="706"/>
      <c r="O24" s="706"/>
      <c r="P24" s="706"/>
      <c r="Q24" s="706"/>
      <c r="R24" s="706"/>
      <c r="S24" s="706"/>
      <c r="T24" s="706"/>
      <c r="U24" s="706"/>
      <c r="V24" s="706"/>
      <c r="W24" s="706"/>
      <c r="X24" s="706"/>
      <c r="Y24" s="706"/>
      <c r="Z24" s="706"/>
      <c r="AA24" s="706"/>
      <c r="AB24" s="706"/>
      <c r="AC24" s="706"/>
      <c r="AD24" s="706"/>
      <c r="AE24" s="706"/>
      <c r="AF24" s="706"/>
      <c r="AG24" s="706"/>
      <c r="AH24" s="706"/>
      <c r="AI24" s="706"/>
      <c r="AJ24" s="706"/>
      <c r="AK24" s="706"/>
      <c r="AL24" s="706"/>
      <c r="AM24" s="707"/>
      <c r="AO24" s="505"/>
      <c r="AP24" s="505"/>
      <c r="AQ24" s="505"/>
      <c r="AR24" s="505"/>
      <c r="AS24" s="505"/>
      <c r="AT24" s="505"/>
      <c r="AU24" s="505"/>
      <c r="AV24" s="606"/>
      <c r="AW24" s="608"/>
      <c r="AX24" s="642"/>
      <c r="AY24" s="606"/>
      <c r="AZ24" s="612"/>
      <c r="BA24" s="608"/>
      <c r="BB24" s="614"/>
      <c r="BC24" s="505"/>
      <c r="BD24" s="505"/>
    </row>
    <row r="25" spans="1:56" s="466" customFormat="1" ht="5.25" customHeight="1" thickBot="1" x14ac:dyDescent="0.45">
      <c r="A25" s="299"/>
      <c r="B25" s="96"/>
      <c r="C25" s="96"/>
      <c r="D25" s="96"/>
      <c r="E25" s="96"/>
      <c r="F25" s="96"/>
      <c r="G25" s="96"/>
      <c r="H25" s="96"/>
      <c r="I25" s="96"/>
      <c r="J25" s="96"/>
      <c r="K25" s="96"/>
      <c r="L25" s="96"/>
      <c r="M25" s="96"/>
      <c r="N25" s="96"/>
      <c r="O25" s="96"/>
      <c r="P25" s="96"/>
      <c r="Q25" s="96"/>
      <c r="R25" s="96"/>
      <c r="S25" s="96"/>
      <c r="T25" s="96"/>
      <c r="U25" s="96"/>
      <c r="V25" s="96"/>
      <c r="W25" s="96"/>
      <c r="X25" s="96"/>
      <c r="Y25" s="96"/>
      <c r="Z25" s="96"/>
      <c r="AA25" s="96"/>
      <c r="AB25" s="96"/>
      <c r="AC25" s="96"/>
      <c r="AD25" s="96"/>
      <c r="AE25" s="96"/>
      <c r="AF25" s="96"/>
      <c r="AG25" s="96"/>
      <c r="AH25" s="96"/>
      <c r="AI25" s="96"/>
      <c r="AJ25" s="96"/>
      <c r="AK25" s="96"/>
      <c r="AL25" s="96"/>
      <c r="AM25" s="96"/>
      <c r="AO25" s="15"/>
      <c r="AP25" s="15"/>
      <c r="AQ25" s="15"/>
      <c r="AR25" s="15"/>
      <c r="AS25" s="15"/>
      <c r="AT25" s="15"/>
      <c r="AU25" s="15"/>
      <c r="AV25" s="639"/>
      <c r="AW25" s="646"/>
      <c r="AX25" s="642"/>
      <c r="AY25" s="644"/>
      <c r="AZ25" s="609"/>
      <c r="BA25" s="605"/>
      <c r="BB25" s="610"/>
      <c r="BC25" s="15"/>
      <c r="BD25" s="15"/>
    </row>
    <row r="26" spans="1:56" ht="36" customHeight="1" x14ac:dyDescent="0.4">
      <c r="B26" s="248" t="s">
        <v>123</v>
      </c>
      <c r="C26" s="588" t="s">
        <v>5</v>
      </c>
      <c r="D26" s="249" t="s">
        <v>3</v>
      </c>
      <c r="E26" s="250"/>
      <c r="F26" s="244" t="str">
        <f>VLOOKUP(C26,'5a)NDA MPPR'!$B$9:$AK$61,3,FALSE)</f>
        <v>G</v>
      </c>
      <c r="G26" s="245">
        <f>VLOOKUP(C26,'5a)NDA MPPR'!$B$9:$AK$61,4,FALSE)</f>
        <v>0</v>
      </c>
      <c r="H26" s="251"/>
      <c r="I26" s="252" t="str">
        <f>VLOOKUP(C26,'5a)NDA MPPR'!$B$9:$AK$61,6,FALSE)</f>
        <v>FBC
(Mar-20)</v>
      </c>
      <c r="J26" s="49">
        <f>VLOOKUP(C26,'5a)NDA MPPR'!$B$9:$AK$61,7,FALSE)</f>
        <v>305.90000000000003</v>
      </c>
      <c r="K26" s="48">
        <f>VLOOKUP(C26,'5a)NDA MPPR'!$B$9:$AK$61,8,FALSE)</f>
        <v>315.39999999999998</v>
      </c>
      <c r="L26" s="260">
        <f>VLOOKUP(C26,'5a)NDA MPPR'!$B$9:$AK$61,9,FALSE)</f>
        <v>46053</v>
      </c>
      <c r="M26" s="254">
        <f>VLOOKUP(C26,'5a)NDA MPPR'!$B$9:$AK$61,10,FALSE)</f>
        <v>46112</v>
      </c>
      <c r="N26" s="250">
        <f>'3) BC and Sanction'!I91</f>
        <v>0</v>
      </c>
      <c r="O26" s="48">
        <f>VLOOKUP(C26,'5a)NDA MPPR'!$B$9:$AK$61,12,FALSE)</f>
        <v>315.39999999999998</v>
      </c>
      <c r="P26" s="48">
        <f>VLOOKUP(C26,'5a)NDA MPPR'!$B$9:$AK$61,13,FALSE)</f>
        <v>315.39999999999998</v>
      </c>
      <c r="Q26" s="250"/>
      <c r="R26" s="244" t="str">
        <f>VLOOKUP(C26,'5a)NDA MPPR'!$B$9:$AK$61,15,FALSE)</f>
        <v>R</v>
      </c>
      <c r="S26" s="245">
        <f>VLOOKUP(C26,'5a)NDA MPPR'!$B$9:$AK$61,16,FALSE)</f>
        <v>0</v>
      </c>
      <c r="T26" s="251"/>
      <c r="U26" s="255" t="str">
        <f>VLOOKUP(C26,'5a)NDA MPPR'!$B$9:$AK$61,18,FALSE)</f>
        <v>FBC
 (Oct-24)</v>
      </c>
      <c r="V26" s="251"/>
      <c r="W26" s="49">
        <f>VLOOKUP(C26,'5a)NDA MPPR'!$B$9:$AK$61,20,FALSE)</f>
        <v>297.38168000000002</v>
      </c>
      <c r="X26" s="49">
        <f>VLOOKUP(C26,'5a)NDA MPPR'!$B$9:$AK$61,21,FALSE)</f>
        <v>315.08360672000003</v>
      </c>
      <c r="Y26" s="49">
        <f>VLOOKUP(C26,'5a)NDA MPPR'!$B$9:$AK$61,22,FALSE)</f>
        <v>0.1</v>
      </c>
      <c r="Z26" s="50"/>
      <c r="AA26" s="254">
        <f>VLOOKUP(C26,'5a)NDA MPPR'!$B$9:$AK$61,24,FALSE)</f>
        <v>46107</v>
      </c>
      <c r="AB26" s="254">
        <f>VLOOKUP(C26,'5a)NDA MPPR'!$B$9:$AK$61,25,FALSE)</f>
        <v>46107</v>
      </c>
      <c r="AC26" s="51">
        <f>VLOOKUP(C26,'5a)NDA MPPR'!$B$9:$AK$61,26,FALSE)</f>
        <v>0</v>
      </c>
      <c r="AD26" s="250"/>
      <c r="AE26" s="49">
        <f>VLOOKUP(C26,'5a)NDA MPPR'!$B$9:$AK$61,28,FALSE)</f>
        <v>292.98492132999996</v>
      </c>
      <c r="AF26" s="49">
        <f>VLOOKUP(C26,'5a)NDA MPPR'!$B$9:$AK$61,29,FALSE)</f>
        <v>292.39722021009999</v>
      </c>
      <c r="AG26" s="52">
        <f>VLOOKUP(C26,'5a)NDA MPPR'!$B$9:$AK$61,30,FALSE)</f>
        <v>312.99395022000004</v>
      </c>
      <c r="AH26" s="256">
        <f>VLOOKUP(C26,'5a)NDA MPPR'!$B$9:$AK$61,31,FALSE)</f>
        <v>0.93419447885359197</v>
      </c>
      <c r="AI26" s="256">
        <f>VLOOKUP(C26,'5a)NDA MPPR'!$B$9:$AK$61,32,FALSE)</f>
        <v>0.9979940908998588</v>
      </c>
      <c r="AJ26" s="258">
        <f>VLOOKUP(C26,'5a)NDA MPPR'!$B$9:$AK$61,33,FALSE)</f>
        <v>0.98521509909420102</v>
      </c>
      <c r="AK26" s="259">
        <f>VLOOKUP(C26,'5a)NDA MPPR'!$B$9:$AK$61,34,FALSE)</f>
        <v>0.98323884716133148</v>
      </c>
      <c r="AL26" s="249"/>
      <c r="AM26" s="247" t="str">
        <f>VLOOKUP(C26,'5a)NDA MPPR'!$B$9:$AK$61,36,FALSE)</f>
        <v>A</v>
      </c>
      <c r="AO26" s="15">
        <f>T18-G18</f>
        <v>0</v>
      </c>
      <c r="AP26" s="15">
        <f>T18-K18</f>
        <v>0</v>
      </c>
      <c r="AQ26" s="15">
        <f>X18-I18</f>
        <v>0</v>
      </c>
      <c r="AS26" s="15">
        <f>T18-S18</f>
        <v>0</v>
      </c>
      <c r="AT26" s="15">
        <f>X18-W18</f>
        <v>0</v>
      </c>
      <c r="AV26" s="631">
        <v>314.93422179999999</v>
      </c>
      <c r="AW26" s="607">
        <v>46107</v>
      </c>
      <c r="AX26" s="642"/>
      <c r="AY26" s="631">
        <v>297.38168000000002</v>
      </c>
      <c r="AZ26" s="611">
        <f>W26-AY26</f>
        <v>0</v>
      </c>
      <c r="BA26" s="607">
        <v>46107</v>
      </c>
      <c r="BB26" s="613">
        <f>AA26-BA26</f>
        <v>0</v>
      </c>
    </row>
    <row r="27" spans="1:56" ht="59.25" customHeight="1" thickBot="1" x14ac:dyDescent="0.45">
      <c r="A27" s="299" t="str">
        <f>C26</f>
        <v>Security Systems Architecture Upgrade (SSAU)</v>
      </c>
      <c r="B27" s="705" t="str">
        <f>VLOOKUP($C26,'5a)NDA MPPR'!$A$9:$AK$61,2,FALSE)</f>
        <v>The SSAU project will provide infrastructure and equipment that will provide security and emergency response teams with a significantly improved capability to react to and manage security and/or emergency events on the Sellafield site. The first project benefit is equipment which, once operational in the command centre, will provide a significantly improved capability to react and manage security and/or emergency events on the Sellafield site - thereby complying with the standards, expectations and objectives set by nuclear regulators. The Delivery Confidence Assessment remains stable at Green recognising forecast delivery within the Projects P80 Sanction. The Baseline RAG has remained Red in period, as the Cost forecast remains beyond the P50 baseline. The Project is still however forecasting to deliver within the P80 Sanction released to Sellafield. In period the Lifecycle EAC has increased slightly, but still within the P80 Sanction, due to the Level 1 Commissioning Date and Legacy Building Migration moving out slightly from January 2026 to February 2026 due to minor technical issues found in commissioning and impact of the strikes leading to retention of commissioning resources for a further period.  In period good progress continues with commissioning with some issues delaying the work as they are resolved, the strike has reduce working time slightly each day but the team are working around this where possible.  The next stage of strikes will have an impact as scaffolding is required to access an area of fence which needs minor sensor repairs before commissioning.  The Amber rating on the Capability and Capacity RAG recognises that schedule adherence is reliant on skilled resources and the project team is now a very thin layer and any loss of resources would impact delivery.</v>
      </c>
      <c r="C27" s="706"/>
      <c r="D27" s="706"/>
      <c r="E27" s="706"/>
      <c r="F27" s="706"/>
      <c r="G27" s="706"/>
      <c r="H27" s="706"/>
      <c r="I27" s="706"/>
      <c r="J27" s="706"/>
      <c r="K27" s="706"/>
      <c r="L27" s="706"/>
      <c r="M27" s="706"/>
      <c r="N27" s="706"/>
      <c r="O27" s="706"/>
      <c r="P27" s="706"/>
      <c r="Q27" s="706"/>
      <c r="R27" s="706"/>
      <c r="S27" s="706"/>
      <c r="T27" s="706"/>
      <c r="U27" s="706"/>
      <c r="V27" s="706"/>
      <c r="W27" s="706"/>
      <c r="X27" s="706"/>
      <c r="Y27" s="706"/>
      <c r="Z27" s="706"/>
      <c r="AA27" s="706"/>
      <c r="AB27" s="706"/>
      <c r="AC27" s="706"/>
      <c r="AD27" s="706"/>
      <c r="AE27" s="706"/>
      <c r="AF27" s="706"/>
      <c r="AG27" s="706"/>
      <c r="AH27" s="706"/>
      <c r="AI27" s="706"/>
      <c r="AJ27" s="706"/>
      <c r="AK27" s="706"/>
      <c r="AL27" s="706"/>
      <c r="AM27" s="707"/>
      <c r="AO27" s="466"/>
      <c r="AP27" s="466"/>
      <c r="AQ27" s="466"/>
      <c r="AR27" s="466"/>
      <c r="AS27" s="466"/>
      <c r="AT27" s="466"/>
      <c r="AU27" s="466"/>
      <c r="AV27" s="606"/>
      <c r="AW27" s="608"/>
      <c r="AX27" s="642"/>
      <c r="AY27" s="606"/>
      <c r="AZ27" s="612"/>
      <c r="BA27" s="608"/>
      <c r="BB27" s="614"/>
      <c r="BC27" s="466"/>
      <c r="BD27" s="466"/>
    </row>
    <row r="28" spans="1:56" s="466" customFormat="1" ht="5.25" customHeight="1" thickBot="1" x14ac:dyDescent="0.45">
      <c r="A28" s="299"/>
      <c r="B28" s="96"/>
      <c r="C28" s="96"/>
      <c r="D28" s="96"/>
      <c r="E28" s="96"/>
      <c r="F28" s="96"/>
      <c r="G28" s="96"/>
      <c r="H28" s="96"/>
      <c r="I28" s="96"/>
      <c r="J28" s="96"/>
      <c r="K28" s="96"/>
      <c r="L28" s="96"/>
      <c r="M28" s="96"/>
      <c r="N28" s="96"/>
      <c r="O28" s="96"/>
      <c r="P28" s="96"/>
      <c r="Q28" s="96"/>
      <c r="R28" s="96"/>
      <c r="S28" s="96"/>
      <c r="T28" s="96"/>
      <c r="U28" s="96"/>
      <c r="V28" s="96"/>
      <c r="W28" s="96"/>
      <c r="X28" s="96"/>
      <c r="Y28" s="96"/>
      <c r="Z28" s="96"/>
      <c r="AA28" s="96"/>
      <c r="AB28" s="96"/>
      <c r="AC28" s="96"/>
      <c r="AD28" s="96"/>
      <c r="AE28" s="96"/>
      <c r="AF28" s="96"/>
      <c r="AG28" s="96"/>
      <c r="AH28" s="96"/>
      <c r="AI28" s="96"/>
      <c r="AJ28" s="96"/>
      <c r="AK28" s="96"/>
      <c r="AL28" s="96"/>
      <c r="AM28" s="96"/>
      <c r="AO28" s="15"/>
      <c r="AP28" s="15"/>
      <c r="AQ28" s="15"/>
      <c r="AR28" s="15"/>
      <c r="AS28" s="15"/>
      <c r="AT28" s="15"/>
      <c r="AU28" s="15"/>
      <c r="AV28" s="639"/>
      <c r="AW28" s="646"/>
      <c r="AX28" s="642"/>
      <c r="AY28" s="644"/>
      <c r="AZ28" s="609"/>
      <c r="BA28" s="605"/>
      <c r="BB28" s="610"/>
      <c r="BC28" s="15"/>
      <c r="BD28" s="15"/>
    </row>
    <row r="29" spans="1:56" ht="36" customHeight="1" x14ac:dyDescent="0.4">
      <c r="B29" s="248" t="s">
        <v>120</v>
      </c>
      <c r="C29" s="588" t="s">
        <v>119</v>
      </c>
      <c r="D29" s="249" t="s">
        <v>3</v>
      </c>
      <c r="E29" s="250"/>
      <c r="F29" s="244" t="str">
        <f>VLOOKUP(C29,'5a)NDA MPPR'!$B$9:$AK$61,3,FALSE)</f>
        <v>G</v>
      </c>
      <c r="G29" s="245">
        <f>VLOOKUP(C29,'5a)NDA MPPR'!$B$9:$AK$61,4,FALSE)</f>
        <v>0</v>
      </c>
      <c r="H29" s="251"/>
      <c r="I29" s="537" t="str">
        <f>VLOOKUP(C29,'5a)NDA MPPR'!$B$9:$AK$61,6,FALSE)</f>
        <v>FBC
(Jun-24)</v>
      </c>
      <c r="J29" s="72">
        <f>VLOOKUP(C29,'5a)NDA MPPR'!$B$9:$AK$61,7,FALSE)</f>
        <v>72.599999999999994</v>
      </c>
      <c r="K29" s="72">
        <f>VLOOKUP(C29,'5a)NDA MPPR'!$B$9:$AK$61,8,FALSE)</f>
        <v>79</v>
      </c>
      <c r="L29" s="538">
        <f>VLOOKUP(C29,'5a)NDA MPPR'!$B$9:$AK$61,9,FALSE)</f>
        <v>46106</v>
      </c>
      <c r="M29" s="538">
        <f>VLOOKUP(C29,'5a)NDA MPPR'!$B$9:$AK$61,10,FALSE)</f>
        <v>46234</v>
      </c>
      <c r="N29" s="537">
        <f>'3) BC and Sanction'!I85</f>
        <v>0</v>
      </c>
      <c r="O29" s="48">
        <f>VLOOKUP(C29,'5a)NDA MPPR'!$B$9:$AK$61,12,FALSE)</f>
        <v>72.599999999999994</v>
      </c>
      <c r="P29" s="48">
        <f>VLOOKUP(C29,'5a)NDA MPPR'!$B$9:$AK$61,13,FALSE)</f>
        <v>72.599999999999994</v>
      </c>
      <c r="Q29" s="250"/>
      <c r="R29" s="244" t="str">
        <f>VLOOKUP(C29,'5a)NDA MPPR'!$B$9:$AK$61,15,FALSE)</f>
        <v>G</v>
      </c>
      <c r="S29" s="245">
        <f>VLOOKUP(C29,'5a)NDA MPPR'!$B$9:$AK$61,16,FALSE)</f>
        <v>0</v>
      </c>
      <c r="T29" s="251"/>
      <c r="U29" s="554" t="str">
        <f>VLOOKUP(C29,'5a)NDA MPPR'!$B$9:$AK$61,18,FALSE)</f>
        <v>FBC
 (Sep-24)</v>
      </c>
      <c r="V29" s="251"/>
      <c r="W29" s="49">
        <f>VLOOKUP(C29,'5a)NDA MPPR'!$B$9:$AK$61,20,FALSE)</f>
        <v>72.672543000000005</v>
      </c>
      <c r="X29" s="49">
        <f>VLOOKUP(C29,'5a)NDA MPPR'!$B$9:$AK$61,21,FALSE)</f>
        <v>71.07906328</v>
      </c>
      <c r="Y29" s="49">
        <f>VLOOKUP(C29,'5a)NDA MPPR'!$B$9:$AK$61,22,FALSE)</f>
        <v>0</v>
      </c>
      <c r="Z29" s="50"/>
      <c r="AA29" s="538">
        <f>VLOOKUP(C29,'5a)NDA MPPR'!$B$9:$AK$61,24,FALSE)</f>
        <v>46106</v>
      </c>
      <c r="AB29" s="538">
        <f>VLOOKUP(C29,'5a)NDA MPPR'!$B$9:$AK$61,25,FALSE)</f>
        <v>46106</v>
      </c>
      <c r="AC29" s="51">
        <f>VLOOKUP(C29,'5a)NDA MPPR'!$B$9:$AK$61,26,FALSE)</f>
        <v>0</v>
      </c>
      <c r="AD29" s="250"/>
      <c r="AE29" s="49">
        <f>VLOOKUP(C29,'5a)NDA MPPR'!$B$9:$AK$61,28,FALSE)</f>
        <v>72.620399569999989</v>
      </c>
      <c r="AF29" s="49">
        <f>VLOOKUP(C29,'5a)NDA MPPR'!$B$9:$AK$61,29,FALSE)</f>
        <v>64.523049697899992</v>
      </c>
      <c r="AG29" s="52">
        <f>VLOOKUP(C29,'5a)NDA MPPR'!$B$9:$AK$61,30,FALSE)</f>
        <v>69.601769540000006</v>
      </c>
      <c r="AH29" s="256">
        <f>VLOOKUP(C29,'5a)NDA MPPR'!$B$9:$AK$61,31,FALSE)</f>
        <v>0.92703174250216058</v>
      </c>
      <c r="AI29" s="257">
        <f>VLOOKUP(C29,'5a)NDA MPPR'!$B$9:$AK$61,32,FALSE)</f>
        <v>0.88849758580170257</v>
      </c>
      <c r="AJ29" s="258">
        <f>VLOOKUP(C29,'5a)NDA MPPR'!$B$9:$AK$61,33,FALSE)</f>
        <v>0.99928248788541763</v>
      </c>
      <c r="AK29" s="259">
        <f>VLOOKUP(C29,'5a)NDA MPPR'!$B$9:$AK$61,34,FALSE)</f>
        <v>0.88786007802011269</v>
      </c>
      <c r="AL29" s="249"/>
      <c r="AM29" s="247" t="str">
        <f>VLOOKUP(C29,'5a)NDA MPPR'!$B$9:$AK$61,36,FALSE)</f>
        <v>G</v>
      </c>
      <c r="AO29" s="15">
        <f>T24-G24</f>
        <v>0</v>
      </c>
      <c r="AP29" s="15">
        <f>T24-K24</f>
        <v>0</v>
      </c>
      <c r="AQ29" s="15">
        <f>X24-I24</f>
        <v>0</v>
      </c>
      <c r="AS29" s="15">
        <f>T24-S24</f>
        <v>0</v>
      </c>
      <c r="AT29" s="15">
        <f>X24-W24</f>
        <v>0</v>
      </c>
      <c r="AV29" s="631">
        <v>71.086867790000014</v>
      </c>
      <c r="AW29" s="607">
        <v>46106</v>
      </c>
      <c r="AX29" s="642"/>
      <c r="AY29" s="631">
        <v>72.672543000000005</v>
      </c>
      <c r="AZ29" s="611">
        <f>W29-AY29</f>
        <v>0</v>
      </c>
      <c r="BA29" s="607">
        <v>46106</v>
      </c>
      <c r="BB29" s="613">
        <f>AA29-BA29</f>
        <v>0</v>
      </c>
    </row>
    <row r="30" spans="1:56" ht="74.25" customHeight="1" thickBot="1" x14ac:dyDescent="0.45">
      <c r="A30" s="299" t="str">
        <f>C29</f>
        <v>CNC Operational Unit</v>
      </c>
      <c r="B30" s="705" t="str">
        <f>VLOOKUP($C29,'5a)NDA MPPR'!$A$9:$AK$61,2,FALSE)</f>
        <v>The Civil Nuclear Constabulary (CNC) Operational Unit project will provide one location on site to house all CNC personnel, with space allowance for future uplift of officers, whilst mitigating health and safety risks associated with the current facilities. The Delivery Confidence Assessment (DCA) is stable at Green as the Resubmission Full Business Case (FBC) has received approval from His Majesty’s Treasury (HMT) in June 2024. Bulk Construction is nearing completion but has been delayed until November, in part due to strike action and reprioritisation of resources to complete critical path works in the Level 1 Board rooms.  The completion of the Level 1 Board rooms was initially impacted by the replacement of the non-complaint glands, has been further impacted by the strike action as well as slower than anticipated progress of the other works required to be completed and higher level of snagging than anticipated following contractor and client inspections.  These delays have been compounded through the loss of opportunity to recover through additional weekend working due the Union imposed overtime ban related to the on-going industrial action. The completion and commissioning of the Level 1 Boards is the enabler for the release of all future commissioning works.  CNSL with support of Amentum Executives, have explored the opportunity to exploit the 120-day duration for Commissioning and Handover, this has seen more efficient planning of the commissioning phase, reducing the duration from 120 days to 93 days to maintain current forecast end date. On-site work continues to progress well, civils scope is focused on external works and building finishes, Control, Electrical &amp; Instrumentation (CE&amp;I) works is focused on ensuring the Level 1 boards are ready for commissioning with the Project working closely with Utilities. Heat, Ventilation and Air Conditioning (HVAC) installation works is almost complete. The Capability and Capacity RAG remains Green for the period with no current vacancies.</v>
      </c>
      <c r="C30" s="706"/>
      <c r="D30" s="706"/>
      <c r="E30" s="706"/>
      <c r="F30" s="706"/>
      <c r="G30" s="706"/>
      <c r="H30" s="706"/>
      <c r="I30" s="706"/>
      <c r="J30" s="706"/>
      <c r="K30" s="706"/>
      <c r="L30" s="706"/>
      <c r="M30" s="706"/>
      <c r="N30" s="706"/>
      <c r="O30" s="706"/>
      <c r="P30" s="706"/>
      <c r="Q30" s="706"/>
      <c r="R30" s="706"/>
      <c r="S30" s="706"/>
      <c r="T30" s="706"/>
      <c r="U30" s="706"/>
      <c r="V30" s="706"/>
      <c r="W30" s="706"/>
      <c r="X30" s="706"/>
      <c r="Y30" s="706"/>
      <c r="Z30" s="706"/>
      <c r="AA30" s="706"/>
      <c r="AB30" s="706"/>
      <c r="AC30" s="706"/>
      <c r="AD30" s="706"/>
      <c r="AE30" s="706"/>
      <c r="AF30" s="706"/>
      <c r="AG30" s="706"/>
      <c r="AH30" s="706"/>
      <c r="AI30" s="706"/>
      <c r="AJ30" s="706"/>
      <c r="AK30" s="706"/>
      <c r="AL30" s="706"/>
      <c r="AM30" s="707"/>
      <c r="AO30" s="466"/>
      <c r="AP30" s="466"/>
      <c r="AQ30" s="466"/>
      <c r="AR30" s="466"/>
      <c r="AS30" s="466"/>
      <c r="AT30" s="466"/>
      <c r="AU30" s="466"/>
      <c r="AV30" s="606"/>
      <c r="AW30" s="608"/>
      <c r="AX30" s="642"/>
      <c r="AY30" s="606"/>
      <c r="AZ30" s="612"/>
      <c r="BA30" s="608"/>
      <c r="BB30" s="614"/>
      <c r="BC30" s="466"/>
      <c r="BD30" s="466"/>
    </row>
    <row r="31" spans="1:56" s="505" customFormat="1" ht="5.25" customHeight="1" thickBot="1" x14ac:dyDescent="0.45">
      <c r="A31" s="299"/>
      <c r="B31" s="96"/>
      <c r="C31" s="96"/>
      <c r="D31" s="96"/>
      <c r="E31" s="96"/>
      <c r="F31" s="96"/>
      <c r="G31" s="96"/>
      <c r="H31" s="96"/>
      <c r="I31" s="96"/>
      <c r="J31" s="96"/>
      <c r="K31" s="96"/>
      <c r="L31" s="96"/>
      <c r="M31" s="96"/>
      <c r="N31" s="96"/>
      <c r="O31" s="96"/>
      <c r="P31" s="96"/>
      <c r="Q31" s="96"/>
      <c r="R31" s="96"/>
      <c r="S31" s="96"/>
      <c r="T31" s="96"/>
      <c r="U31" s="96"/>
      <c r="V31" s="96"/>
      <c r="W31" s="96"/>
      <c r="X31" s="96"/>
      <c r="Y31" s="96"/>
      <c r="Z31" s="96"/>
      <c r="AA31" s="96"/>
      <c r="AB31" s="96"/>
      <c r="AC31" s="96"/>
      <c r="AD31" s="96"/>
      <c r="AE31" s="96"/>
      <c r="AF31" s="96"/>
      <c r="AG31" s="96"/>
      <c r="AH31" s="96"/>
      <c r="AI31" s="96"/>
      <c r="AJ31" s="96"/>
      <c r="AK31" s="96"/>
      <c r="AL31" s="96"/>
      <c r="AM31" s="96"/>
      <c r="AO31" s="15"/>
      <c r="AP31" s="15"/>
      <c r="AQ31" s="15"/>
      <c r="AR31" s="15"/>
      <c r="AS31" s="15"/>
      <c r="AT31" s="15"/>
      <c r="AU31" s="15"/>
      <c r="AV31" s="639"/>
      <c r="AW31" s="646"/>
      <c r="AX31" s="642"/>
      <c r="AY31" s="644"/>
      <c r="AZ31" s="609"/>
      <c r="BA31" s="605"/>
      <c r="BB31" s="610"/>
      <c r="BC31" s="15"/>
      <c r="BD31" s="15"/>
    </row>
    <row r="32" spans="1:56" ht="36" customHeight="1" x14ac:dyDescent="0.4">
      <c r="B32" s="216" t="s">
        <v>97</v>
      </c>
      <c r="C32" s="587" t="s">
        <v>96</v>
      </c>
      <c r="D32" s="540" t="s">
        <v>3</v>
      </c>
      <c r="E32" s="535"/>
      <c r="F32" s="244" t="str">
        <f>VLOOKUP(C32,'5a)NDA MPPR'!$B$9:$AK$61,3,FALSE)</f>
        <v>G</v>
      </c>
      <c r="G32" s="245">
        <f>VLOOKUP(C32,'5a)NDA MPPR'!$B$9:$AK$61,4,FALSE)</f>
        <v>0</v>
      </c>
      <c r="H32" s="536"/>
      <c r="I32" s="537" t="str">
        <f>VLOOKUP(C32,'5a)NDA MPPR'!$B$9:$AK$61,6,FALSE)</f>
        <v>OBC
(Sep-23)</v>
      </c>
      <c r="J32" s="72">
        <f>VLOOKUP(C32,'5a)NDA MPPR'!$B$9:$AK$61,7,FALSE)</f>
        <v>776</v>
      </c>
      <c r="K32" s="48">
        <f>VLOOKUP(C32,'5a)NDA MPPR'!$B$9:$AK$61,8,FALSE)</f>
        <v>837</v>
      </c>
      <c r="L32" s="538">
        <f>VLOOKUP(C32,'5a)NDA MPPR'!$B$9:$AK$61,9,FALSE)</f>
        <v>49490</v>
      </c>
      <c r="M32" s="538">
        <f>VLOOKUP(C32,'5a)NDA MPPR'!$B$9:$AK$61,10,FALSE)</f>
        <v>49795</v>
      </c>
      <c r="N32" s="535">
        <f>'3) BC and Sanction'!I103</f>
        <v>0</v>
      </c>
      <c r="O32" s="48">
        <f>VLOOKUP(C32,'5a)NDA MPPR'!$B$9:$AK$61,12,FALSE)</f>
        <v>382</v>
      </c>
      <c r="P32" s="48">
        <f>VLOOKUP(C32,'5a)NDA MPPR'!$B$9:$AK$61,13,FALSE)</f>
        <v>186</v>
      </c>
      <c r="Q32" s="535"/>
      <c r="R32" s="244" t="str">
        <f>VLOOKUP(C32,'5a)NDA MPPR'!$B$9:$AK$61,15,FALSE)</f>
        <v>G</v>
      </c>
      <c r="S32" s="245">
        <f>VLOOKUP(C32,'5a)NDA MPPR'!$B$9:$AK$61,16,FALSE)</f>
        <v>0</v>
      </c>
      <c r="T32" s="536"/>
      <c r="U32" s="554" t="str">
        <f>VLOOKUP(C32,'5a)NDA MPPR'!$B$9:$AK$61,18,FALSE)</f>
        <v>OBC
 (Mar-23)</v>
      </c>
      <c r="V32" s="536"/>
      <c r="W32" s="49">
        <f>VLOOKUP(C32,'5a)NDA MPPR'!$B$9:$AK$61,20,FALSE)</f>
        <v>751.17471699999999</v>
      </c>
      <c r="X32" s="49">
        <f>VLOOKUP(C32,'5a)NDA MPPR'!$B$9:$AK$61,21,FALSE)</f>
        <v>749.16802775999997</v>
      </c>
      <c r="Y32" s="49">
        <f>VLOOKUP(C32,'5a)NDA MPPR'!$B$9:$AK$61,22,FALSE)</f>
        <v>0</v>
      </c>
      <c r="Z32" s="50"/>
      <c r="AA32" s="538">
        <f>VLOOKUP(C32,'5a)NDA MPPR'!$B$9:$AK$61,24,FALSE)</f>
        <v>49490</v>
      </c>
      <c r="AB32" s="538">
        <f>VLOOKUP(C32,'5a)NDA MPPR'!$B$9:$AK$61,25,FALSE)</f>
        <v>49490</v>
      </c>
      <c r="AC32" s="51">
        <f>VLOOKUP(C32,'5a)NDA MPPR'!$B$9:$AK$61,26,FALSE)</f>
        <v>0</v>
      </c>
      <c r="AD32" s="535"/>
      <c r="AE32" s="49">
        <f>VLOOKUP(C32,'5a)NDA MPPR'!$B$9:$AK$61,28,FALSE)</f>
        <v>120.8994974</v>
      </c>
      <c r="AF32" s="49">
        <f>VLOOKUP(C32,'5a)NDA MPPR'!$B$9:$AK$61,29,FALSE)</f>
        <v>111.5626258745</v>
      </c>
      <c r="AG32" s="52">
        <f>VLOOKUP(C32,'5a)NDA MPPR'!$B$9:$AK$61,30,FALSE)</f>
        <v>100.76854828</v>
      </c>
      <c r="AH32" s="539">
        <f>VLOOKUP(C32,'5a)NDA MPPR'!$B$9:$AK$61,31,FALSE)</f>
        <v>1.1071175260410331</v>
      </c>
      <c r="AI32" s="98">
        <f>VLOOKUP(C32,'5a)NDA MPPR'!$B$9:$AK$61,32,FALSE)</f>
        <v>0.92277162662960743</v>
      </c>
      <c r="AJ32" s="575">
        <f>VLOOKUP(C32,'5a)NDA MPPR'!$B$9:$AK$61,33,FALSE)</f>
        <v>0.16094723992154811</v>
      </c>
      <c r="AK32" s="574">
        <f>VLOOKUP(C32,'5a)NDA MPPR'!$B$9:$AK$61,34,FALSE)</f>
        <v>0.14851754638395265</v>
      </c>
      <c r="AL32" s="540"/>
      <c r="AM32" s="247" t="str">
        <f>VLOOKUP(C32,'5a)NDA MPPR'!$B$9:$AK$61,36,FALSE)</f>
        <v>G</v>
      </c>
      <c r="AO32" s="15">
        <f>T30-G30</f>
        <v>0</v>
      </c>
      <c r="AP32" s="15">
        <f>T30-K30</f>
        <v>0</v>
      </c>
      <c r="AQ32" s="15">
        <f>X30-I30</f>
        <v>0</v>
      </c>
      <c r="AS32" s="15">
        <f>T30-S30</f>
        <v>0</v>
      </c>
      <c r="AT32" s="15">
        <f>X30-W30</f>
        <v>0</v>
      </c>
      <c r="AV32" s="631">
        <v>749.1680278</v>
      </c>
      <c r="AW32" s="607">
        <v>49490</v>
      </c>
      <c r="AX32" s="642"/>
      <c r="AY32" s="631">
        <v>751.17471699999999</v>
      </c>
      <c r="AZ32" s="611">
        <f>W32-AY32</f>
        <v>0</v>
      </c>
      <c r="BA32" s="607">
        <v>49490</v>
      </c>
      <c r="BB32" s="613">
        <f>AA32-BA32</f>
        <v>0</v>
      </c>
    </row>
    <row r="33" spans="1:56" ht="79.5" customHeight="1" thickBot="1" x14ac:dyDescent="0.45">
      <c r="A33" s="299" t="str">
        <f>C32</f>
        <v>BEPPS2</v>
      </c>
      <c r="B33" s="705" t="str">
        <f>VLOOKUP($C32,'5a)NDA MPPR'!$A$9:$AK$61,2,FALSE)</f>
        <v>The Box Encapsulation Plant Product Store 2 (BEPPS2) is a critical enabler for continued high hazard retrievals from the Magnox Swarf Storage Silo (MSSS) and Pile Fuel Cladding Silo (PFCS). It will provide modern, safe and secure long term interim storage for approximately 7,500 packages of Intermediate Level Waste. The strategic requirement has been confirmed. The first project benefit is the ability to receive packages from MSSS and PFCS without constraining hazard reduction programmes. The Senior Responsible Owner (SRO) Delivery Confidence Assessment is Green and the project remains on track against its P50 cost and schedule targets. The project is in the Define Phase, progressing detailed design for transition to civil construction and procurement of long-lead items. The critical path runs through civil construction, mechanical and electrical installation, and commissioning. A sub-critical path flows through the Multi-Disciplinary Design Review (MDDR), which will confirm design maturity and support release of the Outline Business Case (OBC) sanction hold point. The MDDR will be held during Period 8. Engagement with Programme and Project Partnership (PPP) Key Delivery Partners is ongoing to underpin delivery phase planning, cost estimation, and Quantitative Risk Analysis (QRA), informing the Full Business Case (FBC) submission planned for FY2026/27. Site establishment and bulk excavation works are progressing well. The civil construction contract delivery strategy is under review by PPP to ensure value for money. The SPI reflects both historic design delays due to historic resource constraints and the non-utilisation of risk and estimating uncertainty. The forthcoming OBC sanction hold point release submission (January 2026 to IRP &amp; GIC and March 2026 to DESNZ PIC) will include updates on the lifecycle cost estimates that will be underpinned by an updated QRA and will reflect proactive management of opportunities and realisation of threats during the Define Stage. Capability RAG remains Green.</v>
      </c>
      <c r="C33" s="706"/>
      <c r="D33" s="706"/>
      <c r="E33" s="706"/>
      <c r="F33" s="706"/>
      <c r="G33" s="706"/>
      <c r="H33" s="706"/>
      <c r="I33" s="706"/>
      <c r="J33" s="706"/>
      <c r="K33" s="706"/>
      <c r="L33" s="706"/>
      <c r="M33" s="706"/>
      <c r="N33" s="706"/>
      <c r="O33" s="706"/>
      <c r="P33" s="706"/>
      <c r="Q33" s="706"/>
      <c r="R33" s="706"/>
      <c r="S33" s="706"/>
      <c r="T33" s="706"/>
      <c r="U33" s="706"/>
      <c r="V33" s="706"/>
      <c r="W33" s="706"/>
      <c r="X33" s="706"/>
      <c r="Y33" s="706"/>
      <c r="Z33" s="706"/>
      <c r="AA33" s="706"/>
      <c r="AB33" s="706"/>
      <c r="AC33" s="706"/>
      <c r="AD33" s="706"/>
      <c r="AE33" s="706"/>
      <c r="AF33" s="706"/>
      <c r="AG33" s="706"/>
      <c r="AH33" s="706"/>
      <c r="AI33" s="706"/>
      <c r="AJ33" s="706"/>
      <c r="AK33" s="706"/>
      <c r="AL33" s="706"/>
      <c r="AM33" s="707"/>
      <c r="AV33" s="606"/>
      <c r="AW33" s="608"/>
      <c r="AX33" s="642"/>
      <c r="AY33" s="606"/>
      <c r="AZ33" s="612"/>
      <c r="BA33" s="608"/>
      <c r="BB33" s="614"/>
    </row>
    <row r="34" spans="1:56" ht="5.25" customHeight="1" thickBot="1" x14ac:dyDescent="0.45">
      <c r="C34" s="491"/>
      <c r="D34" s="174"/>
      <c r="G34" s="15"/>
      <c r="W34" s="174"/>
      <c r="X34" s="174"/>
      <c r="Y34" s="174"/>
      <c r="Z34" s="174"/>
      <c r="AA34" s="174"/>
      <c r="AB34" s="174"/>
      <c r="AC34" s="174"/>
      <c r="AE34" s="174"/>
      <c r="AF34" s="174"/>
      <c r="AG34" s="174"/>
      <c r="AH34" s="174"/>
      <c r="AI34" s="174"/>
      <c r="AJ34" s="174"/>
      <c r="AK34" s="174"/>
      <c r="AL34" s="174"/>
      <c r="AW34" s="646"/>
      <c r="AX34" s="642"/>
      <c r="AY34" s="644"/>
      <c r="AZ34" s="609"/>
      <c r="BA34" s="605"/>
      <c r="BB34" s="610"/>
    </row>
    <row r="35" spans="1:56" ht="36" customHeight="1" x14ac:dyDescent="0.4">
      <c r="B35" s="216" t="s">
        <v>114</v>
      </c>
      <c r="C35" s="587" t="s">
        <v>113</v>
      </c>
      <c r="D35" s="540" t="s">
        <v>3</v>
      </c>
      <c r="E35" s="535"/>
      <c r="F35" s="244" t="str">
        <f>VLOOKUP(C35,'5a)NDA MPPR'!$B$9:$AK$61,3,FALSE)</f>
        <v>G</v>
      </c>
      <c r="G35" s="245">
        <f>VLOOKUP(C35,'5a)NDA MPPR'!$B$9:$AK$61,4,FALSE)</f>
        <v>0</v>
      </c>
      <c r="H35" s="536"/>
      <c r="I35" s="537" t="str">
        <f>VLOOKUP(C35,'5a)NDA MPPR'!$B$9:$AK$61,6,FALSE)</f>
        <v>FBC
(Dec-21)</v>
      </c>
      <c r="J35" s="72">
        <f>VLOOKUP(C35,'5a)NDA MPPR'!$B$9:$AK$61,7,FALSE)</f>
        <v>1007</v>
      </c>
      <c r="K35" s="48">
        <f>VLOOKUP(C35,'5a)NDA MPPR'!$B$9:$AK$61,8,FALSE)</f>
        <v>1182</v>
      </c>
      <c r="L35" s="538">
        <f>VLOOKUP(C35,'5a)NDA MPPR'!$B$9:$AK$61,9,FALSE)</f>
        <v>47849</v>
      </c>
      <c r="M35" s="538">
        <f>VLOOKUP(C35,'5a)NDA MPPR'!$B$9:$AK$61,10,FALSE)</f>
        <v>48611</v>
      </c>
      <c r="N35" s="535">
        <f>'3) BC and Sanction'!I109</f>
        <v>0</v>
      </c>
      <c r="O35" s="48">
        <f>VLOOKUP(C35,'5a)NDA MPPR'!$B$9:$AK$61,12,FALSE)</f>
        <v>1182</v>
      </c>
      <c r="P35" s="48">
        <f>VLOOKUP(C35,'5a)NDA MPPR'!$B$9:$AK$61,13,FALSE)</f>
        <v>1150.7</v>
      </c>
      <c r="Q35" s="535"/>
      <c r="R35" s="244" t="str">
        <f>VLOOKUP(C35,'5a)NDA MPPR'!$B$9:$AK$61,15,FALSE)</f>
        <v>G</v>
      </c>
      <c r="S35" s="245">
        <f>VLOOKUP(C35,'5a)NDA MPPR'!$B$9:$AK$61,16,FALSE)</f>
        <v>0</v>
      </c>
      <c r="T35" s="536"/>
      <c r="U35" s="554" t="str">
        <f>VLOOKUP(C35,'5a)NDA MPPR'!$B$9:$AK$61,18,FALSE)</f>
        <v>FBC
 (Jan-24)</v>
      </c>
      <c r="V35" s="536"/>
      <c r="W35" s="49">
        <f>VLOOKUP(C35,'5a)NDA MPPR'!$B$9:$AK$61,20,FALSE)</f>
        <v>1133.0636360000001</v>
      </c>
      <c r="X35" s="49">
        <f>VLOOKUP(C35,'5a)NDA MPPR'!$B$9:$AK$61,21,FALSE)</f>
        <v>1120.8756530999999</v>
      </c>
      <c r="Y35" s="49">
        <f>VLOOKUP(C35,'5a)NDA MPPR'!$B$9:$AK$61,22,FALSE)</f>
        <v>0</v>
      </c>
      <c r="Z35" s="50"/>
      <c r="AA35" s="538">
        <f>VLOOKUP(C35,'5a)NDA MPPR'!$B$9:$AK$61,24,FALSE)</f>
        <v>48142</v>
      </c>
      <c r="AB35" s="538">
        <f>VLOOKUP(C35,'5a)NDA MPPR'!$B$9:$AK$61,25,FALSE)</f>
        <v>48142</v>
      </c>
      <c r="AC35" s="51">
        <f>VLOOKUP(C35,'5a)NDA MPPR'!$B$9:$AK$61,26,FALSE)</f>
        <v>0</v>
      </c>
      <c r="AD35" s="535"/>
      <c r="AE35" s="49">
        <f>VLOOKUP(C35,'5a)NDA MPPR'!$B$9:$AK$61,28,FALSE)</f>
        <v>759.67016635000004</v>
      </c>
      <c r="AF35" s="49">
        <f>VLOOKUP(C35,'5a)NDA MPPR'!$B$9:$AK$61,29,FALSE)</f>
        <v>718.60177281899996</v>
      </c>
      <c r="AG35" s="52">
        <f>VLOOKUP(C35,'5a)NDA MPPR'!$B$9:$AK$61,30,FALSE)</f>
        <v>744.39202245000001</v>
      </c>
      <c r="AH35" s="539">
        <f>VLOOKUP(C35,'5a)NDA MPPR'!$B$9:$AK$61,31,FALSE)</f>
        <v>0.96535394140023534</v>
      </c>
      <c r="AI35" s="98">
        <f>VLOOKUP(C35,'5a)NDA MPPR'!$B$9:$AK$61,32,FALSE)</f>
        <v>0.94593917814579709</v>
      </c>
      <c r="AJ35" s="575">
        <f>VLOOKUP(C35,'5a)NDA MPPR'!$B$9:$AK$61,33,FALSE)</f>
        <v>0.67045675301329677</v>
      </c>
      <c r="AK35" s="574">
        <f>VLOOKUP(C35,'5a)NDA MPPR'!$B$9:$AK$61,34,FALSE)</f>
        <v>0.6342113099276977</v>
      </c>
      <c r="AL35" s="540"/>
      <c r="AM35" s="247" t="str">
        <f>VLOOKUP(C35,'5a)NDA MPPR'!$B$9:$AK$61,36,FALSE)</f>
        <v>G</v>
      </c>
      <c r="AO35" s="15">
        <f>T33-G33</f>
        <v>0</v>
      </c>
      <c r="AP35" s="15">
        <f>T33-K33</f>
        <v>0</v>
      </c>
      <c r="AQ35" s="15">
        <f>X33-I33</f>
        <v>0</v>
      </c>
      <c r="AS35" s="15">
        <f>T33-S33</f>
        <v>0</v>
      </c>
      <c r="AT35" s="15">
        <f>X33-W33</f>
        <v>0</v>
      </c>
      <c r="AV35" s="631">
        <v>1120.8916416900001</v>
      </c>
      <c r="AW35" s="607">
        <v>48142</v>
      </c>
      <c r="AX35" s="642"/>
      <c r="AY35" s="631">
        <v>1133.0636360000001</v>
      </c>
      <c r="AZ35" s="611">
        <f>W35-AY35</f>
        <v>0</v>
      </c>
      <c r="BA35" s="607">
        <v>48142</v>
      </c>
      <c r="BB35" s="613">
        <f>AA35-BA35</f>
        <v>0</v>
      </c>
    </row>
    <row r="36" spans="1:56" ht="99" customHeight="1" thickBot="1" x14ac:dyDescent="0.45">
      <c r="A36" s="299" t="str">
        <f>C35</f>
        <v>SIXEP Continuity Plant</v>
      </c>
      <c r="B36" s="705" t="str">
        <f>VLOOKUP($C35,'5a)NDA MPPR'!$A$9:$AK$61,2,FALSE)</f>
        <v>The SIXEP Continuity Plant (SCP) is required to deliver a continued site effluent treatment capability in support of radioactive liquid effluent discharge permits, fuel pond management, high hazard reduction projects and the overall NDA mission. This project provides a replacement for the existing SIXEP Sea Discharge Treatment plant and is therefore mission critical to the safe operation of the site. The SRO Delivery Confidence Assessment (DCA) currently remains green however there is a significant risk posed by the impact of extraordinary inflation that has been incurred to date. This follows the decision made by PIC in Q2 24/25 to not approve the P80 Inflation Sanction relief for SCP. The NDA have released £108.7m sanction to SL from P80 as an interim measure to deal with the inflation impact, however this substantially erodes the P80 contingency. The first scope driven P80 drawdown for the project has been approved this quarter.  Combined, these two drawdowns result in a net £31M P80 contingency remaining. The SRO considers that this is likely to be insufficient for the next 4 years and has submitted a sanction release paper to the Department in September, with review pending.  Without this additional sanction the current DCA rating would change from Green to Red, hence this will be kept under review by the SRO throughout 2025/26. From a project performance perspective, the SRO DCA remains Green, echoed by National Infrastructure and Service Transformation Authority (NISTA) Green rating received in June 25/26. The Baseline RAG remains Green. Fabrication of off-site pipework planned for completion Q4 25/26. Site pipework and vessel install is progressing well in both the Effluent Treatment Cell (ETC) and Bulk Storage Tank (BST) cells. Both halves of the reception pumping tank now in position and welding has commenced within the ETC, marking another significant milestone for the project. marking another milestone for the project. Works continue to progress across all floors within the Service Building prior to handover over to Mechanical, Electrical, Instrumentation, Control &amp; Automation (MEICA) trades. Bulk Storage Tanks – welding of the first tank continues to progress in cell. Project Wide Objectives - PWO4 - Handover of BST cell to Commissioning,  PWO5 - Handover Services Building to Commissioning and PWO6 - Handover of ETC to Commissioning are all currently forecasting to be delayed with further impending strike action (Industrial Relations issues) however, these are not a threat to the critical path and project remains within P50. The last milestone on the journey is commencement of active commissioning (licence instrument approvals). Post scope driven P80 drawdown impact the baseline date is now 22nd July 2030 (P50) along with the P50 Lifecycle baseline end date moving to 21st October 2031. The forecast dates and lifecycle EAC remain stable.  The Capability and Capacity RAG remains Green with no issues to report.</v>
      </c>
      <c r="C36" s="706"/>
      <c r="D36" s="706"/>
      <c r="E36" s="706"/>
      <c r="F36" s="706"/>
      <c r="G36" s="706"/>
      <c r="H36" s="706"/>
      <c r="I36" s="706"/>
      <c r="J36" s="706"/>
      <c r="K36" s="706"/>
      <c r="L36" s="706"/>
      <c r="M36" s="706"/>
      <c r="N36" s="706"/>
      <c r="O36" s="706"/>
      <c r="P36" s="706"/>
      <c r="Q36" s="706"/>
      <c r="R36" s="706"/>
      <c r="S36" s="706"/>
      <c r="T36" s="706"/>
      <c r="U36" s="706"/>
      <c r="V36" s="706"/>
      <c r="W36" s="706"/>
      <c r="X36" s="706"/>
      <c r="Y36" s="706"/>
      <c r="Z36" s="706"/>
      <c r="AA36" s="706"/>
      <c r="AB36" s="706"/>
      <c r="AC36" s="706"/>
      <c r="AD36" s="706"/>
      <c r="AE36" s="706"/>
      <c r="AF36" s="706"/>
      <c r="AG36" s="706"/>
      <c r="AH36" s="706"/>
      <c r="AI36" s="706"/>
      <c r="AJ36" s="706"/>
      <c r="AK36" s="706"/>
      <c r="AL36" s="706"/>
      <c r="AM36" s="707"/>
      <c r="AV36" s="606"/>
      <c r="AW36" s="608"/>
      <c r="AX36" s="642"/>
      <c r="AY36" s="606"/>
      <c r="AZ36" s="612"/>
      <c r="BA36" s="608"/>
      <c r="BB36" s="614"/>
    </row>
    <row r="37" spans="1:56" ht="5.25" customHeight="1" thickBot="1" x14ac:dyDescent="0.45">
      <c r="B37" s="73"/>
      <c r="C37" s="467"/>
      <c r="D37" s="61"/>
      <c r="E37" s="61"/>
      <c r="F37" s="61"/>
      <c r="G37" s="61"/>
      <c r="H37" s="61"/>
      <c r="I37" s="61"/>
      <c r="J37" s="61"/>
      <c r="K37" s="61"/>
      <c r="L37" s="61"/>
      <c r="M37" s="61"/>
      <c r="N37" s="61"/>
      <c r="O37" s="61"/>
      <c r="P37" s="61"/>
      <c r="Q37" s="61"/>
      <c r="R37" s="61"/>
      <c r="S37" s="61"/>
      <c r="T37" s="61"/>
      <c r="U37" s="61"/>
      <c r="V37" s="61"/>
      <c r="W37" s="61"/>
      <c r="X37" s="61"/>
      <c r="Y37" s="61"/>
      <c r="Z37" s="61"/>
      <c r="AA37" s="61"/>
      <c r="AB37" s="61"/>
      <c r="AC37" s="61"/>
      <c r="AD37" s="61"/>
      <c r="AE37" s="61"/>
      <c r="AF37" s="61"/>
      <c r="AG37" s="61"/>
      <c r="AH37" s="61"/>
      <c r="AI37" s="61"/>
      <c r="AJ37" s="61"/>
      <c r="AK37" s="61"/>
      <c r="AL37" s="61"/>
      <c r="AM37" s="73"/>
      <c r="AW37" s="646"/>
      <c r="AX37" s="642"/>
      <c r="AY37" s="644"/>
      <c r="AZ37" s="609"/>
      <c r="BA37" s="605"/>
      <c r="BB37" s="610"/>
    </row>
    <row r="38" spans="1:56" ht="36" customHeight="1" x14ac:dyDescent="0.4">
      <c r="B38" s="97" t="s">
        <v>172</v>
      </c>
      <c r="C38" s="587" t="s">
        <v>236</v>
      </c>
      <c r="D38" s="540" t="s">
        <v>3</v>
      </c>
      <c r="E38" s="535"/>
      <c r="F38" s="244" t="str">
        <f>VLOOKUP(C38,'5a)NDA MPPR'!$B$9:$AK$61,3,FALSE)</f>
        <v>G</v>
      </c>
      <c r="G38" s="245">
        <f>VLOOKUP(C38,'5a)NDA MPPR'!$B$9:$AK$61,4,FALSE)</f>
        <v>0</v>
      </c>
      <c r="H38" s="536"/>
      <c r="I38" s="537" t="str">
        <f>VLOOKUP(C38,'5a)NDA MPPR'!$B$9:$AK$61,6,FALSE)</f>
        <v>FBC 
(Jun-24)</v>
      </c>
      <c r="J38" s="72">
        <f>VLOOKUP(C38,'5a)NDA MPPR'!$B$9:$AK$61,7,FALSE)</f>
        <v>69.099999999999994</v>
      </c>
      <c r="K38" s="72">
        <f>VLOOKUP(C38,'5a)NDA MPPR'!$B$9:$AK$61,8,FALSE)</f>
        <v>75.8</v>
      </c>
      <c r="L38" s="538">
        <f>VLOOKUP(C38,'5a)NDA MPPR'!$B$9:$AK$61,9,FALSE)</f>
        <v>46295</v>
      </c>
      <c r="M38" s="538">
        <f>VLOOKUP(C38,'5a)NDA MPPR'!$B$9:$AK$61,10,FALSE)</f>
        <v>46446</v>
      </c>
      <c r="N38" s="535">
        <f>'3) BC and Sanction'!I112</f>
        <v>0</v>
      </c>
      <c r="O38" s="48" t="str">
        <f>VLOOKUP(C38,'5a)NDA MPPR'!$B$9:$AK$61,12,FALSE)</f>
        <v>n/a</v>
      </c>
      <c r="P38" s="48">
        <f>VLOOKUP(C38,'5a)NDA MPPR'!$B$9:$AK$61,13,FALSE)</f>
        <v>69.099999999999994</v>
      </c>
      <c r="Q38" s="535"/>
      <c r="R38" s="244" t="str">
        <f>VLOOKUP(C38,'5a)NDA MPPR'!$B$9:$AK$61,15,FALSE)</f>
        <v>G</v>
      </c>
      <c r="S38" s="245">
        <f>VLOOKUP(C38,'5a)NDA MPPR'!$B$9:$AK$61,16,FALSE)</f>
        <v>0</v>
      </c>
      <c r="T38" s="536"/>
      <c r="U38" s="554" t="str">
        <f>VLOOKUP(C38,'5a)NDA MPPR'!$B$9:$AK$61,18,FALSE)</f>
        <v>FBC
 (Mar-23)</v>
      </c>
      <c r="V38" s="536"/>
      <c r="W38" s="49">
        <f>VLOOKUP(C38,'5a)NDA MPPR'!$B$9:$AK$61,20,FALSE)</f>
        <v>67.414677999999995</v>
      </c>
      <c r="X38" s="49">
        <f>VLOOKUP(C38,'5a)NDA MPPR'!$B$9:$AK$61,21,FALSE)</f>
        <v>35.500378959999999</v>
      </c>
      <c r="Y38" s="49">
        <f>VLOOKUP(C38,'5a)NDA MPPR'!$B$9:$AK$61,22,FALSE)</f>
        <v>0</v>
      </c>
      <c r="Z38" s="50"/>
      <c r="AA38" s="538">
        <f>VLOOKUP(C38,'5a)NDA MPPR'!$B$9:$AK$61,24,FALSE)</f>
        <v>46266</v>
      </c>
      <c r="AB38" s="538">
        <f>VLOOKUP(C38,'5a)NDA MPPR'!$B$9:$AK$61,25,FALSE)</f>
        <v>46112</v>
      </c>
      <c r="AC38" s="51">
        <f>VLOOKUP(C38,'5a)NDA MPPR'!$B$9:$AK$61,26,FALSE)</f>
        <v>0</v>
      </c>
      <c r="AD38" s="535"/>
      <c r="AE38" s="49">
        <f>VLOOKUP(C38,'5a)NDA MPPR'!$B$9:$AK$61,28,FALSE)</f>
        <v>61.064990479999999</v>
      </c>
      <c r="AF38" s="49">
        <f>VLOOKUP(C38,'5a)NDA MPPR'!$B$9:$AK$61,29,FALSE)</f>
        <v>60.1199256373</v>
      </c>
      <c r="AG38" s="52">
        <f>VLOOKUP(C38,'5a)NDA MPPR'!$B$9:$AK$61,30,FALSE)</f>
        <v>35.120399119999995</v>
      </c>
      <c r="AH38" s="539">
        <f>VLOOKUP(C38,'5a)NDA MPPR'!$B$9:$AK$61,31,FALSE)</f>
        <v>1.7118235311586629</v>
      </c>
      <c r="AI38" s="90">
        <f>VLOOKUP(C38,'5a)NDA MPPR'!$B$9:$AK$61,32,FALSE)</f>
        <v>0.98452362253279102</v>
      </c>
      <c r="AJ38" s="575">
        <f>VLOOKUP(C38,'5a)NDA MPPR'!$B$9:$AK$61,33,FALSE)</f>
        <v>0.9058114982022164</v>
      </c>
      <c r="AK38" s="574">
        <f>VLOOKUP(C38,'5a)NDA MPPR'!$B$9:$AK$61,34,FALSE)</f>
        <v>0.89179281754190087</v>
      </c>
      <c r="AL38" s="540"/>
      <c r="AM38" s="247" t="str">
        <f>VLOOKUP(C38,'5a)NDA MPPR'!$B$9:$AK$61,36,FALSE)</f>
        <v>G</v>
      </c>
      <c r="AO38" s="15">
        <f>T36-G36</f>
        <v>0</v>
      </c>
      <c r="AP38" s="15">
        <f>T36-K36</f>
        <v>0</v>
      </c>
      <c r="AQ38" s="15">
        <f>X36-I36</f>
        <v>0</v>
      </c>
      <c r="AS38" s="15">
        <f>T36-S36</f>
        <v>0</v>
      </c>
      <c r="AT38" s="15">
        <f>X36-W36</f>
        <v>0</v>
      </c>
      <c r="AV38" s="631">
        <v>35.500879740000002</v>
      </c>
      <c r="AW38" s="607">
        <v>46112</v>
      </c>
      <c r="AX38" s="642"/>
      <c r="AY38" s="631">
        <v>67.414677999999995</v>
      </c>
      <c r="AZ38" s="611">
        <f>W38-AY38</f>
        <v>0</v>
      </c>
      <c r="BA38" s="607">
        <v>46266</v>
      </c>
      <c r="BB38" s="613">
        <f>AA38-BA38</f>
        <v>0</v>
      </c>
    </row>
    <row r="39" spans="1:56" ht="51" customHeight="1" thickBot="1" x14ac:dyDescent="0.45">
      <c r="A39" s="299" t="str">
        <f>C38</f>
        <v>ILW East Land Excavation</v>
      </c>
      <c r="B39" s="705" t="str">
        <f>VLOOKUP($C38,'5a)NDA MPPR'!$A$9:$AK$61,2,FALSE)</f>
        <v>The ILW EZ Phase 1 Excavation Project is a key enabler to allow the future major project Lightly Shielded Store 1 (LSS1) to commence construction and also de-risks LSS1 construction. The delays in issuing the Service Commencement Notification (SCN) and late Pre-Construction Information (PCI) caused a 4-month delay to the beginning of delivery, however the excavation work has now recovered. The first project benefit: This project delivers a number of benefits, both direct as a key enabler for LSS1, and indirect in adopting an Enterprise approach to zonal development. The Baseline remains green.  All issues have now been rectified.  All works are now complete and awaiting isolations to be removed before sign off. Walk rounds have taken place and a meeting to arrange the CTC transfer is being set up. Lifecycle EAC and the forecast date for close out of the Project remain stable. The Capability and Capacity RAG remains Green.</v>
      </c>
      <c r="C39" s="706"/>
      <c r="D39" s="706"/>
      <c r="E39" s="706"/>
      <c r="F39" s="706"/>
      <c r="G39" s="706"/>
      <c r="H39" s="706"/>
      <c r="I39" s="706"/>
      <c r="J39" s="706"/>
      <c r="K39" s="706"/>
      <c r="L39" s="706"/>
      <c r="M39" s="706"/>
      <c r="N39" s="706"/>
      <c r="O39" s="706"/>
      <c r="P39" s="706"/>
      <c r="Q39" s="706"/>
      <c r="R39" s="706"/>
      <c r="S39" s="706"/>
      <c r="T39" s="706"/>
      <c r="U39" s="706"/>
      <c r="V39" s="706"/>
      <c r="W39" s="706"/>
      <c r="X39" s="706"/>
      <c r="Y39" s="706"/>
      <c r="Z39" s="706"/>
      <c r="AA39" s="706"/>
      <c r="AB39" s="706"/>
      <c r="AC39" s="706"/>
      <c r="AD39" s="706"/>
      <c r="AE39" s="706"/>
      <c r="AF39" s="706"/>
      <c r="AG39" s="706"/>
      <c r="AH39" s="706"/>
      <c r="AI39" s="706"/>
      <c r="AJ39" s="706"/>
      <c r="AK39" s="706"/>
      <c r="AL39" s="706"/>
      <c r="AM39" s="707"/>
      <c r="AV39" s="606"/>
      <c r="AW39" s="608"/>
      <c r="AX39" s="642"/>
      <c r="AY39" s="606"/>
      <c r="AZ39" s="612"/>
      <c r="BA39" s="608"/>
      <c r="BB39" s="614"/>
    </row>
    <row r="40" spans="1:56" ht="5.25" customHeight="1" thickBot="1" x14ac:dyDescent="0.45">
      <c r="B40" s="2"/>
      <c r="C40" s="491"/>
      <c r="D40" s="2"/>
      <c r="E40" s="2"/>
      <c r="F40" s="2"/>
      <c r="G40" s="2"/>
      <c r="H40" s="2"/>
      <c r="I40" s="2"/>
      <c r="J40" s="2"/>
      <c r="K40" s="2"/>
      <c r="L40" s="2"/>
      <c r="M40" s="2"/>
      <c r="N40" s="2"/>
      <c r="O40" s="2"/>
      <c r="P40" s="2"/>
      <c r="Q40" s="2"/>
      <c r="R40" s="2"/>
      <c r="S40" s="2"/>
      <c r="T40" s="2"/>
      <c r="U40" s="2"/>
      <c r="V40" s="2"/>
      <c r="W40" s="2"/>
      <c r="X40" s="2"/>
      <c r="Y40" s="2"/>
      <c r="Z40" s="2"/>
      <c r="AA40" s="2"/>
      <c r="AB40" s="2"/>
      <c r="AC40" s="2"/>
      <c r="AD40" s="2"/>
      <c r="AE40" s="2"/>
      <c r="AF40" s="2"/>
      <c r="AG40" s="2"/>
      <c r="AH40" s="2"/>
      <c r="AI40" s="2"/>
      <c r="AJ40" s="2"/>
      <c r="AK40" s="2"/>
      <c r="AL40" s="2"/>
      <c r="AM40" s="2"/>
      <c r="AW40" s="646"/>
      <c r="AX40" s="642"/>
      <c r="AY40" s="644"/>
      <c r="AZ40" s="609"/>
      <c r="BA40" s="605"/>
      <c r="BB40" s="610"/>
    </row>
    <row r="41" spans="1:56" ht="36" customHeight="1" x14ac:dyDescent="0.3">
      <c r="B41" s="216" t="s">
        <v>110</v>
      </c>
      <c r="C41" s="587" t="s">
        <v>109</v>
      </c>
      <c r="D41" s="540" t="s">
        <v>3</v>
      </c>
      <c r="E41" s="535"/>
      <c r="F41" s="244" t="str">
        <f>VLOOKUP($C41,'4b) SL EPO Extended Data Sheet'!$A$5:$AB$176,2,FALSE)</f>
        <v>N/A</v>
      </c>
      <c r="G41" s="245">
        <f>VLOOKUP($C41,'4b) SL EPO Extended Data Sheet'!$A$5:$AB$176,3, FALSE)</f>
        <v>0</v>
      </c>
      <c r="H41" s="536"/>
      <c r="I41" s="475" t="str">
        <f>VLOOKUP($C41,'4b) SL EPO Extended Data Sheet'!$A$5:$AD$176,30, FALSE)</f>
        <v xml:space="preserve">N/A
</v>
      </c>
      <c r="J41" s="72">
        <f>VLOOKUP($C41,'4b) SL EPO Extended Data Sheet'!$A$5:$AC$176,6, FALSE)/1000000</f>
        <v>46.4</v>
      </c>
      <c r="K41" s="591">
        <f>VLOOKUP($C41,'4b) SL EPO Extended Data Sheet'!$A$5:$AC$176,7, FALSE)/1000000</f>
        <v>0</v>
      </c>
      <c r="L41" s="538">
        <f>VLOOKUP($C41,'4b) SL EPO Extended Data Sheet'!$A$5:$AB$176,8, FALSE)</f>
        <v>46812</v>
      </c>
      <c r="M41" s="538" t="str">
        <f>VLOOKUP($C41,'4b) SL EPO Extended Data Sheet'!$A$5:$AC$176,9, FALSE)</f>
        <v/>
      </c>
      <c r="N41" s="535" t="str">
        <f>VLOOKUP($C41,'4b) SL EPO Extended Data Sheet'!$A$5:$AB$176,5, FALSE)</f>
        <v/>
      </c>
      <c r="O41" s="48">
        <f>VLOOKUP($C41,'4b) SL EPO Extended Data Sheet'!$A$5:$AC$176,10, FALSE)/1000000</f>
        <v>0</v>
      </c>
      <c r="P41" s="48">
        <f>VLOOKUP($C41,'4b) SL EPO Extended Data Sheet'!$A$5:$AC$176,11, FALSE)/1000000</f>
        <v>46.4</v>
      </c>
      <c r="Q41" s="535"/>
      <c r="R41" s="244" t="str">
        <f>VLOOKUP($C41,'4b) SL EPO Extended Data Sheet'!$A$5:$AC$176,12,FALSE)</f>
        <v>N/A</v>
      </c>
      <c r="S41" s="245">
        <f>VLOOKUP($C41,'4b) SL EPO Extended Data Sheet'!$A$5:$AC$176,13,FALSE)</f>
        <v>0</v>
      </c>
      <c r="T41" s="536"/>
      <c r="U41" s="537" t="str">
        <f>VLOOKUP($C41,'4b) SL EPO Extended Data Sheet'!$A$5:$AE$176,31,FALSE)</f>
        <v>N/A
(Aug-23)</v>
      </c>
      <c r="V41" s="536"/>
      <c r="W41" s="49">
        <f>VLOOKUP($C41,'4b) SL EPO Extended Data Sheet'!$A$5:$AC$176,16,FALSE)/1000000</f>
        <v>142.42993999999999</v>
      </c>
      <c r="X41" s="49">
        <f>VLOOKUP($C41,'4b) SL EPO Extended Data Sheet'!$A$5:$AC$176,17,FALSE)/1000000</f>
        <v>157.94101037999999</v>
      </c>
      <c r="Y41" s="49">
        <f>VLOOKUP($C41,'4b) SL EPO Extended Data Sheet'!$A$5:$AC$176,18,FALSE)/1000000</f>
        <v>-0.16431293999999999</v>
      </c>
      <c r="Z41" s="49">
        <f>VLOOKUP($C41,'4b) SL EPO Extended Data Sheet'!$A$5:$AB$176,16,FALSE)/1000000</f>
        <v>142.42993999999999</v>
      </c>
      <c r="AA41" s="538">
        <f>VLOOKUP($C41,'4b) SL EPO Extended Data Sheet'!$A$5:$AC$176,19,FALSE)</f>
        <v>46951</v>
      </c>
      <c r="AB41" s="538">
        <f>VLOOKUP($C41,'4b) SL EPO Extended Data Sheet'!$A$5:$AC$176,20,FALSE)</f>
        <v>46951</v>
      </c>
      <c r="AC41" s="51">
        <f>VLOOKUP($C41,'4b) SL EPO Extended Data Sheet'!$A$5:$AC$176,21,FALSE)</f>
        <v>0</v>
      </c>
      <c r="AD41" s="535">
        <f>VLOOKUP($C41,'4b) SL EPO Extended Data Sheet'!$A$5:$AB$176,15,FALSE)/1000000</f>
        <v>4.5163000000000002E-2</v>
      </c>
      <c r="AE41" s="49">
        <f>VLOOKUP($C41,'4b) SL EPO Extended Data Sheet'!$A$5:$AC$176,22,FALSE)/1000000</f>
        <v>29.903684629999997</v>
      </c>
      <c r="AF41" s="49">
        <f>VLOOKUP($C41,'4b) SL EPO Extended Data Sheet'!$A$5:$AC$176,23,FALSE)/1000000</f>
        <v>18.198192644399999</v>
      </c>
      <c r="AG41" s="52">
        <f>VLOOKUP($C41,'4b) SL EPO Extended Data Sheet'!$A$5:$AC$176,24,FALSE)/1000000</f>
        <v>26.057377559999999</v>
      </c>
      <c r="AH41" s="539">
        <f>VLOOKUP($C41,'4b) SL EPO Extended Data Sheet'!$A$5:$AC$176,25,FALSE)</f>
        <v>0.69838926048857541</v>
      </c>
      <c r="AI41" s="539">
        <f>VLOOKUP($C41,'4b) SL EPO Extended Data Sheet'!$A$5:$AC$176,26,FALSE)</f>
        <v>0.60856021154474038</v>
      </c>
      <c r="AJ41" s="575">
        <f>VLOOKUP($C41,'4b) SL EPO Extended Data Sheet'!$A$5:$AC$176,27,FALSE)</f>
        <v>0.20995364198004998</v>
      </c>
      <c r="AK41" s="574">
        <f>VLOOKUP($C41,'4b) SL EPO Extended Data Sheet'!$A$5:$AC$176,28,FALSE)</f>
        <v>0.1277694327779679</v>
      </c>
      <c r="AL41" s="540">
        <f>VLOOKUP($C41,'4b) SL EPO Extended Data Sheet'!$A$6:$AB$176,15,FALSE)</f>
        <v>45163</v>
      </c>
      <c r="AM41" s="247" t="str">
        <f>VLOOKUP($C41,'4b) SL EPO Extended Data Sheet'!$A$5:$AC$176,29,FALSE)</f>
        <v>G</v>
      </c>
      <c r="AO41" s="15">
        <f>T39-G39</f>
        <v>0</v>
      </c>
      <c r="AP41" s="15">
        <f>T39-K39</f>
        <v>0</v>
      </c>
      <c r="AQ41" s="15">
        <f>X39-I39</f>
        <v>0</v>
      </c>
      <c r="AS41" s="15">
        <f>T39-S39</f>
        <v>0</v>
      </c>
      <c r="AT41" s="15">
        <f>X39-W39</f>
        <v>0</v>
      </c>
      <c r="AV41" s="631">
        <v>158.105323</v>
      </c>
      <c r="AW41" s="607">
        <v>46951</v>
      </c>
      <c r="AX41" s="642"/>
      <c r="AY41" s="631">
        <v>142.42993999999999</v>
      </c>
      <c r="AZ41" s="611">
        <f>W41-AY41</f>
        <v>0</v>
      </c>
      <c r="BA41" s="607">
        <v>46951</v>
      </c>
      <c r="BB41" s="613">
        <f>AA41-BA41</f>
        <v>0</v>
      </c>
    </row>
    <row r="42" spans="1:56" ht="63.75" customHeight="1" thickBot="1" x14ac:dyDescent="0.45">
      <c r="A42" s="299" t="str">
        <f>C41</f>
        <v>Lightly Shielded Store (LSS)</v>
      </c>
      <c r="B42" s="708" t="s">
        <v>558</v>
      </c>
      <c r="C42" s="711"/>
      <c r="D42" s="711"/>
      <c r="E42" s="711"/>
      <c r="F42" s="711"/>
      <c r="G42" s="711"/>
      <c r="H42" s="711"/>
      <c r="I42" s="711"/>
      <c r="J42" s="711"/>
      <c r="K42" s="711"/>
      <c r="L42" s="711"/>
      <c r="M42" s="711"/>
      <c r="N42" s="711"/>
      <c r="O42" s="711"/>
      <c r="P42" s="711"/>
      <c r="Q42" s="711"/>
      <c r="R42" s="711"/>
      <c r="S42" s="711"/>
      <c r="T42" s="711"/>
      <c r="U42" s="711"/>
      <c r="V42" s="711"/>
      <c r="W42" s="711"/>
      <c r="X42" s="711"/>
      <c r="Y42" s="711"/>
      <c r="Z42" s="711"/>
      <c r="AA42" s="711"/>
      <c r="AB42" s="711"/>
      <c r="AC42" s="711"/>
      <c r="AD42" s="711"/>
      <c r="AE42" s="711"/>
      <c r="AF42" s="711"/>
      <c r="AG42" s="711"/>
      <c r="AH42" s="711"/>
      <c r="AI42" s="711"/>
      <c r="AJ42" s="711"/>
      <c r="AK42" s="711"/>
      <c r="AL42" s="711"/>
      <c r="AM42" s="712"/>
      <c r="AO42" s="267"/>
      <c r="AP42" s="267"/>
      <c r="AQ42" s="267"/>
      <c r="AR42" s="267"/>
      <c r="AS42" s="267"/>
      <c r="AT42" s="267"/>
      <c r="AU42" s="267"/>
      <c r="AV42" s="606"/>
      <c r="AW42" s="608"/>
      <c r="AX42" s="642"/>
      <c r="AY42" s="606"/>
      <c r="AZ42" s="612"/>
      <c r="BA42" s="608"/>
      <c r="BB42" s="614"/>
      <c r="BC42" s="267"/>
      <c r="BD42" s="267"/>
    </row>
    <row r="43" spans="1:56" s="267" customFormat="1" ht="5.15" customHeight="1" thickBot="1" x14ac:dyDescent="0.45">
      <c r="A43" s="299"/>
      <c r="B43" s="265"/>
      <c r="C43" s="491"/>
      <c r="D43" s="265"/>
      <c r="E43" s="265"/>
      <c r="F43" s="265"/>
      <c r="G43" s="265"/>
      <c r="H43" s="265"/>
      <c r="I43" s="265"/>
      <c r="J43" s="265"/>
      <c r="K43" s="265"/>
      <c r="L43" s="265"/>
      <c r="M43" s="265"/>
      <c r="N43" s="265"/>
      <c r="O43" s="265"/>
      <c r="P43" s="265"/>
      <c r="Q43" s="265"/>
      <c r="R43" s="265"/>
      <c r="S43" s="265"/>
      <c r="T43" s="265"/>
      <c r="U43" s="265"/>
      <c r="V43" s="265"/>
      <c r="W43" s="265"/>
      <c r="X43" s="265"/>
      <c r="Y43" s="265"/>
      <c r="Z43" s="265"/>
      <c r="AA43" s="265"/>
      <c r="AB43" s="265"/>
      <c r="AC43" s="265"/>
      <c r="AD43" s="265"/>
      <c r="AE43" s="265"/>
      <c r="AF43" s="265"/>
      <c r="AG43" s="265"/>
      <c r="AH43" s="265"/>
      <c r="AI43" s="265"/>
      <c r="AJ43" s="265"/>
      <c r="AK43" s="265"/>
      <c r="AL43" s="265"/>
      <c r="AM43" s="265"/>
      <c r="AO43" s="15"/>
      <c r="AP43" s="15"/>
      <c r="AQ43" s="15"/>
      <c r="AR43" s="15"/>
      <c r="AS43" s="15"/>
      <c r="AT43" s="15"/>
      <c r="AU43" s="15"/>
      <c r="AV43" s="639"/>
      <c r="AW43" s="646"/>
      <c r="AX43" s="642"/>
      <c r="AY43" s="644"/>
      <c r="AZ43" s="609"/>
      <c r="BA43" s="605"/>
      <c r="BB43" s="610"/>
      <c r="BC43" s="15"/>
      <c r="BD43" s="15"/>
    </row>
    <row r="44" spans="1:56" s="267" customFormat="1" ht="24" customHeight="1" thickBot="1" x14ac:dyDescent="0.45">
      <c r="A44" s="299"/>
      <c r="B44" s="718" t="s">
        <v>194</v>
      </c>
      <c r="C44" s="719"/>
      <c r="D44" s="719"/>
      <c r="E44" s="719"/>
      <c r="F44" s="719"/>
      <c r="G44" s="719"/>
      <c r="H44" s="719"/>
      <c r="I44" s="719"/>
      <c r="J44" s="719"/>
      <c r="K44" s="719"/>
      <c r="L44" s="719"/>
      <c r="M44" s="719"/>
      <c r="N44" s="719"/>
      <c r="O44" s="719"/>
      <c r="P44" s="719"/>
      <c r="Q44" s="719"/>
      <c r="R44" s="719"/>
      <c r="S44" s="719"/>
      <c r="T44" s="719"/>
      <c r="U44" s="719"/>
      <c r="V44" s="719"/>
      <c r="W44" s="719"/>
      <c r="X44" s="719"/>
      <c r="Y44" s="719"/>
      <c r="Z44" s="719"/>
      <c r="AA44" s="719"/>
      <c r="AB44" s="719"/>
      <c r="AC44" s="719"/>
      <c r="AD44" s="719"/>
      <c r="AE44" s="719"/>
      <c r="AF44" s="719"/>
      <c r="AG44" s="719"/>
      <c r="AH44" s="719"/>
      <c r="AI44" s="719"/>
      <c r="AJ44" s="719"/>
      <c r="AK44" s="719"/>
      <c r="AL44" s="719"/>
      <c r="AM44" s="720"/>
      <c r="AO44" s="15">
        <f>T42-G42</f>
        <v>0</v>
      </c>
      <c r="AP44" s="15">
        <f>T42-K42</f>
        <v>0</v>
      </c>
      <c r="AQ44" s="15">
        <f>X42-I42</f>
        <v>0</v>
      </c>
      <c r="AR44" s="15"/>
      <c r="AS44" s="15">
        <f>T42-S42</f>
        <v>0</v>
      </c>
      <c r="AT44" s="15">
        <f>X42-W42</f>
        <v>0</v>
      </c>
      <c r="AU44" s="15"/>
      <c r="AV44" s="622"/>
      <c r="AW44" s="645"/>
      <c r="AX44" s="642"/>
      <c r="AY44" s="622"/>
      <c r="AZ44" s="624"/>
      <c r="BA44" s="623"/>
      <c r="BB44" s="625"/>
      <c r="BC44" s="15"/>
      <c r="BD44" s="15"/>
    </row>
    <row r="45" spans="1:56" s="505" customFormat="1" ht="57.75" hidden="1" customHeight="1" thickBot="1" x14ac:dyDescent="0.45">
      <c r="A45" s="299"/>
      <c r="B45" s="728" t="s">
        <v>397</v>
      </c>
      <c r="C45" s="729"/>
      <c r="D45" s="729"/>
      <c r="E45" s="729"/>
      <c r="F45" s="729"/>
      <c r="G45" s="729"/>
      <c r="H45" s="729"/>
      <c r="I45" s="729"/>
      <c r="J45" s="729"/>
      <c r="K45" s="729"/>
      <c r="L45" s="729"/>
      <c r="M45" s="729"/>
      <c r="N45" s="729"/>
      <c r="O45" s="729"/>
      <c r="P45" s="729"/>
      <c r="Q45" s="729"/>
      <c r="R45" s="729"/>
      <c r="S45" s="729"/>
      <c r="T45" s="729"/>
      <c r="U45" s="729"/>
      <c r="V45" s="729"/>
      <c r="W45" s="729"/>
      <c r="X45" s="729"/>
      <c r="Y45" s="729"/>
      <c r="Z45" s="729"/>
      <c r="AA45" s="729"/>
      <c r="AB45" s="729"/>
      <c r="AC45" s="729"/>
      <c r="AD45" s="729"/>
      <c r="AE45" s="729"/>
      <c r="AF45" s="729"/>
      <c r="AG45" s="729"/>
      <c r="AH45" s="729"/>
      <c r="AI45" s="729"/>
      <c r="AJ45" s="729"/>
      <c r="AK45" s="729"/>
      <c r="AL45" s="729"/>
      <c r="AM45" s="730"/>
      <c r="AV45" s="639">
        <v>70.5</v>
      </c>
      <c r="AW45" s="646">
        <v>46106</v>
      </c>
      <c r="AX45" s="642"/>
      <c r="AY45" s="644">
        <v>72.617237000000003</v>
      </c>
      <c r="AZ45" s="609">
        <v>-72.617237000000003</v>
      </c>
      <c r="BA45" s="605">
        <v>46106</v>
      </c>
      <c r="BB45" s="610">
        <v>-46106</v>
      </c>
    </row>
    <row r="46" spans="1:56" s="505" customFormat="1" ht="7.3" customHeight="1" thickBot="1" x14ac:dyDescent="0.45">
      <c r="A46" s="299"/>
      <c r="C46" s="491"/>
      <c r="D46" s="630"/>
      <c r="W46" s="630"/>
      <c r="X46" s="630"/>
      <c r="Y46" s="630"/>
      <c r="Z46" s="630"/>
      <c r="AA46" s="630"/>
      <c r="AB46" s="630"/>
      <c r="AC46" s="630"/>
      <c r="AE46" s="630"/>
      <c r="AF46" s="630"/>
      <c r="AG46" s="630"/>
      <c r="AH46" s="630"/>
      <c r="AI46" s="630"/>
      <c r="AJ46" s="630"/>
      <c r="AK46" s="630"/>
      <c r="AL46" s="630"/>
      <c r="AV46" s="639"/>
      <c r="AW46" s="646"/>
      <c r="AX46" s="642"/>
      <c r="AY46" s="644"/>
      <c r="AZ46" s="609"/>
      <c r="BA46" s="605"/>
      <c r="BB46" s="610"/>
    </row>
    <row r="47" spans="1:56" ht="36" customHeight="1" x14ac:dyDescent="0.4">
      <c r="B47" s="261" t="s">
        <v>296</v>
      </c>
      <c r="C47" s="590" t="s">
        <v>291</v>
      </c>
      <c r="D47" s="249" t="s">
        <v>3</v>
      </c>
      <c r="E47" s="250"/>
      <c r="F47" s="221" t="str">
        <f>VLOOKUP($C47,'4b) SL EPO Extended Data Sheet'!$A$5:$AB$176,2,FALSE)</f>
        <v>N/A</v>
      </c>
      <c r="G47" s="245">
        <f>VLOOKUP($C47,'4b) SL EPO Extended Data Sheet'!$A$5:$AB$176,3, FALSE)</f>
        <v>0</v>
      </c>
      <c r="H47" s="252"/>
      <c r="I47" s="537" t="str">
        <f>VLOOKUP($C47,'4b) SL EPO Extended Data Sheet'!$A$5:$AD$176,30, FALSE)</f>
        <v>N/A
(Mar-24)</v>
      </c>
      <c r="J47" s="253">
        <f>VLOOKUP($C47,'4b) SL EPO Extended Data Sheet'!$A$5:$AB$176,6, FALSE)/1000000</f>
        <v>87</v>
      </c>
      <c r="K47" s="48">
        <f>VLOOKUP($C47,'4b) SL EPO Extended Data Sheet'!$A$5:$AB$176,7, FALSE)/1000000</f>
        <v>91</v>
      </c>
      <c r="L47" s="48" t="str">
        <f>VLOOKUP($C47,'4b) SL EPO Extended Data Sheet'!$A$5:$AB$176,8, FALSE)</f>
        <v/>
      </c>
      <c r="M47" s="254">
        <f>VLOOKUP($C47,'4b) SL EPO Extended Data Sheet'!$A$5:$AB$176,9, FALSE)</f>
        <v>47361</v>
      </c>
      <c r="N47" s="250">
        <f>VLOOKUP($C47,'4b) SL EPO Extended Data Sheet'!$A$5:$AB$176,5, FALSE)</f>
        <v>45371</v>
      </c>
      <c r="O47" s="48">
        <f>VLOOKUP($C47,'4b) SL EPO Extended Data Sheet'!$A$5:$AB$176,10, FALSE)/1000000</f>
        <v>0</v>
      </c>
      <c r="P47" s="48">
        <f>VLOOKUP($C47,'4b) SL EPO Extended Data Sheet'!$A$5:$AB$176,11, FALSE)/1000000</f>
        <v>53</v>
      </c>
      <c r="Q47" s="250"/>
      <c r="R47" s="244" t="str">
        <f>VLOOKUP($C47,'4b) SL EPO Extended Data Sheet'!$A$5:$AB$176,12,FALSE)</f>
        <v>G</v>
      </c>
      <c r="S47" s="245">
        <v>0</v>
      </c>
      <c r="T47" s="255"/>
      <c r="U47" s="537" t="str">
        <f>VLOOKUP($C47,'4b) SL EPO Extended Data Sheet'!$A$5:$AE$176,31,FALSE)</f>
        <v>N/A
(Mar-25)</v>
      </c>
      <c r="V47" s="536"/>
      <c r="W47" s="49">
        <f>VLOOKUP($C47,'4b) SL EPO Extended Data Sheet'!$A$5:$AC$176,16,FALSE)/1000000</f>
        <v>919.61825599999997</v>
      </c>
      <c r="X47" s="49">
        <f>VLOOKUP($C47,'4b) SL EPO Extended Data Sheet'!$A$5:$AC$176,17,FALSE)/1000000</f>
        <v>920.05645625</v>
      </c>
      <c r="Y47" s="49">
        <f>VLOOKUP($C47,'4b) SL EPO Extended Data Sheet'!$A$5:$AC$176,18,FALSE)/1000000</f>
        <v>0</v>
      </c>
      <c r="Z47" s="49">
        <f>VLOOKUP($C47,'4b) SL EPO Extended Data Sheet'!$A$5:$AB$176,16,FALSE)/1000000</f>
        <v>919.61825599999997</v>
      </c>
      <c r="AA47" s="538">
        <f>VLOOKUP($C47,'4b) SL EPO Extended Data Sheet'!$A$5:$AC$176,19,FALSE)</f>
        <v>50724</v>
      </c>
      <c r="AB47" s="538">
        <f>VLOOKUP($C47,'4b) SL EPO Extended Data Sheet'!$A$5:$AC$176,20,FALSE)</f>
        <v>50724</v>
      </c>
      <c r="AC47" s="51">
        <f>VLOOKUP($C47,'4b) SL EPO Extended Data Sheet'!$A$5:$AC$176,21,FALSE)</f>
        <v>0</v>
      </c>
      <c r="AD47" s="535">
        <f>VLOOKUP($C47,'4b) SL EPO Extended Data Sheet'!$A$5:$AB$176,15,FALSE)/1000000</f>
        <v>4.573E-2</v>
      </c>
      <c r="AE47" s="49">
        <f>VLOOKUP($C47,'4b) SL EPO Extended Data Sheet'!$A$5:$AC$176,22,FALSE)/1000000</f>
        <v>36.213924549999994</v>
      </c>
      <c r="AF47" s="49">
        <f>VLOOKUP($C47,'4b) SL EPO Extended Data Sheet'!$A$5:$AC$176,23,FALSE)/1000000</f>
        <v>38.5220211464</v>
      </c>
      <c r="AG47" s="52">
        <f>VLOOKUP($C47,'4b) SL EPO Extended Data Sheet'!$A$5:$AC$176,24,FALSE)/1000000</f>
        <v>18.315673</v>
      </c>
      <c r="AH47" s="539">
        <f>VLOOKUP($C47,'4b) SL EPO Extended Data Sheet'!$A$5:$AC$176,25,FALSE)</f>
        <v>2.1032271730555574</v>
      </c>
      <c r="AI47" s="539">
        <f>VLOOKUP($C47,'4b) SL EPO Extended Data Sheet'!$A$5:$AC$176,26,FALSE)</f>
        <v>1.0637350584086309</v>
      </c>
      <c r="AJ47" s="575">
        <f>VLOOKUP($C47,'4b) SL EPO Extended Data Sheet'!$A$5:$AC$176,27,FALSE)</f>
        <v>3.9379301480504753E-2</v>
      </c>
      <c r="AK47" s="574">
        <f>VLOOKUP($C47,'4b) SL EPO Extended Data Sheet'!$A$5:$AC$176,28,FALSE)</f>
        <v>4.1889143560455804E-2</v>
      </c>
      <c r="AL47" s="540">
        <f>VLOOKUP($C47,'4b) SL EPO Extended Data Sheet'!$A$6:$AB$176,15,FALSE)</f>
        <v>45730</v>
      </c>
      <c r="AM47" s="247" t="str">
        <f>VLOOKUP($C47,'4b) SL EPO Extended Data Sheet'!$A$5:$AC$176,29,FALSE)</f>
        <v>G</v>
      </c>
      <c r="AO47" s="267" t="e">
        <f>#REF!-#REF!</f>
        <v>#REF!</v>
      </c>
      <c r="AP47" s="267" t="e">
        <f>#REF!-#REF!</f>
        <v>#REF!</v>
      </c>
      <c r="AQ47" s="267" t="e">
        <f>#REF!-#REF!</f>
        <v>#REF!</v>
      </c>
      <c r="AR47" s="267"/>
      <c r="AS47" s="267" t="e">
        <f>#REF!-#REF!</f>
        <v>#REF!</v>
      </c>
      <c r="AT47" s="267" t="e">
        <f>#REF!-#REF!</f>
        <v>#REF!</v>
      </c>
      <c r="AU47" s="267"/>
      <c r="AV47" s="631">
        <v>920.05645626</v>
      </c>
      <c r="AW47" s="607">
        <v>50724</v>
      </c>
      <c r="AX47" s="642"/>
      <c r="AY47" s="631">
        <v>919.61825599999997</v>
      </c>
      <c r="AZ47" s="611">
        <f>W47-AY47</f>
        <v>0</v>
      </c>
      <c r="BA47" s="607">
        <v>50724</v>
      </c>
      <c r="BB47" s="613">
        <f>AA47-BA47</f>
        <v>0</v>
      </c>
      <c r="BC47" s="267"/>
      <c r="BD47" s="267"/>
    </row>
    <row r="48" spans="1:56" ht="71.25" customHeight="1" thickBot="1" x14ac:dyDescent="0.45">
      <c r="A48" s="299" t="str">
        <f>C47</f>
        <v>SIXEP Receipt Facility</v>
      </c>
      <c r="B48" s="708" t="s">
        <v>569</v>
      </c>
      <c r="C48" s="711"/>
      <c r="D48" s="711"/>
      <c r="E48" s="711"/>
      <c r="F48" s="711"/>
      <c r="G48" s="711"/>
      <c r="H48" s="711"/>
      <c r="I48" s="711"/>
      <c r="J48" s="711"/>
      <c r="K48" s="711"/>
      <c r="L48" s="711"/>
      <c r="M48" s="711"/>
      <c r="N48" s="711"/>
      <c r="O48" s="711"/>
      <c r="P48" s="711"/>
      <c r="Q48" s="711"/>
      <c r="R48" s="711"/>
      <c r="S48" s="711"/>
      <c r="T48" s="711"/>
      <c r="U48" s="711"/>
      <c r="V48" s="711"/>
      <c r="W48" s="711"/>
      <c r="X48" s="711"/>
      <c r="Y48" s="711"/>
      <c r="Z48" s="711"/>
      <c r="AA48" s="711"/>
      <c r="AB48" s="711"/>
      <c r="AC48" s="711"/>
      <c r="AD48" s="711"/>
      <c r="AE48" s="711"/>
      <c r="AF48" s="711"/>
      <c r="AG48" s="711"/>
      <c r="AH48" s="711"/>
      <c r="AI48" s="711"/>
      <c r="AJ48" s="711"/>
      <c r="AK48" s="711"/>
      <c r="AL48" s="711"/>
      <c r="AM48" s="712"/>
      <c r="AO48" s="267"/>
      <c r="AP48" s="267"/>
      <c r="AQ48" s="267"/>
      <c r="AR48" s="267"/>
      <c r="AS48" s="267"/>
      <c r="AT48" s="267"/>
      <c r="AU48" s="267"/>
      <c r="AV48" s="606"/>
      <c r="AW48" s="608"/>
      <c r="AX48" s="642"/>
      <c r="AY48" s="606"/>
      <c r="AZ48" s="612"/>
      <c r="BA48" s="608"/>
      <c r="BB48" s="614"/>
      <c r="BC48" s="267"/>
      <c r="BD48" s="267"/>
    </row>
    <row r="49" spans="1:56" ht="5.25" customHeight="1" thickBot="1" x14ac:dyDescent="0.45">
      <c r="B49" s="94" t="s">
        <v>365</v>
      </c>
      <c r="C49" s="491"/>
      <c r="G49" s="15"/>
      <c r="W49" s="1"/>
      <c r="X49" s="1"/>
      <c r="Y49" s="1"/>
      <c r="Z49" s="1"/>
      <c r="AA49" s="1"/>
      <c r="AB49" s="1"/>
      <c r="AC49" s="1"/>
      <c r="AW49" s="646"/>
      <c r="AX49" s="642"/>
      <c r="AY49" s="644"/>
      <c r="AZ49" s="609"/>
      <c r="BA49" s="605"/>
      <c r="BB49" s="610"/>
    </row>
    <row r="50" spans="1:56" s="267" customFormat="1" ht="24" customHeight="1" thickBot="1" x14ac:dyDescent="0.45">
      <c r="A50" s="299"/>
      <c r="B50" s="718" t="s">
        <v>501</v>
      </c>
      <c r="C50" s="719"/>
      <c r="D50" s="719"/>
      <c r="E50" s="719"/>
      <c r="F50" s="719"/>
      <c r="G50" s="719"/>
      <c r="H50" s="719"/>
      <c r="I50" s="719"/>
      <c r="J50" s="719"/>
      <c r="K50" s="719"/>
      <c r="L50" s="719"/>
      <c r="M50" s="719"/>
      <c r="N50" s="719"/>
      <c r="O50" s="719"/>
      <c r="P50" s="719"/>
      <c r="Q50" s="719"/>
      <c r="R50" s="719"/>
      <c r="S50" s="719"/>
      <c r="T50" s="719"/>
      <c r="U50" s="719"/>
      <c r="V50" s="719"/>
      <c r="W50" s="719"/>
      <c r="X50" s="719"/>
      <c r="Y50" s="719"/>
      <c r="Z50" s="719"/>
      <c r="AA50" s="719"/>
      <c r="AB50" s="719"/>
      <c r="AC50" s="719"/>
      <c r="AD50" s="719"/>
      <c r="AE50" s="719"/>
      <c r="AF50" s="719"/>
      <c r="AG50" s="719"/>
      <c r="AH50" s="719"/>
      <c r="AI50" s="719"/>
      <c r="AJ50" s="719"/>
      <c r="AK50" s="719"/>
      <c r="AL50" s="719"/>
      <c r="AM50" s="720"/>
      <c r="AO50" s="15">
        <f>T48-G48</f>
        <v>0</v>
      </c>
      <c r="AP50" s="15">
        <f>T48-K48</f>
        <v>0</v>
      </c>
      <c r="AQ50" s="15">
        <f>X48-I48</f>
        <v>0</v>
      </c>
      <c r="AR50" s="15"/>
      <c r="AS50" s="15">
        <f>T48-S48</f>
        <v>0</v>
      </c>
      <c r="AT50" s="15">
        <f>X48-W48</f>
        <v>0</v>
      </c>
      <c r="AU50" s="15"/>
      <c r="AV50" s="622"/>
      <c r="AW50" s="645"/>
      <c r="AX50" s="642"/>
      <c r="AY50" s="622"/>
      <c r="AZ50" s="624"/>
      <c r="BA50" s="623"/>
      <c r="BB50" s="625"/>
      <c r="BC50" s="15"/>
      <c r="BD50" s="15"/>
    </row>
    <row r="51" spans="1:56" ht="5.25" customHeight="1" x14ac:dyDescent="0.4">
      <c r="C51" s="491"/>
      <c r="G51" s="15"/>
      <c r="W51" s="1"/>
      <c r="X51" s="1"/>
      <c r="Y51" s="1"/>
      <c r="Z51" s="1"/>
      <c r="AA51" s="1"/>
      <c r="AB51" s="1"/>
      <c r="AC51" s="1"/>
      <c r="AW51" s="646"/>
      <c r="AX51" s="642"/>
      <c r="AY51" s="644"/>
      <c r="AZ51" s="609"/>
      <c r="BA51" s="605"/>
      <c r="BB51" s="610"/>
    </row>
    <row r="52" spans="1:56" s="267" customFormat="1" ht="57.75" hidden="1" customHeight="1" thickBot="1" x14ac:dyDescent="0.45">
      <c r="A52" s="299"/>
      <c r="B52" s="728" t="s">
        <v>397</v>
      </c>
      <c r="C52" s="729"/>
      <c r="D52" s="729"/>
      <c r="E52" s="729"/>
      <c r="F52" s="729"/>
      <c r="G52" s="729"/>
      <c r="H52" s="729"/>
      <c r="I52" s="729"/>
      <c r="J52" s="729"/>
      <c r="K52" s="729"/>
      <c r="L52" s="729"/>
      <c r="M52" s="729"/>
      <c r="N52" s="729"/>
      <c r="O52" s="729"/>
      <c r="P52" s="729"/>
      <c r="Q52" s="729"/>
      <c r="R52" s="729"/>
      <c r="S52" s="729"/>
      <c r="T52" s="729"/>
      <c r="U52" s="729"/>
      <c r="V52" s="729"/>
      <c r="W52" s="729"/>
      <c r="X52" s="729"/>
      <c r="Y52" s="729"/>
      <c r="Z52" s="729"/>
      <c r="AA52" s="729"/>
      <c r="AB52" s="729"/>
      <c r="AC52" s="729"/>
      <c r="AD52" s="729"/>
      <c r="AE52" s="729"/>
      <c r="AF52" s="729"/>
      <c r="AG52" s="729"/>
      <c r="AH52" s="729"/>
      <c r="AI52" s="729"/>
      <c r="AJ52" s="729"/>
      <c r="AK52" s="729"/>
      <c r="AL52" s="729"/>
      <c r="AM52" s="730"/>
      <c r="AV52" s="639">
        <v>70.5</v>
      </c>
      <c r="AW52" s="646">
        <v>46106</v>
      </c>
      <c r="AX52" s="642"/>
      <c r="AY52" s="644">
        <v>72.617237000000003</v>
      </c>
      <c r="AZ52" s="609">
        <v>-72.617237000000003</v>
      </c>
      <c r="BA52" s="605">
        <v>46106</v>
      </c>
      <c r="BB52" s="610">
        <v>-46106</v>
      </c>
    </row>
    <row r="53" spans="1:56" s="267" customFormat="1" ht="1.5" customHeight="1" thickBot="1" x14ac:dyDescent="0.45">
      <c r="A53" s="299"/>
      <c r="C53" s="491"/>
      <c r="D53" s="300"/>
      <c r="W53" s="300"/>
      <c r="X53" s="300"/>
      <c r="Y53" s="300"/>
      <c r="Z53" s="300"/>
      <c r="AA53" s="300"/>
      <c r="AB53" s="300"/>
      <c r="AC53" s="300"/>
      <c r="AE53" s="300"/>
      <c r="AF53" s="300"/>
      <c r="AG53" s="300"/>
      <c r="AH53" s="300"/>
      <c r="AI53" s="300"/>
      <c r="AJ53" s="300"/>
      <c r="AK53" s="300"/>
      <c r="AL53" s="300"/>
      <c r="AO53" s="15">
        <f>T51-G51</f>
        <v>0</v>
      </c>
      <c r="AP53" s="15">
        <f>T51-K51</f>
        <v>0</v>
      </c>
      <c r="AQ53" s="15">
        <f>X51-I51</f>
        <v>0</v>
      </c>
      <c r="AR53" s="15"/>
      <c r="AS53" s="15">
        <f>T51-S51</f>
        <v>0</v>
      </c>
      <c r="AT53" s="15">
        <f>X51-W51</f>
        <v>0</v>
      </c>
      <c r="AU53" s="15"/>
      <c r="AV53" s="639"/>
      <c r="AW53" s="646"/>
      <c r="AX53" s="642"/>
      <c r="AY53" s="644"/>
      <c r="AZ53" s="609"/>
      <c r="BA53" s="605"/>
      <c r="BB53" s="610"/>
      <c r="BC53" s="15"/>
      <c r="BD53" s="15"/>
    </row>
    <row r="54" spans="1:56" ht="36" customHeight="1" x14ac:dyDescent="0.4">
      <c r="B54" s="230" t="s">
        <v>313</v>
      </c>
      <c r="C54" s="492" t="s">
        <v>329</v>
      </c>
      <c r="D54" s="540" t="s">
        <v>3</v>
      </c>
      <c r="E54" s="535"/>
      <c r="F54" s="244" t="str">
        <f>VLOOKUP($C54,'4b) SL EPO Extended Data Sheet'!$A$5:$AB$176,2,FALSE)</f>
        <v>R</v>
      </c>
      <c r="G54" s="245">
        <f>VLOOKUP($C54,'4b) SL EPO Extended Data Sheet'!$A$5:$AB$176,3, FALSE)</f>
        <v>0</v>
      </c>
      <c r="H54" s="536"/>
      <c r="I54" s="537" t="str">
        <f>VLOOKUP($C54,'4b) SL EPO Extended Data Sheet'!$A$5:$AD$176,30, FALSE)</f>
        <v>N/A
(May-15)</v>
      </c>
      <c r="J54" s="591">
        <f>VLOOKUP($C54,'4b) SL EPO Extended Data Sheet'!$A$5:$AB$176,6, FALSE)/1000000</f>
        <v>0</v>
      </c>
      <c r="K54" s="591">
        <f>VLOOKUP($C54,'4b) SL EPO Extended Data Sheet'!$A$5:$AB$176,7, FALSE)/1000000</f>
        <v>0</v>
      </c>
      <c r="L54" s="48" t="str">
        <f>VLOOKUP($C54,'4b) SL EPO Extended Data Sheet'!$A$5:$AB$176,8, FALSE)</f>
        <v/>
      </c>
      <c r="M54" s="538" t="str">
        <f>VLOOKUP($C54,'4b) SL EPO Extended Data Sheet'!$A$5:$AB$176,9, FALSE)</f>
        <v/>
      </c>
      <c r="N54" s="535">
        <f>VLOOKUP($C54,'4b) SL EPO Extended Data Sheet'!$A$5:$AB$176,5, FALSE)</f>
        <v>42125</v>
      </c>
      <c r="O54" s="48">
        <f>VLOOKUP($C54,'4b) SL EPO Extended Data Sheet'!$A$5:$AB$176,10, FALSE)/1000000</f>
        <v>0</v>
      </c>
      <c r="P54" s="48">
        <f>VLOOKUP($C54,'4b) SL EPO Extended Data Sheet'!$A$5:$AB$176,11, FALSE)/1000000</f>
        <v>11.867767000000001</v>
      </c>
      <c r="Q54" s="535"/>
      <c r="R54" s="244" t="str">
        <f>VLOOKUP($C54,'4b) SL EPO Extended Data Sheet'!$A$5:$AC$176,12,FALSE)</f>
        <v>R</v>
      </c>
      <c r="S54" s="245">
        <f>VLOOKUP($C54,'4b) SL EPO Extended Data Sheet'!$A$5:$AB$176,13,FALSE)</f>
        <v>0</v>
      </c>
      <c r="T54" s="536"/>
      <c r="U54" s="537" t="str">
        <f>VLOOKUP($C54,'4b) SL EPO Extended Data Sheet'!$A$5:$AE$176,31,FALSE)</f>
        <v>N/A
(Aug-18)</v>
      </c>
      <c r="V54" s="536"/>
      <c r="W54" s="49">
        <f>VLOOKUP($C54,'4b) SL EPO Extended Data Sheet'!$A$5:$AC$176,16,FALSE)/1000000</f>
        <v>20.914988999999998</v>
      </c>
      <c r="X54" s="49">
        <f>VLOOKUP($C54,'4b) SL EPO Extended Data Sheet'!$A$5:$AC$176,17,FALSE)/1000000</f>
        <v>23.35629093</v>
      </c>
      <c r="Y54" s="49">
        <f>VLOOKUP($C54,'4b) SL EPO Extended Data Sheet'!$A$5:$AC$176,18,FALSE)/1000000</f>
        <v>6.0754030000000001E-2</v>
      </c>
      <c r="Z54" s="49">
        <f>VLOOKUP($C54,'4b) SL EPO Extended Data Sheet'!$A$5:$AB$176,16,FALSE)/1000000</f>
        <v>20.914988999999998</v>
      </c>
      <c r="AA54" s="538">
        <f>VLOOKUP($C54,'4b) SL EPO Extended Data Sheet'!$A$5:$AC$176,19,FALSE)</f>
        <v>46356</v>
      </c>
      <c r="AB54" s="538">
        <f>VLOOKUP($C54,'4b) SL EPO Extended Data Sheet'!$A$5:$AC$176,20,FALSE)</f>
        <v>48183</v>
      </c>
      <c r="AC54" s="51">
        <f>VLOOKUP($C54,'4b) SL EPO Extended Data Sheet'!$A$5:$AC$176,21,FALSE)</f>
        <v>0</v>
      </c>
      <c r="AD54" s="535">
        <f>VLOOKUP($C54,'4b) SL EPO Extended Data Sheet'!$A$5:$AB$176,15,FALSE)/1000000</f>
        <v>4.3332000000000002E-2</v>
      </c>
      <c r="AE54" s="49">
        <f>VLOOKUP($C54,'4b) SL EPO Extended Data Sheet'!$A$5:$AC$176,22,FALSE)/1000000</f>
        <v>20.062174420000002</v>
      </c>
      <c r="AF54" s="49">
        <f>VLOOKUP($C54,'4b) SL EPO Extended Data Sheet'!$A$5:$AC$176,23,FALSE)/1000000</f>
        <v>7.7218341090000004</v>
      </c>
      <c r="AG54" s="52">
        <f>VLOOKUP($C54,'4b) SL EPO Extended Data Sheet'!$A$5:$AC$176,24,FALSE)/1000000</f>
        <v>8.9821387500000007</v>
      </c>
      <c r="AH54" s="539">
        <f>VLOOKUP($C54,'4b) SL EPO Extended Data Sheet'!$A$5:$AC$176,25,FALSE)</f>
        <v>0.85968768952717411</v>
      </c>
      <c r="AI54" s="539">
        <f>VLOOKUP($C54,'4b) SL EPO Extended Data Sheet'!$A$5:$AC$176,26,FALSE)</f>
        <v>0.38489517374059395</v>
      </c>
      <c r="AJ54" s="575">
        <f>VLOOKUP($C54,'4b) SL EPO Extended Data Sheet'!$A$5:$AC$176,27,FALSE)</f>
        <v>0.95922471773712148</v>
      </c>
      <c r="AK54" s="574">
        <f>VLOOKUP($C54,'4b) SL EPO Extended Data Sheet'!$A$5:$AC$176,28,FALSE)</f>
        <v>0.36920096438970157</v>
      </c>
      <c r="AL54" s="540">
        <f>VLOOKUP($C54,'4b) SL EPO Extended Data Sheet'!$A$6:$AB$176,15,FALSE)</f>
        <v>43332</v>
      </c>
      <c r="AM54" s="247" t="str">
        <f>VLOOKUP($C54,'4b) SL EPO Extended Data Sheet'!$A$5:$AC$176,29,FALSE)</f>
        <v>G</v>
      </c>
      <c r="AO54" s="267"/>
      <c r="AP54" s="267"/>
      <c r="AQ54" s="267"/>
      <c r="AR54" s="267"/>
      <c r="AS54" s="267"/>
      <c r="AT54" s="267"/>
      <c r="AU54" s="267"/>
      <c r="AV54" s="631">
        <v>23.295536899999998</v>
      </c>
      <c r="AW54" s="607">
        <v>48183</v>
      </c>
      <c r="AX54" s="642"/>
      <c r="AY54" s="631">
        <v>20.914988999999998</v>
      </c>
      <c r="AZ54" s="611">
        <f>W54-AY54</f>
        <v>0</v>
      </c>
      <c r="BA54" s="607">
        <v>46356</v>
      </c>
      <c r="BB54" s="613">
        <f>AA54-BA54</f>
        <v>0</v>
      </c>
      <c r="BC54" s="267"/>
      <c r="BD54" s="267"/>
    </row>
    <row r="55" spans="1:56" ht="66" customHeight="1" thickBot="1" x14ac:dyDescent="0.45">
      <c r="A55" s="299" t="str">
        <f>C54</f>
        <v>THORP Receipt &amp; Storage Control Systems Replacement</v>
      </c>
      <c r="B55" s="708" t="s">
        <v>570</v>
      </c>
      <c r="C55" s="711"/>
      <c r="D55" s="711"/>
      <c r="E55" s="711"/>
      <c r="F55" s="711"/>
      <c r="G55" s="711"/>
      <c r="H55" s="711"/>
      <c r="I55" s="711"/>
      <c r="J55" s="711"/>
      <c r="K55" s="711"/>
      <c r="L55" s="711"/>
      <c r="M55" s="711"/>
      <c r="N55" s="711"/>
      <c r="O55" s="711"/>
      <c r="P55" s="711"/>
      <c r="Q55" s="711"/>
      <c r="R55" s="711"/>
      <c r="S55" s="711"/>
      <c r="T55" s="711"/>
      <c r="U55" s="711"/>
      <c r="V55" s="711"/>
      <c r="W55" s="711"/>
      <c r="X55" s="711"/>
      <c r="Y55" s="711"/>
      <c r="Z55" s="711"/>
      <c r="AA55" s="711"/>
      <c r="AB55" s="711"/>
      <c r="AC55" s="711"/>
      <c r="AD55" s="711"/>
      <c r="AE55" s="711"/>
      <c r="AF55" s="711"/>
      <c r="AG55" s="711"/>
      <c r="AH55" s="711"/>
      <c r="AI55" s="711"/>
      <c r="AJ55" s="711"/>
      <c r="AK55" s="711"/>
      <c r="AL55" s="711"/>
      <c r="AM55" s="712"/>
      <c r="AO55" s="267"/>
      <c r="AP55" s="267"/>
      <c r="AQ55" s="267"/>
      <c r="AR55" s="267"/>
      <c r="AS55" s="267"/>
      <c r="AT55" s="267"/>
      <c r="AU55" s="267"/>
      <c r="AV55" s="606"/>
      <c r="AW55" s="608"/>
      <c r="AX55" s="642"/>
      <c r="AY55" s="606"/>
      <c r="AZ55" s="612"/>
      <c r="BA55" s="608"/>
      <c r="BB55" s="614"/>
      <c r="BC55" s="267"/>
      <c r="BD55" s="267"/>
    </row>
    <row r="56" spans="1:56" s="267" customFormat="1" ht="5.25" customHeight="1" thickBot="1" x14ac:dyDescent="0.45">
      <c r="A56" s="299"/>
      <c r="C56" s="491"/>
      <c r="D56" s="288"/>
      <c r="W56" s="288"/>
      <c r="X56" s="288"/>
      <c r="Y56" s="288"/>
      <c r="Z56" s="288"/>
      <c r="AA56" s="288"/>
      <c r="AB56" s="288"/>
      <c r="AC56" s="288"/>
      <c r="AE56" s="288"/>
      <c r="AF56" s="288"/>
      <c r="AG56" s="288"/>
      <c r="AH56" s="288"/>
      <c r="AI56" s="288"/>
      <c r="AJ56" s="288"/>
      <c r="AK56" s="288"/>
      <c r="AL56" s="288"/>
      <c r="AO56" s="15">
        <f>T54-G54</f>
        <v>0</v>
      </c>
      <c r="AP56" s="15">
        <f>T54-K54</f>
        <v>0</v>
      </c>
      <c r="AQ56" s="15" t="e">
        <f>X54-I54</f>
        <v>#VALUE!</v>
      </c>
      <c r="AR56" s="15"/>
      <c r="AS56" s="15">
        <f>T54-S54</f>
        <v>0</v>
      </c>
      <c r="AT56" s="15">
        <f>X54-W54</f>
        <v>2.4413019300000016</v>
      </c>
      <c r="AU56" s="15"/>
      <c r="AV56" s="639"/>
      <c r="AW56" s="646"/>
      <c r="AX56" s="642"/>
      <c r="AY56" s="644"/>
      <c r="AZ56" s="609"/>
      <c r="BA56" s="605"/>
      <c r="BB56" s="610"/>
      <c r="BC56" s="15"/>
      <c r="BD56" s="15"/>
    </row>
    <row r="57" spans="1:56" s="267" customFormat="1" ht="36" customHeight="1" x14ac:dyDescent="0.4">
      <c r="A57" s="299"/>
      <c r="B57" s="216" t="s">
        <v>116</v>
      </c>
      <c r="C57" s="587" t="s">
        <v>115</v>
      </c>
      <c r="D57" s="540" t="s">
        <v>3</v>
      </c>
      <c r="E57" s="535"/>
      <c r="F57" s="244" t="str">
        <f>VLOOKUP(C57,'5a)NDA MPPR'!$B$9:$AK$61,3,FALSE)</f>
        <v>A</v>
      </c>
      <c r="G57" s="245">
        <f>VLOOKUP(C57,'5a)NDA MPPR'!$B$9:$AK$61,4,FALSE)</f>
        <v>0</v>
      </c>
      <c r="H57" s="536"/>
      <c r="I57" s="537" t="str">
        <f>VLOOKUP(C57,'5a)NDA MPPR'!$B$9:$AK$61,6,FALSE)</f>
        <v>FBC 
(May-23)</v>
      </c>
      <c r="J57" s="72">
        <f>VLOOKUP(C57,'5a)NDA MPPR'!$B$9:$AK$61,7,FALSE)</f>
        <v>403.5</v>
      </c>
      <c r="K57" s="48">
        <f>VLOOKUP(C57,'5a)NDA MPPR'!$B$9:$AK$61,8,FALSE)</f>
        <v>430.4</v>
      </c>
      <c r="L57" s="538">
        <f>VLOOKUP(C57,'5a)NDA MPPR'!$B$9:$AK$61,9,FALSE)</f>
        <v>47362</v>
      </c>
      <c r="M57" s="538">
        <f>VLOOKUP(C57,'5a)NDA MPPR'!$B$9:$AK$61,10,FALSE)</f>
        <v>47665</v>
      </c>
      <c r="N57" s="535"/>
      <c r="O57" s="48">
        <f>VLOOKUP(C57,'5a)NDA MPPR'!$B$9:$AK$61,12,FALSE)</f>
        <v>430.4</v>
      </c>
      <c r="P57" s="48">
        <f>VLOOKUP(C57,'5a)NDA MPPR'!$B$9:$AK$61,13,FALSE)</f>
        <v>403.5</v>
      </c>
      <c r="Q57" s="535"/>
      <c r="R57" s="244" t="str">
        <f>VLOOKUP(C57,'5a)NDA MPPR'!$B$9:$AK$61,15,FALSE)</f>
        <v>A</v>
      </c>
      <c r="S57" s="245">
        <f>VLOOKUP(C57,'5a)NDA MPPR'!$B$9:$AK$61,16,FALSE)</f>
        <v>0</v>
      </c>
      <c r="T57" s="536"/>
      <c r="U57" s="554" t="str">
        <f>VLOOKUP(C57,'5a)NDA MPPR'!$B$9:$AK$61,18,FALSE)</f>
        <v>FBC
 (Jan-23)</v>
      </c>
      <c r="V57" s="536"/>
      <c r="W57" s="49">
        <f>VLOOKUP(C57,'5a)NDA MPPR'!$B$9:$AK$61,20,FALSE)</f>
        <v>435.381978</v>
      </c>
      <c r="X57" s="49">
        <f>VLOOKUP(C57,'5a)NDA MPPR'!$B$9:$AK$61,21,FALSE)</f>
        <v>427.81347215</v>
      </c>
      <c r="Y57" s="49">
        <f>VLOOKUP(C57,'5a)NDA MPPR'!$B$9:$AK$61,22,FALSE)</f>
        <v>-0.1</v>
      </c>
      <c r="Z57" s="50"/>
      <c r="AA57" s="538">
        <f>VLOOKUP(C57,'5a)NDA MPPR'!$B$9:$AK$61,24,FALSE)</f>
        <v>47364</v>
      </c>
      <c r="AB57" s="538">
        <f>VLOOKUP(C57,'5a)NDA MPPR'!$B$9:$AK$61,25,FALSE)</f>
        <v>47826</v>
      </c>
      <c r="AC57" s="51">
        <f>VLOOKUP(C57,'5a)NDA MPPR'!$B$9:$AK$61,26,FALSE)</f>
        <v>0</v>
      </c>
      <c r="AD57" s="535"/>
      <c r="AE57" s="49">
        <f>VLOOKUP(C57,'5a)NDA MPPR'!$B$9:$AK$61,28,FALSE)</f>
        <v>335.61003177999999</v>
      </c>
      <c r="AF57" s="49">
        <f>VLOOKUP(C57,'5a)NDA MPPR'!$B$9:$AK$61,29,FALSE)</f>
        <v>300.59317753710002</v>
      </c>
      <c r="AG57" s="52">
        <f>VLOOKUP(C57,'5a)NDA MPPR'!$B$9:$AK$61,30,FALSE)</f>
        <v>297.43584556000002</v>
      </c>
      <c r="AH57" s="539">
        <f>VLOOKUP(C57,'5a)NDA MPPR'!$B$9:$AK$61,31,FALSE)</f>
        <v>1.0106151697054384</v>
      </c>
      <c r="AI57" s="90">
        <f>VLOOKUP(C57,'5a)NDA MPPR'!$B$9:$AK$61,32,FALSE)</f>
        <v>0.89566207524495467</v>
      </c>
      <c r="AJ57" s="575">
        <f>VLOOKUP(C57,'5a)NDA MPPR'!$B$9:$AK$61,33,FALSE)</f>
        <v>0.77084043147968784</v>
      </c>
      <c r="AK57" s="574">
        <f>VLOOKUP(C57,'5a)NDA MPPR'!$B$9:$AK$61,34,FALSE)</f>
        <v>0.69041254054181367</v>
      </c>
      <c r="AL57" s="540"/>
      <c r="AM57" s="247" t="str">
        <f>VLOOKUP(C57,'5a)NDA MPPR'!$B$9:$AK$61,36,FALSE)</f>
        <v>A</v>
      </c>
      <c r="AV57" s="631">
        <v>427.94134414999996</v>
      </c>
      <c r="AW57" s="607">
        <v>47826</v>
      </c>
      <c r="AX57" s="642"/>
      <c r="AY57" s="631">
        <v>435.381978</v>
      </c>
      <c r="AZ57" s="611">
        <f>W57-AY57</f>
        <v>0</v>
      </c>
      <c r="BA57" s="607">
        <v>47364</v>
      </c>
      <c r="BB57" s="613">
        <f>AA57-BA57</f>
        <v>0</v>
      </c>
    </row>
    <row r="58" spans="1:56" s="267" customFormat="1" ht="83.25" customHeight="1" thickBot="1" x14ac:dyDescent="0.45">
      <c r="A58" s="299" t="str">
        <f>C57</f>
        <v>Electrical Supply - New Construction</v>
      </c>
      <c r="B58" s="705" t="str">
        <f>VLOOKUP($C57,'5a)NDA MPPR'!$A$9:$AK$61,2,FALSE)</f>
        <v>The Electrical Distribution Network Upgrade Project (EDNUP) relates to the refurbishment of the Sellafield Site’s electricity network. The project will bolster the emergency power generation capability and improve site resilience which is important particularly in the event of a National Grid failure. The Delivery Confidence Assessment remains at Amber noting that the latest forecast for completion exceeds the current P80.  An update paper was acknowledged at NDA GIC in June 2025, which noted that a P80 draw down will be necessary  to enable continuity of project delivery (current forecast required in 2026/27 Q1).  The full lifecycle cost forecast is stable in period although under significant increasing pressure from strike delay costs and further realised risks with in-ground conditions and increases in subcontract costs.  The further review of the P50 to P80 delta and inflationary impact will be included in the next sanction request.  The schedule is stable with no overall movement to the end date in period, although realised risks and strike action are impacting schedule float. The baseline RAG remains Amber as the project completion date is beyond the P50 baseline. The current P50 baseline and approved NDA sanction differs as a result of indexation and historical positive cost variance on the project pre implementation of change control associated with the Full Business Case (FBC) resubmission. The project plan and progress to date indicates a steady recovery of the variance.  Grid Transformer 2 has now been re-energised and grid power is now available to the new Sub111, which is the first new substation asset to be delivered by EDNUP, with grid connection allowing for future asset risk reduction benefits . Cable route construction is progressing on multiple fronts, including a ringfenced risk mitigation advanced dig team who are discovering a significant number of uncharted services and obstructions. Reoccurrences of radiological contamination are hindering interconnector critical path progress and causing reducing overall project float. A peer assist has identified opportunities to improve delivery arrangements in future changeover stages and interconnector delivery, which will be developed over the coming periods.   Strike action has impacted several workfaces including the temporary cable installation which will mitigate delays to electrical isolations necessary for excavations near aged buried cables.  Management and characterisation of waste from the site continues to be onerous.  The Capability and Capacity RAG remains at Amber in period due to Pre-Operations, Construction and Protection Engineer resource issues, which are now becoming critical, with timescales for backfill still to be determined.</v>
      </c>
      <c r="C58" s="706"/>
      <c r="D58" s="706"/>
      <c r="E58" s="706"/>
      <c r="F58" s="706"/>
      <c r="G58" s="706"/>
      <c r="H58" s="706"/>
      <c r="I58" s="706"/>
      <c r="J58" s="706"/>
      <c r="K58" s="706"/>
      <c r="L58" s="706"/>
      <c r="M58" s="706"/>
      <c r="N58" s="706"/>
      <c r="O58" s="706"/>
      <c r="P58" s="706"/>
      <c r="Q58" s="706"/>
      <c r="R58" s="706"/>
      <c r="S58" s="706"/>
      <c r="T58" s="706"/>
      <c r="U58" s="706"/>
      <c r="V58" s="706"/>
      <c r="W58" s="706"/>
      <c r="X58" s="706"/>
      <c r="Y58" s="706"/>
      <c r="Z58" s="706"/>
      <c r="AA58" s="706"/>
      <c r="AB58" s="706"/>
      <c r="AC58" s="706"/>
      <c r="AD58" s="706"/>
      <c r="AE58" s="706"/>
      <c r="AF58" s="706"/>
      <c r="AG58" s="706"/>
      <c r="AH58" s="706"/>
      <c r="AI58" s="706"/>
      <c r="AJ58" s="706"/>
      <c r="AK58" s="706"/>
      <c r="AL58" s="706"/>
      <c r="AM58" s="707"/>
      <c r="AO58" s="505"/>
      <c r="AP58" s="505"/>
      <c r="AQ58" s="505"/>
      <c r="AR58" s="505"/>
      <c r="AS58" s="505"/>
      <c r="AT58" s="505"/>
      <c r="AU58" s="505"/>
      <c r="AV58" s="606"/>
      <c r="AW58" s="608"/>
      <c r="AX58" s="642"/>
      <c r="AY58" s="606"/>
      <c r="AZ58" s="612"/>
      <c r="BA58" s="608"/>
      <c r="BB58" s="614"/>
      <c r="BC58" s="505"/>
      <c r="BD58" s="505"/>
    </row>
    <row r="59" spans="1:56" s="505" customFormat="1" ht="5.25" customHeight="1" thickBot="1" x14ac:dyDescent="0.45">
      <c r="A59" s="299"/>
      <c r="C59" s="491"/>
      <c r="D59" s="600"/>
      <c r="W59" s="600"/>
      <c r="X59" s="600"/>
      <c r="Y59" s="600"/>
      <c r="Z59" s="600"/>
      <c r="AA59" s="600"/>
      <c r="AB59" s="600"/>
      <c r="AC59" s="600"/>
      <c r="AE59" s="600"/>
      <c r="AF59" s="600"/>
      <c r="AG59" s="600"/>
      <c r="AH59" s="600"/>
      <c r="AI59" s="600"/>
      <c r="AJ59" s="600"/>
      <c r="AK59" s="600"/>
      <c r="AL59" s="600"/>
      <c r="AO59" s="267">
        <f>T57-G57</f>
        <v>0</v>
      </c>
      <c r="AP59" s="267">
        <f>T57-K57</f>
        <v>-430.4</v>
      </c>
      <c r="AQ59" s="267" t="e">
        <f>X57-I57</f>
        <v>#VALUE!</v>
      </c>
      <c r="AR59" s="267"/>
      <c r="AS59" s="267">
        <f>T57-S57</f>
        <v>0</v>
      </c>
      <c r="AT59" s="267">
        <f>X57-W57</f>
        <v>-7.5685058500000082</v>
      </c>
      <c r="AU59" s="267"/>
      <c r="AV59" s="639"/>
      <c r="AW59" s="646"/>
      <c r="AX59" s="642"/>
      <c r="AY59" s="644"/>
      <c r="AZ59" s="609"/>
      <c r="BA59" s="605"/>
      <c r="BB59" s="610"/>
      <c r="BC59" s="267"/>
      <c r="BD59" s="267"/>
    </row>
    <row r="60" spans="1:56" s="267" customFormat="1" ht="36" customHeight="1" x14ac:dyDescent="0.4">
      <c r="A60" s="299"/>
      <c r="B60" s="216" t="s">
        <v>353</v>
      </c>
      <c r="C60" s="493" t="s">
        <v>354</v>
      </c>
      <c r="D60" s="540" t="s">
        <v>3</v>
      </c>
      <c r="E60" s="535"/>
      <c r="F60" s="244" t="str">
        <f>VLOOKUP($C60,'4b) SL EPO Extended Data Sheet'!$A$5:$AB$176,2,FALSE)</f>
        <v>A</v>
      </c>
      <c r="G60" s="245">
        <f>VLOOKUP($C60,'4b) SL EPO Extended Data Sheet'!$A$5:$AB$176,3, FALSE)</f>
        <v>0</v>
      </c>
      <c r="H60" s="536"/>
      <c r="I60" s="537" t="str">
        <f>VLOOKUP($C60,'4b) SL EPO Extended Data Sheet'!$A$5:$AD$176,30, FALSE)</f>
        <v>SOC
(Apr-24)</v>
      </c>
      <c r="J60" s="72">
        <f>VLOOKUP($C60,'4b) SL EPO Extended Data Sheet'!$A$5:$AB$176,6, FALSE)/1000000</f>
        <v>16</v>
      </c>
      <c r="K60" s="48">
        <f>VLOOKUP($C60,'4b) SL EPO Extended Data Sheet'!$A$5:$AB$176,7, FALSE)/1000000</f>
        <v>17</v>
      </c>
      <c r="L60" s="538">
        <f>VLOOKUP($C60,'4b) SL EPO Extended Data Sheet'!$A$5:$AB$176,8, FALSE)</f>
        <v>48519</v>
      </c>
      <c r="M60" s="538" t="str">
        <f>VLOOKUP($C60,'4b) SL EPO Extended Data Sheet'!$A$5:$AB$176,9, FALSE)</f>
        <v/>
      </c>
      <c r="N60" s="535">
        <f>VLOOKUP($C60,'4b) SL EPO Extended Data Sheet'!$A$5:$AB$176,5, FALSE)</f>
        <v>45394</v>
      </c>
      <c r="O60" s="48">
        <f>VLOOKUP($C60,'4b) SL EPO Extended Data Sheet'!$A$5:$AB$176,10, FALSE)/1000000</f>
        <v>0</v>
      </c>
      <c r="P60" s="48">
        <f>VLOOKUP($C60,'4b) SL EPO Extended Data Sheet'!$A$5:$AB$176,11, FALSE)/1000000</f>
        <v>16</v>
      </c>
      <c r="Q60" s="535"/>
      <c r="R60" s="244" t="str">
        <f>VLOOKUP($C60,'4b) SL EPO Extended Data Sheet'!$A$5:$AB$176,12,FALSE)</f>
        <v>A</v>
      </c>
      <c r="S60" s="245">
        <f>VLOOKUP($C60,'4b) SL EPO Extended Data Sheet'!$A$5:$AB$176,13,FALSE)</f>
        <v>-1</v>
      </c>
      <c r="T60" s="536"/>
      <c r="U60" s="537" t="str">
        <f>VLOOKUP($C60,'4b) SL EPO Extended Data Sheet'!$A$5:$AE$176,31,FALSE)</f>
        <v>SOC
(Feb-24)</v>
      </c>
      <c r="V60" s="536"/>
      <c r="W60" s="49">
        <f>VLOOKUP($C60,'4b) SL EPO Extended Data Sheet'!$A$5:$AC$176,16,FALSE)/1000000</f>
        <v>155.655666</v>
      </c>
      <c r="X60" s="49">
        <f>VLOOKUP($C60,'4b) SL EPO Extended Data Sheet'!$A$5:$AC$176,17,FALSE)/1000000</f>
        <v>159.01225555000002</v>
      </c>
      <c r="Y60" s="49">
        <f>VLOOKUP($C60,'4b) SL EPO Extended Data Sheet'!$A$5:$AC$176,18,FALSE)/1000000</f>
        <v>2.9847950000000002E-2</v>
      </c>
      <c r="Z60" s="49">
        <f>VLOOKUP($C60,'4b) SL EPO Extended Data Sheet'!$A$5:$AB$176,16,FALSE)/1000000</f>
        <v>155.655666</v>
      </c>
      <c r="AA60" s="538">
        <f>VLOOKUP($C60,'4b) SL EPO Extended Data Sheet'!$A$5:$AC$176,19,FALSE)</f>
        <v>48530</v>
      </c>
      <c r="AB60" s="538">
        <f>VLOOKUP($C60,'4b) SL EPO Extended Data Sheet'!$A$5:$AC$176,20,FALSE)</f>
        <v>48530</v>
      </c>
      <c r="AC60" s="51">
        <f>VLOOKUP($C60,'4b) SL EPO Extended Data Sheet'!$A$5:$AC$176,21,FALSE)</f>
        <v>0</v>
      </c>
      <c r="AD60" s="535">
        <f>VLOOKUP($C60,'4b) SL EPO Extended Data Sheet'!$A$5:$AB$176,15,FALSE)/1000000</f>
        <v>4.5330000000000002E-2</v>
      </c>
      <c r="AE60" s="49">
        <f>VLOOKUP($C60,'4b) SL EPO Extended Data Sheet'!$A$5:$AC$176,22,FALSE)/1000000</f>
        <v>9.8565823599999991</v>
      </c>
      <c r="AF60" s="49">
        <f>VLOOKUP($C60,'4b) SL EPO Extended Data Sheet'!$A$5:$AC$176,23,FALSE)/1000000</f>
        <v>7.0608812070000004</v>
      </c>
      <c r="AG60" s="52">
        <f>VLOOKUP($C60,'4b) SL EPO Extended Data Sheet'!$A$5:$AC$176,24,FALSE)/1000000</f>
        <v>10.352647599999999</v>
      </c>
      <c r="AH60" s="539">
        <f>VLOOKUP($C60,'4b) SL EPO Extended Data Sheet'!$A$5:$AC$176,25,FALSE)</f>
        <v>0.6820362751456932</v>
      </c>
      <c r="AI60" s="539">
        <f>VLOOKUP($C60,'4b) SL EPO Extended Data Sheet'!$A$5:$AC$176,26,FALSE)</f>
        <v>0.71636201566726421</v>
      </c>
      <c r="AJ60" s="575">
        <f>VLOOKUP($C60,'4b) SL EPO Extended Data Sheet'!$A$5:$AC$176,27,FALSE)</f>
        <v>6.3322991146367899E-2</v>
      </c>
      <c r="AK60" s="574">
        <f>VLOOKUP($C60,'4b) SL EPO Extended Data Sheet'!$A$5:$AC$176,28,FALSE)</f>
        <v>4.5362185575692444E-2</v>
      </c>
      <c r="AL60" s="540">
        <f>VLOOKUP($C60,'4b) SL EPO Extended Data Sheet'!$A$6:$AB$176,15,FALSE)</f>
        <v>45330</v>
      </c>
      <c r="AM60" s="247" t="str">
        <f>VLOOKUP($C60,'4b) SL EPO Extended Data Sheet'!$A$5:$AC$176,29,FALSE)</f>
        <v>A</v>
      </c>
      <c r="AV60" s="631">
        <v>158.96283423</v>
      </c>
      <c r="AW60" s="607">
        <v>48530</v>
      </c>
      <c r="AX60" s="642"/>
      <c r="AY60" s="631">
        <v>155.655666</v>
      </c>
      <c r="AZ60" s="611">
        <f>W60-AY60</f>
        <v>0</v>
      </c>
      <c r="BA60" s="607">
        <v>48530</v>
      </c>
      <c r="BB60" s="613">
        <f>AA60-BA60</f>
        <v>0</v>
      </c>
    </row>
    <row r="61" spans="1:56" s="267" customFormat="1" ht="64.5" customHeight="1" thickBot="1" x14ac:dyDescent="0.45">
      <c r="A61" s="299" t="str">
        <f>C60</f>
        <v>TR&amp;S Replacement Cooling System</v>
      </c>
      <c r="B61" s="708" t="s">
        <v>538</v>
      </c>
      <c r="C61" s="709"/>
      <c r="D61" s="709"/>
      <c r="E61" s="709"/>
      <c r="F61" s="709"/>
      <c r="G61" s="709"/>
      <c r="H61" s="709"/>
      <c r="I61" s="709"/>
      <c r="J61" s="709"/>
      <c r="K61" s="709"/>
      <c r="L61" s="709"/>
      <c r="M61" s="709"/>
      <c r="N61" s="709"/>
      <c r="O61" s="709"/>
      <c r="P61" s="709"/>
      <c r="Q61" s="709"/>
      <c r="R61" s="709"/>
      <c r="S61" s="709"/>
      <c r="T61" s="709"/>
      <c r="U61" s="709"/>
      <c r="V61" s="709"/>
      <c r="W61" s="709"/>
      <c r="X61" s="709"/>
      <c r="Y61" s="709"/>
      <c r="Z61" s="709"/>
      <c r="AA61" s="709"/>
      <c r="AB61" s="709"/>
      <c r="AC61" s="709"/>
      <c r="AD61" s="709"/>
      <c r="AE61" s="709"/>
      <c r="AF61" s="709"/>
      <c r="AG61" s="709"/>
      <c r="AH61" s="709"/>
      <c r="AI61" s="709"/>
      <c r="AJ61" s="709"/>
      <c r="AK61" s="709"/>
      <c r="AL61" s="709"/>
      <c r="AM61" s="710"/>
      <c r="AO61" s="466"/>
      <c r="AP61" s="466"/>
      <c r="AQ61" s="466"/>
      <c r="AR61" s="466"/>
      <c r="AS61" s="466"/>
      <c r="AT61" s="466"/>
      <c r="AU61" s="466"/>
      <c r="AV61" s="606"/>
      <c r="AW61" s="608"/>
      <c r="AX61" s="642"/>
      <c r="AY61" s="606"/>
      <c r="AZ61" s="612"/>
      <c r="BA61" s="608"/>
      <c r="BB61" s="614"/>
      <c r="BC61" s="466"/>
      <c r="BD61" s="466"/>
    </row>
    <row r="62" spans="1:56" s="466" customFormat="1" ht="5.25" customHeight="1" thickBot="1" x14ac:dyDescent="0.45">
      <c r="A62" s="299"/>
      <c r="C62" s="491"/>
      <c r="D62" s="468"/>
      <c r="W62" s="468"/>
      <c r="X62" s="468"/>
      <c r="Y62" s="468"/>
      <c r="Z62" s="468"/>
      <c r="AA62" s="468"/>
      <c r="AB62" s="468"/>
      <c r="AC62" s="468"/>
      <c r="AE62" s="468"/>
      <c r="AF62" s="468"/>
      <c r="AG62" s="468"/>
      <c r="AH62" s="468"/>
      <c r="AI62" s="468"/>
      <c r="AJ62" s="468"/>
      <c r="AK62" s="468"/>
      <c r="AL62" s="468"/>
      <c r="AO62" s="267"/>
      <c r="AP62" s="267"/>
      <c r="AQ62" s="267"/>
      <c r="AR62" s="267"/>
      <c r="AS62" s="267"/>
      <c r="AT62" s="267"/>
      <c r="AU62" s="267"/>
      <c r="AV62" s="639"/>
      <c r="AW62" s="646"/>
      <c r="AX62" s="642"/>
      <c r="AY62" s="644"/>
      <c r="AZ62" s="609"/>
      <c r="BA62" s="605"/>
      <c r="BB62" s="610"/>
      <c r="BC62" s="267"/>
      <c r="BD62" s="267"/>
    </row>
    <row r="63" spans="1:56" s="267" customFormat="1" ht="36" customHeight="1" x14ac:dyDescent="0.4">
      <c r="A63" s="299"/>
      <c r="B63" s="216" t="s">
        <v>343</v>
      </c>
      <c r="C63" s="493" t="s">
        <v>344</v>
      </c>
      <c r="D63" s="540" t="s">
        <v>3</v>
      </c>
      <c r="E63" s="535"/>
      <c r="F63" s="244" t="str">
        <f>VLOOKUP($C63,'4b) SL EPO Extended Data Sheet'!$A$5:$AB$176,2,FALSE)</f>
        <v>G</v>
      </c>
      <c r="G63" s="245">
        <f>VLOOKUP($C63,'4b) SL EPO Extended Data Sheet'!$A$5:$AB$176,3, FALSE)</f>
        <v>0</v>
      </c>
      <c r="H63" s="536"/>
      <c r="I63" s="537" t="str">
        <f>VLOOKUP($C63,'4b) SL EPO Extended Data Sheet'!$A$5:$AD$176,30, FALSE)</f>
        <v>SOC
(Mar-22)</v>
      </c>
      <c r="J63" s="72">
        <f>VLOOKUP($C63,'4b) SL EPO Extended Data Sheet'!$A$5:$AB$176,6, FALSE)/1000000</f>
        <v>67.606999999999999</v>
      </c>
      <c r="K63" s="48">
        <f>VLOOKUP($C63,'4b) SL EPO Extended Data Sheet'!$A$5:$AB$176,7, FALSE)/1000000</f>
        <v>94.587000000000003</v>
      </c>
      <c r="L63" s="49" t="str">
        <f>VLOOKUP($C63,'4b) SL EPO Extended Data Sheet'!$A$5:$AB$176,8, FALSE)</f>
        <v/>
      </c>
      <c r="M63" s="538" t="str">
        <f>VLOOKUP($C63,'4b) SL EPO Extended Data Sheet'!$A$5:$AB$176,9, FALSE)</f>
        <v/>
      </c>
      <c r="N63" s="535"/>
      <c r="O63" s="591">
        <f>VLOOKUP($C63,'4b) SL EPO Extended Data Sheet'!$A$5:$AB$176,10, FALSE)/1000000</f>
        <v>0</v>
      </c>
      <c r="P63" s="48">
        <f>VLOOKUP($C63,'4b) SL EPO Extended Data Sheet'!$A$5:$AB$176,11, FALSE)/1000000</f>
        <v>19.209</v>
      </c>
      <c r="Q63" s="535"/>
      <c r="R63" s="244" t="str">
        <f>VLOOKUP($C63,'4b) SL EPO Extended Data Sheet'!$A$5:$AB$176,12,FALSE)</f>
        <v>A</v>
      </c>
      <c r="S63" s="245">
        <f>VLOOKUP($C63,'4b) SL EPO Extended Data Sheet'!$A$5:$AB$176,13,FALSE)</f>
        <v>0</v>
      </c>
      <c r="T63" s="536"/>
      <c r="U63" s="537" t="str">
        <f>VLOOKUP($C63,'4b) SL EPO Extended Data Sheet'!$A$5:$AE$176,31,FALSE)</f>
        <v>SOC
(Feb-23)</v>
      </c>
      <c r="V63" s="536"/>
      <c r="W63" s="49">
        <f>VLOOKUP($C63,'4b) SL EPO Extended Data Sheet'!$A$5:$AC$176,16,FALSE)/1000000</f>
        <v>66.045681999999999</v>
      </c>
      <c r="X63" s="49">
        <f>VLOOKUP($C63,'4b) SL EPO Extended Data Sheet'!$A$5:$AC$176,17,FALSE)/1000000</f>
        <v>84.193985359999999</v>
      </c>
      <c r="Y63" s="49">
        <f>VLOOKUP($C63,'4b) SL EPO Extended Data Sheet'!$A$5:$AC$176,18,FALSE)/1000000</f>
        <v>-0.26673302000000004</v>
      </c>
      <c r="Z63" s="49">
        <f>VLOOKUP($C63,'4b) SL EPO Extended Data Sheet'!$A$5:$AB$176,16,FALSE)/1000000</f>
        <v>66.045681999999999</v>
      </c>
      <c r="AA63" s="538">
        <f>VLOOKUP($C63,'4b) SL EPO Extended Data Sheet'!$A$5:$AC$176,19,FALSE)</f>
        <v>48760</v>
      </c>
      <c r="AB63" s="538">
        <f>VLOOKUP($C63,'4b) SL EPO Extended Data Sheet'!$A$5:$AC$176,20,FALSE)</f>
        <v>49061</v>
      </c>
      <c r="AC63" s="51">
        <f>VLOOKUP($C63,'4b) SL EPO Extended Data Sheet'!$A$5:$AC$176,21,FALSE)</f>
        <v>0</v>
      </c>
      <c r="AD63" s="535">
        <f>VLOOKUP($C63,'4b) SL EPO Extended Data Sheet'!$A$5:$AB$176,15,FALSE)/1000000</f>
        <v>4.4965999999999999E-2</v>
      </c>
      <c r="AE63" s="49">
        <f>VLOOKUP($C63,'4b) SL EPO Extended Data Sheet'!$A$5:$AC$176,22,FALSE)/1000000</f>
        <v>25.501870090000001</v>
      </c>
      <c r="AF63" s="49">
        <f>VLOOKUP($C63,'4b) SL EPO Extended Data Sheet'!$A$5:$AC$176,23,FALSE)/1000000</f>
        <v>21.477604003400003</v>
      </c>
      <c r="AG63" s="52">
        <f>VLOOKUP($C63,'4b) SL EPO Extended Data Sheet'!$A$5:$AC$176,24,FALSE)/1000000</f>
        <v>16.377628430000001</v>
      </c>
      <c r="AH63" s="539">
        <f>VLOOKUP($C63,'4b) SL EPO Extended Data Sheet'!$A$5:$AC$176,25,FALSE)</f>
        <v>1.3113989058426818</v>
      </c>
      <c r="AI63" s="539">
        <f>VLOOKUP($C63,'4b) SL EPO Extended Data Sheet'!$A$5:$AC$176,26,FALSE)</f>
        <v>0.84219721642382506</v>
      </c>
      <c r="AJ63" s="575">
        <f>VLOOKUP($C63,'4b) SL EPO Extended Data Sheet'!$A$5:$AC$176,27,FALSE)</f>
        <v>0.38612471425459727</v>
      </c>
      <c r="AK63" s="574">
        <f>VLOOKUP($C63,'4b) SL EPO Extended Data Sheet'!$A$5:$AC$176,28,FALSE)</f>
        <v>0.3251931595376667</v>
      </c>
      <c r="AL63" s="540">
        <f>VLOOKUP($C63,'4b) SL EPO Extended Data Sheet'!$A$6:$AB$176,15,FALSE)</f>
        <v>44966</v>
      </c>
      <c r="AM63" s="636" t="str">
        <f>VLOOKUP($C63,'4b) SL EPO Extended Data Sheet'!$A$5:$AC$176,29,FALSE)</f>
        <v>A</v>
      </c>
      <c r="AV63" s="631">
        <v>84.460718379999989</v>
      </c>
      <c r="AW63" s="607">
        <v>49061</v>
      </c>
      <c r="AX63" s="642"/>
      <c r="AY63" s="631">
        <v>66.045681999999999</v>
      </c>
      <c r="AZ63" s="611">
        <f>W63-AY63</f>
        <v>0</v>
      </c>
      <c r="BA63" s="607">
        <v>48760</v>
      </c>
      <c r="BB63" s="613">
        <f>AA63-BA63</f>
        <v>0</v>
      </c>
    </row>
    <row r="64" spans="1:56" s="279" customFormat="1" ht="49.5" customHeight="1" thickBot="1" x14ac:dyDescent="0.45">
      <c r="A64" s="299" t="str">
        <f>C63</f>
        <v>FGFL Ventilation Extract System Upgrade</v>
      </c>
      <c r="B64" s="708" t="s">
        <v>571</v>
      </c>
      <c r="C64" s="711"/>
      <c r="D64" s="711"/>
      <c r="E64" s="711"/>
      <c r="F64" s="711"/>
      <c r="G64" s="711"/>
      <c r="H64" s="711"/>
      <c r="I64" s="711"/>
      <c r="J64" s="711"/>
      <c r="K64" s="711"/>
      <c r="L64" s="711"/>
      <c r="M64" s="711"/>
      <c r="N64" s="711"/>
      <c r="O64" s="711"/>
      <c r="P64" s="711"/>
      <c r="Q64" s="711"/>
      <c r="R64" s="711"/>
      <c r="S64" s="711"/>
      <c r="T64" s="711"/>
      <c r="U64" s="711"/>
      <c r="V64" s="711"/>
      <c r="W64" s="711"/>
      <c r="X64" s="711"/>
      <c r="Y64" s="711"/>
      <c r="Z64" s="711"/>
      <c r="AA64" s="711"/>
      <c r="AB64" s="711"/>
      <c r="AC64" s="711"/>
      <c r="AD64" s="711"/>
      <c r="AE64" s="711"/>
      <c r="AF64" s="711"/>
      <c r="AG64" s="711"/>
      <c r="AH64" s="711"/>
      <c r="AI64" s="711"/>
      <c r="AJ64" s="711"/>
      <c r="AK64" s="711"/>
      <c r="AL64" s="711"/>
      <c r="AM64" s="712"/>
      <c r="AO64" s="267"/>
      <c r="AP64" s="267"/>
      <c r="AQ64" s="267"/>
      <c r="AR64" s="267"/>
      <c r="AS64" s="267"/>
      <c r="AT64" s="267"/>
      <c r="AU64" s="267"/>
      <c r="AV64" s="606"/>
      <c r="AW64" s="608"/>
      <c r="AX64" s="642"/>
      <c r="AY64" s="606"/>
      <c r="AZ64" s="612"/>
      <c r="BA64" s="608"/>
      <c r="BB64" s="614"/>
      <c r="BC64" s="267"/>
      <c r="BD64" s="267"/>
    </row>
    <row r="65" spans="1:56" s="267" customFormat="1" ht="5.25" customHeight="1" thickBot="1" x14ac:dyDescent="0.45">
      <c r="A65" s="299"/>
      <c r="B65" s="289"/>
      <c r="C65" s="489"/>
      <c r="D65" s="289"/>
      <c r="E65" s="289"/>
      <c r="F65" s="289"/>
      <c r="G65" s="289"/>
      <c r="H65" s="289"/>
      <c r="I65" s="289"/>
      <c r="J65" s="289"/>
      <c r="K65" s="289"/>
      <c r="L65" s="289"/>
      <c r="M65" s="289"/>
      <c r="N65" s="289"/>
      <c r="O65" s="289"/>
      <c r="P65" s="289"/>
      <c r="Q65" s="289"/>
      <c r="R65" s="289"/>
      <c r="S65" s="289"/>
      <c r="T65" s="289"/>
      <c r="U65" s="289"/>
      <c r="V65" s="289"/>
      <c r="W65" s="289"/>
      <c r="X65" s="289"/>
      <c r="Y65" s="289"/>
      <c r="Z65" s="289"/>
      <c r="AA65" s="289"/>
      <c r="AB65" s="289"/>
      <c r="AC65" s="289"/>
      <c r="AD65" s="289"/>
      <c r="AE65" s="289"/>
      <c r="AF65" s="289"/>
      <c r="AG65" s="289"/>
      <c r="AH65" s="289"/>
      <c r="AI65" s="289"/>
      <c r="AJ65" s="289"/>
      <c r="AK65" s="289"/>
      <c r="AL65" s="289"/>
      <c r="AM65" s="289"/>
      <c r="AV65" s="639"/>
      <c r="AW65" s="646"/>
      <c r="AX65" s="642"/>
      <c r="AY65" s="644"/>
      <c r="AZ65" s="609"/>
      <c r="BA65" s="605"/>
      <c r="BB65" s="610"/>
    </row>
    <row r="66" spans="1:56" s="267" customFormat="1" ht="36" customHeight="1" x14ac:dyDescent="0.4">
      <c r="A66" s="299"/>
      <c r="B66" s="216" t="s">
        <v>345</v>
      </c>
      <c r="C66" s="493" t="s">
        <v>346</v>
      </c>
      <c r="D66" s="540" t="s">
        <v>3</v>
      </c>
      <c r="E66" s="535"/>
      <c r="F66" s="244" t="str">
        <f>VLOOKUP($C66,'4b) SL EPO Extended Data Sheet'!$A$5:$AB$176,2,FALSE)</f>
        <v>G</v>
      </c>
      <c r="G66" s="245">
        <f>VLOOKUP($C66,'4b) SL EPO Extended Data Sheet'!$A$5:$AB$176,3, FALSE)</f>
        <v>1</v>
      </c>
      <c r="H66" s="536"/>
      <c r="I66" s="537" t="str">
        <f>VLOOKUP($C66,'4b) SL EPO Extended Data Sheet'!$A$5:$AD$176,30, FALSE)</f>
        <v>OBC
(Feb-21)</v>
      </c>
      <c r="J66" s="72">
        <f>VLOOKUP($C66,'4b) SL EPO Extended Data Sheet'!$A$5:$AB$176,6, FALSE)/1000000</f>
        <v>30.216000000000001</v>
      </c>
      <c r="K66" s="48">
        <f>VLOOKUP($C66,'4b) SL EPO Extended Data Sheet'!$A$5:$AB$176,7, FALSE)/1000000</f>
        <v>31.312000000000001</v>
      </c>
      <c r="L66" s="538">
        <f>VLOOKUP($C66,'4b) SL EPO Extended Data Sheet'!$A$5:$AB$176,8, FALSE)</f>
        <v>46660</v>
      </c>
      <c r="M66" s="538">
        <f>VLOOKUP($C66,'4b) SL EPO Extended Data Sheet'!$A$5:$AB$176,9, FALSE)</f>
        <v>46782</v>
      </c>
      <c r="N66" s="535"/>
      <c r="O66" s="48">
        <f>VLOOKUP($C66,'4b) SL EPO Extended Data Sheet'!$A$5:$AB$176,10, FALSE)/1000000</f>
        <v>0</v>
      </c>
      <c r="P66" s="48">
        <f>VLOOKUP($C66,'4b) SL EPO Extended Data Sheet'!$A$5:$AB$176,11, FALSE)/1000000</f>
        <v>13.911625000000001</v>
      </c>
      <c r="Q66" s="535"/>
      <c r="R66" s="244" t="str">
        <f>VLOOKUP($C66,'4b) SL EPO Extended Data Sheet'!$A$5:$AB$176,12,FALSE)</f>
        <v>G</v>
      </c>
      <c r="S66" s="245">
        <f>VLOOKUP($C66,'4b) SL EPO Extended Data Sheet'!$A$5:$AB$176,13,FALSE)</f>
        <v>1</v>
      </c>
      <c r="T66" s="536"/>
      <c r="U66" s="537" t="str">
        <f>VLOOKUP($C66,'4b) SL EPO Extended Data Sheet'!$A$5:$AE$176,31,FALSE)</f>
        <v>OBC
(Aug-21)</v>
      </c>
      <c r="V66" s="536"/>
      <c r="W66" s="49">
        <f>VLOOKUP($C66,'4b) SL EPO Extended Data Sheet'!$A$5:$AC$176,16,FALSE)/1000000</f>
        <v>36.101354999999998</v>
      </c>
      <c r="X66" s="49">
        <f>VLOOKUP($C66,'4b) SL EPO Extended Data Sheet'!$A$5:$AC$176,17,FALSE)/1000000</f>
        <v>38.276981479999996</v>
      </c>
      <c r="Y66" s="49">
        <f>VLOOKUP($C66,'4b) SL EPO Extended Data Sheet'!$A$5:$AC$176,18,FALSE)/1000000</f>
        <v>-2E-8</v>
      </c>
      <c r="Z66" s="49">
        <f>VLOOKUP($C66,'4b) SL EPO Extended Data Sheet'!$A$5:$AB$176,16,FALSE)/1000000</f>
        <v>36.101354999999998</v>
      </c>
      <c r="AA66" s="538">
        <f>VLOOKUP($C66,'4b) SL EPO Extended Data Sheet'!$A$5:$AC$176,19,FALSE)</f>
        <v>47367</v>
      </c>
      <c r="AB66" s="538">
        <f>VLOOKUP($C66,'4b) SL EPO Extended Data Sheet'!$A$5:$AC$176,20,FALSE)</f>
        <v>47367</v>
      </c>
      <c r="AC66" s="51">
        <f>VLOOKUP($C66,'4b) SL EPO Extended Data Sheet'!$A$5:$AC$176,21,FALSE)</f>
        <v>27</v>
      </c>
      <c r="AD66" s="535">
        <f>VLOOKUP($C66,'4b) SL EPO Extended Data Sheet'!$A$5:$AB$176,15,FALSE)/1000000</f>
        <v>4.4438999999999999E-2</v>
      </c>
      <c r="AE66" s="49">
        <f>VLOOKUP($C66,'4b) SL EPO Extended Data Sheet'!$A$5:$AC$176,22,FALSE)/1000000</f>
        <v>14.9649698</v>
      </c>
      <c r="AF66" s="49">
        <f>VLOOKUP($C66,'4b) SL EPO Extended Data Sheet'!$A$5:$AC$176,23,FALSE)/1000000</f>
        <v>14.964969632799999</v>
      </c>
      <c r="AG66" s="52">
        <f>VLOOKUP($C66,'4b) SL EPO Extended Data Sheet'!$A$5:$AC$176,24,FALSE)/1000000</f>
        <v>10.956863419999999</v>
      </c>
      <c r="AH66" s="539">
        <f>VLOOKUP($C66,'4b) SL EPO Extended Data Sheet'!$A$5:$AC$176,25,FALSE)</f>
        <v>1.3658078100602993</v>
      </c>
      <c r="AI66" s="539">
        <f>VLOOKUP($C66,'4b) SL EPO Extended Data Sheet'!$A$5:$AC$176,26,FALSE)</f>
        <v>0.99999998882724106</v>
      </c>
      <c r="AJ66" s="575">
        <f>VLOOKUP($C66,'4b) SL EPO Extended Data Sheet'!$A$5:$AC$176,27,FALSE)</f>
        <v>0.41452654062430622</v>
      </c>
      <c r="AK66" s="574">
        <f>VLOOKUP($C66,'4b) SL EPO Extended Data Sheet'!$A$5:$AC$176,28,FALSE)</f>
        <v>0.41452653599290107</v>
      </c>
      <c r="AL66" s="540">
        <f>VLOOKUP($C66,'4b) SL EPO Extended Data Sheet'!$A$6:$AB$176,15,FALSE)</f>
        <v>44439</v>
      </c>
      <c r="AM66" s="247" t="str">
        <f>VLOOKUP($C66,'4b) SL EPO Extended Data Sheet'!$A$5:$AC$176,29,FALSE)</f>
        <v>G</v>
      </c>
      <c r="AO66" s="15"/>
      <c r="AP66" s="15"/>
      <c r="AQ66" s="15"/>
      <c r="AR66" s="15"/>
      <c r="AS66" s="15"/>
      <c r="AT66" s="15"/>
      <c r="AU66" s="15"/>
      <c r="AV66" s="631">
        <v>38.276981499999998</v>
      </c>
      <c r="AW66" s="607">
        <v>47340</v>
      </c>
      <c r="AX66" s="642"/>
      <c r="AY66" s="631">
        <v>36.101354999999998</v>
      </c>
      <c r="AZ66" s="611">
        <f>W66-AY66</f>
        <v>0</v>
      </c>
      <c r="BA66" s="607">
        <v>46653</v>
      </c>
      <c r="BB66" s="613">
        <f>AA66-BA66</f>
        <v>714</v>
      </c>
      <c r="BC66" s="15"/>
      <c r="BD66" s="15"/>
    </row>
    <row r="67" spans="1:56" s="267" customFormat="1" ht="57" customHeight="1" thickBot="1" x14ac:dyDescent="0.45">
      <c r="A67" s="299" t="str">
        <f>C66</f>
        <v>PMF North Transfers Project</v>
      </c>
      <c r="B67" s="708" t="s">
        <v>572</v>
      </c>
      <c r="C67" s="711"/>
      <c r="D67" s="711"/>
      <c r="E67" s="711"/>
      <c r="F67" s="711"/>
      <c r="G67" s="711"/>
      <c r="H67" s="711"/>
      <c r="I67" s="711"/>
      <c r="J67" s="711"/>
      <c r="K67" s="711"/>
      <c r="L67" s="711"/>
      <c r="M67" s="711"/>
      <c r="N67" s="711"/>
      <c r="O67" s="711"/>
      <c r="P67" s="711"/>
      <c r="Q67" s="711"/>
      <c r="R67" s="711"/>
      <c r="S67" s="711"/>
      <c r="T67" s="711"/>
      <c r="U67" s="711"/>
      <c r="V67" s="711"/>
      <c r="W67" s="711"/>
      <c r="X67" s="711"/>
      <c r="Y67" s="711"/>
      <c r="Z67" s="711"/>
      <c r="AA67" s="711"/>
      <c r="AB67" s="711"/>
      <c r="AC67" s="711"/>
      <c r="AD67" s="711"/>
      <c r="AE67" s="711"/>
      <c r="AF67" s="711"/>
      <c r="AG67" s="711"/>
      <c r="AH67" s="711"/>
      <c r="AI67" s="711"/>
      <c r="AJ67" s="711"/>
      <c r="AK67" s="711"/>
      <c r="AL67" s="711"/>
      <c r="AM67" s="712"/>
      <c r="AV67" s="606"/>
      <c r="AW67" s="608"/>
      <c r="AX67" s="642"/>
      <c r="AY67" s="606"/>
      <c r="AZ67" s="612"/>
      <c r="BA67" s="608"/>
      <c r="BB67" s="614"/>
    </row>
    <row r="68" spans="1:56" s="505" customFormat="1" ht="5.25" customHeight="1" thickBot="1" x14ac:dyDescent="0.45">
      <c r="A68" s="299"/>
      <c r="C68" s="491"/>
      <c r="D68" s="600"/>
      <c r="W68" s="600"/>
      <c r="X68" s="600"/>
      <c r="Y68" s="600"/>
      <c r="Z68" s="600"/>
      <c r="AA68" s="600"/>
      <c r="AB68" s="600"/>
      <c r="AC68" s="600"/>
      <c r="AE68" s="600"/>
      <c r="AF68" s="600"/>
      <c r="AG68" s="600"/>
      <c r="AH68" s="600"/>
      <c r="AI68" s="600"/>
      <c r="AJ68" s="600"/>
      <c r="AK68" s="600"/>
      <c r="AL68" s="600"/>
      <c r="AO68" s="267">
        <f>T66-G66</f>
        <v>-1</v>
      </c>
      <c r="AP68" s="267">
        <f>T66-K66</f>
        <v>-31.312000000000001</v>
      </c>
      <c r="AQ68" s="267" t="e">
        <f>X66-I66</f>
        <v>#VALUE!</v>
      </c>
      <c r="AR68" s="267"/>
      <c r="AS68" s="267">
        <f>T66-S66</f>
        <v>-1</v>
      </c>
      <c r="AT68" s="267">
        <f>X66-W66</f>
        <v>2.1756264799999983</v>
      </c>
      <c r="AU68" s="267"/>
      <c r="AV68" s="639"/>
      <c r="AW68" s="646"/>
      <c r="AX68" s="642"/>
      <c r="AY68" s="644"/>
      <c r="AZ68" s="609"/>
      <c r="BA68" s="605"/>
      <c r="BB68" s="610"/>
      <c r="BC68" s="267"/>
      <c r="BD68" s="267"/>
    </row>
    <row r="69" spans="1:56" s="267" customFormat="1" ht="36" customHeight="1" x14ac:dyDescent="0.4">
      <c r="A69" s="299"/>
      <c r="B69" s="216" t="s">
        <v>347</v>
      </c>
      <c r="C69" s="493" t="s">
        <v>348</v>
      </c>
      <c r="D69" s="540" t="s">
        <v>3</v>
      </c>
      <c r="E69" s="535"/>
      <c r="F69" s="244" t="str">
        <f>VLOOKUP($C69,'4b) SL EPO Extended Data Sheet'!$A$5:$AB$176,2,FALSE)</f>
        <v>G</v>
      </c>
      <c r="G69" s="245">
        <f>VLOOKUP($C69,'4b) SL EPO Extended Data Sheet'!$A$5:$AB$176,3, FALSE)</f>
        <v>0</v>
      </c>
      <c r="H69" s="536"/>
      <c r="I69" s="537" t="str">
        <f>VLOOKUP($C69,'4b) SL EPO Extended Data Sheet'!$A$5:$AD$176,30, FALSE)</f>
        <v>OBC
(Jan-25)</v>
      </c>
      <c r="J69" s="72">
        <f>VLOOKUP($C69,'4b) SL EPO Extended Data Sheet'!$A$5:$AB$176,6, FALSE)/1000000</f>
        <v>28.585999999999999</v>
      </c>
      <c r="K69" s="48">
        <f>VLOOKUP($C69,'4b) SL EPO Extended Data Sheet'!$A$5:$AB$176,7, FALSE)/1000000</f>
        <v>29.888999999999999</v>
      </c>
      <c r="L69" s="538">
        <f>VLOOKUP($C69,'4b) SL EPO Extended Data Sheet'!$A$5:$AB$176,8, FALSE)</f>
        <v>48373</v>
      </c>
      <c r="M69" s="538">
        <f>VLOOKUP($C69,'4b) SL EPO Extended Data Sheet'!$A$5:$AB$176,9, FALSE)</f>
        <v>48373</v>
      </c>
      <c r="N69" s="535">
        <f>VLOOKUP($C69,'4b) SL EPO Extended Data Sheet'!$A$5:$AB$176,5, FALSE)</f>
        <v>45681</v>
      </c>
      <c r="O69" s="48">
        <f>VLOOKUP($C69,'4b) SL EPO Extended Data Sheet'!$A$5:$AB$176,10, FALSE)/1000000</f>
        <v>0</v>
      </c>
      <c r="P69" s="48">
        <f>VLOOKUP($C69,'4b) SL EPO Extended Data Sheet'!$A$5:$AB$176,11, FALSE)/1000000</f>
        <v>3.3094800000000002</v>
      </c>
      <c r="Q69" s="535"/>
      <c r="R69" s="244" t="str">
        <f>VLOOKUP($C69,'4b) SL EPO Extended Data Sheet'!$A$5:$AB$176,12,FALSE)</f>
        <v>G</v>
      </c>
      <c r="S69" s="245">
        <f>VLOOKUP($C69,'4b) SL EPO Extended Data Sheet'!$A$5:$AB$176,13,FALSE)</f>
        <v>0</v>
      </c>
      <c r="T69" s="536"/>
      <c r="U69" s="537" t="str">
        <f>VLOOKUP($C69,'4b) SL EPO Extended Data Sheet'!$A$5:$AE$176,31,FALSE)</f>
        <v>OBC
(Mar-25)</v>
      </c>
      <c r="V69" s="536"/>
      <c r="W69" s="49">
        <f>VLOOKUP($C69,'4b) SL EPO Extended Data Sheet'!$A$5:$AC$176,16,FALSE)/1000000</f>
        <v>26.545166999999999</v>
      </c>
      <c r="X69" s="49">
        <f>VLOOKUP($C69,'4b) SL EPO Extended Data Sheet'!$A$5:$AC$176,17,FALSE)/1000000</f>
        <v>39.734257829999997</v>
      </c>
      <c r="Y69" s="49">
        <f>VLOOKUP($C69,'4b) SL EPO Extended Data Sheet'!$A$5:$AC$176,18,FALSE)/1000000</f>
        <v>13.52062705</v>
      </c>
      <c r="Z69" s="49">
        <f>VLOOKUP($C69,'4b) SL EPO Extended Data Sheet'!$A$5:$AB$176,16,FALSE)/1000000</f>
        <v>26.545166999999999</v>
      </c>
      <c r="AA69" s="538">
        <f>VLOOKUP($C69,'4b) SL EPO Extended Data Sheet'!$A$5:$AC$176,19,FALSE)</f>
        <v>48374</v>
      </c>
      <c r="AB69" s="538">
        <f>VLOOKUP($C69,'4b) SL EPO Extended Data Sheet'!$A$5:$AC$176,20,FALSE)</f>
        <v>48410</v>
      </c>
      <c r="AC69" s="51">
        <f>VLOOKUP($C69,'4b) SL EPO Extended Data Sheet'!$A$5:$AC$176,21,FALSE)</f>
        <v>0</v>
      </c>
      <c r="AD69" s="535">
        <f>VLOOKUP($C69,'4b) SL EPO Extended Data Sheet'!$A$5:$AB$176,15,FALSE)/1000000</f>
        <v>4.5719999999999997E-2</v>
      </c>
      <c r="AE69" s="49">
        <f>VLOOKUP($C69,'4b) SL EPO Extended Data Sheet'!$A$5:$AC$176,22,FALSE)/1000000</f>
        <v>3.03254008</v>
      </c>
      <c r="AF69" s="49">
        <f>VLOOKUP($C69,'4b) SL EPO Extended Data Sheet'!$A$5:$AC$176,23,FALSE)/1000000</f>
        <v>3.0156971866000002</v>
      </c>
      <c r="AG69" s="52">
        <f>VLOOKUP($C69,'4b) SL EPO Extended Data Sheet'!$A$5:$AC$176,24,FALSE)/1000000</f>
        <v>3.0152259199999998</v>
      </c>
      <c r="AH69" s="539">
        <f>VLOOKUP($C69,'4b) SL EPO Extended Data Sheet'!$A$5:$AC$176,25,FALSE)</f>
        <v>1.0001562956184722</v>
      </c>
      <c r="AI69" s="539">
        <f>VLOOKUP($C69,'4b) SL EPO Extended Data Sheet'!$A$5:$AC$176,26,FALSE)</f>
        <v>0.99444594532778607</v>
      </c>
      <c r="AJ69" s="575">
        <f>VLOOKUP($C69,'4b) SL EPO Extended Data Sheet'!$A$5:$AC$176,27,FALSE)</f>
        <v>0.1142407610394766</v>
      </c>
      <c r="AK69" s="574">
        <f>VLOOKUP($C69,'4b) SL EPO Extended Data Sheet'!$A$5:$AC$176,28,FALSE)</f>
        <v>0.11360626160686803</v>
      </c>
      <c r="AL69" s="540">
        <f>VLOOKUP($C69,'4b) SL EPO Extended Data Sheet'!$A$6:$AB$176,15,FALSE)</f>
        <v>45720</v>
      </c>
      <c r="AM69" s="247" t="str">
        <f>VLOOKUP($C69,'4b) SL EPO Extended Data Sheet'!$A$5:$AC$176,29,FALSE)</f>
        <v>A</v>
      </c>
      <c r="AV69" s="631">
        <v>26.210706139999999</v>
      </c>
      <c r="AW69" s="607">
        <v>48410</v>
      </c>
      <c r="AX69" s="642"/>
      <c r="AY69" s="631">
        <v>26.545166999999999</v>
      </c>
      <c r="AZ69" s="611">
        <f>W69-AY69</f>
        <v>0</v>
      </c>
      <c r="BA69" s="607">
        <v>48374</v>
      </c>
      <c r="BB69" s="613">
        <f>AA69-BA69</f>
        <v>0</v>
      </c>
    </row>
    <row r="70" spans="1:56" s="267" customFormat="1" ht="44.25" customHeight="1" thickBot="1" x14ac:dyDescent="0.45">
      <c r="A70" s="299" t="str">
        <f>C69</f>
        <v>FHP &amp; SIXEP Roof Replacement</v>
      </c>
      <c r="B70" s="708" t="s">
        <v>573</v>
      </c>
      <c r="C70" s="709"/>
      <c r="D70" s="709"/>
      <c r="E70" s="709"/>
      <c r="F70" s="709"/>
      <c r="G70" s="709"/>
      <c r="H70" s="709"/>
      <c r="I70" s="709"/>
      <c r="J70" s="709"/>
      <c r="K70" s="709"/>
      <c r="L70" s="709"/>
      <c r="M70" s="709"/>
      <c r="N70" s="709"/>
      <c r="O70" s="709"/>
      <c r="P70" s="709"/>
      <c r="Q70" s="709"/>
      <c r="R70" s="709"/>
      <c r="S70" s="709"/>
      <c r="T70" s="709"/>
      <c r="U70" s="709"/>
      <c r="V70" s="709"/>
      <c r="W70" s="709"/>
      <c r="X70" s="709"/>
      <c r="Y70" s="709"/>
      <c r="Z70" s="709"/>
      <c r="AA70" s="709"/>
      <c r="AB70" s="709"/>
      <c r="AC70" s="709"/>
      <c r="AD70" s="709"/>
      <c r="AE70" s="709"/>
      <c r="AF70" s="709"/>
      <c r="AG70" s="709"/>
      <c r="AH70" s="709"/>
      <c r="AI70" s="709"/>
      <c r="AJ70" s="709"/>
      <c r="AK70" s="709"/>
      <c r="AL70" s="709"/>
      <c r="AM70" s="710"/>
      <c r="AO70" s="505"/>
      <c r="AP70" s="505"/>
      <c r="AQ70" s="505"/>
      <c r="AR70" s="505"/>
      <c r="AS70" s="505"/>
      <c r="AT70" s="505"/>
      <c r="AU70" s="505"/>
      <c r="AV70" s="606"/>
      <c r="AW70" s="608"/>
      <c r="AX70" s="642"/>
      <c r="AY70" s="606"/>
      <c r="AZ70" s="612"/>
      <c r="BA70" s="608"/>
      <c r="BB70" s="614"/>
      <c r="BC70" s="505"/>
      <c r="BD70" s="505"/>
    </row>
    <row r="71" spans="1:56" s="267" customFormat="1" ht="5.25" customHeight="1" thickBot="1" x14ac:dyDescent="0.45">
      <c r="A71" s="299"/>
      <c r="B71" s="289"/>
      <c r="C71" s="489"/>
      <c r="D71" s="289"/>
      <c r="E71" s="289"/>
      <c r="F71" s="289"/>
      <c r="G71" s="289"/>
      <c r="H71" s="289"/>
      <c r="I71" s="289"/>
      <c r="J71" s="289"/>
      <c r="K71" s="289"/>
      <c r="L71" s="289"/>
      <c r="M71" s="289"/>
      <c r="N71" s="289"/>
      <c r="O71" s="289"/>
      <c r="P71" s="289"/>
      <c r="Q71" s="289"/>
      <c r="R71" s="289"/>
      <c r="S71" s="289"/>
      <c r="T71" s="289"/>
      <c r="U71" s="289"/>
      <c r="V71" s="289"/>
      <c r="W71" s="289"/>
      <c r="X71" s="289"/>
      <c r="Y71" s="289"/>
      <c r="Z71" s="289"/>
      <c r="AA71" s="289"/>
      <c r="AB71" s="289"/>
      <c r="AC71" s="289"/>
      <c r="AD71" s="289"/>
      <c r="AE71" s="289"/>
      <c r="AF71" s="289"/>
      <c r="AG71" s="289"/>
      <c r="AH71" s="289"/>
      <c r="AI71" s="289"/>
      <c r="AJ71" s="289"/>
      <c r="AK71" s="289"/>
      <c r="AL71" s="289"/>
      <c r="AM71" s="289"/>
      <c r="AO71" s="267">
        <f>T69-G69</f>
        <v>0</v>
      </c>
      <c r="AP71" s="267">
        <f>T69-K69</f>
        <v>-29.888999999999999</v>
      </c>
      <c r="AQ71" s="267" t="e">
        <f>X69-I69</f>
        <v>#VALUE!</v>
      </c>
      <c r="AS71" s="267">
        <f>T69-S69</f>
        <v>0</v>
      </c>
      <c r="AT71" s="267">
        <f>X69-W69</f>
        <v>13.189090829999998</v>
      </c>
      <c r="AV71" s="639"/>
      <c r="AW71" s="646"/>
      <c r="AX71" s="642"/>
      <c r="AY71" s="644"/>
      <c r="AZ71" s="609"/>
      <c r="BA71" s="605"/>
      <c r="BB71" s="610"/>
    </row>
    <row r="72" spans="1:56" s="267" customFormat="1" ht="36" customHeight="1" x14ac:dyDescent="0.4">
      <c r="A72" s="299"/>
      <c r="B72" s="216" t="s">
        <v>361</v>
      </c>
      <c r="C72" s="493" t="s">
        <v>362</v>
      </c>
      <c r="D72" s="540" t="s">
        <v>3</v>
      </c>
      <c r="E72" s="535"/>
      <c r="F72" s="244" t="str">
        <f>VLOOKUP($C72,'4b) SL EPO Extended Data Sheet'!$A$5:$AB$176,2,FALSE)</f>
        <v>G</v>
      </c>
      <c r="G72" s="245">
        <f>VLOOKUP($C72,'4b) SL EPO Extended Data Sheet'!$A$5:$AB$176,3, FALSE)</f>
        <v>0</v>
      </c>
      <c r="H72" s="536"/>
      <c r="I72" s="537" t="str">
        <f>VLOOKUP($C72,'4b) SL EPO Extended Data Sheet'!$A$5:$AD$176,30, FALSE)</f>
        <v>SOC
(Sep-23)</v>
      </c>
      <c r="J72" s="72">
        <f>VLOOKUP($C72,'4b) SL EPO Extended Data Sheet'!$A$5:$AB$176,6, FALSE)/1000000</f>
        <v>2.1730960000000001</v>
      </c>
      <c r="K72" s="591">
        <f>VLOOKUP($C72,'4b) SL EPO Extended Data Sheet'!$A$5:$AB$176,7, FALSE)/1000000</f>
        <v>0</v>
      </c>
      <c r="L72" s="555">
        <f>VLOOKUP($C72,'4b) SL EPO Extended Data Sheet'!$A$5:$AB$176,8, FALSE)</f>
        <v>46722</v>
      </c>
      <c r="M72" s="555" t="str">
        <f>VLOOKUP($C72,'4b) SL EPO Extended Data Sheet'!$A$5:$AB$176,9, FALSE)</f>
        <v/>
      </c>
      <c r="N72" s="535">
        <f>VLOOKUP($C72,'4b) SL EPO Extended Data Sheet'!$A$5:$AB$176,5, FALSE)</f>
        <v>45170</v>
      </c>
      <c r="O72" s="591">
        <f>VLOOKUP($C72,'4b) SL EPO Extended Data Sheet'!$A$5:$AB$176,10, FALSE)/1000000</f>
        <v>0</v>
      </c>
      <c r="P72" s="48">
        <f>VLOOKUP($C72,'4b) SL EPO Extended Data Sheet'!$A$5:$AB$176,11, FALSE)/1000000</f>
        <v>2.1730960000000001</v>
      </c>
      <c r="Q72" s="535"/>
      <c r="R72" s="244" t="str">
        <f>VLOOKUP($C72,'4b) SL EPO Extended Data Sheet'!$A$5:$AB$176,12,FALSE)</f>
        <v>G</v>
      </c>
      <c r="S72" s="245">
        <f>VLOOKUP($C72,'4b) SL EPO Extended Data Sheet'!$A$5:$AB$176,13,FALSE)</f>
        <v>0</v>
      </c>
      <c r="T72" s="536"/>
      <c r="U72" s="537" t="str">
        <f>VLOOKUP($C72,'4b) SL EPO Extended Data Sheet'!$A$5:$AE$176,31,FALSE)</f>
        <v>SOC
(Sep-23)</v>
      </c>
      <c r="V72" s="536"/>
      <c r="W72" s="49">
        <f>VLOOKUP($C72,'4b) SL EPO Extended Data Sheet'!$A$5:$AC$176,16,FALSE)/1000000</f>
        <v>32.152518999999998</v>
      </c>
      <c r="X72" s="49">
        <f>VLOOKUP($C72,'4b) SL EPO Extended Data Sheet'!$A$5:$AC$176,17,FALSE)/1000000</f>
        <v>32.000670419999999</v>
      </c>
      <c r="Y72" s="49">
        <f>VLOOKUP($C72,'4b) SL EPO Extended Data Sheet'!$A$5:$AC$176,18,FALSE)/1000000</f>
        <v>0.38633335999999996</v>
      </c>
      <c r="Z72" s="49">
        <f>VLOOKUP($C72,'4b) SL EPO Extended Data Sheet'!$A$5:$AB$176,16,FALSE)/1000000</f>
        <v>32.152518999999998</v>
      </c>
      <c r="AA72" s="538">
        <f>VLOOKUP($C72,'4b) SL EPO Extended Data Sheet'!$A$5:$AC$176,19,FALSE)</f>
        <v>46744</v>
      </c>
      <c r="AB72" s="538">
        <f>VLOOKUP($C72,'4b) SL EPO Extended Data Sheet'!$A$5:$AC$176,20,FALSE)</f>
        <v>46744</v>
      </c>
      <c r="AC72" s="51">
        <f>VLOOKUP($C72,'4b) SL EPO Extended Data Sheet'!$A$5:$AC$176,21,FALSE)</f>
        <v>0</v>
      </c>
      <c r="AD72" s="535">
        <f>VLOOKUP($C72,'4b) SL EPO Extended Data Sheet'!$A$5:$AB$176,15,FALSE)/1000000</f>
        <v>4.5187999999999999E-2</v>
      </c>
      <c r="AE72" s="49">
        <f>VLOOKUP($C72,'4b) SL EPO Extended Data Sheet'!$A$5:$AC$176,22,FALSE)/1000000</f>
        <v>2.2642280399999999</v>
      </c>
      <c r="AF72" s="49">
        <f>VLOOKUP($C72,'4b) SL EPO Extended Data Sheet'!$A$5:$AC$176,23,FALSE)/1000000</f>
        <v>1.4955497695</v>
      </c>
      <c r="AG72" s="52">
        <f>VLOOKUP($C72,'4b) SL EPO Extended Data Sheet'!$A$5:$AC$176,24,FALSE)/1000000</f>
        <v>1.3249386299999999</v>
      </c>
      <c r="AH72" s="539">
        <f>VLOOKUP($C72,'4b) SL EPO Extended Data Sheet'!$A$5:$AC$176,25,FALSE)</f>
        <v>1.1287690883463788</v>
      </c>
      <c r="AI72" s="539">
        <f>VLOOKUP($C72,'4b) SL EPO Extended Data Sheet'!$A$5:$AC$176,26,FALSE)</f>
        <v>0.66051199043538034</v>
      </c>
      <c r="AJ72" s="575">
        <f>VLOOKUP($C72,'4b) SL EPO Extended Data Sheet'!$A$5:$AC$176,27,FALSE)</f>
        <v>7.0421482061794285E-2</v>
      </c>
      <c r="AK72" s="574">
        <f>VLOOKUP($C72,'4b) SL EPO Extended Data Sheet'!$A$5:$AC$176,28,FALSE)</f>
        <v>4.6514233286045176E-2</v>
      </c>
      <c r="AL72" s="540">
        <f>VLOOKUP($C72,'4b) SL EPO Extended Data Sheet'!$A$6:$AB$176,15,FALSE)</f>
        <v>45188</v>
      </c>
      <c r="AM72" s="247" t="str">
        <f>VLOOKUP($C72,'4b) SL EPO Extended Data Sheet'!$A$5:$AC$176,29,FALSE)</f>
        <v>G</v>
      </c>
      <c r="AV72" s="631">
        <v>31.61433706</v>
      </c>
      <c r="AW72" s="607">
        <v>46744</v>
      </c>
      <c r="AX72" s="642"/>
      <c r="AY72" s="631">
        <v>32.152518999999998</v>
      </c>
      <c r="AZ72" s="611">
        <f>W72-AY72</f>
        <v>0</v>
      </c>
      <c r="BA72" s="607">
        <v>46744</v>
      </c>
      <c r="BB72" s="613">
        <f>AA72-BA72</f>
        <v>0</v>
      </c>
    </row>
    <row r="73" spans="1:56" s="267" customFormat="1" ht="91.3" customHeight="1" thickBot="1" x14ac:dyDescent="0.45">
      <c r="A73" s="299" t="str">
        <f>C72</f>
        <v>EMRMS (Emergency Management Radiological Monitoring System)</v>
      </c>
      <c r="B73" s="708" t="s">
        <v>576</v>
      </c>
      <c r="C73" s="711"/>
      <c r="D73" s="711"/>
      <c r="E73" s="711"/>
      <c r="F73" s="711"/>
      <c r="G73" s="711"/>
      <c r="H73" s="711"/>
      <c r="I73" s="711"/>
      <c r="J73" s="711"/>
      <c r="K73" s="711"/>
      <c r="L73" s="711"/>
      <c r="M73" s="711"/>
      <c r="N73" s="711"/>
      <c r="O73" s="711"/>
      <c r="P73" s="711"/>
      <c r="Q73" s="711"/>
      <c r="R73" s="711"/>
      <c r="S73" s="711"/>
      <c r="T73" s="711"/>
      <c r="U73" s="711"/>
      <c r="V73" s="711"/>
      <c r="W73" s="711"/>
      <c r="X73" s="711"/>
      <c r="Y73" s="711"/>
      <c r="Z73" s="711"/>
      <c r="AA73" s="711"/>
      <c r="AB73" s="711"/>
      <c r="AC73" s="711"/>
      <c r="AD73" s="711"/>
      <c r="AE73" s="711"/>
      <c r="AF73" s="711"/>
      <c r="AG73" s="711"/>
      <c r="AH73" s="711"/>
      <c r="AI73" s="711"/>
      <c r="AJ73" s="711"/>
      <c r="AK73" s="711"/>
      <c r="AL73" s="711"/>
      <c r="AM73" s="712"/>
      <c r="AV73" s="606"/>
      <c r="AW73" s="608"/>
      <c r="AX73" s="642"/>
      <c r="AY73" s="606"/>
      <c r="AZ73" s="612"/>
      <c r="BA73" s="608"/>
      <c r="BB73" s="614"/>
    </row>
    <row r="74" spans="1:56" s="267" customFormat="1" ht="5.25" customHeight="1" thickBot="1" x14ac:dyDescent="0.45">
      <c r="A74" s="299"/>
      <c r="C74" s="491"/>
      <c r="D74" s="300"/>
      <c r="W74" s="300"/>
      <c r="X74" s="300"/>
      <c r="Y74" s="300"/>
      <c r="Z74" s="300"/>
      <c r="AA74" s="300"/>
      <c r="AB74" s="300"/>
      <c r="AC74" s="300"/>
      <c r="AE74" s="300"/>
      <c r="AF74" s="300"/>
      <c r="AG74" s="300"/>
      <c r="AH74" s="300"/>
      <c r="AI74" s="300"/>
      <c r="AJ74" s="300"/>
      <c r="AK74" s="300"/>
      <c r="AL74" s="300"/>
      <c r="AV74" s="639"/>
      <c r="AW74" s="646"/>
      <c r="AX74" s="642"/>
      <c r="AY74" s="644"/>
      <c r="AZ74" s="609"/>
      <c r="BA74" s="605"/>
      <c r="BB74" s="610"/>
    </row>
    <row r="75" spans="1:56" s="267" customFormat="1" ht="36" customHeight="1" x14ac:dyDescent="0.4">
      <c r="A75" s="299"/>
      <c r="B75" s="216" t="s">
        <v>341</v>
      </c>
      <c r="C75" s="493" t="s">
        <v>342</v>
      </c>
      <c r="D75" s="540" t="s">
        <v>3</v>
      </c>
      <c r="E75" s="535"/>
      <c r="F75" s="244" t="str">
        <f>VLOOKUP($C75,'4b) SL EPO Extended Data Sheet'!$A$5:$AB$176,2,FALSE)</f>
        <v>G</v>
      </c>
      <c r="G75" s="245">
        <f>VLOOKUP($C75,'4b) SL EPO Extended Data Sheet'!$A$5:$AB$176,3, FALSE)</f>
        <v>0</v>
      </c>
      <c r="H75" s="536"/>
      <c r="I75" s="537" t="str">
        <f>VLOOKUP($C75,'4b) SL EPO Extended Data Sheet'!$A$5:$AD$176,30, FALSE)</f>
        <v>SOC
(Mar-24)</v>
      </c>
      <c r="J75" s="72">
        <f>VLOOKUP($C75,'4b) SL EPO Extended Data Sheet'!$A$5:$AB$176,6, FALSE)/1000000</f>
        <v>81.71669</v>
      </c>
      <c r="K75" s="48">
        <f>VLOOKUP($C75,'4b) SL EPO Extended Data Sheet'!$A$5:$AB$176,7, FALSE)/1000000</f>
        <v>164.37964199999999</v>
      </c>
      <c r="L75" s="538">
        <f>VLOOKUP($C75,'4b) SL EPO Extended Data Sheet'!$A$5:$AB$176,8, FALSE)</f>
        <v>48549</v>
      </c>
      <c r="M75" s="538">
        <f>VLOOKUP($C75,'4b) SL EPO Extended Data Sheet'!$A$5:$AB$176,9, FALSE)</f>
        <v>49310</v>
      </c>
      <c r="N75" s="535">
        <f>VLOOKUP($C75,'4b) SL EPO Extended Data Sheet'!$A$5:$AB$176,5, FALSE)</f>
        <v>45352</v>
      </c>
      <c r="O75" s="591">
        <f>VLOOKUP($C75,'4b) SL EPO Extended Data Sheet'!$A$5:$AB$176,10, FALSE)/1000000</f>
        <v>0</v>
      </c>
      <c r="P75" s="48">
        <f>VLOOKUP($C75,'4b) SL EPO Extended Data Sheet'!$A$5:$AB$176,11, FALSE)/1000000</f>
        <v>11.961</v>
      </c>
      <c r="Q75" s="535"/>
      <c r="R75" s="244" t="str">
        <f>VLOOKUP($C75,'4b) SL EPO Extended Data Sheet'!$A$5:$AB$176,12,FALSE)</f>
        <v>G</v>
      </c>
      <c r="S75" s="245">
        <f>VLOOKUP($C75,'4b) SL EPO Extended Data Sheet'!$A$5:$AB$176,13,FALSE)</f>
        <v>1</v>
      </c>
      <c r="T75" s="536"/>
      <c r="U75" s="537" t="str">
        <f>VLOOKUP($C75,'4b) SL EPO Extended Data Sheet'!$A$5:$AE$176,31,FALSE)</f>
        <v>SOC
(Feb-24)</v>
      </c>
      <c r="V75" s="536"/>
      <c r="W75" s="49">
        <f>VLOOKUP($C75,'4b) SL EPO Extended Data Sheet'!$A$5:$AC$176,16,FALSE)/1000000</f>
        <v>84.328299000000001</v>
      </c>
      <c r="X75" s="49">
        <f>VLOOKUP($C75,'4b) SL EPO Extended Data Sheet'!$A$5:$AC$176,17,FALSE)/1000000</f>
        <v>82.916699319999992</v>
      </c>
      <c r="Y75" s="49">
        <f>VLOOKUP($C75,'4b) SL EPO Extended Data Sheet'!$A$5:$AC$176,18,FALSE)/1000000</f>
        <v>-9.9992000000000006E-4</v>
      </c>
      <c r="Z75" s="49">
        <f>VLOOKUP($C75,'4b) SL EPO Extended Data Sheet'!$A$5:$AB$176,16,FALSE)/1000000</f>
        <v>84.328299000000001</v>
      </c>
      <c r="AA75" s="538">
        <f>VLOOKUP($C75,'4b) SL EPO Extended Data Sheet'!$A$5:$AC$176,19,FALSE)</f>
        <v>48234</v>
      </c>
      <c r="AB75" s="538">
        <f>VLOOKUP($C75,'4b) SL EPO Extended Data Sheet'!$A$5:$AC$176,20,FALSE)</f>
        <v>48110</v>
      </c>
      <c r="AC75" s="51">
        <f>VLOOKUP($C75,'4b) SL EPO Extended Data Sheet'!$A$5:$AC$176,21,FALSE)</f>
        <v>0</v>
      </c>
      <c r="AD75" s="535">
        <f>VLOOKUP($C75,'4b) SL EPO Extended Data Sheet'!$A$5:$AB$176,15,FALSE)/1000000</f>
        <v>4.5329000000000001E-2</v>
      </c>
      <c r="AE75" s="49">
        <f>VLOOKUP($C75,'4b) SL EPO Extended Data Sheet'!$A$5:$AC$176,22,FALSE)/1000000</f>
        <v>9.1904491000000004</v>
      </c>
      <c r="AF75" s="49">
        <f>VLOOKUP($C75,'4b) SL EPO Extended Data Sheet'!$A$5:$AC$176,23,FALSE)/1000000</f>
        <v>7.4664117472000004</v>
      </c>
      <c r="AG75" s="52">
        <f>VLOOKUP($C75,'4b) SL EPO Extended Data Sheet'!$A$5:$AC$176,24,FALSE)/1000000</f>
        <v>5.9714513</v>
      </c>
      <c r="AH75" s="539">
        <f>VLOOKUP($C75,'4b) SL EPO Extended Data Sheet'!$A$5:$AC$176,25,FALSE)</f>
        <v>1.2503512751079457</v>
      </c>
      <c r="AI75" s="539">
        <f>VLOOKUP($C75,'4b) SL EPO Extended Data Sheet'!$A$5:$AC$176,26,FALSE)</f>
        <v>0.81240989052428347</v>
      </c>
      <c r="AJ75" s="575">
        <f>VLOOKUP($C75,'4b) SL EPO Extended Data Sheet'!$A$5:$AC$176,27,FALSE)</f>
        <v>0.10898416319295139</v>
      </c>
      <c r="AK75" s="574">
        <f>VLOOKUP($C75,'4b) SL EPO Extended Data Sheet'!$A$5:$AC$176,28,FALSE)</f>
        <v>8.8539812088466299E-2</v>
      </c>
      <c r="AL75" s="540">
        <f>VLOOKUP($C75,'4b) SL EPO Extended Data Sheet'!$A$6:$AB$176,15,FALSE)</f>
        <v>45329</v>
      </c>
      <c r="AM75" s="247" t="str">
        <f>VLOOKUP($C75,'4b) SL EPO Extended Data Sheet'!$A$5:$AC$176,29,FALSE)</f>
        <v>G</v>
      </c>
      <c r="AO75" s="279"/>
      <c r="AP75" s="279"/>
      <c r="AQ75" s="279"/>
      <c r="AR75" s="279"/>
      <c r="AS75" s="279"/>
      <c r="AT75" s="279"/>
      <c r="AU75" s="279"/>
      <c r="AV75" s="631">
        <v>82.882503040000003</v>
      </c>
      <c r="AW75" s="607">
        <v>48110</v>
      </c>
      <c r="AX75" s="642"/>
      <c r="AY75" s="631">
        <v>84.328299000000001</v>
      </c>
      <c r="AZ75" s="611">
        <f>W75-AY75</f>
        <v>0</v>
      </c>
      <c r="BA75" s="607">
        <v>48234</v>
      </c>
      <c r="BB75" s="613">
        <f>AA75-BA75</f>
        <v>0</v>
      </c>
      <c r="BC75" s="279"/>
      <c r="BD75" s="279"/>
    </row>
    <row r="76" spans="1:56" s="267" customFormat="1" ht="63.9" customHeight="1" thickBot="1" x14ac:dyDescent="0.45">
      <c r="A76" s="299" t="str">
        <f>C75</f>
        <v>Product Zone Power Supply</v>
      </c>
      <c r="B76" s="708" t="s">
        <v>577</v>
      </c>
      <c r="C76" s="711"/>
      <c r="D76" s="711"/>
      <c r="E76" s="711"/>
      <c r="F76" s="711"/>
      <c r="G76" s="711"/>
      <c r="H76" s="711"/>
      <c r="I76" s="711"/>
      <c r="J76" s="711"/>
      <c r="K76" s="711"/>
      <c r="L76" s="711"/>
      <c r="M76" s="711"/>
      <c r="N76" s="711"/>
      <c r="O76" s="711"/>
      <c r="P76" s="711"/>
      <c r="Q76" s="711"/>
      <c r="R76" s="711"/>
      <c r="S76" s="711"/>
      <c r="T76" s="711"/>
      <c r="U76" s="711"/>
      <c r="V76" s="711"/>
      <c r="W76" s="711"/>
      <c r="X76" s="711"/>
      <c r="Y76" s="711"/>
      <c r="Z76" s="711"/>
      <c r="AA76" s="711"/>
      <c r="AB76" s="711"/>
      <c r="AC76" s="711"/>
      <c r="AD76" s="711"/>
      <c r="AE76" s="711"/>
      <c r="AF76" s="711"/>
      <c r="AG76" s="711"/>
      <c r="AH76" s="711"/>
      <c r="AI76" s="711"/>
      <c r="AJ76" s="711"/>
      <c r="AK76" s="711"/>
      <c r="AL76" s="711"/>
      <c r="AM76" s="712"/>
      <c r="AV76" s="640"/>
      <c r="AW76" s="619"/>
      <c r="AX76" s="643"/>
      <c r="AY76" s="640"/>
      <c r="AZ76" s="620"/>
      <c r="BA76" s="619"/>
      <c r="BB76" s="621"/>
    </row>
    <row r="77" spans="1:56" s="267" customFormat="1" ht="5.25" customHeight="1" thickBot="1" x14ac:dyDescent="0.45">
      <c r="A77" s="299"/>
      <c r="B77" s="289"/>
      <c r="C77" s="489"/>
      <c r="D77" s="289"/>
      <c r="E77" s="289"/>
      <c r="F77" s="289"/>
      <c r="G77" s="289"/>
      <c r="H77" s="289"/>
      <c r="I77" s="289"/>
      <c r="J77" s="289"/>
      <c r="K77" s="289"/>
      <c r="L77" s="289"/>
      <c r="M77" s="289"/>
      <c r="N77" s="289"/>
      <c r="O77" s="289"/>
      <c r="P77" s="289"/>
      <c r="Q77" s="289"/>
      <c r="R77" s="289"/>
      <c r="S77" s="289"/>
      <c r="T77" s="289"/>
      <c r="U77" s="289"/>
      <c r="V77" s="289"/>
      <c r="W77" s="289"/>
      <c r="X77" s="289"/>
      <c r="Y77" s="289"/>
      <c r="Z77" s="289"/>
      <c r="AA77" s="289"/>
      <c r="AB77" s="289"/>
      <c r="AC77" s="289"/>
      <c r="AD77" s="289"/>
      <c r="AE77" s="289"/>
      <c r="AF77" s="289"/>
      <c r="AG77" s="289"/>
      <c r="AH77" s="289"/>
      <c r="AI77" s="289"/>
      <c r="AJ77" s="289"/>
      <c r="AK77" s="289"/>
      <c r="AL77" s="289"/>
      <c r="AM77" s="289"/>
      <c r="AV77" s="639"/>
      <c r="AW77" s="646"/>
      <c r="AX77" s="642"/>
      <c r="AY77" s="644"/>
      <c r="AZ77" s="609"/>
      <c r="BA77" s="605"/>
      <c r="BB77" s="610"/>
    </row>
    <row r="78" spans="1:56" s="267" customFormat="1" ht="36" customHeight="1" x14ac:dyDescent="0.4">
      <c r="A78" s="299"/>
      <c r="B78" s="216" t="s">
        <v>370</v>
      </c>
      <c r="C78" s="493" t="s">
        <v>374</v>
      </c>
      <c r="D78" s="540" t="s">
        <v>3</v>
      </c>
      <c r="E78" s="535"/>
      <c r="F78" s="244" t="str">
        <f>VLOOKUP($C78,'4b) SL EPO Extended Data Sheet'!$A$5:$AB$176,2,FALSE)</f>
        <v>G</v>
      </c>
      <c r="G78" s="245">
        <f>VLOOKUP($C78,'4b) SL EPO Extended Data Sheet'!$A$5:$AB$176,3, FALSE)</f>
        <v>0</v>
      </c>
      <c r="H78" s="536"/>
      <c r="I78" s="537" t="str">
        <f>VLOOKUP($C78,'4b) SL EPO Extended Data Sheet'!$A$5:$AD$176,30, FALSE)</f>
        <v>FBC
(Feb-16)</v>
      </c>
      <c r="J78" s="72">
        <f>VLOOKUP($C78,'4b) SL EPO Extended Data Sheet'!$A$5:$AB$176,6, FALSE)/1000000</f>
        <v>64.272000000000006</v>
      </c>
      <c r="K78" s="48">
        <f>VLOOKUP($C78,'4b) SL EPO Extended Data Sheet'!$A$5:$AB$176,7, FALSE)/1000000</f>
        <v>66.533000000000001</v>
      </c>
      <c r="L78" s="555">
        <f>VLOOKUP($C78,'4b) SL EPO Extended Data Sheet'!$A$5:$AB$176,8, FALSE)</f>
        <v>44530</v>
      </c>
      <c r="M78" s="555" t="str">
        <f>VLOOKUP($C78,'4b) SL EPO Extended Data Sheet'!$A$5:$AB$176,9, FALSE)</f>
        <v/>
      </c>
      <c r="N78" s="535">
        <f>VLOOKUP($C78,'4b) SL EPO Extended Data Sheet'!$A$5:$AB$176,5, FALSE)</f>
        <v>42404</v>
      </c>
      <c r="O78" s="591">
        <f>VLOOKUP($C78,'4b) SL EPO Extended Data Sheet'!$A$5:$AB$176,10, FALSE)/1000000</f>
        <v>60.457000000000001</v>
      </c>
      <c r="P78" s="48">
        <f>VLOOKUP($C78,'4b) SL EPO Extended Data Sheet'!$A$5:$AB$176,11, FALSE)/1000000</f>
        <v>58.957000000000001</v>
      </c>
      <c r="Q78" s="535"/>
      <c r="R78" s="244" t="str">
        <f>VLOOKUP($C78,'4b) SL EPO Extended Data Sheet'!$A$5:$AB$176,12,FALSE)</f>
        <v>G</v>
      </c>
      <c r="S78" s="245">
        <f>VLOOKUP($C78,'4b) SL EPO Extended Data Sheet'!$A$5:$AB$176,13,FALSE)</f>
        <v>0</v>
      </c>
      <c r="T78" s="536"/>
      <c r="U78" s="537" t="str">
        <f>VLOOKUP($C78,'4b) SL EPO Extended Data Sheet'!$A$5:$AE$176,31,FALSE)</f>
        <v>FBC
(Mar-15)</v>
      </c>
      <c r="V78" s="536"/>
      <c r="W78" s="49">
        <f>VLOOKUP($C78,'4b) SL EPO Extended Data Sheet'!$A$5:$AC$176,16,FALSE)/1000000</f>
        <v>64.421715000000006</v>
      </c>
      <c r="X78" s="49">
        <f>VLOOKUP($C78,'4b) SL EPO Extended Data Sheet'!$A$5:$AC$176,17,FALSE)/1000000</f>
        <v>58.647950659999999</v>
      </c>
      <c r="Y78" s="49">
        <f>VLOOKUP($C78,'4b) SL EPO Extended Data Sheet'!$A$5:$AC$176,18,FALSE)/1000000</f>
        <v>1.521575E-2</v>
      </c>
      <c r="Z78" s="49">
        <f>VLOOKUP($C78,'4b) SL EPO Extended Data Sheet'!$A$5:$AB$176,16,FALSE)/1000000</f>
        <v>64.421715000000006</v>
      </c>
      <c r="AA78" s="538">
        <f>VLOOKUP($C78,'4b) SL EPO Extended Data Sheet'!$A$5:$AC$176,19,FALSE)</f>
        <v>44054</v>
      </c>
      <c r="AB78" s="538">
        <f>VLOOKUP($C78,'4b) SL EPO Extended Data Sheet'!$A$5:$AC$176,20,FALSE)</f>
        <v>46007</v>
      </c>
      <c r="AC78" s="51">
        <f>VLOOKUP($C78,'4b) SL EPO Extended Data Sheet'!$A$5:$AC$176,21,FALSE)</f>
        <v>42</v>
      </c>
      <c r="AD78" s="535">
        <f>VLOOKUP($C78,'4b) SL EPO Extended Data Sheet'!$A$5:$AB$176,15,FALSE)/1000000</f>
        <v>4.2079999999999999E-2</v>
      </c>
      <c r="AE78" s="49">
        <f>VLOOKUP($C78,'4b) SL EPO Extended Data Sheet'!$A$5:$AC$176,22,FALSE)/1000000</f>
        <v>64.42171544</v>
      </c>
      <c r="AF78" s="49">
        <f>VLOOKUP($C78,'4b) SL EPO Extended Data Sheet'!$A$5:$AC$176,23,FALSE)/1000000</f>
        <v>64.352225929499994</v>
      </c>
      <c r="AG78" s="52">
        <f>VLOOKUP($C78,'4b) SL EPO Extended Data Sheet'!$A$5:$AC$176,24,FALSE)/1000000</f>
        <v>58.591612240000003</v>
      </c>
      <c r="AH78" s="539">
        <f>VLOOKUP($C78,'4b) SL EPO Extended Data Sheet'!$A$5:$AC$176,25,FALSE)</f>
        <v>1.0983180607132581</v>
      </c>
      <c r="AI78" s="539">
        <f>VLOOKUP($C78,'4b) SL EPO Extended Data Sheet'!$A$5:$AC$176,26,FALSE)</f>
        <v>0.99892133405598738</v>
      </c>
      <c r="AJ78" s="575">
        <f>VLOOKUP($C78,'4b) SL EPO Extended Data Sheet'!$A$5:$AC$176,27,FALSE)</f>
        <v>1.000000006829995</v>
      </c>
      <c r="AK78" s="574">
        <f>VLOOKUP($C78,'4b) SL EPO Extended Data Sheet'!$A$5:$AC$176,28,FALSE)</f>
        <v>0.99892134087861517</v>
      </c>
      <c r="AL78" s="540">
        <f>VLOOKUP($C78,'4b) SL EPO Extended Data Sheet'!$A$6:$AB$176,15,FALSE)</f>
        <v>42080</v>
      </c>
      <c r="AM78" s="247" t="str">
        <f>VLOOKUP($C78,'4b) SL EPO Extended Data Sheet'!$A$5:$AC$176,29,FALSE)</f>
        <v>G</v>
      </c>
      <c r="AV78" s="631">
        <v>58.632734909999996</v>
      </c>
      <c r="AW78" s="607">
        <v>45965</v>
      </c>
      <c r="AX78" s="642"/>
      <c r="AY78" s="631">
        <v>64.421715000000006</v>
      </c>
      <c r="AZ78" s="611">
        <f>W78-AY78</f>
        <v>0</v>
      </c>
      <c r="BA78" s="607">
        <v>44054</v>
      </c>
      <c r="BB78" s="613">
        <f>AA78-BA78</f>
        <v>0</v>
      </c>
    </row>
    <row r="79" spans="1:56" s="267" customFormat="1" ht="42.75" customHeight="1" thickBot="1" x14ac:dyDescent="0.45">
      <c r="A79" s="299" t="str">
        <f>C78</f>
        <v>Substations 6 &amp; 7 Replacement</v>
      </c>
      <c r="B79" s="708" t="s">
        <v>557</v>
      </c>
      <c r="C79" s="711"/>
      <c r="D79" s="711"/>
      <c r="E79" s="711"/>
      <c r="F79" s="711"/>
      <c r="G79" s="711"/>
      <c r="H79" s="711"/>
      <c r="I79" s="711"/>
      <c r="J79" s="711"/>
      <c r="K79" s="711"/>
      <c r="L79" s="711"/>
      <c r="M79" s="711"/>
      <c r="N79" s="711"/>
      <c r="O79" s="711"/>
      <c r="P79" s="711"/>
      <c r="Q79" s="711"/>
      <c r="R79" s="711"/>
      <c r="S79" s="711"/>
      <c r="T79" s="711"/>
      <c r="U79" s="711"/>
      <c r="V79" s="711"/>
      <c r="W79" s="711"/>
      <c r="X79" s="711"/>
      <c r="Y79" s="711"/>
      <c r="Z79" s="711"/>
      <c r="AA79" s="711"/>
      <c r="AB79" s="711"/>
      <c r="AC79" s="711"/>
      <c r="AD79" s="711"/>
      <c r="AE79" s="711"/>
      <c r="AF79" s="711"/>
      <c r="AG79" s="711"/>
      <c r="AH79" s="711"/>
      <c r="AI79" s="711"/>
      <c r="AJ79" s="711"/>
      <c r="AK79" s="711"/>
      <c r="AL79" s="711"/>
      <c r="AM79" s="712"/>
      <c r="AV79" s="606"/>
      <c r="AW79" s="608"/>
      <c r="AX79" s="642"/>
      <c r="AY79" s="606"/>
      <c r="AZ79" s="612"/>
      <c r="BA79" s="608"/>
      <c r="BB79" s="614"/>
    </row>
    <row r="80" spans="1:56" s="267" customFormat="1" ht="5.25" customHeight="1" thickBot="1" x14ac:dyDescent="0.45">
      <c r="A80" s="299"/>
      <c r="B80" s="289" t="s">
        <v>376</v>
      </c>
      <c r="C80" s="489"/>
      <c r="D80" s="289"/>
      <c r="E80" s="289"/>
      <c r="F80" s="289"/>
      <c r="G80" s="289"/>
      <c r="H80" s="289"/>
      <c r="I80" s="289"/>
      <c r="J80" s="289"/>
      <c r="K80" s="289"/>
      <c r="L80" s="289"/>
      <c r="M80" s="289"/>
      <c r="N80" s="289"/>
      <c r="O80" s="289"/>
      <c r="P80" s="289"/>
      <c r="Q80" s="289"/>
      <c r="R80" s="289"/>
      <c r="S80" s="289"/>
      <c r="T80" s="289"/>
      <c r="U80" s="289"/>
      <c r="V80" s="289"/>
      <c r="W80" s="289"/>
      <c r="X80" s="289"/>
      <c r="Y80" s="289"/>
      <c r="Z80" s="289"/>
      <c r="AA80" s="289"/>
      <c r="AB80" s="289"/>
      <c r="AC80" s="289"/>
      <c r="AD80" s="289"/>
      <c r="AE80" s="289"/>
      <c r="AF80" s="289"/>
      <c r="AG80" s="289"/>
      <c r="AH80" s="289"/>
      <c r="AI80" s="289"/>
      <c r="AJ80" s="289"/>
      <c r="AK80" s="289"/>
      <c r="AL80" s="289"/>
      <c r="AM80" s="289"/>
      <c r="AV80" s="639"/>
      <c r="AW80" s="646"/>
      <c r="AX80" s="642"/>
      <c r="AY80" s="644"/>
      <c r="AZ80" s="609"/>
      <c r="BA80" s="605"/>
      <c r="BB80" s="610"/>
    </row>
    <row r="81" spans="1:56" s="267" customFormat="1" ht="36" customHeight="1" x14ac:dyDescent="0.4">
      <c r="A81" s="299"/>
      <c r="B81" s="216" t="s">
        <v>357</v>
      </c>
      <c r="C81" s="493" t="s">
        <v>358</v>
      </c>
      <c r="D81" s="540" t="s">
        <v>3</v>
      </c>
      <c r="E81" s="535"/>
      <c r="F81" s="244" t="str">
        <f>VLOOKUP($C81,'4b) SL EPO Extended Data Sheet'!$A$5:$AB$176,2,FALSE)</f>
        <v>G</v>
      </c>
      <c r="G81" s="245">
        <f>VLOOKUP($C81,'4b) SL EPO Extended Data Sheet'!$A$5:$AB$176,3, FALSE)</f>
        <v>0</v>
      </c>
      <c r="H81" s="536"/>
      <c r="I81" s="537" t="str">
        <f>VLOOKUP($C81,'4b) SL EPO Extended Data Sheet'!$A$5:$AD$176,30, FALSE)</f>
        <v>SOC
(Nov-23)</v>
      </c>
      <c r="J81" s="72">
        <f>VLOOKUP($C81,'4b) SL EPO Extended Data Sheet'!$A$5:$AB$176,6, FALSE)/1000000</f>
        <v>44.848309</v>
      </c>
      <c r="K81" s="48">
        <f>VLOOKUP($C81,'4b) SL EPO Extended Data Sheet'!$A$5:$AB$176,7, FALSE)/1000000</f>
        <v>45.887309000000002</v>
      </c>
      <c r="L81" s="555">
        <f>VLOOKUP($C81,'4b) SL EPO Extended Data Sheet'!$A$5:$AB$176,8, FALSE)</f>
        <v>47543</v>
      </c>
      <c r="M81" s="555" t="str">
        <f>VLOOKUP($C81,'4b) SL EPO Extended Data Sheet'!$A$5:$AB$176,9, FALSE)</f>
        <v/>
      </c>
      <c r="N81" s="535">
        <f>VLOOKUP($C81,'4b) SL EPO Extended Data Sheet'!$A$5:$AB$176,5, FALSE)</f>
        <v>45239</v>
      </c>
      <c r="O81" s="591">
        <f>VLOOKUP($C81,'4b) SL EPO Extended Data Sheet'!$A$5:$AB$176,10, FALSE)/1000000</f>
        <v>0</v>
      </c>
      <c r="P81" s="48">
        <f>VLOOKUP($C81,'4b) SL EPO Extended Data Sheet'!$A$5:$AB$176,11, FALSE)/1000000</f>
        <v>3.0871019999999998</v>
      </c>
      <c r="Q81" s="535"/>
      <c r="R81" s="244" t="str">
        <f>VLOOKUP($C81,'4b) SL EPO Extended Data Sheet'!$A$5:$AB$176,12,FALSE)</f>
        <v>G</v>
      </c>
      <c r="S81" s="245">
        <f>VLOOKUP($C81,'4b) SL EPO Extended Data Sheet'!$A$5:$AB$176,13,FALSE)</f>
        <v>0</v>
      </c>
      <c r="T81" s="536"/>
      <c r="U81" s="537" t="str">
        <f>VLOOKUP($C81,'4b) SL EPO Extended Data Sheet'!$A$5:$AE$176,31,FALSE)</f>
        <v>SOC
(Jan-24)</v>
      </c>
      <c r="V81" s="536"/>
      <c r="W81" s="49">
        <f>VLOOKUP($C81,'4b) SL EPO Extended Data Sheet'!$A$5:$AC$176,16,FALSE)/1000000</f>
        <v>42.841253999999999</v>
      </c>
      <c r="X81" s="49">
        <f>VLOOKUP($C81,'4b) SL EPO Extended Data Sheet'!$A$5:$AC$176,17,FALSE)/1000000</f>
        <v>42.416380079999996</v>
      </c>
      <c r="Y81" s="49">
        <f>VLOOKUP($C81,'4b) SL EPO Extended Data Sheet'!$A$5:$AC$176,18,FALSE)/1000000</f>
        <v>-1.1102E-3</v>
      </c>
      <c r="Z81" s="49">
        <f>VLOOKUP($C81,'4b) SL EPO Extended Data Sheet'!$A$5:$AB$176,16,FALSE)/1000000</f>
        <v>42.841253999999999</v>
      </c>
      <c r="AA81" s="538">
        <f>VLOOKUP($C81,'4b) SL EPO Extended Data Sheet'!$A$5:$AC$176,19,FALSE)</f>
        <v>47416</v>
      </c>
      <c r="AB81" s="538">
        <f>VLOOKUP($C81,'4b) SL EPO Extended Data Sheet'!$A$5:$AC$176,20,FALSE)</f>
        <v>47416</v>
      </c>
      <c r="AC81" s="51">
        <f>VLOOKUP($C81,'4b) SL EPO Extended Data Sheet'!$A$5:$AC$176,21,FALSE)</f>
        <v>0</v>
      </c>
      <c r="AD81" s="535">
        <f>VLOOKUP($C81,'4b) SL EPO Extended Data Sheet'!$A$5:$AB$176,15,FALSE)/1000000</f>
        <v>4.5305999999999999E-2</v>
      </c>
      <c r="AE81" s="49">
        <f>VLOOKUP($C81,'4b) SL EPO Extended Data Sheet'!$A$5:$AC$176,22,FALSE)/1000000</f>
        <v>3.2519152999999998</v>
      </c>
      <c r="AF81" s="49">
        <f>VLOOKUP($C81,'4b) SL EPO Extended Data Sheet'!$A$5:$AC$176,23,FALSE)/1000000</f>
        <v>2.4458196068000002</v>
      </c>
      <c r="AG81" s="52">
        <f>VLOOKUP($C81,'4b) SL EPO Extended Data Sheet'!$A$5:$AC$176,24,FALSE)/1000000</f>
        <v>2.2005269199999997</v>
      </c>
      <c r="AH81" s="539">
        <f>VLOOKUP($C81,'4b) SL EPO Extended Data Sheet'!$A$5:$AC$176,25,FALSE)</f>
        <v>1.1114699777451484</v>
      </c>
      <c r="AI81" s="539">
        <f>VLOOKUP($C81,'4b) SL EPO Extended Data Sheet'!$A$5:$AC$176,26,FALSE)</f>
        <v>0.75211663932329353</v>
      </c>
      <c r="AJ81" s="575">
        <f>VLOOKUP($C81,'4b) SL EPO Extended Data Sheet'!$A$5:$AC$176,27,FALSE)</f>
        <v>7.5906165118322627E-2</v>
      </c>
      <c r="AK81" s="574">
        <f>VLOOKUP($C81,'4b) SL EPO Extended Data Sheet'!$A$5:$AC$176,28,FALSE)</f>
        <v>5.7090289812711838E-2</v>
      </c>
      <c r="AL81" s="540">
        <f>VLOOKUP($C81,'4b) SL EPO Extended Data Sheet'!$A$6:$AB$176,15,FALSE)</f>
        <v>45306</v>
      </c>
      <c r="AM81" s="247" t="str">
        <f>VLOOKUP($C81,'4b) SL EPO Extended Data Sheet'!$A$5:$AC$176,29,FALSE)</f>
        <v>G</v>
      </c>
      <c r="AV81" s="631">
        <v>42.416284220000001</v>
      </c>
      <c r="AW81" s="607">
        <v>47416</v>
      </c>
      <c r="AX81" s="642"/>
      <c r="AY81" s="631">
        <v>42.841253999999999</v>
      </c>
      <c r="AZ81" s="611">
        <f>W81-AY81</f>
        <v>0</v>
      </c>
      <c r="BA81" s="607">
        <v>47416</v>
      </c>
      <c r="BB81" s="613">
        <f>AA81-BA81</f>
        <v>0</v>
      </c>
    </row>
    <row r="82" spans="1:56" s="267" customFormat="1" ht="42" customHeight="1" thickBot="1" x14ac:dyDescent="0.45">
      <c r="A82" s="299" t="str">
        <f>C81</f>
        <v>Substation 10 Replacement</v>
      </c>
      <c r="B82" s="708" t="s">
        <v>578</v>
      </c>
      <c r="C82" s="711"/>
      <c r="D82" s="711"/>
      <c r="E82" s="711"/>
      <c r="F82" s="711"/>
      <c r="G82" s="711"/>
      <c r="H82" s="711"/>
      <c r="I82" s="711"/>
      <c r="J82" s="711"/>
      <c r="K82" s="711"/>
      <c r="L82" s="711"/>
      <c r="M82" s="711"/>
      <c r="N82" s="711"/>
      <c r="O82" s="711"/>
      <c r="P82" s="711"/>
      <c r="Q82" s="711"/>
      <c r="R82" s="711"/>
      <c r="S82" s="711"/>
      <c r="T82" s="711"/>
      <c r="U82" s="711"/>
      <c r="V82" s="711"/>
      <c r="W82" s="711"/>
      <c r="X82" s="711"/>
      <c r="Y82" s="711"/>
      <c r="Z82" s="711"/>
      <c r="AA82" s="711"/>
      <c r="AB82" s="711"/>
      <c r="AC82" s="711"/>
      <c r="AD82" s="711"/>
      <c r="AE82" s="711"/>
      <c r="AF82" s="711"/>
      <c r="AG82" s="711"/>
      <c r="AH82" s="711"/>
      <c r="AI82" s="711"/>
      <c r="AJ82" s="711"/>
      <c r="AK82" s="711"/>
      <c r="AL82" s="711"/>
      <c r="AM82" s="712"/>
      <c r="AV82" s="606"/>
      <c r="AW82" s="608"/>
      <c r="AX82" s="642"/>
      <c r="AY82" s="606"/>
      <c r="AZ82" s="612"/>
      <c r="BA82" s="608"/>
      <c r="BB82" s="614"/>
    </row>
    <row r="83" spans="1:56" s="267" customFormat="1" ht="5.25" customHeight="1" thickBot="1" x14ac:dyDescent="0.45">
      <c r="A83" s="299"/>
      <c r="B83" s="289"/>
      <c r="C83" s="489"/>
      <c r="D83" s="289"/>
      <c r="E83" s="289"/>
      <c r="F83" s="289"/>
      <c r="G83" s="289"/>
      <c r="H83" s="289"/>
      <c r="I83" s="289"/>
      <c r="J83" s="289"/>
      <c r="K83" s="289"/>
      <c r="L83" s="289"/>
      <c r="M83" s="289"/>
      <c r="N83" s="289"/>
      <c r="O83" s="289"/>
      <c r="P83" s="289"/>
      <c r="Q83" s="289"/>
      <c r="R83" s="289"/>
      <c r="S83" s="289"/>
      <c r="T83" s="289"/>
      <c r="U83" s="289"/>
      <c r="V83" s="289"/>
      <c r="W83" s="289"/>
      <c r="X83" s="289"/>
      <c r="Y83" s="289"/>
      <c r="Z83" s="289"/>
      <c r="AA83" s="289"/>
      <c r="AB83" s="289"/>
      <c r="AC83" s="289"/>
      <c r="AD83" s="289"/>
      <c r="AE83" s="289"/>
      <c r="AF83" s="289"/>
      <c r="AG83" s="289"/>
      <c r="AH83" s="289"/>
      <c r="AI83" s="289"/>
      <c r="AJ83" s="289"/>
      <c r="AK83" s="289"/>
      <c r="AL83" s="289"/>
      <c r="AM83" s="289"/>
      <c r="AV83" s="639"/>
      <c r="AW83" s="646"/>
      <c r="AX83" s="642"/>
      <c r="AY83" s="644"/>
      <c r="AZ83" s="609"/>
      <c r="BA83" s="605"/>
      <c r="BB83" s="610"/>
    </row>
    <row r="84" spans="1:56" s="267" customFormat="1" ht="36" customHeight="1" x14ac:dyDescent="0.4">
      <c r="A84" s="299"/>
      <c r="B84" s="216" t="s">
        <v>359</v>
      </c>
      <c r="C84" s="493" t="s">
        <v>360</v>
      </c>
      <c r="D84" s="540" t="s">
        <v>3</v>
      </c>
      <c r="E84" s="535"/>
      <c r="F84" s="244" t="str">
        <f>VLOOKUP($C84,'4b) SL EPO Extended Data Sheet'!$A$5:$AB$176,2,FALSE)</f>
        <v>G</v>
      </c>
      <c r="G84" s="245">
        <f>VLOOKUP($C84,'4b) SL EPO Extended Data Sheet'!$A$5:$AB$176,3, FALSE)</f>
        <v>0</v>
      </c>
      <c r="H84" s="536"/>
      <c r="I84" s="537" t="str">
        <f>VLOOKUP($C84,'4b) SL EPO Extended Data Sheet'!$A$5:$AD$176,30, FALSE)</f>
        <v>SOC
(Sep-23)</v>
      </c>
      <c r="J84" s="72">
        <f>VLOOKUP($C84,'4b) SL EPO Extended Data Sheet'!$A$5:$AB$176,6, FALSE)/1000000</f>
        <v>44</v>
      </c>
      <c r="K84" s="48">
        <f>VLOOKUP($C84,'4b) SL EPO Extended Data Sheet'!$A$5:$AB$176,7, FALSE)/1000000</f>
        <v>45.039000000000001</v>
      </c>
      <c r="L84" s="555">
        <f>VLOOKUP($C84,'4b) SL EPO Extended Data Sheet'!$A$5:$AB$176,8, FALSE)</f>
        <v>47119</v>
      </c>
      <c r="M84" s="555" t="str">
        <f>VLOOKUP($C84,'4b) SL EPO Extended Data Sheet'!$A$5:$AB$176,9, FALSE)</f>
        <v/>
      </c>
      <c r="N84" s="535">
        <f>VLOOKUP($C84,'4b) SL EPO Extended Data Sheet'!$A$5:$AB$176,5, FALSE)</f>
        <v>45170</v>
      </c>
      <c r="O84" s="591">
        <f>VLOOKUP($C84,'4b) SL EPO Extended Data Sheet'!$A$5:$AB$176,10, FALSE)/1000000</f>
        <v>0</v>
      </c>
      <c r="P84" s="48">
        <f>VLOOKUP($C84,'4b) SL EPO Extended Data Sheet'!$A$5:$AB$176,11, FALSE)/1000000</f>
        <v>2.601</v>
      </c>
      <c r="Q84" s="535"/>
      <c r="R84" s="244" t="str">
        <f>VLOOKUP($C84,'4b) SL EPO Extended Data Sheet'!$A$5:$AB$176,12,FALSE)</f>
        <v>G</v>
      </c>
      <c r="S84" s="245">
        <f>VLOOKUP($C84,'4b) SL EPO Extended Data Sheet'!$A$5:$AB$176,13,FALSE)</f>
        <v>0</v>
      </c>
      <c r="T84" s="536"/>
      <c r="U84" s="537" t="str">
        <f>VLOOKUP($C84,'4b) SL EPO Extended Data Sheet'!$A$5:$AE$176,31,FALSE)</f>
        <v>SOC
(Jan-24)</v>
      </c>
      <c r="V84" s="536"/>
      <c r="W84" s="49">
        <f>VLOOKUP($C84,'4b) SL EPO Extended Data Sheet'!$A$5:$AC$176,16,FALSE)/1000000</f>
        <v>42.754873000000003</v>
      </c>
      <c r="X84" s="49">
        <f>VLOOKUP($C84,'4b) SL EPO Extended Data Sheet'!$A$5:$AC$176,17,FALSE)/1000000</f>
        <v>42.264071770000001</v>
      </c>
      <c r="Y84" s="49">
        <f>VLOOKUP($C84,'4b) SL EPO Extended Data Sheet'!$A$5:$AC$176,18,FALSE)/1000000</f>
        <v>4.4286E-4</v>
      </c>
      <c r="Z84" s="49">
        <f>VLOOKUP($C84,'4b) SL EPO Extended Data Sheet'!$A$5:$AB$176,16,FALSE)/1000000</f>
        <v>42.754873000000003</v>
      </c>
      <c r="AA84" s="538">
        <f>VLOOKUP($C84,'4b) SL EPO Extended Data Sheet'!$A$5:$AC$176,19,FALSE)</f>
        <v>47129</v>
      </c>
      <c r="AB84" s="538">
        <f>VLOOKUP($C84,'4b) SL EPO Extended Data Sheet'!$A$5:$AC$176,20,FALSE)</f>
        <v>47129</v>
      </c>
      <c r="AC84" s="51">
        <f>VLOOKUP($C84,'4b) SL EPO Extended Data Sheet'!$A$5:$AC$176,21,FALSE)</f>
        <v>0</v>
      </c>
      <c r="AD84" s="535">
        <f>VLOOKUP($C84,'4b) SL EPO Extended Data Sheet'!$A$5:$AB$176,15,FALSE)/1000000</f>
        <v>4.5305999999999999E-2</v>
      </c>
      <c r="AE84" s="49">
        <f>VLOOKUP($C84,'4b) SL EPO Extended Data Sheet'!$A$5:$AC$176,22,FALSE)/1000000</f>
        <v>3.9444486599999999</v>
      </c>
      <c r="AF84" s="49">
        <f>VLOOKUP($C84,'4b) SL EPO Extended Data Sheet'!$A$5:$AC$176,23,FALSE)/1000000</f>
        <v>2.1716493372999999</v>
      </c>
      <c r="AG84" s="52">
        <f>VLOOKUP($C84,'4b) SL EPO Extended Data Sheet'!$A$5:$AC$176,24,FALSE)/1000000</f>
        <v>2.3977164100000001</v>
      </c>
      <c r="AH84" s="539">
        <f>VLOOKUP($C84,'4b) SL EPO Extended Data Sheet'!$A$5:$AC$176,25,FALSE)</f>
        <v>0.90571567523283536</v>
      </c>
      <c r="AI84" s="539">
        <f>VLOOKUP($C84,'4b) SL EPO Extended Data Sheet'!$A$5:$AC$176,26,FALSE)</f>
        <v>0.55055839852153132</v>
      </c>
      <c r="AJ84" s="575">
        <f>VLOOKUP($C84,'4b) SL EPO Extended Data Sheet'!$A$5:$AC$176,27,FALSE)</f>
        <v>9.2257288660406028E-2</v>
      </c>
      <c r="AK84" s="574">
        <f>VLOOKUP($C84,'4b) SL EPO Extended Data Sheet'!$A$5:$AC$176,28,FALSE)</f>
        <v>5.0793025096811766E-2</v>
      </c>
      <c r="AL84" s="540">
        <f>VLOOKUP($C84,'4b) SL EPO Extended Data Sheet'!$A$6:$AB$176,15,FALSE)</f>
        <v>45306</v>
      </c>
      <c r="AM84" s="247" t="str">
        <f>VLOOKUP($C84,'4b) SL EPO Extended Data Sheet'!$A$5:$AC$176,29,FALSE)</f>
        <v>G</v>
      </c>
      <c r="AV84" s="631">
        <v>42.262478439999995</v>
      </c>
      <c r="AW84" s="607">
        <v>47129</v>
      </c>
      <c r="AX84" s="642"/>
      <c r="AY84" s="631">
        <v>42.754873000000003</v>
      </c>
      <c r="AZ84" s="611">
        <f>W84-AY84</f>
        <v>0</v>
      </c>
      <c r="BA84" s="607">
        <v>47129</v>
      </c>
      <c r="BB84" s="613">
        <f>AA84-BA84</f>
        <v>0</v>
      </c>
    </row>
    <row r="85" spans="1:56" s="267" customFormat="1" ht="40.5" customHeight="1" thickBot="1" x14ac:dyDescent="0.45">
      <c r="A85" s="299" t="str">
        <f>C84</f>
        <v>Substation 15 Replacement</v>
      </c>
      <c r="B85" s="708" t="s">
        <v>574</v>
      </c>
      <c r="C85" s="711"/>
      <c r="D85" s="711"/>
      <c r="E85" s="711"/>
      <c r="F85" s="711"/>
      <c r="G85" s="711"/>
      <c r="H85" s="711"/>
      <c r="I85" s="711"/>
      <c r="J85" s="711"/>
      <c r="K85" s="711"/>
      <c r="L85" s="711"/>
      <c r="M85" s="711"/>
      <c r="N85" s="711"/>
      <c r="O85" s="711"/>
      <c r="P85" s="711"/>
      <c r="Q85" s="711"/>
      <c r="R85" s="711"/>
      <c r="S85" s="711"/>
      <c r="T85" s="711"/>
      <c r="U85" s="711"/>
      <c r="V85" s="711"/>
      <c r="W85" s="711"/>
      <c r="X85" s="711"/>
      <c r="Y85" s="711"/>
      <c r="Z85" s="711"/>
      <c r="AA85" s="711"/>
      <c r="AB85" s="711"/>
      <c r="AC85" s="711"/>
      <c r="AD85" s="711"/>
      <c r="AE85" s="711"/>
      <c r="AF85" s="711"/>
      <c r="AG85" s="711"/>
      <c r="AH85" s="711"/>
      <c r="AI85" s="711"/>
      <c r="AJ85" s="711"/>
      <c r="AK85" s="711"/>
      <c r="AL85" s="711"/>
      <c r="AM85" s="712"/>
      <c r="AV85" s="606"/>
      <c r="AW85" s="608"/>
      <c r="AX85" s="642"/>
      <c r="AY85" s="606"/>
      <c r="AZ85" s="612"/>
      <c r="BA85" s="608"/>
      <c r="BB85" s="614"/>
    </row>
    <row r="86" spans="1:56" s="267" customFormat="1" ht="5.25" customHeight="1" thickBot="1" x14ac:dyDescent="0.45">
      <c r="A86" s="299"/>
      <c r="B86" s="289"/>
      <c r="C86" s="489"/>
      <c r="D86" s="289"/>
      <c r="E86" s="289"/>
      <c r="F86" s="289"/>
      <c r="G86" s="289"/>
      <c r="H86" s="289"/>
      <c r="I86" s="289"/>
      <c r="J86" s="289"/>
      <c r="K86" s="289"/>
      <c r="L86" s="289"/>
      <c r="M86" s="289"/>
      <c r="N86" s="289"/>
      <c r="O86" s="289"/>
      <c r="P86" s="289"/>
      <c r="Q86" s="289"/>
      <c r="R86" s="289"/>
      <c r="S86" s="289"/>
      <c r="T86" s="289"/>
      <c r="U86" s="289"/>
      <c r="V86" s="289"/>
      <c r="W86" s="289"/>
      <c r="X86" s="289"/>
      <c r="Y86" s="289"/>
      <c r="Z86" s="289"/>
      <c r="AA86" s="289"/>
      <c r="AB86" s="289"/>
      <c r="AC86" s="289"/>
      <c r="AD86" s="289"/>
      <c r="AE86" s="289"/>
      <c r="AF86" s="289"/>
      <c r="AG86" s="289"/>
      <c r="AH86" s="289"/>
      <c r="AI86" s="289"/>
      <c r="AJ86" s="289"/>
      <c r="AK86" s="289"/>
      <c r="AL86" s="289"/>
      <c r="AM86" s="289"/>
      <c r="AV86" s="639"/>
      <c r="AW86" s="646"/>
      <c r="AX86" s="642"/>
      <c r="AY86" s="644"/>
      <c r="AZ86" s="609"/>
      <c r="BA86" s="605"/>
      <c r="BB86" s="610"/>
    </row>
    <row r="87" spans="1:56" s="267" customFormat="1" ht="36" customHeight="1" x14ac:dyDescent="0.4">
      <c r="A87" s="299"/>
      <c r="B87" s="216" t="s">
        <v>363</v>
      </c>
      <c r="C87" s="493" t="s">
        <v>364</v>
      </c>
      <c r="D87" s="540" t="s">
        <v>3</v>
      </c>
      <c r="E87" s="535"/>
      <c r="F87" s="244" t="str">
        <f>VLOOKUP($C87,'4b) SL EPO Extended Data Sheet'!$A$5:$AB$176,2,FALSE)</f>
        <v>N/A</v>
      </c>
      <c r="G87" s="245">
        <f>VLOOKUP($C87,'4b) SL EPO Extended Data Sheet'!$A$5:$AB$176,3, FALSE)</f>
        <v>0</v>
      </c>
      <c r="H87" s="536"/>
      <c r="I87" s="537" t="str">
        <f>VLOOKUP($C87,'4b) SL EPO Extended Data Sheet'!$A$5:$AD$176,30, FALSE)</f>
        <v>OBC
(Jul-23)</v>
      </c>
      <c r="J87" s="72">
        <f>VLOOKUP($C87,'4b) SL EPO Extended Data Sheet'!$A$5:$AB$176,6, FALSE)/1000000</f>
        <v>30</v>
      </c>
      <c r="K87" s="48">
        <f>VLOOKUP($C87,'4b) SL EPO Extended Data Sheet'!$A$5:$AB$176,7, FALSE)/1000000</f>
        <v>31.039000000000001</v>
      </c>
      <c r="L87" s="48" t="str">
        <f>VLOOKUP($C87,'4b) SL EPO Extended Data Sheet'!$A$5:$AB$176,8, FALSE)</f>
        <v/>
      </c>
      <c r="M87" s="555" t="str">
        <f>VLOOKUP($C87,'4b) SL EPO Extended Data Sheet'!$A$5:$AB$176,9, FALSE)</f>
        <v/>
      </c>
      <c r="N87" s="535">
        <f>VLOOKUP($C87,'4b) SL EPO Extended Data Sheet'!$A$5:$AB$176,5, FALSE)</f>
        <v>45108</v>
      </c>
      <c r="O87" s="591">
        <f>VLOOKUP($C87,'4b) SL EPO Extended Data Sheet'!$A$5:$AB$176,10, FALSE)/1000000</f>
        <v>0</v>
      </c>
      <c r="P87" s="48">
        <f>VLOOKUP($C87,'4b) SL EPO Extended Data Sheet'!$A$5:$AB$176,11, FALSE)/1000000</f>
        <v>3.3929999999999998</v>
      </c>
      <c r="Q87" s="535"/>
      <c r="R87" s="244" t="str">
        <f>VLOOKUP($C87,'4b) SL EPO Extended Data Sheet'!$A$5:$AB$176,12,FALSE)</f>
        <v>G</v>
      </c>
      <c r="S87" s="245">
        <f>VLOOKUP($C87,'4b) SL EPO Extended Data Sheet'!$A$5:$AB$176,13,FALSE)</f>
        <v>1</v>
      </c>
      <c r="T87" s="536"/>
      <c r="U87" s="537" t="str">
        <f>VLOOKUP($C87,'4b) SL EPO Extended Data Sheet'!$A$5:$AE$176,31,FALSE)</f>
        <v>OBC
(Dec-23)</v>
      </c>
      <c r="V87" s="536"/>
      <c r="W87" s="49">
        <f>VLOOKUP($C87,'4b) SL EPO Extended Data Sheet'!$A$5:$AC$176,16,FALSE)/1000000</f>
        <v>30.826938999999999</v>
      </c>
      <c r="X87" s="49">
        <f>VLOOKUP($C87,'4b) SL EPO Extended Data Sheet'!$A$5:$AC$176,17,FALSE)/1000000</f>
        <v>31.203278149999999</v>
      </c>
      <c r="Y87" s="49">
        <f>VLOOKUP($C87,'4b) SL EPO Extended Data Sheet'!$A$5:$AC$176,18,FALSE)/1000000</f>
        <v>0</v>
      </c>
      <c r="Z87" s="49">
        <f>VLOOKUP($C87,'4b) SL EPO Extended Data Sheet'!$A$5:$AB$176,16,FALSE)/1000000</f>
        <v>30.826938999999999</v>
      </c>
      <c r="AA87" s="538">
        <f>VLOOKUP($C87,'4b) SL EPO Extended Data Sheet'!$A$5:$AC$176,19,FALSE)</f>
        <v>47204</v>
      </c>
      <c r="AB87" s="538">
        <f>VLOOKUP($C87,'4b) SL EPO Extended Data Sheet'!$A$5:$AC$176,20,FALSE)</f>
        <v>47529</v>
      </c>
      <c r="AC87" s="51">
        <f>VLOOKUP($C87,'4b) SL EPO Extended Data Sheet'!$A$5:$AC$176,21,FALSE)</f>
        <v>0</v>
      </c>
      <c r="AD87" s="535">
        <f>VLOOKUP($C87,'4b) SL EPO Extended Data Sheet'!$A$5:$AB$176,15,FALSE)/1000000</f>
        <v>4.5270999999999999E-2</v>
      </c>
      <c r="AE87" s="49">
        <f>VLOOKUP($C87,'4b) SL EPO Extended Data Sheet'!$A$5:$AC$176,22,FALSE)/1000000</f>
        <v>4.8831998299999997</v>
      </c>
      <c r="AF87" s="49">
        <f>VLOOKUP($C87,'4b) SL EPO Extended Data Sheet'!$A$5:$AC$176,23,FALSE)/1000000</f>
        <v>1.8341167493000001</v>
      </c>
      <c r="AG87" s="52">
        <f>VLOOKUP($C87,'4b) SL EPO Extended Data Sheet'!$A$5:$AC$176,24,FALSE)/1000000</f>
        <v>2.4118858400000001</v>
      </c>
      <c r="AH87" s="539">
        <f>VLOOKUP($C87,'4b) SL EPO Extended Data Sheet'!$A$5:$AC$176,25,FALSE)</f>
        <v>0.7604492380534893</v>
      </c>
      <c r="AI87" s="539">
        <f>VLOOKUP($C87,'4b) SL EPO Extended Data Sheet'!$A$5:$AC$176,26,FALSE)</f>
        <v>0.37559731593044393</v>
      </c>
      <c r="AJ87" s="575">
        <f>VLOOKUP($C87,'4b) SL EPO Extended Data Sheet'!$A$5:$AC$176,27,FALSE)</f>
        <v>0.15840689956274934</v>
      </c>
      <c r="AK87" s="574">
        <f>VLOOKUP($C87,'4b) SL EPO Extended Data Sheet'!$A$5:$AC$176,28,FALSE)</f>
        <v>5.9497206300632058E-2</v>
      </c>
      <c r="AL87" s="540">
        <f>VLOOKUP($C87,'4b) SL EPO Extended Data Sheet'!$A$6:$AB$176,15,FALSE)</f>
        <v>45271</v>
      </c>
      <c r="AM87" s="247" t="str">
        <f>VLOOKUP($C87,'4b) SL EPO Extended Data Sheet'!$A$5:$AC$176,29,FALSE)</f>
        <v>G</v>
      </c>
      <c r="AV87" s="631">
        <v>31.203685280000002</v>
      </c>
      <c r="AW87" s="607">
        <v>47529</v>
      </c>
      <c r="AX87" s="642"/>
      <c r="AY87" s="631">
        <v>30.826938999999999</v>
      </c>
      <c r="AZ87" s="611">
        <f>W87-AY87</f>
        <v>0</v>
      </c>
      <c r="BA87" s="607">
        <v>47204</v>
      </c>
      <c r="BB87" s="613">
        <f>AA87-BA87</f>
        <v>0</v>
      </c>
    </row>
    <row r="88" spans="1:56" s="267" customFormat="1" ht="54" customHeight="1" thickBot="1" x14ac:dyDescent="0.45">
      <c r="A88" s="299" t="str">
        <f>C87</f>
        <v>Degradation of Pipebridge 57 (PB57) L14, L15, L16 Refurbishment</v>
      </c>
      <c r="B88" s="708" t="s">
        <v>579</v>
      </c>
      <c r="C88" s="711"/>
      <c r="D88" s="711"/>
      <c r="E88" s="711"/>
      <c r="F88" s="711"/>
      <c r="G88" s="711"/>
      <c r="H88" s="711"/>
      <c r="I88" s="711"/>
      <c r="J88" s="711"/>
      <c r="K88" s="711"/>
      <c r="L88" s="711"/>
      <c r="M88" s="711"/>
      <c r="N88" s="711"/>
      <c r="O88" s="711"/>
      <c r="P88" s="711"/>
      <c r="Q88" s="711"/>
      <c r="R88" s="711"/>
      <c r="S88" s="711"/>
      <c r="T88" s="711"/>
      <c r="U88" s="711"/>
      <c r="V88" s="711"/>
      <c r="W88" s="711"/>
      <c r="X88" s="711"/>
      <c r="Y88" s="711"/>
      <c r="Z88" s="711"/>
      <c r="AA88" s="711"/>
      <c r="AB88" s="711"/>
      <c r="AC88" s="711"/>
      <c r="AD88" s="711"/>
      <c r="AE88" s="711"/>
      <c r="AF88" s="711"/>
      <c r="AG88" s="711"/>
      <c r="AH88" s="711"/>
      <c r="AI88" s="711"/>
      <c r="AJ88" s="711"/>
      <c r="AK88" s="711"/>
      <c r="AL88" s="711"/>
      <c r="AM88" s="712"/>
      <c r="AV88" s="606"/>
      <c r="AW88" s="608"/>
      <c r="AX88" s="642"/>
      <c r="AY88" s="606"/>
      <c r="AZ88" s="612"/>
      <c r="BA88" s="608"/>
      <c r="BB88" s="614"/>
    </row>
    <row r="89" spans="1:56" ht="5.25" customHeight="1" thickBot="1" x14ac:dyDescent="0.45">
      <c r="C89" s="491"/>
      <c r="D89" s="238"/>
      <c r="G89" s="15"/>
      <c r="W89" s="238"/>
      <c r="X89" s="238"/>
      <c r="Y89" s="238"/>
      <c r="Z89" s="238"/>
      <c r="AA89" s="238"/>
      <c r="AB89" s="238"/>
      <c r="AC89" s="238"/>
      <c r="AE89" s="238"/>
      <c r="AF89" s="238"/>
      <c r="AG89" s="238"/>
      <c r="AH89" s="238"/>
      <c r="AI89" s="238"/>
      <c r="AJ89" s="238"/>
      <c r="AK89" s="238"/>
      <c r="AL89" s="238"/>
      <c r="AO89" s="267"/>
      <c r="AP89" s="267"/>
      <c r="AQ89" s="267"/>
      <c r="AR89" s="267"/>
      <c r="AS89" s="267"/>
      <c r="AT89" s="267"/>
      <c r="AU89" s="267"/>
      <c r="AW89" s="646"/>
      <c r="AX89" s="642"/>
      <c r="AY89" s="644"/>
      <c r="AZ89" s="609"/>
      <c r="BA89" s="605"/>
      <c r="BB89" s="610"/>
      <c r="BC89" s="267"/>
      <c r="BD89" s="267"/>
    </row>
    <row r="90" spans="1:56" s="301" customFormat="1" ht="24" customHeight="1" thickBot="1" x14ac:dyDescent="0.45">
      <c r="A90" s="464"/>
      <c r="B90" s="721" t="s">
        <v>195</v>
      </c>
      <c r="C90" s="722"/>
      <c r="D90" s="722"/>
      <c r="E90" s="722"/>
      <c r="F90" s="722"/>
      <c r="G90" s="722"/>
      <c r="H90" s="722"/>
      <c r="I90" s="722"/>
      <c r="J90" s="722"/>
      <c r="K90" s="722"/>
      <c r="L90" s="722"/>
      <c r="M90" s="722"/>
      <c r="N90" s="722"/>
      <c r="O90" s="722"/>
      <c r="P90" s="722"/>
      <c r="Q90" s="722"/>
      <c r="R90" s="722"/>
      <c r="S90" s="722"/>
      <c r="T90" s="722"/>
      <c r="U90" s="722"/>
      <c r="V90" s="722"/>
      <c r="W90" s="722"/>
      <c r="X90" s="722"/>
      <c r="Y90" s="722"/>
      <c r="Z90" s="722"/>
      <c r="AA90" s="722"/>
      <c r="AB90" s="722"/>
      <c r="AC90" s="722"/>
      <c r="AD90" s="722"/>
      <c r="AE90" s="722"/>
      <c r="AF90" s="722"/>
      <c r="AG90" s="722"/>
      <c r="AH90" s="722"/>
      <c r="AI90" s="722"/>
      <c r="AJ90" s="722"/>
      <c r="AK90" s="722"/>
      <c r="AL90" s="722"/>
      <c r="AM90" s="723"/>
      <c r="AO90" s="267"/>
      <c r="AP90" s="267"/>
      <c r="AQ90" s="267"/>
      <c r="AR90" s="267"/>
      <c r="AS90" s="267"/>
      <c r="AT90" s="267"/>
      <c r="AU90" s="267"/>
      <c r="AV90" s="622"/>
      <c r="AW90" s="645"/>
      <c r="AX90" s="642"/>
      <c r="AY90" s="622"/>
      <c r="AZ90" s="624"/>
      <c r="BA90" s="623"/>
      <c r="BB90" s="625"/>
      <c r="BC90" s="267"/>
      <c r="BD90" s="267"/>
    </row>
    <row r="91" spans="1:56" s="505" customFormat="1" ht="57.75" hidden="1" customHeight="1" thickBot="1" x14ac:dyDescent="0.45">
      <c r="A91" s="299"/>
      <c r="B91" s="728" t="s">
        <v>397</v>
      </c>
      <c r="C91" s="729"/>
      <c r="D91" s="729"/>
      <c r="E91" s="729"/>
      <c r="F91" s="729"/>
      <c r="G91" s="729"/>
      <c r="H91" s="729"/>
      <c r="I91" s="729"/>
      <c r="J91" s="729"/>
      <c r="K91" s="729"/>
      <c r="L91" s="729"/>
      <c r="M91" s="729"/>
      <c r="N91" s="729"/>
      <c r="O91" s="729"/>
      <c r="P91" s="729"/>
      <c r="Q91" s="729"/>
      <c r="R91" s="729"/>
      <c r="S91" s="729"/>
      <c r="T91" s="729"/>
      <c r="U91" s="729"/>
      <c r="V91" s="729"/>
      <c r="W91" s="729"/>
      <c r="X91" s="729"/>
      <c r="Y91" s="729"/>
      <c r="Z91" s="729"/>
      <c r="AA91" s="729"/>
      <c r="AB91" s="729"/>
      <c r="AC91" s="729"/>
      <c r="AD91" s="729"/>
      <c r="AE91" s="729"/>
      <c r="AF91" s="729"/>
      <c r="AG91" s="729"/>
      <c r="AH91" s="729"/>
      <c r="AI91" s="729"/>
      <c r="AJ91" s="729"/>
      <c r="AK91" s="729"/>
      <c r="AL91" s="729"/>
      <c r="AM91" s="730"/>
      <c r="AV91" s="639">
        <v>70.5</v>
      </c>
      <c r="AW91" s="646">
        <v>46106</v>
      </c>
      <c r="AX91" s="642"/>
      <c r="AY91" s="644">
        <v>72.617237000000003</v>
      </c>
      <c r="AZ91" s="609">
        <v>-72.617237000000003</v>
      </c>
      <c r="BA91" s="605">
        <v>46106</v>
      </c>
      <c r="BB91" s="610">
        <v>-46075.173061000001</v>
      </c>
    </row>
    <row r="92" spans="1:56" s="267" customFormat="1" ht="5.25" customHeight="1" thickBot="1" x14ac:dyDescent="0.45">
      <c r="A92" s="299"/>
      <c r="B92" s="78"/>
      <c r="C92" s="78"/>
      <c r="D92" s="79"/>
      <c r="E92" s="79"/>
      <c r="F92" s="79"/>
      <c r="G92" s="79"/>
      <c r="H92" s="79"/>
      <c r="I92" s="79"/>
      <c r="J92" s="79"/>
      <c r="K92" s="79"/>
      <c r="L92" s="79"/>
      <c r="M92" s="79"/>
      <c r="N92" s="79"/>
      <c r="O92" s="79"/>
      <c r="P92" s="79"/>
      <c r="Q92" s="79"/>
      <c r="R92" s="79"/>
      <c r="S92" s="79"/>
      <c r="T92" s="79"/>
      <c r="U92" s="79"/>
      <c r="V92" s="79"/>
      <c r="W92" s="79"/>
      <c r="X92" s="79"/>
      <c r="Y92" s="79"/>
      <c r="Z92" s="79"/>
      <c r="AA92" s="79"/>
      <c r="AB92" s="79"/>
      <c r="AC92" s="79"/>
      <c r="AD92" s="79"/>
      <c r="AE92" s="79"/>
      <c r="AF92" s="79"/>
      <c r="AG92" s="79"/>
      <c r="AH92" s="79"/>
      <c r="AI92" s="79"/>
      <c r="AJ92" s="79"/>
      <c r="AK92" s="79"/>
      <c r="AL92" s="79"/>
      <c r="AM92" s="79"/>
      <c r="AV92" s="639"/>
      <c r="AW92" s="646"/>
      <c r="AX92" s="642"/>
      <c r="AY92" s="644"/>
      <c r="AZ92" s="609"/>
      <c r="BA92" s="605"/>
      <c r="BB92" s="610"/>
    </row>
    <row r="93" spans="1:56" ht="36" customHeight="1" x14ac:dyDescent="0.4">
      <c r="B93" s="216" t="s">
        <v>506</v>
      </c>
      <c r="C93" s="587" t="s">
        <v>332</v>
      </c>
      <c r="D93" s="540" t="s">
        <v>3</v>
      </c>
      <c r="E93" s="535"/>
      <c r="F93" s="244" t="str">
        <f>VLOOKUP(C93,'5a)NDA MPPR'!$B$9:$AK$61,3,FALSE)</f>
        <v>A</v>
      </c>
      <c r="G93" s="245">
        <f>VLOOKUP(C93,'5a)NDA MPPR'!$B$9:$AK$61,4,FALSE)</f>
        <v>0</v>
      </c>
      <c r="H93" s="536"/>
      <c r="I93" s="537" t="str">
        <f>VLOOKUP(C93,'5a)NDA MPPR'!$B$9:$AK$61,6,FALSE)</f>
        <v>FBC
(Oct-23)</v>
      </c>
      <c r="J93" s="49">
        <f>VLOOKUP(C93,'5a)NDA MPPR'!$B$9:$AK$61,7,FALSE)</f>
        <v>130</v>
      </c>
      <c r="K93" s="49">
        <f>VLOOKUP(C93,'5a)NDA MPPR'!$B$9:$AK$61,8,FALSE)</f>
        <v>200</v>
      </c>
      <c r="L93" s="555" t="str">
        <f>VLOOKUP(C93,'5a)NDA MPPR'!$B$9:$AK$61,9,FALSE)</f>
        <v>-</v>
      </c>
      <c r="M93" s="555" t="str">
        <f>VLOOKUP(C93,'5a)NDA MPPR'!$B$9:$AK$61,10,FALSE)</f>
        <v>-</v>
      </c>
      <c r="N93" s="535"/>
      <c r="O93" s="48">
        <f>VLOOKUP(C93,'5a)NDA MPPR'!$B$9:$AK$61,12,FALSE)</f>
        <v>200</v>
      </c>
      <c r="P93" s="49">
        <f>VLOOKUP(C93,'5a)NDA MPPR'!$B$9:$AK$61,13,FALSE)</f>
        <v>200</v>
      </c>
      <c r="Q93" s="535"/>
      <c r="R93" s="244" t="str">
        <f>VLOOKUP(C93,'5a)NDA MPPR'!$B$9:$AK$61,15,FALSE)</f>
        <v>A</v>
      </c>
      <c r="S93" s="245">
        <f>VLOOKUP(C93,'5a)NDA MPPR'!$B$9:$AK$61,16,FALSE)</f>
        <v>0</v>
      </c>
      <c r="T93" s="536"/>
      <c r="U93" s="554" t="str">
        <f>VLOOKUP(C93,'5a)NDA MPPR'!$B$9:$AK$61,18,FALSE)</f>
        <v>FBC
 (Nov-23)</v>
      </c>
      <c r="V93" s="536"/>
      <c r="W93" s="49">
        <f>VLOOKUP(C93,'5a)NDA MPPR'!$B$9:$AK$61,20,FALSE)</f>
        <v>127.732077</v>
      </c>
      <c r="X93" s="49">
        <f>VLOOKUP(C93,'5a)NDA MPPR'!$B$9:$AK$61,21,FALSE)</f>
        <v>141.51044787000001</v>
      </c>
      <c r="Y93" s="49">
        <f>VLOOKUP(C93,'5a)NDA MPPR'!$B$9:$AK$61,22,FALSE)</f>
        <v>0</v>
      </c>
      <c r="Z93" s="50"/>
      <c r="AA93" s="538">
        <f>VLOOKUP(C93,'5a)NDA MPPR'!$B$9:$AK$61,24,FALSE)</f>
        <v>48935</v>
      </c>
      <c r="AB93" s="538">
        <f>VLOOKUP(C93,'5a)NDA MPPR'!$B$9:$AK$61,25,FALSE)</f>
        <v>48935</v>
      </c>
      <c r="AC93" s="51">
        <f>VLOOKUP(C93,'5a)NDA MPPR'!$B$9:$AK$61,26,FALSE)</f>
        <v>0</v>
      </c>
      <c r="AD93" s="535"/>
      <c r="AE93" s="49">
        <f>VLOOKUP(C93,'5a)NDA MPPR'!$B$9:$AK$61,28,FALSE)</f>
        <v>0</v>
      </c>
      <c r="AF93" s="49">
        <f>VLOOKUP(C93,'5a)NDA MPPR'!$B$9:$AK$61,29,FALSE)</f>
        <v>0</v>
      </c>
      <c r="AG93" s="52">
        <f>VLOOKUP(C93,'5a)NDA MPPR'!$B$9:$AK$61,30,FALSE)</f>
        <v>34.480167899999998</v>
      </c>
      <c r="AH93" s="182">
        <f>VLOOKUP(C93,'5a)NDA MPPR'!$B$9:$AK$61,31,FALSE)</f>
        <v>0</v>
      </c>
      <c r="AI93" s="182">
        <f>VLOOKUP(C93,'5a)NDA MPPR'!$B$9:$AK$61,32,FALSE)</f>
        <v>0</v>
      </c>
      <c r="AJ93" s="222">
        <f>VLOOKUP(C93,'5a)NDA MPPR'!$B$9:$AK$61,33,FALSE)</f>
        <v>0</v>
      </c>
      <c r="AK93" s="574">
        <f>VLOOKUP(C93,'5a)NDA MPPR'!$B$9:$AK$61,34,FALSE)</f>
        <v>0</v>
      </c>
      <c r="AL93" s="540"/>
      <c r="AM93" s="247" t="str">
        <f>VLOOKUP(C93,'5a)NDA MPPR'!$B$9:$AK$61,36,FALSE)</f>
        <v>R</v>
      </c>
      <c r="AO93" s="267"/>
      <c r="AP93" s="267"/>
      <c r="AQ93" s="267"/>
      <c r="AR93" s="267"/>
      <c r="AS93" s="267"/>
      <c r="AT93" s="267"/>
      <c r="AU93" s="267"/>
      <c r="AV93" s="631">
        <v>141.47171437</v>
      </c>
      <c r="AW93" s="607">
        <v>48935</v>
      </c>
      <c r="AX93" s="642"/>
      <c r="AY93" s="631">
        <v>127.732077</v>
      </c>
      <c r="AZ93" s="611">
        <f>W93-AY93</f>
        <v>0</v>
      </c>
      <c r="BA93" s="607">
        <v>48935</v>
      </c>
      <c r="BB93" s="613">
        <f>AA93-BA93</f>
        <v>0</v>
      </c>
      <c r="BC93" s="267"/>
      <c r="BD93" s="267"/>
    </row>
    <row r="94" spans="1:56" ht="117.75" customHeight="1" thickBot="1" x14ac:dyDescent="0.45">
      <c r="A94" s="299" t="str">
        <f>C93</f>
        <v>MSSS 2nd and 3rd Extension Sub-Programme</v>
      </c>
      <c r="B94" s="705" t="str">
        <f>VLOOKUP($C93,'5a)NDA MPPR'!$A$9:$AK$61,2,FALSE)</f>
        <v>In October 2023, the Magnox Swarf Storage Silos (MSSS) Retrievals Programme received re-sanctioning approval, establishing an overall upper funding limit of £1,098m. As part of that endorsement, a revised management framework and sanctioning strategy was introduced to govern the MSSS 2nd Extension (2E) &amp; 3rd Extension (3E) Tranche, as discrete projects. These projects are delivering critical enablers that will facilitate the commencement of waste retrieval operations from Silo Emptying Plant (SEP) 3. They have an upper sanction limit of £200m. The key enablers included are 1) SEP3; Complete design/rectification, installation and commissioning of the machine and associated components. 2) Final manufacture and installation scope for the Nitrogen Inlet system. 3) 2E Liquor Level management system.  4) The remaining Packages required to support full retrievals. The programme has prioritised the OB/FE and as a result the expected specialist resources (e.g. design capability) will not be available to concurrently deliver SEP3. Without further action the delivery will take substantially longer, challenging tolerances. To address this SL is pursuing an alternative delivery model with a fully integrated programme partner that is expected to increase efficiency and critically access a different part of the skill market we have previously failed to harness. As Nuclear Decommissioning Solutions have now been appointed as Lot 3 partner we are working on the alternative delivery strategy. This appears credible with a significant opportunity to protect or improve the schedule. Therefore the Delivery Confidence Assessment remains Amber. There has been no change to the EAC during this period. The project remains in the early stages of its lifecycle, with only six of the nine 2E/3E projects sanctioned, and a total released value of £64.4m. While future cost and schedule pressures are anticipated, the project is forecasting lifecycle EAC within the sanctioned upper limit of £200m and to timelines that align with the critical path of the Magnox Swarf Storage Silo (MSSS) Programme and as such, no direct impact is expected on sustained retrievals. The capability and capacity RAG is Red driven by resource constraints and commercial disruption following the administration of a key supply chain partner. In response, the integrated team is actively working with administrators to recover part-manufactured equipment, having identified secure interim storage, and identified a replacement supplier to complete outstanding packages, with direct award contract placements expected next period. This disruption has led to increased in-year expenditure due to associated recovery and transition costs. The Baseline RAG status is Amber, reflecting anticipated impacts from ongoing commercial challenges and supply chain, but also in acknowledgement of the recovery plan currently being enacted by the project team to ensure delivery of packages in support of the programme requirements.</v>
      </c>
      <c r="C94" s="706"/>
      <c r="D94" s="706"/>
      <c r="E94" s="706"/>
      <c r="F94" s="706"/>
      <c r="G94" s="706"/>
      <c r="H94" s="706"/>
      <c r="I94" s="706"/>
      <c r="J94" s="706"/>
      <c r="K94" s="706"/>
      <c r="L94" s="706"/>
      <c r="M94" s="706"/>
      <c r="N94" s="706"/>
      <c r="O94" s="706"/>
      <c r="P94" s="706"/>
      <c r="Q94" s="706"/>
      <c r="R94" s="706"/>
      <c r="S94" s="706"/>
      <c r="T94" s="706"/>
      <c r="U94" s="706"/>
      <c r="V94" s="706"/>
      <c r="W94" s="706"/>
      <c r="X94" s="706"/>
      <c r="Y94" s="706"/>
      <c r="Z94" s="706"/>
      <c r="AA94" s="706"/>
      <c r="AB94" s="706"/>
      <c r="AC94" s="706"/>
      <c r="AD94" s="706"/>
      <c r="AE94" s="706"/>
      <c r="AF94" s="706"/>
      <c r="AG94" s="706"/>
      <c r="AH94" s="706"/>
      <c r="AI94" s="706"/>
      <c r="AJ94" s="706"/>
      <c r="AK94" s="706"/>
      <c r="AL94" s="706"/>
      <c r="AM94" s="707"/>
      <c r="AO94" s="267"/>
      <c r="AP94" s="267"/>
      <c r="AQ94" s="267"/>
      <c r="AR94" s="267"/>
      <c r="AS94" s="267"/>
      <c r="AT94" s="267"/>
      <c r="AU94" s="267"/>
      <c r="AV94" s="606"/>
      <c r="AW94" s="608"/>
      <c r="AX94" s="642"/>
      <c r="AY94" s="606"/>
      <c r="AZ94" s="612"/>
      <c r="BA94" s="608"/>
      <c r="BB94" s="614"/>
      <c r="BC94" s="267"/>
      <c r="BD94" s="267"/>
    </row>
    <row r="95" spans="1:56" ht="5.25" customHeight="1" thickBot="1" x14ac:dyDescent="0.45">
      <c r="C95" s="491"/>
      <c r="D95" s="92"/>
      <c r="G95" s="15"/>
      <c r="W95" s="92"/>
      <c r="X95" s="92"/>
      <c r="Y95" s="92"/>
      <c r="Z95" s="92"/>
      <c r="AA95" s="92"/>
      <c r="AB95" s="92"/>
      <c r="AC95" s="92"/>
      <c r="AE95" s="92"/>
      <c r="AF95" s="92"/>
      <c r="AG95" s="92"/>
      <c r="AH95" s="92"/>
      <c r="AI95" s="92"/>
      <c r="AJ95" s="92"/>
      <c r="AK95" s="92"/>
      <c r="AL95" s="92"/>
      <c r="AW95" s="646"/>
      <c r="AX95" s="642"/>
      <c r="AY95" s="644"/>
      <c r="AZ95" s="609"/>
      <c r="BA95" s="605"/>
      <c r="BB95" s="610"/>
    </row>
    <row r="96" spans="1:56" s="267" customFormat="1" ht="36" customHeight="1" x14ac:dyDescent="0.4">
      <c r="A96" s="299"/>
      <c r="B96" s="230" t="s">
        <v>314</v>
      </c>
      <c r="C96" s="494" t="s">
        <v>317</v>
      </c>
      <c r="D96" s="540" t="s">
        <v>3</v>
      </c>
      <c r="E96" s="535"/>
      <c r="F96" s="244" t="str">
        <f>VLOOKUP($C96,'4b) SL EPO Extended Data Sheet'!$A$5:$AB$176,2,FALSE)</f>
        <v>A</v>
      </c>
      <c r="G96" s="245">
        <f>VLOOKUP($C96,'4b) SL EPO Extended Data Sheet'!$A$5:$AB$176,3, FALSE)</f>
        <v>0</v>
      </c>
      <c r="H96" s="536"/>
      <c r="I96" s="537" t="str">
        <f>VLOOKUP($C96,'4b) SL EPO Extended Data Sheet'!$A$5:$AD$176,30, FALSE)</f>
        <v>FBC
(Dec-21)</v>
      </c>
      <c r="J96" s="49">
        <f>VLOOKUP($C96,'4b) SL EPO Extended Data Sheet'!$A$5:$AB$176,6, FALSE)/1000000</f>
        <v>20.366652999999999</v>
      </c>
      <c r="K96" s="49">
        <f>VLOOKUP($C96,'4b) SL EPO Extended Data Sheet'!$A$5:$AB$176,7, FALSE)/1000000</f>
        <v>21.841460000000001</v>
      </c>
      <c r="L96" s="555">
        <f>VLOOKUP($C96,'4b) SL EPO Extended Data Sheet'!$A$5:$AB$176,8, FALSE)</f>
        <v>46234</v>
      </c>
      <c r="M96" s="555">
        <f>VLOOKUP($C96,'4b) SL EPO Extended Data Sheet'!$A$5:$AB$176,9, FALSE)</f>
        <v>46477</v>
      </c>
      <c r="N96" s="535"/>
      <c r="O96" s="591">
        <f>VLOOKUP($C96,'4b) SL EPO Extended Data Sheet'!$A$5:$AB$176,10, FALSE)/1000000</f>
        <v>0</v>
      </c>
      <c r="P96" s="49">
        <f>VLOOKUP($C96,'4b) SL EPO Extended Data Sheet'!$A$5:$AB$176,11, FALSE)/1000000</f>
        <v>20.366652999999999</v>
      </c>
      <c r="Q96" s="535"/>
      <c r="R96" s="244" t="str">
        <f>VLOOKUP($C96,'4b) SL EPO Extended Data Sheet'!$A$5:$AB$176,12,FALSE)</f>
        <v>A</v>
      </c>
      <c r="S96" s="245">
        <f>VLOOKUP($C96,'4b) SL EPO Extended Data Sheet'!$A$5:$AB$176,13,FALSE)</f>
        <v>0</v>
      </c>
      <c r="T96" s="536"/>
      <c r="U96" s="537" t="str">
        <f>VLOOKUP($C96,'4b) SL EPO Extended Data Sheet'!$A$5:$AE$176,31,FALSE)</f>
        <v>FBC
(Mar-22)</v>
      </c>
      <c r="V96" s="536"/>
      <c r="W96" s="49">
        <f>VLOOKUP($C96,'4b) SL EPO Extended Data Sheet'!$A$5:$AC$176,16,FALSE)/1000000</f>
        <v>19.192466</v>
      </c>
      <c r="X96" s="49">
        <f>VLOOKUP($C96,'4b) SL EPO Extended Data Sheet'!$A$5:$AC$176,17,FALSE)/1000000</f>
        <v>20.468821050000003</v>
      </c>
      <c r="Y96" s="49">
        <f>VLOOKUP($C96,'4b) SL EPO Extended Data Sheet'!$A$5:$AC$176,18,FALSE)/1000000</f>
        <v>-1.6845080000000002E-2</v>
      </c>
      <c r="Z96" s="49">
        <f>VLOOKUP($C96,'4b) SL EPO Extended Data Sheet'!$A$5:$AB$176,16,FALSE)/1000000</f>
        <v>19.192466</v>
      </c>
      <c r="AA96" s="538">
        <f>VLOOKUP($C96,'4b) SL EPO Extended Data Sheet'!$A$5:$AC$176,19,FALSE)</f>
        <v>46230</v>
      </c>
      <c r="AB96" s="538">
        <f>VLOOKUP($C96,'4b) SL EPO Extended Data Sheet'!$A$5:$AC$176,20,FALSE)</f>
        <v>47018</v>
      </c>
      <c r="AC96" s="51">
        <f>VLOOKUP($C96,'4b) SL EPO Extended Data Sheet'!$A$5:$AC$176,21,FALSE)</f>
        <v>0</v>
      </c>
      <c r="AD96" s="535">
        <f>VLOOKUP($C96,'4b) SL EPO Extended Data Sheet'!$A$5:$AB$176,15,FALSE)/1000000</f>
        <v>4.4651000000000003E-2</v>
      </c>
      <c r="AE96" s="49">
        <f>VLOOKUP($C96,'4b) SL EPO Extended Data Sheet'!$A$5:$AC$176,22,FALSE)/1000000</f>
        <v>18.458137359999998</v>
      </c>
      <c r="AF96" s="49">
        <f>VLOOKUP($C96,'4b) SL EPO Extended Data Sheet'!$A$5:$AC$176,23,FALSE)/1000000</f>
        <v>14.173705357499999</v>
      </c>
      <c r="AG96" s="52">
        <f>VLOOKUP($C96,'4b) SL EPO Extended Data Sheet'!$A$5:$AC$176,24,FALSE)/1000000</f>
        <v>16.500456499999999</v>
      </c>
      <c r="AH96" s="539">
        <f>VLOOKUP($C96,'4b) SL EPO Extended Data Sheet'!$A$5:$AC$176,25,FALSE)</f>
        <v>0.85898868055559552</v>
      </c>
      <c r="AI96" s="539">
        <f>VLOOKUP($C96,'4b) SL EPO Extended Data Sheet'!$A$5:$AC$176,26,FALSE)</f>
        <v>0.76788383795514237</v>
      </c>
      <c r="AJ96" s="575">
        <f>VLOOKUP($C96,'4b) SL EPO Extended Data Sheet'!$A$5:$AC$176,27,FALSE)</f>
        <v>0.96173870309318243</v>
      </c>
      <c r="AK96" s="574">
        <f>VLOOKUP($C96,'4b) SL EPO Extended Data Sheet'!$A$5:$AC$176,28,FALSE)</f>
        <v>0.73850360644119417</v>
      </c>
      <c r="AL96" s="540">
        <f>VLOOKUP($C96,'4b) SL EPO Extended Data Sheet'!$A$6:$AB$176,15,FALSE)</f>
        <v>44651</v>
      </c>
      <c r="AM96" s="247" t="str">
        <f>VLOOKUP($C96,'4b) SL EPO Extended Data Sheet'!$A$5:$AC$176,29,FALSE)</f>
        <v>A</v>
      </c>
      <c r="AO96" s="15"/>
      <c r="AP96" s="15"/>
      <c r="AQ96" s="15"/>
      <c r="AR96" s="15"/>
      <c r="AS96" s="15"/>
      <c r="AT96" s="15"/>
      <c r="AU96" s="15"/>
      <c r="AV96" s="631">
        <v>20.479914789999999</v>
      </c>
      <c r="AW96" s="607">
        <v>47018</v>
      </c>
      <c r="AX96" s="642"/>
      <c r="AY96" s="631">
        <v>19.192466</v>
      </c>
      <c r="AZ96" s="611">
        <f>W96-AY96</f>
        <v>0</v>
      </c>
      <c r="BA96" s="607">
        <v>46230</v>
      </c>
      <c r="BB96" s="613">
        <f>AA96-BA96</f>
        <v>0</v>
      </c>
      <c r="BC96" s="15"/>
      <c r="BD96" s="15"/>
    </row>
    <row r="97" spans="1:56" s="267" customFormat="1" ht="60.75" customHeight="1" thickBot="1" x14ac:dyDescent="0.45">
      <c r="A97" s="299" t="str">
        <f>C96</f>
        <v>MSSS SEP3 Rails &amp; Brackets</v>
      </c>
      <c r="B97" s="708" t="s">
        <v>530</v>
      </c>
      <c r="C97" s="711"/>
      <c r="D97" s="711"/>
      <c r="E97" s="711"/>
      <c r="F97" s="711"/>
      <c r="G97" s="711"/>
      <c r="H97" s="711"/>
      <c r="I97" s="711"/>
      <c r="J97" s="711"/>
      <c r="K97" s="711"/>
      <c r="L97" s="711"/>
      <c r="M97" s="711"/>
      <c r="N97" s="711"/>
      <c r="O97" s="711"/>
      <c r="P97" s="711"/>
      <c r="Q97" s="711"/>
      <c r="R97" s="711"/>
      <c r="S97" s="711"/>
      <c r="T97" s="711"/>
      <c r="U97" s="711"/>
      <c r="V97" s="711"/>
      <c r="W97" s="711"/>
      <c r="X97" s="711"/>
      <c r="Y97" s="711"/>
      <c r="Z97" s="711"/>
      <c r="AA97" s="711"/>
      <c r="AB97" s="711"/>
      <c r="AC97" s="711"/>
      <c r="AD97" s="711"/>
      <c r="AE97" s="711"/>
      <c r="AF97" s="711"/>
      <c r="AG97" s="711"/>
      <c r="AH97" s="711"/>
      <c r="AI97" s="711"/>
      <c r="AJ97" s="711"/>
      <c r="AK97" s="711"/>
      <c r="AL97" s="711"/>
      <c r="AM97" s="712"/>
      <c r="AV97" s="606"/>
      <c r="AW97" s="608"/>
      <c r="AX97" s="642"/>
      <c r="AY97" s="606"/>
      <c r="AZ97" s="612"/>
      <c r="BA97" s="608"/>
      <c r="BB97" s="614"/>
    </row>
    <row r="98" spans="1:56" s="267" customFormat="1" ht="5.25" customHeight="1" thickBot="1" x14ac:dyDescent="0.45">
      <c r="A98" s="299"/>
      <c r="C98" s="491"/>
      <c r="D98" s="300"/>
      <c r="W98" s="300"/>
      <c r="X98" s="300"/>
      <c r="Y98" s="300"/>
      <c r="Z98" s="300"/>
      <c r="AA98" s="300"/>
      <c r="AB98" s="300"/>
      <c r="AC98" s="300"/>
      <c r="AE98" s="300"/>
      <c r="AF98" s="300"/>
      <c r="AG98" s="300"/>
      <c r="AH98" s="300"/>
      <c r="AI98" s="300"/>
      <c r="AJ98" s="300"/>
      <c r="AK98" s="300"/>
      <c r="AL98" s="300"/>
      <c r="AV98" s="639"/>
      <c r="AW98" s="646"/>
      <c r="AX98" s="642"/>
      <c r="AY98" s="644"/>
      <c r="AZ98" s="609"/>
      <c r="BA98" s="605"/>
      <c r="BB98" s="610"/>
    </row>
    <row r="99" spans="1:56" s="267" customFormat="1" ht="30" customHeight="1" x14ac:dyDescent="0.4">
      <c r="A99" s="299"/>
      <c r="B99" s="290" t="s">
        <v>339</v>
      </c>
      <c r="C99" s="494" t="s">
        <v>340</v>
      </c>
      <c r="D99" s="540" t="s">
        <v>3</v>
      </c>
      <c r="E99" s="535"/>
      <c r="F99" s="244" t="str">
        <f>VLOOKUP($C99,'4b) SL EPO Extended Data Sheet'!$A$5:$AB$176,2,FALSE)</f>
        <v>A</v>
      </c>
      <c r="G99" s="245">
        <f>VLOOKUP($C99,'4b) SL EPO Extended Data Sheet'!$A$5:$AB$176,3, FALSE)</f>
        <v>0</v>
      </c>
      <c r="H99" s="536"/>
      <c r="I99" s="537" t="str">
        <f>VLOOKUP($C99,'4b) SL EPO Extended Data Sheet'!$A$5:$AD$176,30, FALSE)</f>
        <v>SOC
(Sep-21)</v>
      </c>
      <c r="J99" s="72">
        <f>VLOOKUP($C99,'4b) SL EPO Extended Data Sheet'!$A$5:$AB$176,6, FALSE)/1000000</f>
        <v>38.1</v>
      </c>
      <c r="K99" s="627">
        <f>VLOOKUP($C99,'4b) SL EPO Extended Data Sheet'!$A$5:$AB$176,7, FALSE)/1000000</f>
        <v>0</v>
      </c>
      <c r="L99" s="48" t="str">
        <f>VLOOKUP($C99,'4b) SL EPO Extended Data Sheet'!$A$5:$AB$176,8, FALSE)</f>
        <v/>
      </c>
      <c r="M99" s="538" t="str">
        <f>VLOOKUP($C99,'4b) SL EPO Extended Data Sheet'!$A$5:$AB$176,9, FALSE)</f>
        <v/>
      </c>
      <c r="N99" s="535"/>
      <c r="O99" s="591">
        <f>VLOOKUP($C99,'4b) SL EPO Extended Data Sheet'!$A$5:$AB$176,10, FALSE)/1000000</f>
        <v>0</v>
      </c>
      <c r="P99" s="48">
        <f>VLOOKUP($C99,'4b) SL EPO Extended Data Sheet'!$A$5:$AB$176,11, FALSE)/1000000</f>
        <v>38.1</v>
      </c>
      <c r="Q99" s="535"/>
      <c r="R99" s="244" t="str">
        <f>VLOOKUP($C99,'4b) SL EPO Extended Data Sheet'!$A$5:$AB$176,12,FALSE)</f>
        <v>A</v>
      </c>
      <c r="S99" s="245">
        <f>VLOOKUP($C99,'4b) SL EPO Extended Data Sheet'!$A$5:$AB$176,13,FALSE)</f>
        <v>0</v>
      </c>
      <c r="T99" s="536"/>
      <c r="U99" s="537" t="str">
        <f>VLOOKUP($C99,'4b) SL EPO Extended Data Sheet'!$A$5:$AE$176,31,FALSE)</f>
        <v>SOC
(Feb-23)</v>
      </c>
      <c r="V99" s="536"/>
      <c r="W99" s="49">
        <f>VLOOKUP($C99,'4b) SL EPO Extended Data Sheet'!$A$5:$AC$176,16,FALSE)/1000000</f>
        <v>340</v>
      </c>
      <c r="X99" s="49">
        <f>VLOOKUP($C99,'4b) SL EPO Extended Data Sheet'!$A$5:$AC$176,17,FALSE)/1000000</f>
        <v>341.04334896</v>
      </c>
      <c r="Y99" s="49">
        <f>VLOOKUP($C99,'4b) SL EPO Extended Data Sheet'!$A$5:$AC$176,18,FALSE)/1000000</f>
        <v>2.7732630000000001E-2</v>
      </c>
      <c r="Z99" s="49">
        <f>VLOOKUP($C99,'4b) SL EPO Extended Data Sheet'!$A$5:$AB$176,16,FALSE)/1000000</f>
        <v>340</v>
      </c>
      <c r="AA99" s="538">
        <f>VLOOKUP($C99,'4b) SL EPO Extended Data Sheet'!$A$5:$AC$176,19,FALSE)</f>
        <v>48746</v>
      </c>
      <c r="AB99" s="538">
        <f>VLOOKUP($C99,'4b) SL EPO Extended Data Sheet'!$A$5:$AC$176,20,FALSE)</f>
        <v>48850</v>
      </c>
      <c r="AC99" s="51">
        <f>VLOOKUP($C99,'4b) SL EPO Extended Data Sheet'!$A$5:$AC$176,21,FALSE)</f>
        <v>0</v>
      </c>
      <c r="AD99" s="535">
        <f>VLOOKUP($C99,'4b) SL EPO Extended Data Sheet'!$A$5:$AB$176,15,FALSE)/1000000</f>
        <v>4.4984999999999997E-2</v>
      </c>
      <c r="AE99" s="49">
        <f>VLOOKUP($C99,'4b) SL EPO Extended Data Sheet'!$A$5:$AC$176,22,FALSE)/1000000</f>
        <v>30.313655670000003</v>
      </c>
      <c r="AF99" s="49">
        <f>VLOOKUP($C99,'4b) SL EPO Extended Data Sheet'!$A$5:$AC$176,23,FALSE)/1000000</f>
        <v>26.7790481073</v>
      </c>
      <c r="AG99" s="52">
        <f>VLOOKUP($C99,'4b) SL EPO Extended Data Sheet'!$A$5:$AC$176,24,FALSE)/1000000</f>
        <v>26.590552899999999</v>
      </c>
      <c r="AH99" s="539">
        <f>VLOOKUP($C99,'4b) SL EPO Extended Data Sheet'!$A$5:$AC$176,25,FALSE)</f>
        <v>1.0070888036066372</v>
      </c>
      <c r="AI99" s="539">
        <f>VLOOKUP($C99,'4b) SL EPO Extended Data Sheet'!$A$5:$AC$176,26,FALSE)</f>
        <v>0.88339883512637396</v>
      </c>
      <c r="AJ99" s="575">
        <f>VLOOKUP($C99,'4b) SL EPO Extended Data Sheet'!$A$5:$AC$176,27,FALSE)</f>
        <v>8.9157810794117651E-2</v>
      </c>
      <c r="AK99" s="574">
        <f>VLOOKUP($C99,'4b) SL EPO Extended Data Sheet'!$A$5:$AC$176,28,FALSE)</f>
        <v>7.876190619794117E-2</v>
      </c>
      <c r="AL99" s="540">
        <f>VLOOKUP($C99,'4b) SL EPO Extended Data Sheet'!$A$6:$AB$176,15,FALSE)</f>
        <v>44985</v>
      </c>
      <c r="AM99" s="247" t="str">
        <f>VLOOKUP($C99,'4b) SL EPO Extended Data Sheet'!$A$5:$AC$176,29,FALSE)</f>
        <v>A</v>
      </c>
      <c r="AO99" s="2"/>
      <c r="AP99" s="2"/>
      <c r="AQ99" s="2"/>
      <c r="AR99" s="2"/>
      <c r="AS99" s="2"/>
      <c r="AT99" s="2"/>
      <c r="AU99" s="2"/>
      <c r="AV99" s="631">
        <v>340.95985216000003</v>
      </c>
      <c r="AW99" s="607">
        <v>48850</v>
      </c>
      <c r="AX99" s="642"/>
      <c r="AY99" s="631">
        <v>340</v>
      </c>
      <c r="AZ99" s="611">
        <f>W99-AY99</f>
        <v>0</v>
      </c>
      <c r="BA99" s="607">
        <v>48746</v>
      </c>
      <c r="BB99" s="613">
        <f>AA99-BA99</f>
        <v>0</v>
      </c>
      <c r="BC99" s="2"/>
      <c r="BD99" s="2"/>
    </row>
    <row r="100" spans="1:56" s="267" customFormat="1" ht="108.75" customHeight="1" thickBot="1" x14ac:dyDescent="0.45">
      <c r="A100" s="299" t="str">
        <f>C99</f>
        <v>Sludge Handling &amp; Export Plant</v>
      </c>
      <c r="B100" s="708" t="s">
        <v>575</v>
      </c>
      <c r="C100" s="711"/>
      <c r="D100" s="711"/>
      <c r="E100" s="711"/>
      <c r="F100" s="711"/>
      <c r="G100" s="711"/>
      <c r="H100" s="711"/>
      <c r="I100" s="711"/>
      <c r="J100" s="711"/>
      <c r="K100" s="711"/>
      <c r="L100" s="711"/>
      <c r="M100" s="711"/>
      <c r="N100" s="711"/>
      <c r="O100" s="711"/>
      <c r="P100" s="711"/>
      <c r="Q100" s="711"/>
      <c r="R100" s="711"/>
      <c r="S100" s="711"/>
      <c r="T100" s="711"/>
      <c r="U100" s="711"/>
      <c r="V100" s="711"/>
      <c r="W100" s="711"/>
      <c r="X100" s="711"/>
      <c r="Y100" s="711"/>
      <c r="Z100" s="711"/>
      <c r="AA100" s="711"/>
      <c r="AB100" s="711"/>
      <c r="AC100" s="711"/>
      <c r="AD100" s="711"/>
      <c r="AE100" s="711"/>
      <c r="AF100" s="711"/>
      <c r="AG100" s="711"/>
      <c r="AH100" s="711"/>
      <c r="AI100" s="711"/>
      <c r="AJ100" s="711"/>
      <c r="AK100" s="711"/>
      <c r="AL100" s="711"/>
      <c r="AM100" s="712"/>
      <c r="AO100" s="15"/>
      <c r="AP100" s="15"/>
      <c r="AQ100" s="15"/>
      <c r="AR100" s="15"/>
      <c r="AS100" s="15"/>
      <c r="AT100" s="15"/>
      <c r="AU100" s="15"/>
      <c r="AV100" s="606"/>
      <c r="AW100" s="608"/>
      <c r="AX100" s="642"/>
      <c r="AY100" s="606"/>
      <c r="AZ100" s="612"/>
      <c r="BA100" s="608"/>
      <c r="BB100" s="614"/>
      <c r="BC100" s="15"/>
      <c r="BD100" s="15"/>
    </row>
    <row r="101" spans="1:56" s="466" customFormat="1" ht="5.25" customHeight="1" thickBot="1" x14ac:dyDescent="0.45">
      <c r="A101" s="299"/>
      <c r="B101" s="95"/>
      <c r="C101" s="96"/>
      <c r="D101" s="96"/>
      <c r="E101" s="96"/>
      <c r="F101" s="96"/>
      <c r="G101" s="96"/>
      <c r="H101" s="96"/>
      <c r="I101" s="96"/>
      <c r="J101" s="96"/>
      <c r="K101" s="96"/>
      <c r="L101" s="96"/>
      <c r="M101" s="96"/>
      <c r="N101" s="96"/>
      <c r="O101" s="96"/>
      <c r="P101" s="96"/>
      <c r="Q101" s="96"/>
      <c r="R101" s="96"/>
      <c r="S101" s="96"/>
      <c r="T101" s="96"/>
      <c r="U101" s="96"/>
      <c r="V101" s="96"/>
      <c r="W101" s="96"/>
      <c r="X101" s="96"/>
      <c r="Y101" s="96"/>
      <c r="Z101" s="96"/>
      <c r="AA101" s="96"/>
      <c r="AB101" s="96"/>
      <c r="AC101" s="96"/>
      <c r="AD101" s="96"/>
      <c r="AE101" s="96"/>
      <c r="AF101" s="96"/>
      <c r="AG101" s="96"/>
      <c r="AH101" s="96"/>
      <c r="AI101" s="96"/>
      <c r="AJ101" s="96"/>
      <c r="AK101" s="96"/>
      <c r="AL101" s="96"/>
      <c r="AM101" s="96"/>
      <c r="AO101" s="267"/>
      <c r="AP101" s="267"/>
      <c r="AQ101" s="267"/>
      <c r="AR101" s="267"/>
      <c r="AS101" s="267"/>
      <c r="AT101" s="267"/>
      <c r="AU101" s="267"/>
      <c r="AV101" s="639"/>
      <c r="AW101" s="646"/>
      <c r="AX101" s="642"/>
      <c r="AY101" s="644"/>
      <c r="AZ101" s="609"/>
      <c r="BA101" s="605"/>
      <c r="BB101" s="610"/>
      <c r="BC101" s="267"/>
      <c r="BD101" s="267"/>
    </row>
    <row r="102" spans="1:56" ht="47.25" customHeight="1" x14ac:dyDescent="0.4">
      <c r="B102" s="248" t="s">
        <v>102</v>
      </c>
      <c r="C102" s="588" t="s">
        <v>101</v>
      </c>
      <c r="D102" s="249" t="s">
        <v>3</v>
      </c>
      <c r="E102" s="250"/>
      <c r="F102" s="244" t="str">
        <f>VLOOKUP(C102,'5a)NDA MPPR'!$B$9:$AK$61,3,FALSE)</f>
        <v>A</v>
      </c>
      <c r="G102" s="245">
        <f>VLOOKUP(C102,'5a)NDA MPPR'!$B$9:$AK$61,4,FALSE)</f>
        <v>0</v>
      </c>
      <c r="H102" s="251"/>
      <c r="I102" s="252" t="str">
        <f>VLOOKUP(C102,'5a)NDA MPPR'!$B$9:$AK$61,6,FALSE)</f>
        <v>FBC
(Mar-22)</v>
      </c>
      <c r="J102" s="48">
        <f>VLOOKUP(C102,'5a)NDA MPPR'!$B$9:$AK$61,7,FALSE)</f>
        <v>458.9</v>
      </c>
      <c r="K102" s="48">
        <f>VLOOKUP(C102,'5a)NDA MPPR'!$B$9:$AK$61,8,FALSE)</f>
        <v>466.4</v>
      </c>
      <c r="L102" s="254">
        <f>VLOOKUP(C102,'5a)NDA MPPR'!$B$9:$AK$61,9,FALSE)</f>
        <v>45244</v>
      </c>
      <c r="M102" s="254">
        <f>VLOOKUP(C102,'5a)NDA MPPR'!$B$9:$AK$61,10,FALSE)</f>
        <v>45361</v>
      </c>
      <c r="N102" s="250"/>
      <c r="O102" s="48">
        <f>VLOOKUP(C102,'5a)NDA MPPR'!$B$9:$AK$61,12,FALSE)</f>
        <v>466.4</v>
      </c>
      <c r="P102" s="49">
        <f>VLOOKUP(C102,'5a)NDA MPPR'!$B$9:$AK$61,13,FALSE)</f>
        <v>458.9</v>
      </c>
      <c r="Q102" s="250"/>
      <c r="R102" s="244" t="str">
        <f>VLOOKUP(C102,'5a)NDA MPPR'!$B$9:$AK$61,15,FALSE)</f>
        <v>A</v>
      </c>
      <c r="S102" s="245">
        <f>VLOOKUP(C102,'5a)NDA MPPR'!$B$9:$AK$61,16,FALSE)</f>
        <v>0</v>
      </c>
      <c r="T102" s="251"/>
      <c r="U102" s="255" t="str">
        <f>VLOOKUP(C102,'5a)NDA MPPR'!$B$9:$AK$61,18,FALSE)</f>
        <v>FBC Add.
 (Mar-21)</v>
      </c>
      <c r="V102" s="251"/>
      <c r="W102" s="49">
        <f>VLOOKUP(C102,'5a)NDA MPPR'!$B$9:$AK$61,20,FALSE)</f>
        <v>419.95363700000001</v>
      </c>
      <c r="X102" s="49">
        <f>VLOOKUP(C102,'5a)NDA MPPR'!$B$9:$AK$61,21,FALSE)</f>
        <v>458.24395555000001</v>
      </c>
      <c r="Y102" s="49">
        <f>VLOOKUP(C102,'5a)NDA MPPR'!$B$9:$AK$61,22,FALSE)</f>
        <v>0</v>
      </c>
      <c r="Z102" s="50"/>
      <c r="AA102" s="254">
        <f>VLOOKUP(C102,'5a)NDA MPPR'!$B$9:$AK$61,24,FALSE)</f>
        <v>45050</v>
      </c>
      <c r="AB102" s="254">
        <f>VLOOKUP(C102,'5a)NDA MPPR'!$B$9:$AK$61,25,FALSE)</f>
        <v>46142</v>
      </c>
      <c r="AC102" s="51">
        <f>VLOOKUP(C102,'5a)NDA MPPR'!$B$9:$AK$61,26,FALSE)</f>
        <v>0</v>
      </c>
      <c r="AD102" s="250"/>
      <c r="AE102" s="49">
        <f>VLOOKUP(C102,'5a)NDA MPPR'!$B$9:$AK$61,28,FALSE)</f>
        <v>419.95363750999996</v>
      </c>
      <c r="AF102" s="49">
        <f>VLOOKUP(C102,'5a)NDA MPPR'!$B$9:$AK$61,29,FALSE)</f>
        <v>419.90913127109997</v>
      </c>
      <c r="AG102" s="52">
        <f>VLOOKUP(C102,'5a)NDA MPPR'!$B$9:$AK$61,30,FALSE)</f>
        <v>458.19395555</v>
      </c>
      <c r="AH102" s="256">
        <f>VLOOKUP(C102,'5a)NDA MPPR'!$B$9:$AK$61,31,FALSE)</f>
        <v>0.91644406519299404</v>
      </c>
      <c r="AI102" s="256">
        <f>VLOOKUP(C102,'5a)NDA MPPR'!$B$9:$AK$61,32,FALSE)</f>
        <v>0.9998940210658398</v>
      </c>
      <c r="AJ102" s="262">
        <f>VLOOKUP(C102,'5a)NDA MPPR'!$B$9:$AK$61,33,FALSE)</f>
        <v>1.0000000012144197</v>
      </c>
      <c r="AK102" s="259">
        <f>VLOOKUP(C102,'5a)NDA MPPR'!$B$9:$AK$61,34,FALSE)</f>
        <v>0.9998940222801308</v>
      </c>
      <c r="AL102" s="249"/>
      <c r="AM102" s="247" t="str">
        <f>VLOOKUP(C102,'5a)NDA MPPR'!$B$9:$AK$61,36,FALSE)</f>
        <v>G</v>
      </c>
      <c r="AV102" s="631">
        <v>458.24383004000003</v>
      </c>
      <c r="AW102" s="607">
        <v>46142</v>
      </c>
      <c r="AX102" s="642"/>
      <c r="AY102" s="631">
        <v>419.95363700000001</v>
      </c>
      <c r="AZ102" s="611">
        <f>W102-AY102</f>
        <v>0</v>
      </c>
      <c r="BA102" s="607">
        <v>45050</v>
      </c>
      <c r="BB102" s="613">
        <f>AA102-BA102</f>
        <v>0</v>
      </c>
    </row>
    <row r="103" spans="1:56" s="2" customFormat="1" ht="59.25" customHeight="1" thickBot="1" x14ac:dyDescent="0.45">
      <c r="A103" s="299" t="str">
        <f>C102</f>
        <v>Box Encapsulation Plant Product Store Direct Import Facility</v>
      </c>
      <c r="B103" s="705" t="str">
        <f>VLOOKUP($C102,'5a)NDA MPPR'!$A$9:$AK$61,2,FALSE)</f>
        <v xml:space="preserve">BEPPS-DIF project is essential to remediation of Pile Fuel Cladding Silo (PFCS) and provides capability to receive and store waste from remediation work. PFCS boxes required for active commissioning all received in BEPPS-DIF. All physical activities relating to active commissioning now complete. Project is on close out of fault observations (FOBs) and remaining project scope. Duly Authorised Person (DAP) move to support Advanced Gas Reactor (AGR) / Encapsulated Product Store (EPS) transfers may challenge end date for commissioning and rectifying subsequent faults in parallel with plant operations. Project resources are substantially redeployed on other scope for Retrievals Operations keeping project spend to a minimum. Endorsement to operate is now planned for 31/03/2026. Delivery Confidence Assessment remains Amber. Baseline RAG remains Amber. Capability and Capacity RAG remains Green, project has resource to complete scope. The project completion date remains April 2026, which is aligned with the anticipated IRP date of the Post Investment Appraisal.                                                                                                                                                                                                                                                                                                                                                                                                                                                                                                                                            </v>
      </c>
      <c r="C103" s="706"/>
      <c r="D103" s="706"/>
      <c r="E103" s="706"/>
      <c r="F103" s="706"/>
      <c r="G103" s="706"/>
      <c r="H103" s="706"/>
      <c r="I103" s="706"/>
      <c r="J103" s="706"/>
      <c r="K103" s="706"/>
      <c r="L103" s="706"/>
      <c r="M103" s="706"/>
      <c r="N103" s="706"/>
      <c r="O103" s="706"/>
      <c r="P103" s="706"/>
      <c r="Q103" s="706"/>
      <c r="R103" s="706"/>
      <c r="S103" s="706"/>
      <c r="T103" s="706"/>
      <c r="U103" s="706"/>
      <c r="V103" s="706"/>
      <c r="W103" s="706"/>
      <c r="X103" s="706"/>
      <c r="Y103" s="706"/>
      <c r="Z103" s="706"/>
      <c r="AA103" s="706"/>
      <c r="AB103" s="706"/>
      <c r="AC103" s="706"/>
      <c r="AD103" s="706"/>
      <c r="AE103" s="706"/>
      <c r="AF103" s="706"/>
      <c r="AG103" s="706"/>
      <c r="AH103" s="706"/>
      <c r="AI103" s="706"/>
      <c r="AJ103" s="706"/>
      <c r="AK103" s="706"/>
      <c r="AL103" s="706"/>
      <c r="AM103" s="707"/>
      <c r="AO103" s="267"/>
      <c r="AP103" s="267"/>
      <c r="AQ103" s="267"/>
      <c r="AR103" s="267"/>
      <c r="AS103" s="267"/>
      <c r="AT103" s="267"/>
      <c r="AU103" s="267"/>
      <c r="AV103" s="606"/>
      <c r="AW103" s="608"/>
      <c r="AX103" s="642"/>
      <c r="AY103" s="606"/>
      <c r="AZ103" s="612"/>
      <c r="BA103" s="608"/>
      <c r="BB103" s="614"/>
      <c r="BC103" s="267"/>
      <c r="BD103" s="267"/>
    </row>
    <row r="104" spans="1:56" ht="5.25" customHeight="1" thickBot="1" x14ac:dyDescent="0.45">
      <c r="B104" s="95"/>
      <c r="C104" s="96"/>
      <c r="D104" s="96"/>
      <c r="E104" s="96"/>
      <c r="F104" s="96"/>
      <c r="G104" s="96"/>
      <c r="H104" s="96"/>
      <c r="I104" s="96"/>
      <c r="J104" s="96"/>
      <c r="K104" s="96"/>
      <c r="L104" s="96"/>
      <c r="M104" s="96"/>
      <c r="N104" s="96"/>
      <c r="O104" s="96"/>
      <c r="P104" s="96"/>
      <c r="Q104" s="96"/>
      <c r="R104" s="96"/>
      <c r="S104" s="96"/>
      <c r="T104" s="96"/>
      <c r="U104" s="96"/>
      <c r="V104" s="96"/>
      <c r="W104" s="96"/>
      <c r="X104" s="96"/>
      <c r="Y104" s="96"/>
      <c r="Z104" s="96"/>
      <c r="AA104" s="96"/>
      <c r="AB104" s="96"/>
      <c r="AC104" s="96"/>
      <c r="AD104" s="96"/>
      <c r="AE104" s="96"/>
      <c r="AF104" s="96"/>
      <c r="AG104" s="96"/>
      <c r="AH104" s="96"/>
      <c r="AI104" s="96"/>
      <c r="AJ104" s="96"/>
      <c r="AK104" s="96"/>
      <c r="AL104" s="96"/>
      <c r="AM104" s="96"/>
      <c r="AW104" s="646"/>
      <c r="AX104" s="642"/>
      <c r="AY104" s="644"/>
      <c r="AZ104" s="609"/>
      <c r="BA104" s="605"/>
      <c r="BB104" s="610"/>
    </row>
    <row r="105" spans="1:56" ht="36" customHeight="1" x14ac:dyDescent="0.4">
      <c r="B105" s="216" t="s">
        <v>104</v>
      </c>
      <c r="C105" s="587" t="s">
        <v>103</v>
      </c>
      <c r="D105" s="540" t="s">
        <v>3</v>
      </c>
      <c r="E105" s="535"/>
      <c r="F105" s="244" t="str">
        <f>VLOOKUP(C105,'5a)NDA MPPR'!$B$9:$AK$61,3,FALSE)</f>
        <v>A</v>
      </c>
      <c r="G105" s="245">
        <f>VLOOKUP(C105,'5a)NDA MPPR'!$B$9:$AK$61,4,FALSE)</f>
        <v>0</v>
      </c>
      <c r="H105" s="536"/>
      <c r="I105" s="554" t="str">
        <f>VLOOKUP(C105,'5a)NDA MPPR'!$B$9:$AK$61,6,FALSE)</f>
        <v>FBC
(Apr-24)</v>
      </c>
      <c r="J105" s="48">
        <f>VLOOKUP(C105,'5a)NDA MPPR'!$B$9:$AK$61,7,FALSE)</f>
        <v>68.5</v>
      </c>
      <c r="K105" s="48">
        <f>VLOOKUP(C105,'5a)NDA MPPR'!$B$9:$AK$61,8,FALSE)</f>
        <v>74.599999999999994</v>
      </c>
      <c r="L105" s="254">
        <f>VLOOKUP(C105,'5a)NDA MPPR'!$B$9:$AK$61,9,FALSE)</f>
        <v>45834</v>
      </c>
      <c r="M105" s="254">
        <f>VLOOKUP(C105,'5a)NDA MPPR'!$B$9:$AK$61,10,FALSE)</f>
        <v>45911</v>
      </c>
      <c r="N105" s="254"/>
      <c r="O105" s="254" t="str">
        <f>VLOOKUP(C105,'5a)NDA MPPR'!$B$9:$AK$61,12,FALSE)</f>
        <v>n/a</v>
      </c>
      <c r="P105" s="297">
        <f>VLOOKUP(C105,'5a)NDA MPPR'!$B$9:$AK$61,13,FALSE)</f>
        <v>74.599999999999994</v>
      </c>
      <c r="Q105" s="535"/>
      <c r="R105" s="244" t="str">
        <f>VLOOKUP(C105,'5a)NDA MPPR'!$B$9:$AK$61,15,FALSE)</f>
        <v>A</v>
      </c>
      <c r="S105" s="245">
        <f>VLOOKUP(C105,'5a)NDA MPPR'!$B$9:$AK$61,16,FALSE)</f>
        <v>0</v>
      </c>
      <c r="T105" s="536"/>
      <c r="U105" s="554" t="str">
        <f>VLOOKUP(C105,'5a)NDA MPPR'!$B$9:$AK$61,18,FALSE)</f>
        <v>FBC
 (May-24)</v>
      </c>
      <c r="V105" s="536"/>
      <c r="W105" s="49">
        <f>VLOOKUP(C105,'5a)NDA MPPR'!$B$9:$AK$61,20,FALSE)</f>
        <v>75.794335000000004</v>
      </c>
      <c r="X105" s="49">
        <f>VLOOKUP(C105,'5a)NDA MPPR'!$B$9:$AK$61,21,FALSE)</f>
        <v>72.459951750000002</v>
      </c>
      <c r="Y105" s="49">
        <f>VLOOKUP(C105,'5a)NDA MPPR'!$B$9:$AK$61,22,FALSE)</f>
        <v>-0.1</v>
      </c>
      <c r="Z105" s="50"/>
      <c r="AA105" s="538">
        <f>VLOOKUP(C105,'5a)NDA MPPR'!$B$9:$AK$61,24,FALSE)</f>
        <v>45834</v>
      </c>
      <c r="AB105" s="538">
        <f>VLOOKUP(C105,'5a)NDA MPPR'!$B$9:$AK$61,25,FALSE)</f>
        <v>45988</v>
      </c>
      <c r="AC105" s="51">
        <f>VLOOKUP(C105,'5a)NDA MPPR'!$B$9:$AK$61,26,FALSE)</f>
        <v>0</v>
      </c>
      <c r="AD105" s="535"/>
      <c r="AE105" s="49">
        <f>VLOOKUP(C105,'5a)NDA MPPR'!$B$9:$AK$61,28,FALSE)</f>
        <v>75.794335419999996</v>
      </c>
      <c r="AF105" s="49">
        <f>VLOOKUP(C105,'5a)NDA MPPR'!$B$9:$AK$61,29,FALSE)</f>
        <v>73.803318659799999</v>
      </c>
      <c r="AG105" s="52">
        <f>VLOOKUP(C105,'5a)NDA MPPR'!$B$9:$AK$61,30,FALSE)</f>
        <v>72.459951750000002</v>
      </c>
      <c r="AH105" s="539">
        <f>VLOOKUP(C105,'5a)NDA MPPR'!$B$9:$AK$61,31,FALSE)</f>
        <v>1.0185394397505929</v>
      </c>
      <c r="AI105" s="539">
        <f>VLOOKUP(C105,'5a)NDA MPPR'!$B$9:$AK$61,32,FALSE)</f>
        <v>0.97373132504999016</v>
      </c>
      <c r="AJ105" s="575">
        <f>VLOOKUP(C105,'5a)NDA MPPR'!$B$9:$AK$61,33,FALSE)</f>
        <v>1.0000000055413112</v>
      </c>
      <c r="AK105" s="574">
        <f>VLOOKUP(C105,'5a)NDA MPPR'!$B$9:$AK$61,34,FALSE)</f>
        <v>0.97373133044573834</v>
      </c>
      <c r="AL105" s="540"/>
      <c r="AM105" s="247" t="str">
        <f>VLOOKUP(C105,'5a)NDA MPPR'!$B$9:$AK$61,36,FALSE)</f>
        <v>G</v>
      </c>
      <c r="AO105" s="267"/>
      <c r="AP105" s="267"/>
      <c r="AQ105" s="267"/>
      <c r="AR105" s="267"/>
      <c r="AS105" s="267"/>
      <c r="AT105" s="267"/>
      <c r="AU105" s="267"/>
      <c r="AV105" s="631">
        <v>72.538784280000002</v>
      </c>
      <c r="AW105" s="607">
        <v>45988</v>
      </c>
      <c r="AX105" s="642"/>
      <c r="AY105" s="631">
        <v>75.794335000000004</v>
      </c>
      <c r="AZ105" s="611">
        <f>W105-AY105</f>
        <v>0</v>
      </c>
      <c r="BA105" s="607">
        <v>45834</v>
      </c>
      <c r="BB105" s="613">
        <f>AA105-BA105</f>
        <v>0</v>
      </c>
      <c r="BC105" s="267"/>
      <c r="BD105" s="267"/>
    </row>
    <row r="106" spans="1:56" ht="72.55" customHeight="1" thickBot="1" x14ac:dyDescent="0.45">
      <c r="A106" s="299" t="str">
        <f>C105</f>
        <v>PFCS Full Retrievals - Project 1</v>
      </c>
      <c r="B106" s="705" t="str">
        <f>VLOOKUP($C105,'5a)NDA MPPR'!$A$9:$AK$61,2,FALSE)</f>
        <v>Full Retrievals Project 1 (FRP1) will provide capability to continue progress made in Pile Fuel Cladding Silo (PFCS) Early Retrievals Project and is delivering the first 5 of 18 scope areas required to complete Full Retrievals operations. The first project benefit is a reduction in radiological risk to workers, public and the environment, which is an overall programme benefit included in the FRP1 Business Case with a forecast date of 2030, which has been communicated via the Enterprise Benefit Register. The benefit can only be realised after the start of Full Retrievals operations, not only the completion of FRP1. P80 sanction approved 29th April 2024, taking cumulative sanction released to £74.6m “not to exceed value of £75m” for the re-scoped project at the request of NDA Accounting Officer. The Delivery Confidence Assessment remains Amber. This is based on the current forecast project end date of November 2025. The lifetime EAC remains at £72.5m, with the actual cost at completion to be confirmed next period, following close out of final accounting and Gate 5.  Baseline RAG also remains Amber, which reflects the current forecast end date of November 2025, 5 months later than current baseline. The P50 baseline is slightly greater than the sanction released due to indexation. In period the Post Investment Appraisal (PIA) was endorsed at PFCS Programme Board, with actions placed at Retrievals Portfolio Board to provide updates to the paper, and feedback for approval at Retrievals weekly team meeting. The gate 5 SPER was held on 21st October 2025, achieving a rating of Green for cost &amp; schedule, and Amber for requirements and resources. There is no risk to project close-out on the basis that the amber ratings will be managed in the Programme’s forward strategy for full retrievals capability. The project is progressing the SPER findings and Retrievals Board actions ahead of the Readiness review, which would confirm readiness for PIA submission to the December Gated Project Oversight Committee (GPOC). Close out activities have not been impacted by the recent strike action. The Capability and Capacity RAG remains Green with no issues to report.</v>
      </c>
      <c r="C106" s="706"/>
      <c r="D106" s="706"/>
      <c r="E106" s="706"/>
      <c r="F106" s="706"/>
      <c r="G106" s="706"/>
      <c r="H106" s="706"/>
      <c r="I106" s="706"/>
      <c r="J106" s="706"/>
      <c r="K106" s="706"/>
      <c r="L106" s="706"/>
      <c r="M106" s="706"/>
      <c r="N106" s="706"/>
      <c r="O106" s="706"/>
      <c r="P106" s="706"/>
      <c r="Q106" s="706"/>
      <c r="R106" s="706"/>
      <c r="S106" s="706"/>
      <c r="T106" s="706"/>
      <c r="U106" s="706"/>
      <c r="V106" s="706"/>
      <c r="W106" s="706"/>
      <c r="X106" s="706"/>
      <c r="Y106" s="706"/>
      <c r="Z106" s="706"/>
      <c r="AA106" s="706"/>
      <c r="AB106" s="706"/>
      <c r="AC106" s="706"/>
      <c r="AD106" s="706"/>
      <c r="AE106" s="706"/>
      <c r="AF106" s="706"/>
      <c r="AG106" s="706"/>
      <c r="AH106" s="706"/>
      <c r="AI106" s="706"/>
      <c r="AJ106" s="706"/>
      <c r="AK106" s="706"/>
      <c r="AL106" s="706"/>
      <c r="AM106" s="707"/>
      <c r="AO106" s="466"/>
      <c r="AP106" s="466"/>
      <c r="AQ106" s="466"/>
      <c r="AR106" s="466"/>
      <c r="AS106" s="466"/>
      <c r="AT106" s="466"/>
      <c r="AU106" s="466"/>
      <c r="AV106" s="606"/>
      <c r="AW106" s="608"/>
      <c r="AX106" s="642"/>
      <c r="AY106" s="606"/>
      <c r="AZ106" s="612"/>
      <c r="BA106" s="608"/>
      <c r="BB106" s="614"/>
      <c r="BC106" s="466"/>
      <c r="BD106" s="466"/>
    </row>
    <row r="107" spans="1:56" s="466" customFormat="1" ht="5.25" customHeight="1" thickBot="1" x14ac:dyDescent="0.45">
      <c r="A107" s="299"/>
      <c r="B107" s="95"/>
      <c r="C107" s="96"/>
      <c r="D107" s="96"/>
      <c r="E107" s="96"/>
      <c r="F107" s="96"/>
      <c r="G107" s="96"/>
      <c r="H107" s="96"/>
      <c r="I107" s="96"/>
      <c r="J107" s="96"/>
      <c r="K107" s="96"/>
      <c r="L107" s="96"/>
      <c r="M107" s="96"/>
      <c r="N107" s="96"/>
      <c r="O107" s="96"/>
      <c r="P107" s="96"/>
      <c r="Q107" s="96"/>
      <c r="R107" s="96"/>
      <c r="S107" s="96"/>
      <c r="T107" s="96"/>
      <c r="U107" s="96"/>
      <c r="V107" s="96"/>
      <c r="W107" s="96"/>
      <c r="X107" s="96"/>
      <c r="Y107" s="96"/>
      <c r="Z107" s="96"/>
      <c r="AA107" s="96"/>
      <c r="AB107" s="96"/>
      <c r="AC107" s="96"/>
      <c r="AD107" s="96"/>
      <c r="AE107" s="96"/>
      <c r="AF107" s="96"/>
      <c r="AG107" s="96"/>
      <c r="AH107" s="96"/>
      <c r="AI107" s="96"/>
      <c r="AJ107" s="96"/>
      <c r="AK107" s="96"/>
      <c r="AL107" s="96"/>
      <c r="AM107" s="96"/>
      <c r="AO107" s="15"/>
      <c r="AP107" s="15"/>
      <c r="AQ107" s="15"/>
      <c r="AR107" s="15"/>
      <c r="AS107" s="15"/>
      <c r="AT107" s="15"/>
      <c r="AU107" s="15"/>
      <c r="AV107" s="639"/>
      <c r="AW107" s="646"/>
      <c r="AX107" s="642"/>
      <c r="AY107" s="644"/>
      <c r="AZ107" s="609"/>
      <c r="BA107" s="605"/>
      <c r="BB107" s="610"/>
      <c r="BC107" s="15"/>
      <c r="BD107" s="15"/>
    </row>
    <row r="108" spans="1:56" s="267" customFormat="1" ht="36" customHeight="1" x14ac:dyDescent="0.4">
      <c r="A108" s="299"/>
      <c r="B108" s="230" t="s">
        <v>372</v>
      </c>
      <c r="C108" s="494" t="s">
        <v>373</v>
      </c>
      <c r="D108" s="540" t="s">
        <v>3</v>
      </c>
      <c r="E108" s="535"/>
      <c r="F108" s="244" t="str">
        <f>VLOOKUP($C108,'4b) SL EPO Extended Data Sheet'!$A$5:$AB$176,2,FALSE)</f>
        <v>A</v>
      </c>
      <c r="G108" s="245">
        <f>VLOOKUP($C108,'4b) SL EPO Extended Data Sheet'!$A$5:$AB$176,3, FALSE)</f>
        <v>0</v>
      </c>
      <c r="H108" s="536"/>
      <c r="I108" s="537" t="str">
        <f>VLOOKUP($C108,'4b) SL EPO Extended Data Sheet'!$A$5:$AD$176,30, FALSE)</f>
        <v>FBC
(Jan-23)</v>
      </c>
      <c r="J108" s="49">
        <f>VLOOKUP($C108,'4b) SL EPO Extended Data Sheet'!$A$5:$AB$176,6, FALSE)/1000000</f>
        <v>27.608000000000001</v>
      </c>
      <c r="K108" s="49">
        <f>VLOOKUP($C108,'4b) SL EPO Extended Data Sheet'!$A$5:$AB$176,7, FALSE)/1000000</f>
        <v>28.241</v>
      </c>
      <c r="L108" s="555">
        <f>VLOOKUP($C108,'4b) SL EPO Extended Data Sheet'!$A$5:$AB$176,8, FALSE)</f>
        <v>46053</v>
      </c>
      <c r="M108" s="555">
        <f>VLOOKUP($C108,'4b) SL EPO Extended Data Sheet'!$A$5:$AB$176,9, FALSE)</f>
        <v>46203</v>
      </c>
      <c r="N108" s="535"/>
      <c r="O108" s="591">
        <f>VLOOKUP($C108,'4b) SL EPO Extended Data Sheet'!$A$5:$AB$176,10, FALSE)/1000000</f>
        <v>0</v>
      </c>
      <c r="P108" s="49">
        <f>VLOOKUP($C108,'4b) SL EPO Extended Data Sheet'!$A$5:$AB$176,11, FALSE)/1000000</f>
        <v>28.241</v>
      </c>
      <c r="Q108" s="535"/>
      <c r="R108" s="244" t="str">
        <f>VLOOKUP($C108,'4b) SL EPO Extended Data Sheet'!$A$5:$AB$176,12,FALSE)</f>
        <v>A</v>
      </c>
      <c r="S108" s="245">
        <f>VLOOKUP($C108,'4b) SL EPO Extended Data Sheet'!$A$5:$AB$176,13,FALSE)</f>
        <v>0</v>
      </c>
      <c r="T108" s="536"/>
      <c r="U108" s="537" t="str">
        <f>VLOOKUP($C108,'4b) SL EPO Extended Data Sheet'!$A$5:$AE$176,31,FALSE)</f>
        <v>FBC
(Mar-23)</v>
      </c>
      <c r="V108" s="536"/>
      <c r="W108" s="49">
        <f>VLOOKUP($C108,'4b) SL EPO Extended Data Sheet'!$A$5:$AC$176,16,FALSE)/1000000</f>
        <v>18.788383</v>
      </c>
      <c r="X108" s="49">
        <f>VLOOKUP($C108,'4b) SL EPO Extended Data Sheet'!$A$5:$AC$176,17,FALSE)/1000000</f>
        <v>28.070365289999998</v>
      </c>
      <c r="Y108" s="49">
        <f>VLOOKUP($C108,'4b) SL EPO Extended Data Sheet'!$A$5:$AC$176,18,FALSE)/1000000</f>
        <v>2.4120599999999999E-2</v>
      </c>
      <c r="Z108" s="49">
        <f>VLOOKUP($C108,'4b) SL EPO Extended Data Sheet'!$A$5:$AB$176,16,FALSE)/1000000</f>
        <v>18.788383</v>
      </c>
      <c r="AA108" s="538">
        <f>VLOOKUP($C108,'4b) SL EPO Extended Data Sheet'!$A$5:$AC$176,19,FALSE)</f>
        <v>46043</v>
      </c>
      <c r="AB108" s="538">
        <f>VLOOKUP($C108,'4b) SL EPO Extended Data Sheet'!$A$5:$AC$176,20,FALSE)</f>
        <v>46469</v>
      </c>
      <c r="AC108" s="51">
        <f>VLOOKUP($C108,'4b) SL EPO Extended Data Sheet'!$A$5:$AC$176,21,FALSE)</f>
        <v>0</v>
      </c>
      <c r="AD108" s="535">
        <f>VLOOKUP($C108,'4b) SL EPO Extended Data Sheet'!$A$5:$AB$176,15,FALSE)/1000000</f>
        <v>4.5014999999999999E-2</v>
      </c>
      <c r="AE108" s="49">
        <f>VLOOKUP($C108,'4b) SL EPO Extended Data Sheet'!$A$5:$AC$176,22,FALSE)/1000000</f>
        <v>26.770140609999999</v>
      </c>
      <c r="AF108" s="49">
        <f>VLOOKUP($C108,'4b) SL EPO Extended Data Sheet'!$A$5:$AC$176,23,FALSE)/1000000</f>
        <v>26.1081188928</v>
      </c>
      <c r="AG108" s="52">
        <f>VLOOKUP($C108,'4b) SL EPO Extended Data Sheet'!$A$5:$AC$176,24,FALSE)/1000000</f>
        <v>27.67431358</v>
      </c>
      <c r="AH108" s="539">
        <f>VLOOKUP($C108,'4b) SL EPO Extended Data Sheet'!$A$5:$AC$176,25,FALSE)</f>
        <v>0.9434061956885581</v>
      </c>
      <c r="AI108" s="539">
        <f>VLOOKUP($C108,'4b) SL EPO Extended Data Sheet'!$A$5:$AC$176,26,FALSE)</f>
        <v>0.97527014419368785</v>
      </c>
      <c r="AJ108" s="575">
        <f>VLOOKUP($C108,'4b) SL EPO Extended Data Sheet'!$A$5:$AC$176,27,FALSE)</f>
        <v>1.4248240846484765</v>
      </c>
      <c r="AK108" s="574">
        <f>VLOOKUP($C108,'4b) SL EPO Extended Data Sheet'!$A$5:$AC$176,28,FALSE)</f>
        <v>1.3895883904857591</v>
      </c>
      <c r="AL108" s="540">
        <f>VLOOKUP($C108,'4b) SL EPO Extended Data Sheet'!$A$6:$AB$176,15,FALSE)</f>
        <v>45015</v>
      </c>
      <c r="AM108" s="247" t="str">
        <f>VLOOKUP($C108,'4b) SL EPO Extended Data Sheet'!$A$5:$AC$176,29,FALSE)</f>
        <v>G</v>
      </c>
      <c r="AO108" s="15"/>
      <c r="AP108" s="15"/>
      <c r="AQ108" s="15"/>
      <c r="AR108" s="15"/>
      <c r="AS108" s="15"/>
      <c r="AT108" s="15"/>
      <c r="AU108" s="15"/>
      <c r="AV108" s="631">
        <v>28.046244690000002</v>
      </c>
      <c r="AW108" s="607">
        <v>46469</v>
      </c>
      <c r="AX108" s="642"/>
      <c r="AY108" s="631">
        <v>18.788383</v>
      </c>
      <c r="AZ108" s="611">
        <f>W108-AY108</f>
        <v>0</v>
      </c>
      <c r="BA108" s="607">
        <v>46043</v>
      </c>
      <c r="BB108" s="613">
        <f>AA108-BA108</f>
        <v>0</v>
      </c>
      <c r="BC108" s="15"/>
      <c r="BD108" s="15"/>
    </row>
    <row r="109" spans="1:56" s="267" customFormat="1" ht="52.5" customHeight="1" thickBot="1" x14ac:dyDescent="0.45">
      <c r="A109" s="299" t="str">
        <f>C108</f>
        <v>MSSS Electrical Distribution Upgrade for Retrievals</v>
      </c>
      <c r="B109" s="708" t="s">
        <v>535</v>
      </c>
      <c r="C109" s="711"/>
      <c r="D109" s="711"/>
      <c r="E109" s="711"/>
      <c r="F109" s="711"/>
      <c r="G109" s="711"/>
      <c r="H109" s="711"/>
      <c r="I109" s="711"/>
      <c r="J109" s="711"/>
      <c r="K109" s="711"/>
      <c r="L109" s="711"/>
      <c r="M109" s="711"/>
      <c r="N109" s="711"/>
      <c r="O109" s="711"/>
      <c r="P109" s="711"/>
      <c r="Q109" s="711"/>
      <c r="R109" s="711"/>
      <c r="S109" s="711"/>
      <c r="T109" s="711"/>
      <c r="U109" s="711"/>
      <c r="V109" s="711"/>
      <c r="W109" s="711"/>
      <c r="X109" s="711"/>
      <c r="Y109" s="711"/>
      <c r="Z109" s="711"/>
      <c r="AA109" s="711"/>
      <c r="AB109" s="711"/>
      <c r="AC109" s="711"/>
      <c r="AD109" s="711"/>
      <c r="AE109" s="711"/>
      <c r="AF109" s="711"/>
      <c r="AG109" s="711"/>
      <c r="AH109" s="711"/>
      <c r="AI109" s="711"/>
      <c r="AJ109" s="711"/>
      <c r="AK109" s="711"/>
      <c r="AL109" s="711"/>
      <c r="AM109" s="712"/>
      <c r="AO109" s="15"/>
      <c r="AP109" s="15"/>
      <c r="AQ109" s="15"/>
      <c r="AR109" s="15"/>
      <c r="AS109" s="15"/>
      <c r="AT109" s="15"/>
      <c r="AU109" s="15"/>
      <c r="AV109" s="606"/>
      <c r="AW109" s="608"/>
      <c r="AX109" s="642"/>
      <c r="AY109" s="606"/>
      <c r="AZ109" s="612"/>
      <c r="BA109" s="608"/>
      <c r="BB109" s="614"/>
      <c r="BC109" s="15"/>
      <c r="BD109" s="15"/>
    </row>
    <row r="110" spans="1:56" s="267" customFormat="1" ht="5.25" customHeight="1" thickBot="1" x14ac:dyDescent="0.45">
      <c r="A110" s="299"/>
      <c r="B110" s="61"/>
      <c r="C110" s="467"/>
      <c r="D110" s="61"/>
      <c r="E110" s="61"/>
      <c r="F110" s="61"/>
      <c r="G110" s="61"/>
      <c r="H110" s="61"/>
      <c r="I110" s="61"/>
      <c r="J110" s="61"/>
      <c r="K110" s="61"/>
      <c r="L110" s="61"/>
      <c r="M110" s="61"/>
      <c r="N110" s="61"/>
      <c r="O110" s="61"/>
      <c r="P110" s="61"/>
      <c r="Q110" s="61"/>
      <c r="R110" s="61"/>
      <c r="S110" s="61"/>
      <c r="T110" s="61"/>
      <c r="U110" s="61"/>
      <c r="V110" s="61"/>
      <c r="W110" s="61"/>
      <c r="X110" s="61"/>
      <c r="Y110" s="61"/>
      <c r="Z110" s="61"/>
      <c r="AA110" s="61"/>
      <c r="AB110" s="61"/>
      <c r="AC110" s="61"/>
      <c r="AD110" s="61"/>
      <c r="AE110" s="61"/>
      <c r="AF110" s="61"/>
      <c r="AG110" s="61"/>
      <c r="AH110" s="61"/>
      <c r="AI110" s="61"/>
      <c r="AJ110" s="61"/>
      <c r="AK110" s="61"/>
      <c r="AL110" s="61"/>
      <c r="AM110" s="61"/>
      <c r="AV110" s="639"/>
      <c r="AW110" s="646"/>
      <c r="AX110" s="642"/>
      <c r="AY110" s="644"/>
      <c r="AZ110" s="609"/>
      <c r="BA110" s="605"/>
      <c r="BB110" s="610"/>
    </row>
    <row r="111" spans="1:56" ht="36" customHeight="1" x14ac:dyDescent="0.4">
      <c r="B111" s="216" t="s">
        <v>100</v>
      </c>
      <c r="C111" s="587" t="s">
        <v>7</v>
      </c>
      <c r="D111" s="540" t="s">
        <v>3</v>
      </c>
      <c r="E111" s="535"/>
      <c r="F111" s="244" t="str">
        <f>VLOOKUP(C111,'5a)NDA MPPR'!$B$9:$AK$61,3,FALSE)</f>
        <v>A</v>
      </c>
      <c r="G111" s="245">
        <f>VLOOKUP(C111,'5a)NDA MPPR'!$B$9:$AK$61,4,FALSE)</f>
        <v>0</v>
      </c>
      <c r="H111" s="536"/>
      <c r="I111" s="537" t="str">
        <f>VLOOKUP(C111,'5a)NDA MPPR'!$B$9:$AK$61,6,FALSE)</f>
        <v>FBC
(Oct-23)</v>
      </c>
      <c r="J111" s="48">
        <f>VLOOKUP(C111,'5a)NDA MPPR'!$B$9:$AK$61,7,FALSE)</f>
        <v>866.7</v>
      </c>
      <c r="K111" s="48">
        <f>VLOOKUP(C111,'5a)NDA MPPR'!$B$9:$AK$61,8,FALSE)</f>
        <v>897.9</v>
      </c>
      <c r="L111" s="538">
        <f>VLOOKUP(C111,'5a)NDA MPPR'!$B$9:$AK$61,9,FALSE)</f>
        <v>46505</v>
      </c>
      <c r="M111" s="538">
        <f>VLOOKUP(C111,'5a)NDA MPPR'!$B$9:$AK$61,10,FALSE)</f>
        <v>47053</v>
      </c>
      <c r="N111" s="535"/>
      <c r="O111" s="48">
        <f>VLOOKUP(C111,'5a)NDA MPPR'!$B$9:$AK$61,12,FALSE)</f>
        <v>897.9</v>
      </c>
      <c r="P111" s="48">
        <f>VLOOKUP(C111,'5a)NDA MPPR'!$B$9:$AK$61,13,FALSE)</f>
        <v>897.9</v>
      </c>
      <c r="Q111" s="535"/>
      <c r="R111" s="244" t="str">
        <f>VLOOKUP(C111,'5a)NDA MPPR'!$B$9:$AK$61,15,FALSE)</f>
        <v>A</v>
      </c>
      <c r="S111" s="245">
        <f>VLOOKUP(C111,'5a)NDA MPPR'!$B$9:$AK$61,16,FALSE)</f>
        <v>0</v>
      </c>
      <c r="T111" s="536"/>
      <c r="U111" s="554" t="str">
        <f>VLOOKUP(C111,'5a)NDA MPPR'!$B$9:$AK$61,18,FALSE)</f>
        <v>FBC
 (Apr-22)</v>
      </c>
      <c r="V111" s="536"/>
      <c r="W111" s="49">
        <f>VLOOKUP(C111,'5a)NDA MPPR'!$B$9:$AK$61,20,FALSE)</f>
        <v>803.03225499999996</v>
      </c>
      <c r="X111" s="49">
        <f>VLOOKUP(C111,'5a)NDA MPPR'!$B$9:$AK$61,21,FALSE)</f>
        <v>887.19569248000005</v>
      </c>
      <c r="Y111" s="49">
        <f>VLOOKUP(C111,'5a)NDA MPPR'!$B$9:$AK$61,22,FALSE)</f>
        <v>0.1</v>
      </c>
      <c r="Z111" s="50"/>
      <c r="AA111" s="538">
        <f>VLOOKUP(C111,'5a)NDA MPPR'!$B$9:$AK$61,24,FALSE)</f>
        <v>46505</v>
      </c>
      <c r="AB111" s="538">
        <f>VLOOKUP(C111,'5a)NDA MPPR'!$B$9:$AK$61,25,FALSE)</f>
        <v>46717</v>
      </c>
      <c r="AC111" s="51">
        <f>VLOOKUP(C111,'5a)NDA MPPR'!$B$9:$AK$61,26,FALSE)</f>
        <v>0</v>
      </c>
      <c r="AD111" s="535"/>
      <c r="AE111" s="49">
        <f>VLOOKUP(C111,'5a)NDA MPPR'!$B$9:$AK$61,28,FALSE)</f>
        <v>798.33897067999999</v>
      </c>
      <c r="AF111" s="49">
        <f>VLOOKUP(C111,'5a)NDA MPPR'!$B$9:$AK$61,29,FALSE)</f>
        <v>785.30333896529999</v>
      </c>
      <c r="AG111" s="52">
        <f>VLOOKUP(C111,'5a)NDA MPPR'!$B$9:$AK$61,30,FALSE)</f>
        <v>869.84960576999993</v>
      </c>
      <c r="AH111" s="539">
        <f>VLOOKUP(C111,'5a)NDA MPPR'!$B$9:$AK$61,31,FALSE)</f>
        <v>0.90280358093643243</v>
      </c>
      <c r="AI111" s="539">
        <f>VLOOKUP(C111,'5a)NDA MPPR'!$B$9:$AK$61,32,FALSE)</f>
        <v>0.98367155783013238</v>
      </c>
      <c r="AJ111" s="181">
        <f>VLOOKUP(C111,'5a)NDA MPPR'!$B$9:$AK$61,33,FALSE)</f>
        <v>0.99415554694001673</v>
      </c>
      <c r="AK111" s="574">
        <f>VLOOKUP(C111,'5a)NDA MPPR'!$B$9:$AK$61,34,FALSE)</f>
        <v>0.97792253558395359</v>
      </c>
      <c r="AL111" s="540"/>
      <c r="AM111" s="247" t="str">
        <f>VLOOKUP(C111,'5a)NDA MPPR'!$B$9:$AK$61,36,FALSE)</f>
        <v>G</v>
      </c>
      <c r="AV111" s="631">
        <v>887.10816310000007</v>
      </c>
      <c r="AW111" s="607">
        <v>46717</v>
      </c>
      <c r="AX111" s="642"/>
      <c r="AY111" s="631">
        <v>803.03225499999996</v>
      </c>
      <c r="AZ111" s="611">
        <f>W111-AY111</f>
        <v>0</v>
      </c>
      <c r="BA111" s="607">
        <v>46505</v>
      </c>
      <c r="BB111" s="613">
        <f>AA111-BA111</f>
        <v>0</v>
      </c>
    </row>
    <row r="112" spans="1:56" ht="84.9" customHeight="1" thickBot="1" x14ac:dyDescent="0.45">
      <c r="A112" s="299" t="str">
        <f>C111</f>
        <v>SEP Solid Waste Storage Retrievals</v>
      </c>
      <c r="B112" s="705" t="str">
        <f>VLOOKUP($C111,'5a)NDA MPPR'!$A$9:$AK$61,2,FALSE)</f>
        <v>This project enables retrievals in Magnox Swarf Storage Silos (MSSS) Original Building and the 1st Extension. This includes completion of Silo Emptying Plant (SEP) 2 and SEP 1. The first project benefit was completed in 2022, enabling the successful start of Retrievals from SEP 2. The Delivery Confidence Assessment remains Amber in light of challenges to the SEP1 commissioning schedule, although in the context of the full project, issues appear resolvable and should not threaten P80 values. The project has reviewed assumptions underpinning the SEP 1 inactive and active commissioning and based on the feedback is taking steps to address perceived delivery gaps, including addressing potential inefficiencies in the approach to commissioning and pre-operations (teams shape and size, working patterns etc). Challenges in delivering commissioning tasks ahead of the SEP1 move between compartments later this year resulted in an impact on YE BCWP and additional commissioning resource usage resulted in an EAC increase in period. This flowed through to a minor movement of the planned first skip out date in November 2027. The Baseline RAG status remains Amber. This period, the project continued to deliver commissioning activities on SEP1, although efficiency was impacted by strike action.  On SEP2 raking was successfully completed, which has resulted in a level waste bed for retrievals later this FY.  The Project team also commenced a review to inform configuration management across SEP1 and SEP2, with a focus on the activities required to close out SEP2. The Vent project has continued to work through inactive commissioning scope, with utilities supporting next period for energisation of new capability in the Lateral Restraint Tower. Although there is a significant negative cost variance between the EAC and Baseline, £64.3m of this was historical (prior to 2022) and although included in the current sanction, is not included in the Baseline. The Capability and Capacity remains Green, based on the assumption that resources will be made available to support the prioritised Original Building/1st Extension scope. Design capability resource requests are to be submitted in November. Several programme requirements need to be delivered in parallel with the retrievals project scope to enable a full retrieval capability, this includes the Skip Fill Optimisation opportunity and key SEP Machine improvements such as to manage large items, deal with pressurised containers and manage waste craters. The project and programme are working together to minimise the impact of implementation of this scope, (which is additional to the sanctioned Business Case), on the project deliverables.</v>
      </c>
      <c r="C112" s="706"/>
      <c r="D112" s="706"/>
      <c r="E112" s="706"/>
      <c r="F112" s="706"/>
      <c r="G112" s="706"/>
      <c r="H112" s="706"/>
      <c r="I112" s="706"/>
      <c r="J112" s="706"/>
      <c r="K112" s="706"/>
      <c r="L112" s="706"/>
      <c r="M112" s="706"/>
      <c r="N112" s="706"/>
      <c r="O112" s="706"/>
      <c r="P112" s="706"/>
      <c r="Q112" s="706"/>
      <c r="R112" s="706"/>
      <c r="S112" s="706"/>
      <c r="T112" s="706"/>
      <c r="U112" s="706"/>
      <c r="V112" s="706"/>
      <c r="W112" s="706"/>
      <c r="X112" s="706"/>
      <c r="Y112" s="706"/>
      <c r="Z112" s="706"/>
      <c r="AA112" s="706"/>
      <c r="AB112" s="706"/>
      <c r="AC112" s="706"/>
      <c r="AD112" s="706"/>
      <c r="AE112" s="706"/>
      <c r="AF112" s="706"/>
      <c r="AG112" s="706"/>
      <c r="AH112" s="706"/>
      <c r="AI112" s="706"/>
      <c r="AJ112" s="706"/>
      <c r="AK112" s="706"/>
      <c r="AL112" s="706"/>
      <c r="AM112" s="707"/>
      <c r="AO112" s="466"/>
      <c r="AP112" s="466"/>
      <c r="AQ112" s="466"/>
      <c r="AR112" s="466"/>
      <c r="AS112" s="466"/>
      <c r="AT112" s="466"/>
      <c r="AU112" s="466"/>
      <c r="AV112" s="606"/>
      <c r="AW112" s="608"/>
      <c r="AX112" s="642"/>
      <c r="AY112" s="606"/>
      <c r="AZ112" s="612"/>
      <c r="BA112" s="608"/>
      <c r="BB112" s="614"/>
      <c r="BC112" s="466"/>
      <c r="BD112" s="466"/>
    </row>
    <row r="113" spans="1:56" s="267" customFormat="1" ht="5.25" customHeight="1" thickBot="1" x14ac:dyDescent="0.45">
      <c r="A113" s="299"/>
      <c r="B113" s="95"/>
      <c r="C113" s="96"/>
      <c r="D113" s="96"/>
      <c r="E113" s="96"/>
      <c r="F113" s="96"/>
      <c r="G113" s="96"/>
      <c r="H113" s="96"/>
      <c r="I113" s="96"/>
      <c r="J113" s="96"/>
      <c r="K113" s="96"/>
      <c r="L113" s="96"/>
      <c r="M113" s="96"/>
      <c r="N113" s="96"/>
      <c r="O113" s="96"/>
      <c r="P113" s="96"/>
      <c r="Q113" s="96"/>
      <c r="R113" s="96"/>
      <c r="S113" s="96"/>
      <c r="T113" s="96"/>
      <c r="U113" s="96"/>
      <c r="V113" s="96"/>
      <c r="W113" s="96"/>
      <c r="X113" s="96"/>
      <c r="Y113" s="96"/>
      <c r="Z113" s="96"/>
      <c r="AA113" s="96"/>
      <c r="AB113" s="96"/>
      <c r="AC113" s="96"/>
      <c r="AD113" s="96"/>
      <c r="AE113" s="96"/>
      <c r="AF113" s="96"/>
      <c r="AG113" s="96"/>
      <c r="AH113" s="96"/>
      <c r="AI113" s="96"/>
      <c r="AJ113" s="96"/>
      <c r="AK113" s="96"/>
      <c r="AL113" s="96"/>
      <c r="AM113" s="96"/>
      <c r="AO113" s="15"/>
      <c r="AP113" s="15"/>
      <c r="AQ113" s="15"/>
      <c r="AR113" s="15"/>
      <c r="AS113" s="15"/>
      <c r="AT113" s="15"/>
      <c r="AU113" s="15"/>
      <c r="AV113" s="639"/>
      <c r="AW113" s="646"/>
      <c r="AX113" s="642"/>
      <c r="AY113" s="644"/>
      <c r="AZ113" s="609"/>
      <c r="BA113" s="605"/>
      <c r="BB113" s="610"/>
      <c r="BC113" s="15"/>
      <c r="BD113" s="15"/>
    </row>
    <row r="114" spans="1:56" ht="36" customHeight="1" x14ac:dyDescent="0.4">
      <c r="B114" s="230" t="s">
        <v>312</v>
      </c>
      <c r="C114" s="494" t="s">
        <v>316</v>
      </c>
      <c r="D114" s="540" t="s">
        <v>3</v>
      </c>
      <c r="E114" s="535"/>
      <c r="F114" s="244" t="str">
        <f>VLOOKUP($C114,'4b) SL EPO Extended Data Sheet'!$A$5:$AB$176,2,FALSE)</f>
        <v>G</v>
      </c>
      <c r="G114" s="245">
        <f>VLOOKUP($C114,'4b) SL EPO Extended Data Sheet'!$A$5:$AB$176,3, FALSE)</f>
        <v>0</v>
      </c>
      <c r="H114" s="536"/>
      <c r="I114" s="537" t="str">
        <f>VLOOKUP($C114,'4b) SL EPO Extended Data Sheet'!$A$5:$AD$176,30, FALSE)</f>
        <v>FBC
(Feb-23)</v>
      </c>
      <c r="J114" s="49">
        <f>VLOOKUP($C114,'4b) SL EPO Extended Data Sheet'!$A$5:$AB$176,6, FALSE)/1000000</f>
        <v>105</v>
      </c>
      <c r="K114" s="49">
        <f>VLOOKUP($C114,'4b) SL EPO Extended Data Sheet'!$A$5:$AB$176,7, FALSE)/1000000</f>
        <v>105.5</v>
      </c>
      <c r="L114" s="555">
        <f>VLOOKUP($C114,'4b) SL EPO Extended Data Sheet'!$A$5:$AB$176,8, FALSE)</f>
        <v>45747</v>
      </c>
      <c r="M114" s="555">
        <f>VLOOKUP($C114,'4b) SL EPO Extended Data Sheet'!$A$5:$AB$176,9, FALSE)</f>
        <v>47361</v>
      </c>
      <c r="N114" s="535"/>
      <c r="O114" s="591">
        <f>VLOOKUP($C114,'4b) SL EPO Extended Data Sheet'!$A$5:$AB$176,10, FALSE)/1000000</f>
        <v>0</v>
      </c>
      <c r="P114" s="49">
        <f>VLOOKUP($C114,'4b) SL EPO Extended Data Sheet'!$A$5:$AB$176,11, FALSE)/1000000</f>
        <v>105.5</v>
      </c>
      <c r="Q114" s="535"/>
      <c r="R114" s="244" t="str">
        <f>VLOOKUP($C114,'4b) SL EPO Extended Data Sheet'!$A$5:$AB$176,12,FALSE)</f>
        <v>A</v>
      </c>
      <c r="S114" s="245">
        <f>VLOOKUP($C114,'4b) SL EPO Extended Data Sheet'!$A$5:$AB$176,13,FALSE)</f>
        <v>0</v>
      </c>
      <c r="T114" s="536"/>
      <c r="U114" s="537" t="str">
        <f>VLOOKUP($C114,'4b) SL EPO Extended Data Sheet'!$A$5:$AE$176,31,FALSE)</f>
        <v>FBC
(Oct-22)</v>
      </c>
      <c r="V114" s="536"/>
      <c r="W114" s="49">
        <f>VLOOKUP($C114,'4b) SL EPO Extended Data Sheet'!$A$5:$AC$176,16,FALSE)/1000000</f>
        <v>103.818153</v>
      </c>
      <c r="X114" s="49">
        <f>VLOOKUP($C114,'4b) SL EPO Extended Data Sheet'!$A$5:$AC$176,17,FALSE)/1000000</f>
        <v>101.98065956000001</v>
      </c>
      <c r="Y114" s="49">
        <f>VLOOKUP($C114,'4b) SL EPO Extended Data Sheet'!$A$5:$AC$176,18,FALSE)/1000000</f>
        <v>3.1826699999999999E-2</v>
      </c>
      <c r="Z114" s="49">
        <f>VLOOKUP($C114,'4b) SL EPO Extended Data Sheet'!$A$5:$AB$176,16,FALSE)/1000000</f>
        <v>103.818153</v>
      </c>
      <c r="AA114" s="538">
        <f>VLOOKUP($C114,'4b) SL EPO Extended Data Sheet'!$A$5:$AC$176,19,FALSE)</f>
        <v>45747</v>
      </c>
      <c r="AB114" s="538">
        <f>VLOOKUP($C114,'4b) SL EPO Extended Data Sheet'!$A$5:$AC$176,20,FALSE)</f>
        <v>46660</v>
      </c>
      <c r="AC114" s="51">
        <f>VLOOKUP($C114,'4b) SL EPO Extended Data Sheet'!$A$5:$AC$176,21,FALSE)</f>
        <v>0</v>
      </c>
      <c r="AD114" s="535">
        <f>VLOOKUP($C114,'4b) SL EPO Extended Data Sheet'!$A$5:$AB$176,15,FALSE)/1000000</f>
        <v>4.4865000000000002E-2</v>
      </c>
      <c r="AE114" s="49">
        <f>VLOOKUP($C114,'4b) SL EPO Extended Data Sheet'!$A$5:$AC$176,22,FALSE)/1000000</f>
        <v>103.81815261</v>
      </c>
      <c r="AF114" s="49">
        <f>VLOOKUP($C114,'4b) SL EPO Extended Data Sheet'!$A$5:$AC$176,23,FALSE)/1000000</f>
        <v>92.238614192599996</v>
      </c>
      <c r="AG114" s="52">
        <f>VLOOKUP($C114,'4b) SL EPO Extended Data Sheet'!$A$5:$AC$176,24,FALSE)/1000000</f>
        <v>100.60270153</v>
      </c>
      <c r="AH114" s="539">
        <f>VLOOKUP($C114,'4b) SL EPO Extended Data Sheet'!$A$5:$AC$176,25,FALSE)</f>
        <v>0.91686021140390739</v>
      </c>
      <c r="AI114" s="539">
        <f>VLOOKUP($C114,'4b) SL EPO Extended Data Sheet'!$A$5:$AC$176,26,FALSE)</f>
        <v>0.88846325882045574</v>
      </c>
      <c r="AJ114" s="575">
        <f>VLOOKUP($C114,'4b) SL EPO Extended Data Sheet'!$A$5:$AC$176,27,FALSE)</f>
        <v>0.9999999962434315</v>
      </c>
      <c r="AK114" s="574">
        <f>VLOOKUP($C114,'4b) SL EPO Extended Data Sheet'!$A$5:$AC$176,28,FALSE)</f>
        <v>0.88846325548288263</v>
      </c>
      <c r="AL114" s="540">
        <f>VLOOKUP($C114,'4b) SL EPO Extended Data Sheet'!$A$6:$AB$176,15,FALSE)</f>
        <v>44865</v>
      </c>
      <c r="AM114" s="247" t="str">
        <f>VLOOKUP($C114,'4b) SL EPO Extended Data Sheet'!$A$5:$AC$176,29,FALSE)</f>
        <v>G</v>
      </c>
      <c r="AV114" s="631">
        <v>101.94883286</v>
      </c>
      <c r="AW114" s="607">
        <v>46660</v>
      </c>
      <c r="AX114" s="642"/>
      <c r="AY114" s="631">
        <v>103.818153</v>
      </c>
      <c r="AZ114" s="611">
        <f>W114-AY114</f>
        <v>0</v>
      </c>
      <c r="BA114" s="607">
        <v>45747</v>
      </c>
      <c r="BB114" s="613">
        <f>AA114-BA114</f>
        <v>0</v>
      </c>
    </row>
    <row r="115" spans="1:56" ht="55.5" customHeight="1" thickBot="1" x14ac:dyDescent="0.45">
      <c r="A115" s="299" t="str">
        <f>C114</f>
        <v>MSSS Upgrades for Retrievals &amp; Resilience</v>
      </c>
      <c r="B115" s="708" t="s">
        <v>536</v>
      </c>
      <c r="C115" s="711"/>
      <c r="D115" s="711"/>
      <c r="E115" s="711"/>
      <c r="F115" s="711"/>
      <c r="G115" s="711"/>
      <c r="H115" s="711"/>
      <c r="I115" s="711"/>
      <c r="J115" s="711"/>
      <c r="K115" s="711"/>
      <c r="L115" s="711"/>
      <c r="M115" s="711"/>
      <c r="N115" s="711"/>
      <c r="O115" s="711"/>
      <c r="P115" s="711"/>
      <c r="Q115" s="711"/>
      <c r="R115" s="711"/>
      <c r="S115" s="711"/>
      <c r="T115" s="711"/>
      <c r="U115" s="711"/>
      <c r="V115" s="711"/>
      <c r="W115" s="711"/>
      <c r="X115" s="711"/>
      <c r="Y115" s="711"/>
      <c r="Z115" s="711"/>
      <c r="AA115" s="711"/>
      <c r="AB115" s="711"/>
      <c r="AC115" s="711"/>
      <c r="AD115" s="711"/>
      <c r="AE115" s="711"/>
      <c r="AF115" s="711"/>
      <c r="AG115" s="711"/>
      <c r="AH115" s="711"/>
      <c r="AI115" s="711"/>
      <c r="AJ115" s="711"/>
      <c r="AK115" s="711"/>
      <c r="AL115" s="711"/>
      <c r="AM115" s="712"/>
      <c r="AO115" s="267"/>
      <c r="AP115" s="267"/>
      <c r="AQ115" s="267"/>
      <c r="AR115" s="267"/>
      <c r="AS115" s="267"/>
      <c r="AT115" s="267"/>
      <c r="AU115" s="267"/>
      <c r="AV115" s="606"/>
      <c r="AW115" s="608"/>
      <c r="AX115" s="642"/>
      <c r="AY115" s="606"/>
      <c r="AZ115" s="612"/>
      <c r="BA115" s="608"/>
      <c r="BB115" s="614"/>
      <c r="BC115" s="267"/>
      <c r="BD115" s="267"/>
    </row>
    <row r="116" spans="1:56" s="267" customFormat="1" ht="5.25" customHeight="1" thickBot="1" x14ac:dyDescent="0.45">
      <c r="A116" s="299"/>
      <c r="C116" s="491"/>
      <c r="D116" s="300"/>
      <c r="W116" s="300"/>
      <c r="X116" s="300"/>
      <c r="Y116" s="300"/>
      <c r="Z116" s="300"/>
      <c r="AA116" s="300"/>
      <c r="AB116" s="300"/>
      <c r="AC116" s="300"/>
      <c r="AE116" s="300"/>
      <c r="AF116" s="300"/>
      <c r="AG116" s="300"/>
      <c r="AH116" s="300"/>
      <c r="AI116" s="300"/>
      <c r="AJ116" s="300"/>
      <c r="AK116" s="300"/>
      <c r="AL116" s="300"/>
      <c r="AO116" s="15"/>
      <c r="AP116" s="15"/>
      <c r="AQ116" s="15"/>
      <c r="AR116" s="15"/>
      <c r="AS116" s="15"/>
      <c r="AT116" s="15"/>
      <c r="AU116" s="15"/>
      <c r="AV116" s="639"/>
      <c r="AW116" s="646"/>
      <c r="AX116" s="642"/>
      <c r="AY116" s="644"/>
      <c r="AZ116" s="609"/>
      <c r="BA116" s="605"/>
      <c r="BB116" s="610"/>
      <c r="BC116" s="15"/>
      <c r="BD116" s="15"/>
    </row>
    <row r="117" spans="1:56" ht="36" customHeight="1" x14ac:dyDescent="0.4">
      <c r="B117" s="216" t="s">
        <v>106</v>
      </c>
      <c r="C117" s="587" t="s">
        <v>105</v>
      </c>
      <c r="D117" s="540" t="s">
        <v>3</v>
      </c>
      <c r="E117" s="535"/>
      <c r="F117" s="244" t="str">
        <f>VLOOKUP($C117,'4b) SL EPO Extended Data Sheet'!$A$5:$AB$176,2,FALSE)</f>
        <v>G</v>
      </c>
      <c r="G117" s="245">
        <f>VLOOKUP($C117,'4b) SL EPO Extended Data Sheet'!$A$5:$AB$176,3, FALSE)</f>
        <v>0</v>
      </c>
      <c r="H117" s="536"/>
      <c r="I117" s="537" t="str">
        <f>VLOOKUP($C117,'4b) SL EPO Extended Data Sheet'!$A$5:$AD$176,30, FALSE)</f>
        <v>FBC
(Sep-16)</v>
      </c>
      <c r="J117" s="591">
        <f>VLOOKUP($C117,'4b) SL EPO Extended Data Sheet'!$A$5:$AB$176,6, FALSE)/1000000</f>
        <v>0</v>
      </c>
      <c r="K117" s="591">
        <f>VLOOKUP($C117,'4b) SL EPO Extended Data Sheet'!$A$5:$AB$176,7, FALSE)/1000000</f>
        <v>0</v>
      </c>
      <c r="L117" s="555" t="str">
        <f>VLOOKUP($C117,'4b) SL EPO Extended Data Sheet'!$A$5:$AB$176,8, FALSE)</f>
        <v/>
      </c>
      <c r="M117" s="555" t="str">
        <f>VLOOKUP($C117,'4b) SL EPO Extended Data Sheet'!$A$5:$AB$176,9, FALSE)</f>
        <v/>
      </c>
      <c r="N117" s="535"/>
      <c r="O117" s="48">
        <f>VLOOKUP($C117,'4b) SL EPO Extended Data Sheet'!$A$5:$AB$176,10, FALSE)/1000000</f>
        <v>36.277999999999999</v>
      </c>
      <c r="P117" s="48">
        <f>VLOOKUP($C117,'4b) SL EPO Extended Data Sheet'!$A$5:$AB$176,11, FALSE)/1000000</f>
        <v>36.277999999999999</v>
      </c>
      <c r="Q117" s="535"/>
      <c r="R117" s="244" t="str">
        <f>VLOOKUP($C117,'4b) SL EPO Extended Data Sheet'!$A$5:$AB$176,12,FALSE)</f>
        <v>G</v>
      </c>
      <c r="S117" s="245">
        <f>VLOOKUP($C117,'4b) SL EPO Extended Data Sheet'!$A$5:$AB$176,13,FALSE)</f>
        <v>0</v>
      </c>
      <c r="T117" s="536"/>
      <c r="U117" s="537" t="str">
        <f>VLOOKUP($C117,'4b) SL EPO Extended Data Sheet'!$A$5:$AE$176,31,FALSE)</f>
        <v>FBC
(Apr-23)</v>
      </c>
      <c r="V117" s="536"/>
      <c r="W117" s="49">
        <f>VLOOKUP($C117,'4b) SL EPO Extended Data Sheet'!$A$5:$AC$176,16,FALSE)/1000000</f>
        <v>74.471368999999996</v>
      </c>
      <c r="X117" s="49">
        <f>VLOOKUP($C117,'4b) SL EPO Extended Data Sheet'!$A$5:$AC$176,17,FALSE)/1000000</f>
        <v>36.171780210000001</v>
      </c>
      <c r="Y117" s="49">
        <f>VLOOKUP($C117,'4b) SL EPO Extended Data Sheet'!$A$5:$AC$176,18,FALSE)/1000000</f>
        <v>6.1351699999999997E-3</v>
      </c>
      <c r="Z117" s="49">
        <f>VLOOKUP($C117,'4b) SL EPO Extended Data Sheet'!$A$5:$AB$176,16,FALSE)/1000000</f>
        <v>74.471368999999996</v>
      </c>
      <c r="AA117" s="538">
        <f>VLOOKUP($C117,'4b) SL EPO Extended Data Sheet'!$A$5:$AC$176,19,FALSE)</f>
        <v>55152</v>
      </c>
      <c r="AB117" s="538">
        <f>VLOOKUP($C117,'4b) SL EPO Extended Data Sheet'!$A$5:$AC$176,20,FALSE)</f>
        <v>46010</v>
      </c>
      <c r="AC117" s="51">
        <f>VLOOKUP($C117,'4b) SL EPO Extended Data Sheet'!$A$5:$AC$176,21,FALSE)</f>
        <v>0</v>
      </c>
      <c r="AD117" s="535">
        <f>VLOOKUP($C117,'4b) SL EPO Extended Data Sheet'!$A$5:$AB$176,15,FALSE)/1000000</f>
        <v>4.5017000000000001E-2</v>
      </c>
      <c r="AE117" s="49">
        <f>VLOOKUP($C117,'4b) SL EPO Extended Data Sheet'!$A$5:$AC$176,22,FALSE)/1000000</f>
        <v>34.112975030000001</v>
      </c>
      <c r="AF117" s="49">
        <f>VLOOKUP($C117,'4b) SL EPO Extended Data Sheet'!$A$5:$AC$176,23,FALSE)/1000000</f>
        <v>34.112974677899999</v>
      </c>
      <c r="AG117" s="52">
        <f>VLOOKUP($C117,'4b) SL EPO Extended Data Sheet'!$A$5:$AC$176,24,FALSE)/1000000</f>
        <v>36.171780210000001</v>
      </c>
      <c r="AH117" s="539">
        <f>VLOOKUP($C117,'4b) SL EPO Extended Data Sheet'!$A$5:$AC$176,25,FALSE)</f>
        <v>0.94308254887795584</v>
      </c>
      <c r="AI117" s="539">
        <f>VLOOKUP($C117,'4b) SL EPO Extended Data Sheet'!$A$5:$AC$176,26,FALSE)</f>
        <v>0.99999998967841419</v>
      </c>
      <c r="AJ117" s="575">
        <f>VLOOKUP($C117,'4b) SL EPO Extended Data Sheet'!$A$5:$AC$176,27,FALSE)</f>
        <v>0.45806832193456792</v>
      </c>
      <c r="AK117" s="574">
        <f>VLOOKUP($C117,'4b) SL EPO Extended Data Sheet'!$A$5:$AC$176,28,FALSE)</f>
        <v>0.45806831720657643</v>
      </c>
      <c r="AL117" s="540">
        <f>VLOOKUP($C117,'4b) SL EPO Extended Data Sheet'!$A$6:$AB$176,15,FALSE)</f>
        <v>45017</v>
      </c>
      <c r="AM117" s="247" t="str">
        <f>VLOOKUP($C117,'4b) SL EPO Extended Data Sheet'!$A$5:$AC$176,29,FALSE)</f>
        <v>G</v>
      </c>
      <c r="AV117" s="631">
        <v>36.165645040000001</v>
      </c>
      <c r="AW117" s="607">
        <v>46010</v>
      </c>
      <c r="AX117" s="642"/>
      <c r="AY117" s="631">
        <v>74.471368999999996</v>
      </c>
      <c r="AZ117" s="611">
        <f>W117-AY117</f>
        <v>0</v>
      </c>
      <c r="BA117" s="607">
        <v>55152</v>
      </c>
      <c r="BB117" s="613">
        <f>AA117-BA117</f>
        <v>0</v>
      </c>
    </row>
    <row r="118" spans="1:56" ht="45" customHeight="1" thickBot="1" x14ac:dyDescent="0.45">
      <c r="A118" s="299" t="str">
        <f>C117</f>
        <v>Sellafield 3m3 Box Supply - Tranche A</v>
      </c>
      <c r="B118" s="708" t="s">
        <v>534</v>
      </c>
      <c r="C118" s="709"/>
      <c r="D118" s="709"/>
      <c r="E118" s="709"/>
      <c r="F118" s="709"/>
      <c r="G118" s="709"/>
      <c r="H118" s="709"/>
      <c r="I118" s="709"/>
      <c r="J118" s="709"/>
      <c r="K118" s="709"/>
      <c r="L118" s="709"/>
      <c r="M118" s="709"/>
      <c r="N118" s="709"/>
      <c r="O118" s="709"/>
      <c r="P118" s="709"/>
      <c r="Q118" s="709"/>
      <c r="R118" s="709"/>
      <c r="S118" s="709"/>
      <c r="T118" s="709"/>
      <c r="U118" s="709"/>
      <c r="V118" s="709"/>
      <c r="W118" s="709"/>
      <c r="X118" s="709"/>
      <c r="Y118" s="709"/>
      <c r="Z118" s="709"/>
      <c r="AA118" s="709"/>
      <c r="AB118" s="709"/>
      <c r="AC118" s="709"/>
      <c r="AD118" s="709"/>
      <c r="AE118" s="709"/>
      <c r="AF118" s="709"/>
      <c r="AG118" s="709"/>
      <c r="AH118" s="709"/>
      <c r="AI118" s="709"/>
      <c r="AJ118" s="709"/>
      <c r="AK118" s="709"/>
      <c r="AL118" s="709"/>
      <c r="AM118" s="710"/>
      <c r="AV118" s="606"/>
      <c r="AW118" s="608"/>
      <c r="AX118" s="642"/>
      <c r="AY118" s="606"/>
      <c r="AZ118" s="612"/>
      <c r="BA118" s="608"/>
      <c r="BB118" s="614"/>
    </row>
    <row r="119" spans="1:56" ht="5.25" customHeight="1" x14ac:dyDescent="0.4">
      <c r="B119" s="61"/>
      <c r="C119" s="467"/>
      <c r="D119" s="61"/>
      <c r="E119" s="61"/>
      <c r="F119" s="61"/>
      <c r="G119" s="61"/>
      <c r="H119" s="61"/>
      <c r="I119" s="61"/>
      <c r="J119" s="61"/>
      <c r="K119" s="61"/>
      <c r="L119" s="61"/>
      <c r="M119" s="61"/>
      <c r="N119" s="61"/>
      <c r="O119" s="61"/>
      <c r="P119" s="61"/>
      <c r="Q119" s="61"/>
      <c r="R119" s="61"/>
      <c r="S119" s="61"/>
      <c r="T119" s="61"/>
      <c r="U119" s="61"/>
      <c r="V119" s="61"/>
      <c r="W119" s="61"/>
      <c r="X119" s="61"/>
      <c r="Y119" s="61"/>
      <c r="Z119" s="61"/>
      <c r="AA119" s="61"/>
      <c r="AB119" s="61"/>
      <c r="AC119" s="61"/>
      <c r="AD119" s="61"/>
      <c r="AE119" s="61"/>
      <c r="AF119" s="61"/>
      <c r="AG119" s="61"/>
      <c r="AH119" s="61"/>
      <c r="AI119" s="61"/>
      <c r="AJ119" s="61"/>
      <c r="AK119" s="61"/>
      <c r="AL119" s="61"/>
      <c r="AM119" s="61"/>
      <c r="AW119" s="646"/>
      <c r="AX119" s="642"/>
      <c r="AY119" s="644"/>
      <c r="AZ119" s="609"/>
      <c r="BA119" s="605"/>
      <c r="BB119" s="610"/>
    </row>
    <row r="120" spans="1:56" s="267" customFormat="1" ht="0.75" customHeight="1" thickBot="1" x14ac:dyDescent="0.45">
      <c r="A120" s="299"/>
      <c r="B120" s="61"/>
      <c r="C120" s="467"/>
      <c r="D120" s="61"/>
      <c r="E120" s="61"/>
      <c r="F120" s="61"/>
      <c r="G120" s="61"/>
      <c r="H120" s="61"/>
      <c r="I120" s="61"/>
      <c r="J120" s="61"/>
      <c r="K120" s="61"/>
      <c r="L120" s="61"/>
      <c r="M120" s="61"/>
      <c r="N120" s="61"/>
      <c r="O120" s="61"/>
      <c r="P120" s="61"/>
      <c r="Q120" s="61"/>
      <c r="R120" s="61"/>
      <c r="S120" s="61"/>
      <c r="T120" s="61"/>
      <c r="U120" s="61"/>
      <c r="V120" s="61"/>
      <c r="W120" s="61"/>
      <c r="X120" s="61"/>
      <c r="Y120" s="61"/>
      <c r="Z120" s="61"/>
      <c r="AA120" s="61"/>
      <c r="AB120" s="61"/>
      <c r="AC120" s="61"/>
      <c r="AD120" s="61"/>
      <c r="AE120" s="61"/>
      <c r="AF120" s="61"/>
      <c r="AG120" s="61"/>
      <c r="AH120" s="61"/>
      <c r="AI120" s="61"/>
      <c r="AJ120" s="61"/>
      <c r="AK120" s="61"/>
      <c r="AL120" s="61"/>
      <c r="AM120" s="61"/>
      <c r="AV120" s="639"/>
      <c r="AW120" s="646"/>
      <c r="AX120" s="642"/>
      <c r="AY120" s="644"/>
      <c r="AZ120" s="609"/>
      <c r="BA120" s="605"/>
      <c r="BB120" s="610"/>
    </row>
    <row r="121" spans="1:56" s="267" customFormat="1" ht="24" customHeight="1" thickBot="1" x14ac:dyDescent="0.45">
      <c r="A121" s="299"/>
      <c r="B121" s="718" t="s">
        <v>196</v>
      </c>
      <c r="C121" s="719"/>
      <c r="D121" s="719"/>
      <c r="E121" s="719"/>
      <c r="F121" s="719"/>
      <c r="G121" s="719"/>
      <c r="H121" s="719"/>
      <c r="I121" s="719"/>
      <c r="J121" s="719"/>
      <c r="K121" s="719"/>
      <c r="L121" s="719"/>
      <c r="M121" s="719"/>
      <c r="N121" s="719"/>
      <c r="O121" s="719"/>
      <c r="P121" s="719"/>
      <c r="Q121" s="719"/>
      <c r="R121" s="719"/>
      <c r="S121" s="719"/>
      <c r="T121" s="719"/>
      <c r="U121" s="719"/>
      <c r="V121" s="719"/>
      <c r="W121" s="719"/>
      <c r="X121" s="719"/>
      <c r="Y121" s="719"/>
      <c r="Z121" s="719"/>
      <c r="AA121" s="719"/>
      <c r="AB121" s="719"/>
      <c r="AC121" s="719"/>
      <c r="AD121" s="719"/>
      <c r="AE121" s="719"/>
      <c r="AF121" s="719"/>
      <c r="AG121" s="719"/>
      <c r="AH121" s="719"/>
      <c r="AI121" s="719"/>
      <c r="AJ121" s="719"/>
      <c r="AK121" s="719"/>
      <c r="AL121" s="719"/>
      <c r="AM121" s="720"/>
      <c r="AV121" s="622"/>
      <c r="AW121" s="645"/>
      <c r="AX121" s="642"/>
      <c r="AY121" s="622"/>
      <c r="AZ121" s="624"/>
      <c r="BA121" s="623"/>
      <c r="BB121" s="625"/>
    </row>
    <row r="122" spans="1:56" s="267" customFormat="1" ht="5.25" customHeight="1" x14ac:dyDescent="0.4">
      <c r="A122" s="299"/>
      <c r="B122" s="265"/>
      <c r="C122" s="491"/>
      <c r="D122" s="265"/>
      <c r="E122" s="265"/>
      <c r="F122" s="265"/>
      <c r="G122" s="265"/>
      <c r="H122" s="265"/>
      <c r="I122" s="265"/>
      <c r="J122" s="265"/>
      <c r="K122" s="265"/>
      <c r="L122" s="265"/>
      <c r="M122" s="265"/>
      <c r="N122" s="265"/>
      <c r="O122" s="265"/>
      <c r="P122" s="265"/>
      <c r="Q122" s="265"/>
      <c r="R122" s="265"/>
      <c r="S122" s="265"/>
      <c r="T122" s="265"/>
      <c r="U122" s="265"/>
      <c r="V122" s="265"/>
      <c r="W122" s="265"/>
      <c r="X122" s="265"/>
      <c r="Y122" s="265"/>
      <c r="Z122" s="265"/>
      <c r="AA122" s="265"/>
      <c r="AB122" s="265"/>
      <c r="AC122" s="265"/>
      <c r="AD122" s="265"/>
      <c r="AE122" s="265"/>
      <c r="AF122" s="265"/>
      <c r="AG122" s="265"/>
      <c r="AH122" s="265"/>
      <c r="AI122" s="265"/>
      <c r="AJ122" s="265"/>
      <c r="AK122" s="265"/>
      <c r="AL122" s="265"/>
      <c r="AM122" s="265"/>
      <c r="AV122" s="639"/>
      <c r="AW122" s="646"/>
      <c r="AX122" s="642"/>
      <c r="AY122" s="644"/>
      <c r="AZ122" s="609"/>
      <c r="BA122" s="605"/>
      <c r="BB122" s="610"/>
    </row>
    <row r="123" spans="1:56" s="267" customFormat="1" ht="116.25" hidden="1" customHeight="1" x14ac:dyDescent="0.4">
      <c r="A123" s="299"/>
      <c r="B123" s="728" t="s">
        <v>397</v>
      </c>
      <c r="C123" s="729"/>
      <c r="D123" s="729"/>
      <c r="E123" s="729"/>
      <c r="F123" s="729"/>
      <c r="G123" s="729"/>
      <c r="H123" s="729"/>
      <c r="I123" s="729"/>
      <c r="J123" s="729"/>
      <c r="K123" s="729"/>
      <c r="L123" s="729"/>
      <c r="M123" s="729"/>
      <c r="N123" s="729"/>
      <c r="O123" s="729"/>
      <c r="P123" s="729"/>
      <c r="Q123" s="729"/>
      <c r="R123" s="729"/>
      <c r="S123" s="729"/>
      <c r="T123" s="729"/>
      <c r="U123" s="729"/>
      <c r="V123" s="729"/>
      <c r="W123" s="729"/>
      <c r="X123" s="729"/>
      <c r="Y123" s="729"/>
      <c r="Z123" s="729"/>
      <c r="AA123" s="729"/>
      <c r="AB123" s="729"/>
      <c r="AC123" s="729"/>
      <c r="AD123" s="729"/>
      <c r="AE123" s="729"/>
      <c r="AF123" s="729"/>
      <c r="AG123" s="729"/>
      <c r="AH123" s="729"/>
      <c r="AI123" s="729"/>
      <c r="AJ123" s="729"/>
      <c r="AK123" s="729"/>
      <c r="AL123" s="729"/>
      <c r="AM123" s="730"/>
      <c r="AV123" s="639"/>
      <c r="AW123" s="646"/>
      <c r="AX123" s="642"/>
      <c r="AY123" s="644"/>
      <c r="AZ123" s="609"/>
      <c r="BA123" s="605"/>
      <c r="BB123" s="610"/>
    </row>
    <row r="124" spans="1:56" s="267" customFormat="1" ht="2.25" customHeight="1" thickBot="1" x14ac:dyDescent="0.45">
      <c r="A124" s="299"/>
      <c r="B124" s="265"/>
      <c r="C124" s="491"/>
      <c r="D124" s="265"/>
      <c r="E124" s="265"/>
      <c r="F124" s="265"/>
      <c r="G124" s="265"/>
      <c r="H124" s="265"/>
      <c r="I124" s="265"/>
      <c r="J124" s="265"/>
      <c r="K124" s="265"/>
      <c r="L124" s="265"/>
      <c r="M124" s="265"/>
      <c r="N124" s="265"/>
      <c r="O124" s="265"/>
      <c r="P124" s="265"/>
      <c r="Q124" s="265"/>
      <c r="R124" s="265"/>
      <c r="S124" s="265"/>
      <c r="T124" s="265"/>
      <c r="U124" s="265"/>
      <c r="V124" s="265"/>
      <c r="W124" s="265"/>
      <c r="X124" s="265"/>
      <c r="Y124" s="265"/>
      <c r="Z124" s="265"/>
      <c r="AA124" s="265"/>
      <c r="AB124" s="265"/>
      <c r="AC124" s="265"/>
      <c r="AD124" s="265"/>
      <c r="AE124" s="265"/>
      <c r="AF124" s="265"/>
      <c r="AG124" s="265"/>
      <c r="AH124" s="265"/>
      <c r="AI124" s="265"/>
      <c r="AJ124" s="265"/>
      <c r="AK124" s="265"/>
      <c r="AL124" s="265"/>
      <c r="AM124" s="265"/>
      <c r="AV124" s="639"/>
      <c r="AW124" s="646"/>
      <c r="AX124" s="642"/>
      <c r="AY124" s="644"/>
      <c r="AZ124" s="609"/>
      <c r="BA124" s="605"/>
      <c r="BB124" s="610"/>
    </row>
    <row r="125" spans="1:56" s="267" customFormat="1" ht="36" customHeight="1" x14ac:dyDescent="0.4">
      <c r="A125" s="299"/>
      <c r="B125" s="97" t="s">
        <v>171</v>
      </c>
      <c r="C125" s="587" t="s">
        <v>306</v>
      </c>
      <c r="D125" s="540" t="s">
        <v>3</v>
      </c>
      <c r="E125" s="535"/>
      <c r="F125" s="244" t="str">
        <f>VLOOKUP($C125,'4b) SL EPO Extended Data Sheet'!$A$5:$AB$176,2,FALSE)</f>
        <v>R</v>
      </c>
      <c r="G125" s="245">
        <f>VLOOKUP($C125,'4b) SL EPO Extended Data Sheet'!$A$5:$AB$176,3, FALSE)</f>
        <v>0</v>
      </c>
      <c r="H125" s="536"/>
      <c r="I125" s="537" t="str">
        <f>VLOOKUP($C125,'4b) SL EPO Extended Data Sheet'!$A$5:$AD$176,30, FALSE)</f>
        <v>FBC
(Jul-19)</v>
      </c>
      <c r="J125" s="49">
        <f>VLOOKUP($C125,'4b) SL EPO Extended Data Sheet'!$A$5:$AB$176,6, FALSE)/1000000</f>
        <v>47.817999999999998</v>
      </c>
      <c r="K125" s="49">
        <f>VLOOKUP($C125,'4b) SL EPO Extended Data Sheet'!$A$5:$AB$176,7, FALSE)/1000000</f>
        <v>51.06</v>
      </c>
      <c r="L125" s="555">
        <f>VLOOKUP($C125,'4b) SL EPO Extended Data Sheet'!$A$5:$AB$176,8, FALSE)</f>
        <v>46058</v>
      </c>
      <c r="M125" s="555">
        <f>VLOOKUP($C125,'4b) SL EPO Extended Data Sheet'!$A$5:$AB$176,9, FALSE)</f>
        <v>46321</v>
      </c>
      <c r="N125" s="535"/>
      <c r="O125" s="48">
        <f>VLOOKUP($C125,'4b) SL EPO Extended Data Sheet'!$A$5:$AB$176,10, FALSE)/1000000</f>
        <v>51.06</v>
      </c>
      <c r="P125" s="49">
        <f>VLOOKUP($C125,'4b) SL EPO Extended Data Sheet'!$A$5:$AB$176,11, FALSE)/1000000</f>
        <v>47.817999999999998</v>
      </c>
      <c r="Q125" s="535"/>
      <c r="R125" s="244" t="str">
        <f>VLOOKUP($C125,'4b) SL EPO Extended Data Sheet'!$A$5:$AB$176,12,FALSE)</f>
        <v>R</v>
      </c>
      <c r="S125" s="245">
        <f>VLOOKUP($C125,'4b) SL EPO Extended Data Sheet'!$A$5:$AB$176,13,FALSE)</f>
        <v>0</v>
      </c>
      <c r="T125" s="536"/>
      <c r="U125" s="537" t="str">
        <f>VLOOKUP($C125,'4b) SL EPO Extended Data Sheet'!$A$5:$AE$176,31,FALSE)</f>
        <v>FBC
(Mar-22)</v>
      </c>
      <c r="V125" s="536"/>
      <c r="W125" s="49">
        <f>VLOOKUP($C125,'4b) SL EPO Extended Data Sheet'!$A$5:$AC$176,16,FALSE)/1000000</f>
        <v>38.593831999999999</v>
      </c>
      <c r="X125" s="49">
        <f>VLOOKUP($C125,'4b) SL EPO Extended Data Sheet'!$A$5:$AC$176,17,FALSE)/1000000</f>
        <v>38.41624874</v>
      </c>
      <c r="Y125" s="49">
        <f>VLOOKUP($C125,'4b) SL EPO Extended Data Sheet'!$A$5:$AC$176,18,FALSE)/1000000</f>
        <v>2.1147100000000001E-3</v>
      </c>
      <c r="Z125" s="49">
        <f>VLOOKUP($C125,'4b) SL EPO Extended Data Sheet'!$A$5:$AB$176,16,FALSE)/1000000</f>
        <v>38.593831999999999</v>
      </c>
      <c r="AA125" s="538">
        <f>VLOOKUP($C125,'4b) SL EPO Extended Data Sheet'!$A$5:$AC$176,19,FALSE)</f>
        <v>46058</v>
      </c>
      <c r="AB125" s="538">
        <f>VLOOKUP($C125,'4b) SL EPO Extended Data Sheet'!$A$5:$AC$176,20,FALSE)</f>
        <v>46818</v>
      </c>
      <c r="AC125" s="51">
        <f>VLOOKUP($C125,'4b) SL EPO Extended Data Sheet'!$A$5:$AC$176,21,FALSE)</f>
        <v>61</v>
      </c>
      <c r="AD125" s="535">
        <f>VLOOKUP($C125,'4b) SL EPO Extended Data Sheet'!$A$5:$AB$176,15,FALSE)/1000000</f>
        <v>4.4634E-2</v>
      </c>
      <c r="AE125" s="49">
        <f>VLOOKUP($C125,'4b) SL EPO Extended Data Sheet'!$A$5:$AC$176,22,FALSE)/1000000</f>
        <v>38.541337579999997</v>
      </c>
      <c r="AF125" s="49">
        <f>VLOOKUP($C125,'4b) SL EPO Extended Data Sheet'!$A$5:$AC$176,23,FALSE)/1000000</f>
        <v>23.143713949000002</v>
      </c>
      <c r="AG125" s="52">
        <f>VLOOKUP($C125,'4b) SL EPO Extended Data Sheet'!$A$5:$AC$176,24,FALSE)/1000000</f>
        <v>27.8614149</v>
      </c>
      <c r="AH125" s="539">
        <f>VLOOKUP($C125,'4b) SL EPO Extended Data Sheet'!$A$5:$AC$176,25,FALSE)</f>
        <v>0.8306725997967892</v>
      </c>
      <c r="AI125" s="539">
        <f>VLOOKUP($C125,'4b) SL EPO Extended Data Sheet'!$A$5:$AC$176,26,FALSE)</f>
        <v>0.60049067837774817</v>
      </c>
      <c r="AJ125" s="575">
        <f>VLOOKUP($C125,'4b) SL EPO Extended Data Sheet'!$A$5:$AC$176,27,FALSE)</f>
        <v>0.99863982358631809</v>
      </c>
      <c r="AK125" s="574">
        <f>VLOOKUP($C125,'4b) SL EPO Extended Data Sheet'!$A$5:$AC$176,28,FALSE)</f>
        <v>0.59967390512038299</v>
      </c>
      <c r="AL125" s="540" t="e">
        <f>VLOOKUP($C125,'4b) SL EPO Extended Data Sheet'!$A$6:$AB$176,15,FALSE)</f>
        <v>#N/A</v>
      </c>
      <c r="AM125" s="247" t="str">
        <f>VLOOKUP($C125,'4b) SL EPO Extended Data Sheet'!$A$5:$AC$176,29,FALSE)</f>
        <v>A</v>
      </c>
      <c r="AV125" s="631">
        <v>38.41413403</v>
      </c>
      <c r="AW125" s="607">
        <v>46757</v>
      </c>
      <c r="AX125" s="642"/>
      <c r="AY125" s="631">
        <v>38.593831999999999</v>
      </c>
      <c r="AZ125" s="611">
        <f>W125-AY125</f>
        <v>0</v>
      </c>
      <c r="BA125" s="607">
        <v>46058</v>
      </c>
      <c r="BB125" s="613">
        <f>AA125-BA125</f>
        <v>0</v>
      </c>
    </row>
    <row r="126" spans="1:56" s="267" customFormat="1" ht="99" customHeight="1" thickBot="1" x14ac:dyDescent="0.45">
      <c r="A126" s="299" t="str">
        <f>C125</f>
        <v>Calder Land Clearance</v>
      </c>
      <c r="B126" s="742" t="s">
        <v>580</v>
      </c>
      <c r="C126" s="709"/>
      <c r="D126" s="709"/>
      <c r="E126" s="709"/>
      <c r="F126" s="709"/>
      <c r="G126" s="709"/>
      <c r="H126" s="709"/>
      <c r="I126" s="709"/>
      <c r="J126" s="709"/>
      <c r="K126" s="709"/>
      <c r="L126" s="709"/>
      <c r="M126" s="709"/>
      <c r="N126" s="709"/>
      <c r="O126" s="709"/>
      <c r="P126" s="709"/>
      <c r="Q126" s="709"/>
      <c r="R126" s="709"/>
      <c r="S126" s="709"/>
      <c r="T126" s="709"/>
      <c r="U126" s="709"/>
      <c r="V126" s="709"/>
      <c r="W126" s="709"/>
      <c r="X126" s="709"/>
      <c r="Y126" s="709"/>
      <c r="Z126" s="709"/>
      <c r="AA126" s="709"/>
      <c r="AB126" s="709"/>
      <c r="AC126" s="709"/>
      <c r="AD126" s="709"/>
      <c r="AE126" s="709"/>
      <c r="AF126" s="709"/>
      <c r="AG126" s="709"/>
      <c r="AH126" s="709"/>
      <c r="AI126" s="709"/>
      <c r="AJ126" s="709"/>
      <c r="AK126" s="709"/>
      <c r="AL126" s="709"/>
      <c r="AM126" s="710"/>
      <c r="AV126" s="606"/>
      <c r="AW126" s="608"/>
      <c r="AX126" s="642"/>
      <c r="AY126" s="606"/>
      <c r="AZ126" s="612"/>
      <c r="BA126" s="608"/>
      <c r="BB126" s="614"/>
    </row>
    <row r="127" spans="1:56" ht="5.25" customHeight="1" thickBot="1" x14ac:dyDescent="0.45">
      <c r="B127" s="239"/>
      <c r="C127" s="491"/>
      <c r="D127" s="239"/>
      <c r="E127" s="239"/>
      <c r="F127" s="239"/>
      <c r="G127" s="239"/>
      <c r="H127" s="239"/>
      <c r="I127" s="239"/>
      <c r="J127" s="239"/>
      <c r="K127" s="239"/>
      <c r="L127" s="239"/>
      <c r="M127" s="239"/>
      <c r="N127" s="239"/>
      <c r="O127" s="239"/>
      <c r="P127" s="239"/>
      <c r="Q127" s="239"/>
      <c r="R127" s="239"/>
      <c r="S127" s="239"/>
      <c r="T127" s="239"/>
      <c r="U127" s="239"/>
      <c r="V127" s="239"/>
      <c r="W127" s="239"/>
      <c r="X127" s="239"/>
      <c r="Y127" s="239"/>
      <c r="Z127" s="239"/>
      <c r="AA127" s="239"/>
      <c r="AB127" s="239"/>
      <c r="AC127" s="239"/>
      <c r="AD127" s="239"/>
      <c r="AE127" s="239"/>
      <c r="AF127" s="239"/>
      <c r="AG127" s="239"/>
      <c r="AH127" s="239"/>
      <c r="AI127" s="239"/>
      <c r="AJ127" s="239"/>
      <c r="AK127" s="239"/>
      <c r="AL127" s="239"/>
      <c r="AM127" s="239"/>
      <c r="AO127" s="267"/>
      <c r="AP127" s="267"/>
      <c r="AQ127" s="267"/>
      <c r="AR127" s="267"/>
      <c r="AS127" s="267"/>
      <c r="AT127" s="267"/>
      <c r="AU127" s="267"/>
      <c r="AW127" s="646"/>
      <c r="AX127" s="642"/>
      <c r="AY127" s="644"/>
      <c r="AZ127" s="609"/>
      <c r="BA127" s="605"/>
      <c r="BB127" s="610"/>
      <c r="BC127" s="267"/>
      <c r="BD127" s="267"/>
    </row>
    <row r="128" spans="1:56" ht="36.75" customHeight="1" x14ac:dyDescent="0.4">
      <c r="B128" s="216" t="s">
        <v>107</v>
      </c>
      <c r="C128" s="587" t="s">
        <v>234</v>
      </c>
      <c r="D128" s="540" t="s">
        <v>3</v>
      </c>
      <c r="E128" s="535"/>
      <c r="F128" s="244" t="str">
        <f>VLOOKUP(C128,'5a)NDA MPPR'!$B$9:$AK$61,3,FALSE)</f>
        <v>A</v>
      </c>
      <c r="G128" s="245">
        <f>VLOOKUP(C128,'5a)NDA MPPR'!$B$9:$AK$61,4,FALSE)</f>
        <v>0</v>
      </c>
      <c r="H128" s="536"/>
      <c r="I128" s="537" t="str">
        <f>VLOOKUP(C128,'5a)NDA MPPR'!$B$9:$AK$61,6,FALSE)</f>
        <v>FBC 
(Jun-24)</v>
      </c>
      <c r="J128" s="72">
        <f>VLOOKUP(C128,'5a)NDA MPPR'!$B$9:$AK$61,7,FALSE)</f>
        <v>75.099999999999994</v>
      </c>
      <c r="K128" s="48">
        <f>VLOOKUP(C128,'5a)NDA MPPR'!$B$9:$AK$61,8,FALSE)</f>
        <v>79.8</v>
      </c>
      <c r="L128" s="538">
        <f>VLOOKUP(C128,'5a)NDA MPPR'!$B$9:$AK$61,9,FALSE)</f>
        <v>47189</v>
      </c>
      <c r="M128" s="538">
        <f>VLOOKUP(C128,'5a)NDA MPPR'!$B$9:$AK$61,10,FALSE)</f>
        <v>47339</v>
      </c>
      <c r="N128" s="535"/>
      <c r="O128" s="48">
        <f>VLOOKUP(C128,'5a)NDA MPPR'!$B$9:$AK$61,12,FALSE)</f>
        <v>90.2</v>
      </c>
      <c r="P128" s="48">
        <f>VLOOKUP(C128,'5a)NDA MPPR'!$B$9:$AK$61,13,FALSE)</f>
        <v>90.2</v>
      </c>
      <c r="Q128" s="535"/>
      <c r="R128" s="244" t="str">
        <f>VLOOKUP(C128,'5a)NDA MPPR'!$B$9:$AK$61,15,FALSE)</f>
        <v>R</v>
      </c>
      <c r="S128" s="245">
        <f>VLOOKUP(C128,'5a)NDA MPPR'!$B$9:$AK$61,16,FALSE)</f>
        <v>0</v>
      </c>
      <c r="T128" s="536"/>
      <c r="U128" s="554" t="str">
        <f>VLOOKUP(C128,'5a)NDA MPPR'!$B$9:$AK$61,18,FALSE)</f>
        <v>FBC
 (Oct-23)</v>
      </c>
      <c r="V128" s="536"/>
      <c r="W128" s="49">
        <f>VLOOKUP(C128,'5a)NDA MPPR'!$B$9:$AK$61,20,FALSE)</f>
        <v>57.796824000000001</v>
      </c>
      <c r="X128" s="49">
        <f>VLOOKUP(C128,'5a)NDA MPPR'!$B$9:$AK$61,21,FALSE)</f>
        <v>87.561964900000007</v>
      </c>
      <c r="Y128" s="49">
        <f>VLOOKUP(C128,'5a)NDA MPPR'!$B$9:$AK$61,22,FALSE)</f>
        <v>0</v>
      </c>
      <c r="Z128" s="50"/>
      <c r="AA128" s="538">
        <f>VLOOKUP(C128,'5a)NDA MPPR'!$B$9:$AK$61,24,FALSE)</f>
        <v>46524</v>
      </c>
      <c r="AB128" s="538">
        <f>VLOOKUP(C128,'5a)NDA MPPR'!$B$9:$AK$61,25,FALSE)</f>
        <v>47189</v>
      </c>
      <c r="AC128" s="51">
        <f>VLOOKUP(C128,'5a)NDA MPPR'!$B$9:$AK$61,26,FALSE)</f>
        <v>0</v>
      </c>
      <c r="AD128" s="535"/>
      <c r="AE128" s="49">
        <f>VLOOKUP(C128,'5a)NDA MPPR'!$B$9:$AK$61,28,FALSE)</f>
        <v>52.791888060000005</v>
      </c>
      <c r="AF128" s="49">
        <f>VLOOKUP(C128,'5a)NDA MPPR'!$B$9:$AK$61,29,FALSE)</f>
        <v>44.614723414399997</v>
      </c>
      <c r="AG128" s="52">
        <f>VLOOKUP(C128,'5a)NDA MPPR'!$B$9:$AK$61,30,FALSE)</f>
        <v>74.336655659999991</v>
      </c>
      <c r="AH128" s="539">
        <f>VLOOKUP(C128,'5a)NDA MPPR'!$B$9:$AK$61,31,FALSE)</f>
        <v>0.60017124819898038</v>
      </c>
      <c r="AI128" s="256">
        <f>VLOOKUP(C128,'5a)NDA MPPR'!$B$9:$AK$61,32,FALSE)</f>
        <v>0.84510566024260503</v>
      </c>
      <c r="AJ128" s="575">
        <f>VLOOKUP(C128,'5a)NDA MPPR'!$B$9:$AK$61,33,FALSE)</f>
        <v>0.91340465455333675</v>
      </c>
      <c r="AK128" s="574">
        <f>VLOOKUP(C128,'5a)NDA MPPR'!$B$9:$AK$61,34,FALSE)</f>
        <v>0.77192344365496612</v>
      </c>
      <c r="AL128" s="540"/>
      <c r="AM128" s="247" t="str">
        <f>VLOOKUP(C128,'5a)NDA MPPR'!$B$9:$AK$61,36,FALSE)</f>
        <v>A</v>
      </c>
      <c r="AO128" s="267"/>
      <c r="AP128" s="267"/>
      <c r="AQ128" s="267"/>
      <c r="AR128" s="267"/>
      <c r="AS128" s="267"/>
      <c r="AT128" s="267"/>
      <c r="AU128" s="267"/>
      <c r="AV128" s="631">
        <v>87.561272459999998</v>
      </c>
      <c r="AW128" s="607">
        <v>47189</v>
      </c>
      <c r="AX128" s="642"/>
      <c r="AY128" s="631">
        <v>57.796824000000001</v>
      </c>
      <c r="AZ128" s="611">
        <f>W128-AY128</f>
        <v>0</v>
      </c>
      <c r="BA128" s="607">
        <v>46524</v>
      </c>
      <c r="BB128" s="613">
        <f>AA128-BA128</f>
        <v>0</v>
      </c>
      <c r="BC128" s="267"/>
      <c r="BD128" s="267"/>
    </row>
    <row r="129" spans="1:56" ht="110.15" customHeight="1" thickBot="1" x14ac:dyDescent="0.45">
      <c r="A129" s="299" t="str">
        <f>C128</f>
        <v>LAETP Floc Retrieval</v>
      </c>
      <c r="B129" s="705" t="str">
        <f>VLOOKUP($C128,'5a)NDA MPPR'!$A$9:$AK$61,2,FALSE)</f>
        <v>The overall intent of the LAETP (Low Active Effluent Treatment Plant) Floc (flocculant) Retrieval project is to provide the necessary equipment, documentation, knowledge transfer and training to enable the Alpha Operations teams to safely and effectively remove circa 86m3 of non-adhered (loose) floc from four existing and degrading Holding Tanks located on the Sellafield site. The project benefit is handover of the retrieval’s equipment to the Alpha Remediation Operations team, the project provides the capability to retrieve floc from the four storage tanks. This benefit remains on track to be delivered within the strategic tolerances of the civil tank substantiation and Low-Active Effluent Management Group (LAEMG) downstream plant availability. Delivery Confidence Assessment remains at Amber due to the forecast project end date which is now 12 months later than the P80 date in the approved business case and uncertainty around the projects ability to stay within the P80 costs however cost forecast currently remains within the sanction approved to NDA. The project is executing planned recovery activities, along with a sanction drawdown timeline and is tracking to meet these commitments. The NDA GIC approved the drawdown of available sanction of £90.2M and 337 additional days, this subject to an additional hold point for further assurance towards the end of construction. This follows a project reset which included revised delivery strategy and amendments to contract. A Change Control Request (CCR) is forecast to be implemented for Period 9. The Project faces difficulty in several areas including contractor performance Cumbria Nuclear Solutions Limited (CNSL), credible and realistic schedule and estimate, contract management, management of change, design delivery and organisational structures (SL and CNSL). Output of the updated schedule is now reflected in outward reporting hence the significant change in project end date, this update reflects the model output which has been assured during a joint SL and NDA project review. The project forecast and subsequent impact on Key Decommissioning Milestone (KDM) Removal of non-adhered Floc by June 2030 is currently being assessed and will be evaluated in the coming periods. The Baseline RAG will be Amber on CCR implementation in Period 9 (currently Red). The project continues to face challenges in delivery and in period has been affected by recent industrial action at the Sellafield site, ongoing strike action continues to impact progress and poses significant risk to future delivery. Attention remains on completing detailed design to de-risk the remainder of the construction scope, a key focus is now on the United Kingdom Conformity Assessed (UKCA) A marking strategy for the equipment following the end of the current contract arrangements, maturity will be assessed at the wrap up Multi Disciplined Design Review (MDDR) in February 2026, where CNSL will hand over the work completed to date. Issues have been encountered in fabrication of key process modules; timely completion of these final procurements is key to enabling the remainder of the construction work. Capability and Capacity RAG is Amber, the self-delivery team following descope has largely been secured, Commissioning Request For Quote (RFQ) will mobilise remaining capability Period 9.</v>
      </c>
      <c r="C129" s="706"/>
      <c r="D129" s="706"/>
      <c r="E129" s="706"/>
      <c r="F129" s="706"/>
      <c r="G129" s="706"/>
      <c r="H129" s="706"/>
      <c r="I129" s="706"/>
      <c r="J129" s="706"/>
      <c r="K129" s="706"/>
      <c r="L129" s="706"/>
      <c r="M129" s="706"/>
      <c r="N129" s="706"/>
      <c r="O129" s="706"/>
      <c r="P129" s="706"/>
      <c r="Q129" s="706"/>
      <c r="R129" s="706"/>
      <c r="S129" s="706"/>
      <c r="T129" s="706"/>
      <c r="U129" s="706"/>
      <c r="V129" s="706"/>
      <c r="W129" s="706"/>
      <c r="X129" s="706"/>
      <c r="Y129" s="706"/>
      <c r="Z129" s="706"/>
      <c r="AA129" s="706"/>
      <c r="AB129" s="706"/>
      <c r="AC129" s="706"/>
      <c r="AD129" s="706"/>
      <c r="AE129" s="706"/>
      <c r="AF129" s="706"/>
      <c r="AG129" s="706"/>
      <c r="AH129" s="706"/>
      <c r="AI129" s="706"/>
      <c r="AJ129" s="706"/>
      <c r="AK129" s="706"/>
      <c r="AL129" s="706"/>
      <c r="AM129" s="707"/>
      <c r="AV129" s="606"/>
      <c r="AW129" s="608"/>
      <c r="AX129" s="642"/>
      <c r="AY129" s="606"/>
      <c r="AZ129" s="612"/>
      <c r="BA129" s="608"/>
      <c r="BB129" s="614"/>
    </row>
    <row r="130" spans="1:56" ht="5.25" customHeight="1" thickBot="1" x14ac:dyDescent="0.45">
      <c r="C130" s="491"/>
      <c r="G130" s="15"/>
      <c r="W130" s="1"/>
      <c r="X130" s="1"/>
      <c r="Y130" s="1"/>
      <c r="Z130" s="1"/>
      <c r="AA130" s="1"/>
      <c r="AB130" s="1"/>
      <c r="AC130" s="1"/>
      <c r="AW130" s="646"/>
      <c r="AX130" s="642"/>
      <c r="AY130" s="644"/>
      <c r="AZ130" s="609"/>
      <c r="BA130" s="605"/>
      <c r="BB130" s="610"/>
    </row>
    <row r="131" spans="1:56" ht="36" customHeight="1" x14ac:dyDescent="0.4">
      <c r="B131" s="216" t="s">
        <v>108</v>
      </c>
      <c r="C131" s="587" t="s">
        <v>13</v>
      </c>
      <c r="D131" s="540" t="s">
        <v>3</v>
      </c>
      <c r="E131" s="535"/>
      <c r="F131" s="244" t="str">
        <f>VLOOKUP(C131,'5a)NDA MPPR'!$B$9:$AK$61,3,FALSE)</f>
        <v>A</v>
      </c>
      <c r="G131" s="245">
        <f>VLOOKUP(C131,'5a)NDA MPPR'!$B$9:$AK$61,4,FALSE)</f>
        <v>0</v>
      </c>
      <c r="H131" s="536"/>
      <c r="I131" s="537" t="str">
        <f>VLOOKUP(C131,'5a)NDA MPPR'!$B$9:$AK$61,6,FALSE)</f>
        <v>FBC
(Apr-21)</v>
      </c>
      <c r="J131" s="72">
        <f>VLOOKUP(C131,'5a)NDA MPPR'!$B$9:$AK$61,7,FALSE)</f>
        <v>116.6</v>
      </c>
      <c r="K131" s="48">
        <f>VLOOKUP(C131,'5a)NDA MPPR'!$B$9:$AK$61,8,FALSE)</f>
        <v>122.6</v>
      </c>
      <c r="L131" s="538">
        <f>VLOOKUP(C131,'5a)NDA MPPR'!$B$9:$AK$61,9,FALSE)</f>
        <v>46874</v>
      </c>
      <c r="M131" s="538">
        <f>VLOOKUP(C131,'5a)NDA MPPR'!$B$9:$AK$61,10,FALSE)</f>
        <v>47239</v>
      </c>
      <c r="N131" s="535"/>
      <c r="O131" s="48">
        <f>VLOOKUP(C131,'5a)NDA MPPR'!$B$9:$AK$61,12,FALSE)</f>
        <v>139.6</v>
      </c>
      <c r="P131" s="48">
        <f>VLOOKUP(C131,'5a)NDA MPPR'!$B$9:$AK$61,13,FALSE)</f>
        <v>116.6</v>
      </c>
      <c r="Q131" s="535"/>
      <c r="R131" s="244" t="str">
        <f>VLOOKUP(C131,'5a)NDA MPPR'!$B$9:$AK$61,15,FALSE)</f>
        <v>R</v>
      </c>
      <c r="S131" s="245">
        <f>VLOOKUP(C131,'5a)NDA MPPR'!$B$9:$AK$61,16,FALSE)</f>
        <v>0</v>
      </c>
      <c r="T131" s="536"/>
      <c r="U131" s="554" t="str">
        <f>VLOOKUP(C131,'5a)NDA MPPR'!$B$9:$AK$61,18,FALSE)</f>
        <v>FBC
 (Feb-24)</v>
      </c>
      <c r="V131" s="536"/>
      <c r="W131" s="49">
        <f>VLOOKUP(C131,'5a)NDA MPPR'!$B$9:$AK$61,20,FALSE)</f>
        <v>144.83407500000001</v>
      </c>
      <c r="X131" s="49">
        <f>VLOOKUP(C131,'5a)NDA MPPR'!$B$9:$AK$61,21,FALSE)</f>
        <v>148.9014076</v>
      </c>
      <c r="Y131" s="49">
        <f>VLOOKUP(C131,'5a)NDA MPPR'!$B$9:$AK$61,22,FALSE)</f>
        <v>0</v>
      </c>
      <c r="Z131" s="50"/>
      <c r="AA131" s="538">
        <f>VLOOKUP(C131,'5a)NDA MPPR'!$B$9:$AK$61,24,FALSE)</f>
        <v>47882</v>
      </c>
      <c r="AB131" s="538">
        <f>VLOOKUP(C131,'5a)NDA MPPR'!$B$9:$AK$61,25,FALSE)</f>
        <v>48684</v>
      </c>
      <c r="AC131" s="51">
        <f>VLOOKUP(C131,'5a)NDA MPPR'!$B$9:$AK$61,26,FALSE)</f>
        <v>0</v>
      </c>
      <c r="AD131" s="535"/>
      <c r="AE131" s="49">
        <f>VLOOKUP(C131,'5a)NDA MPPR'!$B$9:$AK$61,28,FALSE)</f>
        <v>112.60934551000001</v>
      </c>
      <c r="AF131" s="49">
        <f>VLOOKUP(C131,'5a)NDA MPPR'!$B$9:$AK$61,29,FALSE)</f>
        <v>100.76631037019999</v>
      </c>
      <c r="AG131" s="52">
        <f>VLOOKUP(C131,'5a)NDA MPPR'!$B$9:$AK$61,30,FALSE)</f>
        <v>100.5733872</v>
      </c>
      <c r="AH131" s="539">
        <f>VLOOKUP(C131,'5a)NDA MPPR'!$B$9:$AK$61,31,FALSE)</f>
        <v>1.0019182328006548</v>
      </c>
      <c r="AI131" s="256">
        <f>VLOOKUP(C131,'5a)NDA MPPR'!$B$9:$AK$61,32,FALSE)</f>
        <v>0.89483079680319866</v>
      </c>
      <c r="AJ131" s="575">
        <f>VLOOKUP(C131,'5a)NDA MPPR'!$B$9:$AK$61,33,FALSE)</f>
        <v>0.7775058839572111</v>
      </c>
      <c r="AK131" s="574">
        <f>VLOOKUP(C131,'5a)NDA MPPR'!$B$9:$AK$61,34,FALSE)</f>
        <v>0.69573620966060645</v>
      </c>
      <c r="AL131" s="540"/>
      <c r="AM131" s="247" t="str">
        <f>VLOOKUP(C131,'5a)NDA MPPR'!$B$9:$AK$61,36,FALSE)</f>
        <v>G</v>
      </c>
      <c r="AV131" s="631">
        <v>148.90178813999998</v>
      </c>
      <c r="AW131" s="607">
        <v>48684</v>
      </c>
      <c r="AX131" s="642"/>
      <c r="AY131" s="631">
        <v>144.83407500000001</v>
      </c>
      <c r="AZ131" s="611">
        <f>W131-AY131</f>
        <v>0</v>
      </c>
      <c r="BA131" s="607">
        <v>47882</v>
      </c>
      <c r="BB131" s="613">
        <f>AA131-BA131</f>
        <v>0</v>
      </c>
    </row>
    <row r="132" spans="1:56" ht="117.75" customHeight="1" thickBot="1" x14ac:dyDescent="0.45">
      <c r="A132" s="299" t="str">
        <f>C131</f>
        <v>Chimney Decommissioning Phase 2F</v>
      </c>
      <c r="B132" s="705" t="str">
        <f>VLOOKUP($C131,'5a)NDA MPPR'!$A$9:$AK$61,2,FALSE)</f>
        <v>Pile 1 Chimney Demolition Project Phase 2F, to demolish the chimney contaminated during 1957 fire, is organised into 3 separate sub-projects. The first two, Filter Gallery Demolition and Diffuser Demolition are now complete, and the project is now in its final stage, Barrel Demolition. Barrel Demolition is the removal and disposal of the Barrel section of the chimney, using a unique specifically designed platform for demolition access with lifting operations supported by the existing Tower crane. Delivery Confidence Assessment remains amber based on current forecast completion being beyond Business Case P80 date, the position is supported by an independent project assurance review carried out in September 2025 for which the output also rated the project at Amber. As communicated to Nuclear Decommissioning Authority (NDA)  Board in 2023, the project, following receipt of a conservative tender return for whole of Barrel Demolition that pressured business case tolerances, has adopted a phased approach to ensure learning and opportunities from Integrated Works Testing (IWT) is understood prior to future contract awards for the Installation and Commissioning of the Suspended Platform Incremental Descent (SPIDA) developed by ADAPT and Barrel Demolition scope. The Estimate At Completion (EAC)  forecast remains at £148.9m. This is beyond the current sanctioned P80 value of £139.6m. The Project has been identified as being a candidate to receive inflation relief which would adjust the P80 sanction value up to £149m, however there is no clear decision on this at present. The request for Installation &amp; Commissioning is £15m (P50 escalated). This will take the project beyond the current sanction P50 value of £116.57m and therefore will require P80 drawdown through the NDA or inflation relief to continue. A P80 Drawdown paper has been prepared and submitted to Final Decommissioning Sanction Board for consideration. A full revision of the existing baseline schedule/cost will be developed once IWT (July 2026) is complete and critical learning is obtained (i.e. from demolition demonstration) and future uncertainty is reduced. The first project benefit milestone (based on completion date) is on track. The P50 Delivery date remains April 2033. In IWT, the opportunities to mitigate last period's full schedule impacts have progressed to plan in period and means the P50 completion date for IWT remains early July 2026, with critical path elements completing early June 2026. The Baseline RAG remains Red as the forecast project end date is after the P50 baseline. License instrument submission forecast remains Q4 2025/26. Capability and Capacity RAG remains Green.</v>
      </c>
      <c r="C132" s="706"/>
      <c r="D132" s="706"/>
      <c r="E132" s="706"/>
      <c r="F132" s="706"/>
      <c r="G132" s="706"/>
      <c r="H132" s="706"/>
      <c r="I132" s="706"/>
      <c r="J132" s="706"/>
      <c r="K132" s="706"/>
      <c r="L132" s="706"/>
      <c r="M132" s="706"/>
      <c r="N132" s="706"/>
      <c r="O132" s="706"/>
      <c r="P132" s="706"/>
      <c r="Q132" s="706"/>
      <c r="R132" s="706"/>
      <c r="S132" s="706"/>
      <c r="T132" s="706"/>
      <c r="U132" s="706"/>
      <c r="V132" s="706"/>
      <c r="W132" s="706"/>
      <c r="X132" s="706"/>
      <c r="Y132" s="706"/>
      <c r="Z132" s="706"/>
      <c r="AA132" s="706"/>
      <c r="AB132" s="706"/>
      <c r="AC132" s="706"/>
      <c r="AD132" s="706"/>
      <c r="AE132" s="706"/>
      <c r="AF132" s="706"/>
      <c r="AG132" s="706"/>
      <c r="AH132" s="706"/>
      <c r="AI132" s="706"/>
      <c r="AJ132" s="706"/>
      <c r="AK132" s="706"/>
      <c r="AL132" s="706"/>
      <c r="AM132" s="707"/>
      <c r="AV132" s="606"/>
      <c r="AW132" s="608"/>
      <c r="AX132" s="642"/>
      <c r="AY132" s="606"/>
      <c r="AZ132" s="612"/>
      <c r="BA132" s="608"/>
      <c r="BB132" s="614"/>
    </row>
    <row r="133" spans="1:56" ht="5.25" customHeight="1" thickBot="1" x14ac:dyDescent="0.45">
      <c r="B133" s="94"/>
      <c r="G133" s="54"/>
      <c r="AW133" s="646"/>
      <c r="AX133" s="642"/>
      <c r="AY133" s="644"/>
      <c r="AZ133" s="609"/>
      <c r="BA133" s="605"/>
      <c r="BB133" s="610"/>
    </row>
    <row r="134" spans="1:56" ht="36" customHeight="1" x14ac:dyDescent="0.4">
      <c r="B134" s="97" t="s">
        <v>302</v>
      </c>
      <c r="C134" s="587" t="s">
        <v>307</v>
      </c>
      <c r="D134" s="540" t="s">
        <v>3</v>
      </c>
      <c r="E134" s="535"/>
      <c r="F134" s="244" t="str">
        <f>VLOOKUP(C134,'5a)NDA MPPR'!$B$9:$AK$61,3,FALSE)</f>
        <v>G</v>
      </c>
      <c r="G134" s="245">
        <f>VLOOKUP(C134,'5a)NDA MPPR'!$B$9:$AK$61,4,FALSE)</f>
        <v>0</v>
      </c>
      <c r="H134" s="536"/>
      <c r="I134" s="537" t="str">
        <f>VLOOKUP(C134,'5a)NDA MPPR'!$B$9:$AK$61,6,FALSE)</f>
        <v>OBC
(Jan-24)</v>
      </c>
      <c r="J134" s="49">
        <f>VLOOKUP(C134,'5a)NDA MPPR'!$B$9:$AK$61,7,FALSE)</f>
        <v>54</v>
      </c>
      <c r="K134" s="49">
        <f>VLOOKUP(C134,'5a)NDA MPPR'!$B$9:$AK$61,8,FALSE)</f>
        <v>65</v>
      </c>
      <c r="L134" s="555">
        <f>VLOOKUP(C134,'5a)NDA MPPR'!$B$9:$AK$61,9,FALSE)</f>
        <v>47480</v>
      </c>
      <c r="M134" s="555">
        <f>VLOOKUP(C134,'5a)NDA MPPR'!$B$9:$AK$61,10,FALSE)</f>
        <v>47831</v>
      </c>
      <c r="N134" s="535"/>
      <c r="O134" s="48" t="str">
        <f>VLOOKUP(C134,'5a)NDA MPPR'!$B$9:$AK$61,12,FALSE)</f>
        <v>n/a</v>
      </c>
      <c r="P134" s="49">
        <f>VLOOKUP(C134,'5a)NDA MPPR'!$B$9:$AK$61,13,FALSE)</f>
        <v>11</v>
      </c>
      <c r="Q134" s="535"/>
      <c r="R134" s="244" t="str">
        <f>VLOOKUP(C134,'5a)NDA MPPR'!$B$9:$AK$61,15,FALSE)</f>
        <v>G</v>
      </c>
      <c r="S134" s="245">
        <f>VLOOKUP(C134,'5a)NDA MPPR'!$B$9:$AK$61,16,FALSE)</f>
        <v>1</v>
      </c>
      <c r="T134" s="536"/>
      <c r="U134" s="554" t="str">
        <f>VLOOKUP(C134,'5a)NDA MPPR'!$B$9:$AK$61,18,FALSE)</f>
        <v>OBC
 (Oct-25)</v>
      </c>
      <c r="V134" s="536"/>
      <c r="W134" s="49">
        <f>VLOOKUP(C134,'5a)NDA MPPR'!$B$9:$AK$61,20,FALSE)</f>
        <v>53.217953000000001</v>
      </c>
      <c r="X134" s="49">
        <f>VLOOKUP(C134,'5a)NDA MPPR'!$B$9:$AK$61,21,FALSE)</f>
        <v>53.218374470000001</v>
      </c>
      <c r="Y134" s="49">
        <f>VLOOKUP(C134,'5a)NDA MPPR'!$B$9:$AK$61,22,FALSE)</f>
        <v>0</v>
      </c>
      <c r="Z134" s="50"/>
      <c r="AA134" s="538">
        <f>VLOOKUP(C134,'5a)NDA MPPR'!$B$9:$AK$61,24,FALSE)</f>
        <v>47465</v>
      </c>
      <c r="AB134" s="538">
        <f>VLOOKUP(C134,'5a)NDA MPPR'!$B$9:$AK$61,25,FALSE)</f>
        <v>47528</v>
      </c>
      <c r="AC134" s="51">
        <f>VLOOKUP(C134,'5a)NDA MPPR'!$B$9:$AK$61,26,FALSE)</f>
        <v>0</v>
      </c>
      <c r="AD134" s="535"/>
      <c r="AE134" s="49">
        <f>VLOOKUP(C134,'5a)NDA MPPR'!$B$9:$AK$61,28,FALSE)</f>
        <v>6.2677562800000004</v>
      </c>
      <c r="AF134" s="49">
        <f>VLOOKUP(C134,'5a)NDA MPPR'!$B$9:$AK$61,29,FALSE)</f>
        <v>4.0485381242999994</v>
      </c>
      <c r="AG134" s="52">
        <f>VLOOKUP(C134,'5a)NDA MPPR'!$B$9:$AK$61,30,FALSE)</f>
        <v>4.8793046200000001</v>
      </c>
      <c r="AH134" s="182">
        <f>VLOOKUP(C134,'5a)NDA MPPR'!$B$9:$AK$61,31,FALSE)</f>
        <v>0.82973670217376183</v>
      </c>
      <c r="AI134" s="256">
        <f>VLOOKUP(C134,'5a)NDA MPPR'!$B$9:$AK$61,32,FALSE)</f>
        <v>0.64593100679722026</v>
      </c>
      <c r="AJ134" s="575">
        <f>VLOOKUP(C134,'5a)NDA MPPR'!$B$9:$AK$61,33,FALSE)</f>
        <v>0.11777522295906422</v>
      </c>
      <c r="AK134" s="574">
        <f>VLOOKUP(C134,'5a)NDA MPPR'!$B$9:$AK$61,34,FALSE)</f>
        <v>7.6074668341715432E-2</v>
      </c>
      <c r="AL134" s="540"/>
      <c r="AM134" s="247" t="str">
        <f>VLOOKUP(C134,'5a)NDA MPPR'!$B$9:$AK$61,36,FALSE)</f>
        <v>G</v>
      </c>
      <c r="AV134" s="631">
        <v>53.196199560000004</v>
      </c>
      <c r="AW134" s="607">
        <v>47528</v>
      </c>
      <c r="AX134" s="642"/>
      <c r="AY134" s="631">
        <v>53.195810000000002</v>
      </c>
      <c r="AZ134" s="611">
        <f>W134-AY134</f>
        <v>2.2142999999999802E-2</v>
      </c>
      <c r="BA134" s="607">
        <v>47296</v>
      </c>
      <c r="BB134" s="613">
        <f>AA134-BA134</f>
        <v>169</v>
      </c>
    </row>
    <row r="135" spans="1:56" ht="79.5" customHeight="1" thickBot="1" x14ac:dyDescent="0.45">
      <c r="A135" s="299" t="str">
        <f>C134</f>
        <v>Heat Exchanger Deplanting - Main Project</v>
      </c>
      <c r="B135" s="705" t="str">
        <f>VLOOKUP($C134,'5a)NDA MPPR'!$A$9:$AK$61,2,FALSE)</f>
        <v>The scope of the Heat Exchanger (HEx) Deplanting 1 project is the removal and laydown of the first 6 Calder Hall Heat Exchangers, as an enabler for land clearance in preparation for a new Site Ion Exchange Effluent Plant (SIXEP) operating facility; subsequent disposal of these initial 6 Heat Exchangers and the deplanting &amp; disposal of the remaining 10 Heat Exchangers is out-with this project. The Delivery Confidence Assessment is Green, as both lifecycle costs and end date remain within the approved P80 position. The Baseline RAG has moved to Green following approval and implementation of a recent change control to align with the Business Case revised Commercial strategy (6 month delay with no change to scope/cost), December 2029 (P50) and December 2030 (P80) project completion dates are now confirmed. In period, the laydown area design continues to mature with an Interpretative report now received from the Boreholes work, which confirms assumptions made during the in parallel completion of key design documents.  Although a small amount of re-work is necessary, nothing fundamental has been identified and the project is anticipating design review completion by the end of December 2025, allowing enough time to place an Invitation To Tender (ITT) through the Decommissioning and Nuclear Waste Partnership (DNWP) framework by 2nd February 2026 (Ops plan milestone) which remains on target.  On the main lifting contract, as previously reported, the evaluations have been completed and a successful candidate identified.  Reviews prior to sign off of the evaluation report are ongoing which has delayed issue of the tender letters/standstill period of 7 days prior to contract award, this is now anticipated in Period 8 (award). Capability and Capacity, following the Change Control implementation, is now Green whilst the project work towards placement of the main HEx1 lifting contract.</v>
      </c>
      <c r="C135" s="706"/>
      <c r="D135" s="706"/>
      <c r="E135" s="706"/>
      <c r="F135" s="706"/>
      <c r="G135" s="706"/>
      <c r="H135" s="706"/>
      <c r="I135" s="706"/>
      <c r="J135" s="706"/>
      <c r="K135" s="706"/>
      <c r="L135" s="706"/>
      <c r="M135" s="706"/>
      <c r="N135" s="706"/>
      <c r="O135" s="706"/>
      <c r="P135" s="706"/>
      <c r="Q135" s="706"/>
      <c r="R135" s="706"/>
      <c r="S135" s="706"/>
      <c r="T135" s="706"/>
      <c r="U135" s="706"/>
      <c r="V135" s="706"/>
      <c r="W135" s="706"/>
      <c r="X135" s="706"/>
      <c r="Y135" s="706"/>
      <c r="Z135" s="706"/>
      <c r="AA135" s="706"/>
      <c r="AB135" s="706"/>
      <c r="AC135" s="706"/>
      <c r="AD135" s="706"/>
      <c r="AE135" s="706"/>
      <c r="AF135" s="706"/>
      <c r="AG135" s="706"/>
      <c r="AH135" s="706"/>
      <c r="AI135" s="706"/>
      <c r="AJ135" s="706"/>
      <c r="AK135" s="706"/>
      <c r="AL135" s="706"/>
      <c r="AM135" s="707"/>
      <c r="AV135" s="606"/>
      <c r="AW135" s="608"/>
      <c r="AX135" s="642"/>
      <c r="AY135" s="606"/>
      <c r="AZ135" s="612"/>
      <c r="BA135" s="608"/>
      <c r="BB135" s="614"/>
    </row>
    <row r="136" spans="1:56" ht="5.25" customHeight="1" thickBot="1" x14ac:dyDescent="0.45">
      <c r="B136" s="61"/>
      <c r="C136" s="467"/>
      <c r="D136" s="61"/>
      <c r="E136" s="61"/>
      <c r="F136" s="61"/>
      <c r="G136" s="61"/>
      <c r="H136" s="61"/>
      <c r="I136" s="61"/>
      <c r="J136" s="61"/>
      <c r="K136" s="61"/>
      <c r="L136" s="61"/>
      <c r="M136" s="61"/>
      <c r="N136" s="61"/>
      <c r="O136" s="61"/>
      <c r="P136" s="61"/>
      <c r="Q136" s="61"/>
      <c r="R136" s="61"/>
      <c r="S136" s="61"/>
      <c r="T136" s="61"/>
      <c r="U136" s="61"/>
      <c r="V136" s="61"/>
      <c r="W136" s="61"/>
      <c r="X136" s="61"/>
      <c r="Y136" s="61"/>
      <c r="Z136" s="61"/>
      <c r="AA136" s="61"/>
      <c r="AB136" s="61"/>
      <c r="AC136" s="61"/>
      <c r="AD136" s="61"/>
      <c r="AE136" s="61"/>
      <c r="AF136" s="61"/>
      <c r="AG136" s="61"/>
      <c r="AH136" s="61"/>
      <c r="AI136" s="61"/>
      <c r="AJ136" s="61"/>
      <c r="AK136" s="61"/>
      <c r="AL136" s="61"/>
      <c r="AM136" s="61"/>
      <c r="AW136" s="646"/>
      <c r="AX136" s="642"/>
      <c r="AY136" s="644"/>
      <c r="AZ136" s="609"/>
      <c r="BA136" s="605"/>
      <c r="BB136" s="610"/>
    </row>
    <row r="137" spans="1:56" ht="24" customHeight="1" thickBot="1" x14ac:dyDescent="0.45">
      <c r="B137" s="718" t="s">
        <v>319</v>
      </c>
      <c r="C137" s="719"/>
      <c r="D137" s="719"/>
      <c r="E137" s="719"/>
      <c r="F137" s="719"/>
      <c r="G137" s="719"/>
      <c r="H137" s="719"/>
      <c r="I137" s="719"/>
      <c r="J137" s="719"/>
      <c r="K137" s="719"/>
      <c r="L137" s="719"/>
      <c r="M137" s="719"/>
      <c r="N137" s="719"/>
      <c r="O137" s="719"/>
      <c r="P137" s="719"/>
      <c r="Q137" s="719"/>
      <c r="R137" s="719"/>
      <c r="S137" s="719"/>
      <c r="T137" s="719"/>
      <c r="U137" s="719"/>
      <c r="V137" s="719"/>
      <c r="W137" s="719"/>
      <c r="X137" s="719"/>
      <c r="Y137" s="719"/>
      <c r="Z137" s="719"/>
      <c r="AA137" s="719"/>
      <c r="AB137" s="719"/>
      <c r="AC137" s="719"/>
      <c r="AD137" s="719"/>
      <c r="AE137" s="719"/>
      <c r="AF137" s="719"/>
      <c r="AG137" s="719"/>
      <c r="AH137" s="719"/>
      <c r="AI137" s="719"/>
      <c r="AJ137" s="719"/>
      <c r="AK137" s="719"/>
      <c r="AL137" s="719"/>
      <c r="AM137" s="720"/>
      <c r="AV137" s="622"/>
      <c r="AW137" s="645"/>
      <c r="AX137" s="642"/>
      <c r="AY137" s="622"/>
      <c r="AZ137" s="624"/>
      <c r="BA137" s="623"/>
      <c r="BB137" s="625"/>
    </row>
    <row r="138" spans="1:56" s="267" customFormat="1" ht="5.25" customHeight="1" thickBot="1" x14ac:dyDescent="0.45">
      <c r="A138" s="299"/>
      <c r="B138" s="78"/>
      <c r="C138" s="78"/>
      <c r="D138" s="79"/>
      <c r="E138" s="79"/>
      <c r="F138" s="79"/>
      <c r="G138" s="79"/>
      <c r="H138" s="79"/>
      <c r="I138" s="79"/>
      <c r="J138" s="79"/>
      <c r="K138" s="79"/>
      <c r="L138" s="79"/>
      <c r="M138" s="79"/>
      <c r="N138" s="79"/>
      <c r="O138" s="79"/>
      <c r="P138" s="79"/>
      <c r="Q138" s="79"/>
      <c r="R138" s="79"/>
      <c r="S138" s="79"/>
      <c r="T138" s="79"/>
      <c r="U138" s="79"/>
      <c r="V138" s="79"/>
      <c r="W138" s="79"/>
      <c r="X138" s="79"/>
      <c r="Y138" s="79"/>
      <c r="Z138" s="79"/>
      <c r="AA138" s="79"/>
      <c r="AB138" s="79"/>
      <c r="AC138" s="79"/>
      <c r="AD138" s="79"/>
      <c r="AE138" s="79"/>
      <c r="AF138" s="79"/>
      <c r="AG138" s="79"/>
      <c r="AH138" s="79"/>
      <c r="AI138" s="79"/>
      <c r="AJ138" s="79"/>
      <c r="AK138" s="79"/>
      <c r="AL138" s="79"/>
      <c r="AM138" s="79"/>
      <c r="AO138" s="15"/>
      <c r="AP138" s="15"/>
      <c r="AQ138" s="15"/>
      <c r="AR138" s="15"/>
      <c r="AS138" s="15"/>
      <c r="AT138" s="15"/>
      <c r="AU138" s="15"/>
      <c r="AV138" s="639"/>
      <c r="AW138" s="646"/>
      <c r="AX138" s="642"/>
      <c r="AY138" s="644"/>
      <c r="AZ138" s="609"/>
      <c r="BA138" s="605"/>
      <c r="BB138" s="610"/>
      <c r="BC138" s="15"/>
      <c r="BD138" s="15"/>
    </row>
    <row r="139" spans="1:56" ht="42" customHeight="1" x14ac:dyDescent="0.4">
      <c r="B139" s="261" t="s">
        <v>315</v>
      </c>
      <c r="C139" s="495" t="s">
        <v>318</v>
      </c>
      <c r="D139" s="249" t="s">
        <v>3</v>
      </c>
      <c r="E139" s="250"/>
      <c r="F139" s="244" t="str">
        <f>VLOOKUP($C139,'4b) SL EPO Extended Data Sheet'!$A$5:$AB$176,2,FALSE)</f>
        <v>R</v>
      </c>
      <c r="G139" s="245">
        <f>VLOOKUP($C139,'4b) SL EPO Extended Data Sheet'!$A$5:$AB$176,3, FALSE)</f>
        <v>0</v>
      </c>
      <c r="H139" s="251"/>
      <c r="I139" s="537" t="str">
        <f>VLOOKUP($C139,'4b) SL EPO Extended Data Sheet'!$A$5:$AD$176,30, FALSE)</f>
        <v>FBC
(Oct-20)</v>
      </c>
      <c r="J139" s="253">
        <f>VLOOKUP($C139,'4b) SL EPO Extended Data Sheet'!$A$5:$AB$176,6, FALSE)/1000000</f>
        <v>31.614000000000001</v>
      </c>
      <c r="K139" s="242">
        <f>VLOOKUP($C139,'4b) SL EPO Extended Data Sheet'!$A$5:$AB$176,7, FALSE)/1000000</f>
        <v>35.174999999999997</v>
      </c>
      <c r="L139" s="254">
        <f>VLOOKUP($C139,'4b) SL EPO Extended Data Sheet'!$A$5:$AB$176,8, FALSE)</f>
        <v>45220</v>
      </c>
      <c r="M139" s="254">
        <f>VLOOKUP($C139,'4b) SL EPO Extended Data Sheet'!$A$5:$AB$176,9, FALSE)</f>
        <v>45428</v>
      </c>
      <c r="N139" s="250"/>
      <c r="O139" s="242">
        <f>VLOOKUP($C139,'4b) SL EPO Extended Data Sheet'!$A$5:$AB$176,10, FALSE)/1000000</f>
        <v>35.174999999999997</v>
      </c>
      <c r="P139" s="242">
        <f>VLOOKUP($C139,'4b) SL EPO Extended Data Sheet'!$A$5:$AB$176,11, FALSE)/1000000</f>
        <v>31.614000000000001</v>
      </c>
      <c r="Q139" s="250"/>
      <c r="R139" s="244" t="str">
        <f>VLOOKUP($C139,'4b) SL EPO Extended Data Sheet'!$A$5:$AB$176,12,FALSE)</f>
        <v>R</v>
      </c>
      <c r="S139" s="245">
        <f>VLOOKUP($C139,'4b) SL EPO Extended Data Sheet'!$A$5:$AB$176,3, FALSE)</f>
        <v>0</v>
      </c>
      <c r="T139" s="251"/>
      <c r="U139" s="537" t="str">
        <f>VLOOKUP($C139,'4b) SL EPO Extended Data Sheet'!$A$5:$AE$176,31,FALSE)</f>
        <v>FBC
(Apr-21)</v>
      </c>
      <c r="V139" s="536"/>
      <c r="W139" s="49">
        <f>VLOOKUP($C139,'4b) SL EPO Extended Data Sheet'!$A$5:$AC$176,16,FALSE)/1000000</f>
        <v>31.971081999999999</v>
      </c>
      <c r="X139" s="49">
        <f>VLOOKUP($C139,'4b) SL EPO Extended Data Sheet'!$A$5:$AC$176,17,FALSE)/1000000</f>
        <v>26.901907670000003</v>
      </c>
      <c r="Y139" s="49">
        <f>VLOOKUP($C139,'4b) SL EPO Extended Data Sheet'!$A$5:$AC$176,18,FALSE)/1000000</f>
        <v>2.361152E-2</v>
      </c>
      <c r="Z139" s="49">
        <f>VLOOKUP($C139,'4b) SL EPO Extended Data Sheet'!$A$5:$AB$176,16,FALSE)/1000000</f>
        <v>31.971081999999999</v>
      </c>
      <c r="AA139" s="538">
        <f>VLOOKUP($C139,'4b) SL EPO Extended Data Sheet'!$A$5:$AC$176,19,FALSE)</f>
        <v>45220</v>
      </c>
      <c r="AB139" s="538">
        <f>VLOOKUP($C139,'4b) SL EPO Extended Data Sheet'!$A$5:$AC$176,20,FALSE)</f>
        <v>46244</v>
      </c>
      <c r="AC139" s="51">
        <f>VLOOKUP($C139,'4b) SL EPO Extended Data Sheet'!$A$5:$AC$176,21,FALSE)</f>
        <v>0</v>
      </c>
      <c r="AD139" s="535">
        <f>VLOOKUP($C139,'4b) SL EPO Extended Data Sheet'!$A$5:$AB$176,15,FALSE)/1000000</f>
        <v>4.4287E-2</v>
      </c>
      <c r="AE139" s="49">
        <f>VLOOKUP($C139,'4b) SL EPO Extended Data Sheet'!$A$5:$AC$176,22,FALSE)/1000000</f>
        <v>31.97108265</v>
      </c>
      <c r="AF139" s="49">
        <f>VLOOKUP($C139,'4b) SL EPO Extended Data Sheet'!$A$5:$AC$176,23,FALSE)/1000000</f>
        <v>31.8033463455</v>
      </c>
      <c r="AG139" s="52">
        <f>VLOOKUP($C139,'4b) SL EPO Extended Data Sheet'!$A$5:$AC$176,24,FALSE)/1000000</f>
        <v>26.687217440000001</v>
      </c>
      <c r="AH139" s="539">
        <f>VLOOKUP($C139,'4b) SL EPO Extended Data Sheet'!$A$5:$AC$176,25,FALSE)</f>
        <v>1.19170709411734</v>
      </c>
      <c r="AI139" s="539">
        <f>VLOOKUP($C139,'4b) SL EPO Extended Data Sheet'!$A$5:$AC$176,26,FALSE)</f>
        <v>0.9947534993939281</v>
      </c>
      <c r="AJ139" s="575">
        <f>VLOOKUP($C139,'4b) SL EPO Extended Data Sheet'!$A$5:$AC$176,27,FALSE)</f>
        <v>1.0000000203308728</v>
      </c>
      <c r="AK139" s="574">
        <f>VLOOKUP($C139,'4b) SL EPO Extended Data Sheet'!$A$5:$AC$176,28,FALSE)</f>
        <v>0.99475351961813496</v>
      </c>
      <c r="AL139" s="540">
        <f>VLOOKUP($C139,'4b) SL EPO Extended Data Sheet'!$A$6:$AB$176,15,FALSE)</f>
        <v>44287</v>
      </c>
      <c r="AM139" s="247" t="str">
        <f>VLOOKUP($C139,'4b) SL EPO Extended Data Sheet'!$A$5:$AC$176,29,FALSE)</f>
        <v>G</v>
      </c>
      <c r="AV139" s="631">
        <v>26.878296149999997</v>
      </c>
      <c r="AW139" s="607">
        <v>46244</v>
      </c>
      <c r="AX139" s="642"/>
      <c r="AY139" s="631">
        <v>31.971081999999999</v>
      </c>
      <c r="AZ139" s="611">
        <f>W139-AY139</f>
        <v>0</v>
      </c>
      <c r="BA139" s="607">
        <v>45220</v>
      </c>
      <c r="BB139" s="613">
        <f>AA139-BA139</f>
        <v>0</v>
      </c>
    </row>
    <row r="140" spans="1:56" ht="73.5" customHeight="1" thickBot="1" x14ac:dyDescent="0.45">
      <c r="A140" s="299" t="str">
        <f>C139</f>
        <v>Data Centre Replacement Project</v>
      </c>
      <c r="B140" s="708" t="s">
        <v>537</v>
      </c>
      <c r="C140" s="709"/>
      <c r="D140" s="709"/>
      <c r="E140" s="709"/>
      <c r="F140" s="709"/>
      <c r="G140" s="709"/>
      <c r="H140" s="709"/>
      <c r="I140" s="709"/>
      <c r="J140" s="709"/>
      <c r="K140" s="709"/>
      <c r="L140" s="709"/>
      <c r="M140" s="709"/>
      <c r="N140" s="709"/>
      <c r="O140" s="709"/>
      <c r="P140" s="709"/>
      <c r="Q140" s="709"/>
      <c r="R140" s="709"/>
      <c r="S140" s="709"/>
      <c r="T140" s="709"/>
      <c r="U140" s="709"/>
      <c r="V140" s="709"/>
      <c r="W140" s="709"/>
      <c r="X140" s="709"/>
      <c r="Y140" s="709"/>
      <c r="Z140" s="709"/>
      <c r="AA140" s="709"/>
      <c r="AB140" s="709"/>
      <c r="AC140" s="709"/>
      <c r="AD140" s="709"/>
      <c r="AE140" s="709"/>
      <c r="AF140" s="709"/>
      <c r="AG140" s="709"/>
      <c r="AH140" s="709"/>
      <c r="AI140" s="709"/>
      <c r="AJ140" s="709"/>
      <c r="AK140" s="709"/>
      <c r="AL140" s="709"/>
      <c r="AM140" s="710"/>
      <c r="AO140" s="267"/>
      <c r="AP140" s="267"/>
      <c r="AQ140" s="267"/>
      <c r="AR140" s="267"/>
      <c r="AS140" s="267"/>
      <c r="AT140" s="267"/>
      <c r="AU140" s="267"/>
      <c r="AV140" s="606"/>
      <c r="AW140" s="608"/>
      <c r="AX140" s="642"/>
      <c r="AY140" s="606"/>
      <c r="AZ140" s="612"/>
      <c r="BA140" s="608"/>
      <c r="BB140" s="614"/>
      <c r="BC140" s="267"/>
      <c r="BD140" s="267"/>
    </row>
    <row r="141" spans="1:56" s="81" customFormat="1" ht="5.25" customHeight="1" x14ac:dyDescent="0.4">
      <c r="A141" s="465"/>
      <c r="B141" s="95"/>
      <c r="C141" s="96"/>
      <c r="D141" s="95"/>
      <c r="E141" s="95"/>
      <c r="F141" s="95"/>
      <c r="G141" s="95"/>
      <c r="H141" s="95"/>
      <c r="I141" s="95"/>
      <c r="J141" s="95"/>
      <c r="K141" s="95"/>
      <c r="L141" s="95"/>
      <c r="M141" s="95"/>
      <c r="N141" s="95"/>
      <c r="O141" s="95"/>
      <c r="P141" s="95"/>
      <c r="Q141" s="95"/>
      <c r="R141" s="95"/>
      <c r="S141" s="95"/>
      <c r="T141" s="95"/>
      <c r="U141" s="95"/>
      <c r="V141" s="95"/>
      <c r="W141" s="95"/>
      <c r="X141" s="95"/>
      <c r="Y141" s="95"/>
      <c r="Z141" s="95"/>
      <c r="AA141" s="95"/>
      <c r="AB141" s="95"/>
      <c r="AC141" s="95"/>
      <c r="AD141" s="95"/>
      <c r="AE141" s="95"/>
      <c r="AF141" s="95"/>
      <c r="AG141" s="95"/>
      <c r="AH141" s="95"/>
      <c r="AI141" s="95"/>
      <c r="AJ141" s="95"/>
      <c r="AK141" s="95"/>
      <c r="AL141" s="95"/>
      <c r="AM141" s="95"/>
      <c r="AO141" s="15"/>
      <c r="AP141" s="15"/>
      <c r="AQ141" s="15"/>
      <c r="AR141" s="15"/>
      <c r="AS141" s="15"/>
      <c r="AT141" s="15"/>
      <c r="AU141" s="15"/>
      <c r="AV141" s="639"/>
      <c r="AW141" s="59"/>
      <c r="AX141" s="642"/>
      <c r="AY141" s="80"/>
      <c r="AZ141" s="609"/>
      <c r="BA141" s="605"/>
      <c r="BB141" s="610"/>
      <c r="BC141" s="15"/>
      <c r="BD141" s="15"/>
    </row>
    <row r="142" spans="1:56" ht="20.25" customHeight="1" x14ac:dyDescent="0.4">
      <c r="G142" s="54"/>
      <c r="AZ142" s="609"/>
    </row>
    <row r="143" spans="1:56" ht="20.25" customHeight="1" x14ac:dyDescent="0.4">
      <c r="B143" s="693" t="s">
        <v>500</v>
      </c>
      <c r="C143" s="693"/>
      <c r="D143" s="693"/>
      <c r="E143" s="693"/>
      <c r="F143" s="693"/>
      <c r="G143" s="693"/>
      <c r="H143" s="693"/>
      <c r="I143" s="693"/>
      <c r="J143" s="693"/>
    </row>
    <row r="144" spans="1:56" ht="37.299999999999997" x14ac:dyDescent="0.4">
      <c r="B144" s="739" t="s">
        <v>0</v>
      </c>
      <c r="C144" s="740"/>
      <c r="D144" s="740"/>
      <c r="E144" s="741"/>
      <c r="F144" s="615" t="s">
        <v>204</v>
      </c>
      <c r="G144" s="615" t="s">
        <v>205</v>
      </c>
      <c r="H144" s="615"/>
      <c r="I144" s="615" t="s">
        <v>206</v>
      </c>
      <c r="J144" s="615" t="s">
        <v>207</v>
      </c>
    </row>
    <row r="145" spans="2:10" ht="20.25" customHeight="1" x14ac:dyDescent="0.4">
      <c r="B145" s="692" t="str">
        <f>C17</f>
        <v>Enhanced CNC Airwave System (Encrypted Comms)</v>
      </c>
      <c r="C145" s="692"/>
      <c r="D145" s="692"/>
      <c r="E145" s="692"/>
      <c r="F145" s="616">
        <f>Y17</f>
        <v>-7</v>
      </c>
      <c r="G145" s="616">
        <f>AC17</f>
        <v>0</v>
      </c>
      <c r="H145" s="617"/>
      <c r="I145" s="616">
        <f>AZ17</f>
        <v>0</v>
      </c>
      <c r="J145" s="617">
        <f>BB17</f>
        <v>0</v>
      </c>
    </row>
    <row r="146" spans="2:10" ht="20.25" customHeight="1" x14ac:dyDescent="0.4">
      <c r="B146" s="692" t="str">
        <f>C26</f>
        <v>Security Systems Architecture Upgrade (SSAU)</v>
      </c>
      <c r="C146" s="692"/>
      <c r="D146" s="692"/>
      <c r="E146" s="692"/>
      <c r="F146" s="616">
        <f>Y26</f>
        <v>0.1</v>
      </c>
      <c r="G146" s="616">
        <f>AC26</f>
        <v>0</v>
      </c>
      <c r="H146" s="617"/>
      <c r="I146" s="616">
        <f>AZ26</f>
        <v>0</v>
      </c>
      <c r="J146" s="617">
        <f>BB26</f>
        <v>0</v>
      </c>
    </row>
    <row r="147" spans="2:10" ht="20.25" customHeight="1" x14ac:dyDescent="0.4">
      <c r="B147" s="692" t="str">
        <f>C20</f>
        <v>Box Encapsulation Plant</v>
      </c>
      <c r="C147" s="692"/>
      <c r="D147" s="692"/>
      <c r="E147" s="692"/>
      <c r="F147" s="616">
        <f>Y20</f>
        <v>0</v>
      </c>
      <c r="G147" s="616">
        <f>AC20</f>
        <v>0</v>
      </c>
      <c r="H147" s="617"/>
      <c r="I147" s="616">
        <f>AZ20</f>
        <v>0</v>
      </c>
      <c r="J147" s="617">
        <f>BB20</f>
        <v>0</v>
      </c>
    </row>
    <row r="148" spans="2:10" ht="20.25" customHeight="1" x14ac:dyDescent="0.4">
      <c r="B148" s="692" t="str">
        <f>C23</f>
        <v>Sellafield Product &amp; Residue Store Retreatment Plant</v>
      </c>
      <c r="C148" s="692"/>
      <c r="D148" s="692"/>
      <c r="E148" s="692"/>
      <c r="F148" s="616">
        <f>Y23</f>
        <v>0</v>
      </c>
      <c r="G148" s="616">
        <f>AC23</f>
        <v>0</v>
      </c>
      <c r="H148" s="617"/>
      <c r="I148" s="616">
        <f>AZ23</f>
        <v>-1.0000001111620804E-6</v>
      </c>
      <c r="J148" s="617">
        <f>BB23</f>
        <v>0</v>
      </c>
    </row>
    <row r="149" spans="2:10" ht="20.25" customHeight="1" x14ac:dyDescent="0.4">
      <c r="B149" s="692" t="str">
        <f>C29</f>
        <v>CNC Operational Unit</v>
      </c>
      <c r="C149" s="692"/>
      <c r="D149" s="692"/>
      <c r="E149" s="692"/>
      <c r="F149" s="616">
        <f>Y29</f>
        <v>0</v>
      </c>
      <c r="G149" s="616">
        <f>AC29</f>
        <v>0</v>
      </c>
      <c r="H149" s="617"/>
      <c r="I149" s="616">
        <f>AZ29</f>
        <v>0</v>
      </c>
      <c r="J149" s="617">
        <f>BB29</f>
        <v>0</v>
      </c>
    </row>
    <row r="150" spans="2:10" ht="20.25" customHeight="1" x14ac:dyDescent="0.4">
      <c r="B150" s="692" t="str">
        <f>C32</f>
        <v>BEPPS2</v>
      </c>
      <c r="C150" s="692"/>
      <c r="D150" s="692"/>
      <c r="E150" s="692"/>
      <c r="F150" s="616">
        <f>Y32</f>
        <v>0</v>
      </c>
      <c r="G150" s="616">
        <f>AC32</f>
        <v>0</v>
      </c>
      <c r="H150" s="617"/>
      <c r="I150" s="616">
        <f>AZ32</f>
        <v>0</v>
      </c>
      <c r="J150" s="617">
        <f>BB32</f>
        <v>0</v>
      </c>
    </row>
    <row r="151" spans="2:10" ht="20.25" customHeight="1" x14ac:dyDescent="0.4">
      <c r="B151" s="692" t="str">
        <f>C35</f>
        <v>SIXEP Continuity Plant</v>
      </c>
      <c r="C151" s="692"/>
      <c r="D151" s="692"/>
      <c r="E151" s="692"/>
      <c r="F151" s="616">
        <f>Y35</f>
        <v>0</v>
      </c>
      <c r="G151" s="616">
        <f>AC35</f>
        <v>0</v>
      </c>
      <c r="H151" s="617"/>
      <c r="I151" s="616">
        <f>AZ35</f>
        <v>0</v>
      </c>
      <c r="J151" s="617">
        <f>BB35</f>
        <v>0</v>
      </c>
    </row>
    <row r="152" spans="2:10" ht="20.25" customHeight="1" x14ac:dyDescent="0.4">
      <c r="B152" s="692" t="str">
        <f>C38</f>
        <v>ILW East Land Excavation</v>
      </c>
      <c r="C152" s="692"/>
      <c r="D152" s="692"/>
      <c r="E152" s="692"/>
      <c r="F152" s="616">
        <f>Y38</f>
        <v>0</v>
      </c>
      <c r="G152" s="616">
        <f>AC38</f>
        <v>0</v>
      </c>
      <c r="H152" s="617"/>
      <c r="I152" s="616">
        <f>AZ38</f>
        <v>0</v>
      </c>
      <c r="J152" s="617">
        <f>BB38</f>
        <v>0</v>
      </c>
    </row>
    <row r="153" spans="2:10" ht="20.25" customHeight="1" x14ac:dyDescent="0.4">
      <c r="B153" s="692" t="str">
        <f>C41</f>
        <v>Lightly Shielded Store (LSS)</v>
      </c>
      <c r="C153" s="692"/>
      <c r="D153" s="692"/>
      <c r="E153" s="692"/>
      <c r="F153" s="616">
        <f>Y41</f>
        <v>-0.16431293999999999</v>
      </c>
      <c r="G153" s="616">
        <f>AC41</f>
        <v>0</v>
      </c>
      <c r="H153" s="617"/>
      <c r="I153" s="616">
        <f>AZ41</f>
        <v>0</v>
      </c>
      <c r="J153" s="617">
        <f>BB41</f>
        <v>0</v>
      </c>
    </row>
    <row r="154" spans="2:10" ht="20.25" customHeight="1" x14ac:dyDescent="0.4">
      <c r="B154" s="692" t="str">
        <f>C47</f>
        <v>SIXEP Receipt Facility</v>
      </c>
      <c r="C154" s="692"/>
      <c r="D154" s="692"/>
      <c r="E154" s="692"/>
      <c r="F154" s="616">
        <f>Y47</f>
        <v>0</v>
      </c>
      <c r="G154" s="616">
        <f>AC47</f>
        <v>0</v>
      </c>
      <c r="H154" s="617"/>
      <c r="I154" s="616">
        <f>AZ47</f>
        <v>0</v>
      </c>
      <c r="J154" s="617">
        <f>BB47</f>
        <v>0</v>
      </c>
    </row>
    <row r="155" spans="2:10" ht="20.25" customHeight="1" x14ac:dyDescent="0.4">
      <c r="B155" s="692" t="str">
        <f>C54</f>
        <v>THORP Receipt &amp; Storage Control Systems Replacement</v>
      </c>
      <c r="C155" s="692"/>
      <c r="D155" s="692"/>
      <c r="E155" s="692"/>
      <c r="F155" s="616">
        <f>Y54</f>
        <v>6.0754030000000001E-2</v>
      </c>
      <c r="G155" s="616">
        <f>AC54</f>
        <v>0</v>
      </c>
      <c r="H155" s="617"/>
      <c r="I155" s="616">
        <f>AZ54</f>
        <v>0</v>
      </c>
      <c r="J155" s="617">
        <f>BB54</f>
        <v>0</v>
      </c>
    </row>
    <row r="156" spans="2:10" ht="20.25" customHeight="1" x14ac:dyDescent="0.4">
      <c r="B156" s="692" t="str">
        <f>C66</f>
        <v>PMF North Transfers Project</v>
      </c>
      <c r="C156" s="692"/>
      <c r="D156" s="692"/>
      <c r="E156" s="692"/>
      <c r="F156" s="616">
        <f>Y66</f>
        <v>-2E-8</v>
      </c>
      <c r="G156" s="616">
        <f>AC66</f>
        <v>27</v>
      </c>
      <c r="H156" s="617"/>
      <c r="I156" s="616">
        <f>AZ66</f>
        <v>0</v>
      </c>
      <c r="J156" s="617">
        <f>BB66</f>
        <v>714</v>
      </c>
    </row>
    <row r="157" spans="2:10" ht="20.25" customHeight="1" x14ac:dyDescent="0.4">
      <c r="B157" s="692" t="str">
        <f>C57</f>
        <v>Electrical Supply - New Construction</v>
      </c>
      <c r="C157" s="692"/>
      <c r="D157" s="692"/>
      <c r="E157" s="692"/>
      <c r="F157" s="616">
        <f>Y57</f>
        <v>-0.1</v>
      </c>
      <c r="G157" s="616">
        <f>AC57</f>
        <v>0</v>
      </c>
      <c r="H157" s="617"/>
      <c r="I157" s="616">
        <f>AZ57</f>
        <v>0</v>
      </c>
      <c r="J157" s="617">
        <f>BB57</f>
        <v>0</v>
      </c>
    </row>
    <row r="158" spans="2:10" ht="20.25" customHeight="1" x14ac:dyDescent="0.4">
      <c r="B158" s="692" t="str">
        <f>C69</f>
        <v>FHP &amp; SIXEP Roof Replacement</v>
      </c>
      <c r="C158" s="692"/>
      <c r="D158" s="692"/>
      <c r="E158" s="692"/>
      <c r="F158" s="616">
        <f>Y69</f>
        <v>13.52062705</v>
      </c>
      <c r="G158" s="616">
        <f>AC69</f>
        <v>0</v>
      </c>
      <c r="H158" s="617"/>
      <c r="I158" s="616">
        <f>AZ69</f>
        <v>0</v>
      </c>
      <c r="J158" s="617">
        <f>BB69</f>
        <v>0</v>
      </c>
    </row>
    <row r="159" spans="2:10" ht="20.25" customHeight="1" x14ac:dyDescent="0.4">
      <c r="B159" s="692" t="str">
        <f>C72</f>
        <v>EMRMS (Emergency Management Radiological Monitoring System)</v>
      </c>
      <c r="C159" s="692"/>
      <c r="D159" s="692"/>
      <c r="E159" s="692"/>
      <c r="F159" s="616">
        <f>Y72</f>
        <v>0.38633335999999996</v>
      </c>
      <c r="G159" s="616">
        <f>AC72</f>
        <v>0</v>
      </c>
      <c r="H159" s="617"/>
      <c r="I159" s="616">
        <f>AZ72</f>
        <v>0</v>
      </c>
      <c r="J159" s="617">
        <f>BB72</f>
        <v>0</v>
      </c>
    </row>
    <row r="160" spans="2:10" ht="20.25" customHeight="1" x14ac:dyDescent="0.4">
      <c r="B160" s="692" t="str">
        <f>C60</f>
        <v>TR&amp;S Replacement Cooling System</v>
      </c>
      <c r="C160" s="692"/>
      <c r="D160" s="692"/>
      <c r="E160" s="692"/>
      <c r="F160" s="616">
        <f>Y60</f>
        <v>2.9847950000000002E-2</v>
      </c>
      <c r="G160" s="616">
        <f>AC60</f>
        <v>0</v>
      </c>
      <c r="H160" s="617"/>
      <c r="I160" s="616">
        <f>AZ60</f>
        <v>0</v>
      </c>
      <c r="J160" s="617">
        <f>BB60</f>
        <v>0</v>
      </c>
    </row>
    <row r="161" spans="2:10" ht="20.25" customHeight="1" x14ac:dyDescent="0.4">
      <c r="B161" s="692" t="str">
        <f>C63</f>
        <v>FGFL Ventilation Extract System Upgrade</v>
      </c>
      <c r="C161" s="692"/>
      <c r="D161" s="692"/>
      <c r="E161" s="692"/>
      <c r="F161" s="616">
        <f>Y63</f>
        <v>-0.26673302000000004</v>
      </c>
      <c r="G161" s="616">
        <f>AC63</f>
        <v>0</v>
      </c>
      <c r="H161" s="617"/>
      <c r="I161" s="616">
        <f>AZ63</f>
        <v>0</v>
      </c>
      <c r="J161" s="617">
        <f>BB63</f>
        <v>0</v>
      </c>
    </row>
    <row r="162" spans="2:10" ht="20.25" customHeight="1" x14ac:dyDescent="0.4">
      <c r="B162" s="689" t="str">
        <f>C75</f>
        <v>Product Zone Power Supply</v>
      </c>
      <c r="C162" s="690"/>
      <c r="D162" s="690"/>
      <c r="E162" s="691"/>
      <c r="F162" s="616">
        <f>Y75</f>
        <v>-9.9992000000000006E-4</v>
      </c>
      <c r="G162" s="616">
        <f>AC75</f>
        <v>0</v>
      </c>
      <c r="H162" s="618"/>
      <c r="I162" s="616">
        <f>AZ75</f>
        <v>0</v>
      </c>
      <c r="J162" s="617">
        <f>BB75</f>
        <v>0</v>
      </c>
    </row>
    <row r="163" spans="2:10" ht="20.25" customHeight="1" x14ac:dyDescent="0.4">
      <c r="B163" s="689" t="str">
        <f>C78</f>
        <v>Substations 6 &amp; 7 Replacement</v>
      </c>
      <c r="C163" s="690"/>
      <c r="D163" s="690"/>
      <c r="E163" s="691"/>
      <c r="F163" s="616">
        <f>Y78</f>
        <v>1.521575E-2</v>
      </c>
      <c r="G163" s="616">
        <f>AC78</f>
        <v>42</v>
      </c>
      <c r="H163" s="618"/>
      <c r="I163" s="616">
        <f>AZ78</f>
        <v>0</v>
      </c>
      <c r="J163" s="617">
        <f>BB78</f>
        <v>0</v>
      </c>
    </row>
    <row r="164" spans="2:10" ht="20.25" customHeight="1" x14ac:dyDescent="0.4">
      <c r="B164" s="689" t="str">
        <f>C81</f>
        <v>Substation 10 Replacement</v>
      </c>
      <c r="C164" s="690"/>
      <c r="D164" s="690"/>
      <c r="E164" s="691"/>
      <c r="F164" s="616">
        <f>Y81</f>
        <v>-1.1102E-3</v>
      </c>
      <c r="G164" s="616">
        <f>AC81</f>
        <v>0</v>
      </c>
      <c r="H164" s="618"/>
      <c r="I164" s="616">
        <f>AZ81</f>
        <v>0</v>
      </c>
      <c r="J164" s="617">
        <f>BB81</f>
        <v>0</v>
      </c>
    </row>
    <row r="165" spans="2:10" ht="20.25" customHeight="1" x14ac:dyDescent="0.4">
      <c r="B165" s="689" t="str">
        <f>C84</f>
        <v>Substation 15 Replacement</v>
      </c>
      <c r="C165" s="690"/>
      <c r="D165" s="690"/>
      <c r="E165" s="691"/>
      <c r="F165" s="616">
        <f>Y84</f>
        <v>4.4286E-4</v>
      </c>
      <c r="G165" s="616">
        <f>AC84</f>
        <v>0</v>
      </c>
      <c r="H165" s="618"/>
      <c r="I165" s="616">
        <f>AZ84</f>
        <v>0</v>
      </c>
      <c r="J165" s="617">
        <f>BB84</f>
        <v>0</v>
      </c>
    </row>
    <row r="166" spans="2:10" ht="20.25" customHeight="1" x14ac:dyDescent="0.4">
      <c r="B166" s="689" t="str">
        <f>C87</f>
        <v>Degradation of Pipebridge 57 (PB57) L14, L15, L16 Refurbishment</v>
      </c>
      <c r="C166" s="690"/>
      <c r="D166" s="690"/>
      <c r="E166" s="691"/>
      <c r="F166" s="616">
        <f>Y87</f>
        <v>0</v>
      </c>
      <c r="G166" s="616">
        <f>AC87</f>
        <v>0</v>
      </c>
      <c r="H166" s="618"/>
      <c r="I166" s="616">
        <f>AZ87</f>
        <v>0</v>
      </c>
      <c r="J166" s="617">
        <f>BB87</f>
        <v>0</v>
      </c>
    </row>
    <row r="167" spans="2:10" ht="20.25" customHeight="1" x14ac:dyDescent="0.4">
      <c r="B167" s="689" t="str">
        <f>C102</f>
        <v>Box Encapsulation Plant Product Store Direct Import Facility</v>
      </c>
      <c r="C167" s="690"/>
      <c r="D167" s="690"/>
      <c r="E167" s="691"/>
      <c r="F167" s="616">
        <f>Y102</f>
        <v>0</v>
      </c>
      <c r="G167" s="616">
        <f>AC102</f>
        <v>0</v>
      </c>
      <c r="H167" s="618"/>
      <c r="I167" s="616">
        <f>AZ102</f>
        <v>0</v>
      </c>
      <c r="J167" s="617">
        <f>BB102</f>
        <v>0</v>
      </c>
    </row>
    <row r="168" spans="2:10" ht="20.25" customHeight="1" x14ac:dyDescent="0.4">
      <c r="B168" s="689" t="str">
        <f>C99</f>
        <v>Sludge Handling &amp; Export Plant</v>
      </c>
      <c r="C168" s="690"/>
      <c r="D168" s="690"/>
      <c r="E168" s="691"/>
      <c r="F168" s="616">
        <f>Y99</f>
        <v>2.7732630000000001E-2</v>
      </c>
      <c r="G168" s="616">
        <f>AC99</f>
        <v>0</v>
      </c>
      <c r="H168" s="618"/>
      <c r="I168" s="616">
        <f>AZ99</f>
        <v>0</v>
      </c>
      <c r="J168" s="617">
        <f>BB99</f>
        <v>0</v>
      </c>
    </row>
    <row r="169" spans="2:10" ht="20.25" customHeight="1" x14ac:dyDescent="0.4">
      <c r="B169" s="689" t="str">
        <f>C105</f>
        <v>PFCS Full Retrievals - Project 1</v>
      </c>
      <c r="C169" s="690"/>
      <c r="D169" s="690"/>
      <c r="E169" s="691"/>
      <c r="F169" s="616">
        <f>Y105</f>
        <v>-0.1</v>
      </c>
      <c r="G169" s="616">
        <f>AC105</f>
        <v>0</v>
      </c>
      <c r="H169" s="618"/>
      <c r="I169" s="616">
        <f>AZ105</f>
        <v>0</v>
      </c>
      <c r="J169" s="617">
        <f>BB105</f>
        <v>0</v>
      </c>
    </row>
    <row r="170" spans="2:10" ht="20.25" customHeight="1" x14ac:dyDescent="0.4">
      <c r="B170" s="689" t="str">
        <f>C111</f>
        <v>SEP Solid Waste Storage Retrievals</v>
      </c>
      <c r="C170" s="690"/>
      <c r="D170" s="690"/>
      <c r="E170" s="691"/>
      <c r="F170" s="616">
        <f>Y111</f>
        <v>0.1</v>
      </c>
      <c r="G170" s="616">
        <f>AC111</f>
        <v>0</v>
      </c>
      <c r="H170" s="618"/>
      <c r="I170" s="616">
        <f>AZ111</f>
        <v>0</v>
      </c>
      <c r="J170" s="617">
        <f>BB111</f>
        <v>0</v>
      </c>
    </row>
    <row r="171" spans="2:10" ht="20.25" customHeight="1" x14ac:dyDescent="0.4">
      <c r="B171" s="689" t="str">
        <f>C114</f>
        <v>MSSS Upgrades for Retrievals &amp; Resilience</v>
      </c>
      <c r="C171" s="690"/>
      <c r="D171" s="690"/>
      <c r="E171" s="691"/>
      <c r="F171" s="616">
        <f>Y114</f>
        <v>3.1826699999999999E-2</v>
      </c>
      <c r="G171" s="616">
        <f>AC114</f>
        <v>0</v>
      </c>
      <c r="H171" s="618"/>
      <c r="I171" s="616">
        <f>AZ114</f>
        <v>0</v>
      </c>
      <c r="J171" s="617">
        <f>BB114</f>
        <v>0</v>
      </c>
    </row>
    <row r="172" spans="2:10" ht="20.25" customHeight="1" x14ac:dyDescent="0.4">
      <c r="B172" s="689" t="str">
        <f>C96</f>
        <v>MSSS SEP3 Rails &amp; Brackets</v>
      </c>
      <c r="C172" s="690"/>
      <c r="D172" s="690"/>
      <c r="E172" s="691"/>
      <c r="F172" s="616">
        <f>Y96</f>
        <v>-1.6845080000000002E-2</v>
      </c>
      <c r="G172" s="616">
        <f>AC96</f>
        <v>0</v>
      </c>
      <c r="H172" s="618"/>
      <c r="I172" s="616">
        <f>AZ96</f>
        <v>0</v>
      </c>
      <c r="J172" s="617">
        <f>BB96</f>
        <v>0</v>
      </c>
    </row>
    <row r="173" spans="2:10" ht="20.25" customHeight="1" x14ac:dyDescent="0.4">
      <c r="B173" s="689" t="str">
        <f>C93</f>
        <v>MSSS 2nd and 3rd Extension Sub-Programme</v>
      </c>
      <c r="C173" s="690"/>
      <c r="D173" s="690"/>
      <c r="E173" s="691"/>
      <c r="F173" s="616">
        <f>Y93</f>
        <v>0</v>
      </c>
      <c r="G173" s="616">
        <f>AC93</f>
        <v>0</v>
      </c>
      <c r="H173" s="618"/>
      <c r="I173" s="616">
        <f>AZ93</f>
        <v>0</v>
      </c>
      <c r="J173" s="617">
        <f>BB93</f>
        <v>0</v>
      </c>
    </row>
    <row r="174" spans="2:10" ht="20.25" customHeight="1" x14ac:dyDescent="0.4">
      <c r="B174" s="689" t="str">
        <f>C117</f>
        <v>Sellafield 3m3 Box Supply - Tranche A</v>
      </c>
      <c r="C174" s="690"/>
      <c r="D174" s="690"/>
      <c r="E174" s="691"/>
      <c r="F174" s="616">
        <f>Y117</f>
        <v>6.1351699999999997E-3</v>
      </c>
      <c r="G174" s="616">
        <f>AC117</f>
        <v>0</v>
      </c>
      <c r="H174" s="618"/>
      <c r="I174" s="616">
        <f>AZ117</f>
        <v>0</v>
      </c>
      <c r="J174" s="617">
        <f>BB117</f>
        <v>0</v>
      </c>
    </row>
    <row r="175" spans="2:10" ht="20.25" customHeight="1" x14ac:dyDescent="0.4">
      <c r="B175" s="689" t="str">
        <f>C108</f>
        <v>MSSS Electrical Distribution Upgrade for Retrievals</v>
      </c>
      <c r="C175" s="690"/>
      <c r="D175" s="690"/>
      <c r="E175" s="691"/>
      <c r="F175" s="616">
        <f>Y108</f>
        <v>2.4120599999999999E-2</v>
      </c>
      <c r="G175" s="616">
        <f>AC108</f>
        <v>0</v>
      </c>
      <c r="H175" s="618"/>
      <c r="I175" s="616">
        <f>AZ108</f>
        <v>0</v>
      </c>
      <c r="J175" s="617">
        <f>BB108</f>
        <v>0</v>
      </c>
    </row>
    <row r="176" spans="2:10" ht="20.25" customHeight="1" x14ac:dyDescent="0.4">
      <c r="B176" s="689" t="str">
        <f>C125</f>
        <v>Calder Land Clearance</v>
      </c>
      <c r="C176" s="690"/>
      <c r="D176" s="690"/>
      <c r="E176" s="691"/>
      <c r="F176" s="616">
        <f>Y125</f>
        <v>2.1147100000000001E-3</v>
      </c>
      <c r="G176" s="616">
        <f>AC125</f>
        <v>61</v>
      </c>
      <c r="H176" s="618"/>
      <c r="I176" s="616">
        <f>AZ125</f>
        <v>0</v>
      </c>
      <c r="J176" s="617">
        <f>BB125</f>
        <v>0</v>
      </c>
    </row>
    <row r="177" spans="2:13" ht="20.25" customHeight="1" x14ac:dyDescent="0.4">
      <c r="B177" s="689" t="str">
        <f>C128</f>
        <v>LAETP Floc Retrieval</v>
      </c>
      <c r="C177" s="690"/>
      <c r="D177" s="690"/>
      <c r="E177" s="691"/>
      <c r="F177" s="616">
        <f>Y128</f>
        <v>0</v>
      </c>
      <c r="G177" s="616">
        <f>AC128</f>
        <v>0</v>
      </c>
      <c r="H177" s="618"/>
      <c r="I177" s="616">
        <f>AZ128</f>
        <v>0</v>
      </c>
      <c r="J177" s="617">
        <f>BB128</f>
        <v>0</v>
      </c>
    </row>
    <row r="178" spans="2:13" ht="20.25" customHeight="1" x14ac:dyDescent="0.4">
      <c r="B178" s="689" t="str">
        <f>C131</f>
        <v>Chimney Decommissioning Phase 2F</v>
      </c>
      <c r="C178" s="690"/>
      <c r="D178" s="690"/>
      <c r="E178" s="691"/>
      <c r="F178" s="616">
        <f>Y131</f>
        <v>0</v>
      </c>
      <c r="G178" s="616">
        <f>AC131</f>
        <v>0</v>
      </c>
      <c r="H178" s="618"/>
      <c r="I178" s="616">
        <f>AZ131</f>
        <v>0</v>
      </c>
      <c r="J178" s="617">
        <f>BB131</f>
        <v>0</v>
      </c>
    </row>
    <row r="179" spans="2:13" ht="20.25" customHeight="1" x14ac:dyDescent="0.4">
      <c r="B179" s="689" t="str">
        <f>C134</f>
        <v>Heat Exchanger Deplanting - Main Project</v>
      </c>
      <c r="C179" s="690"/>
      <c r="D179" s="690"/>
      <c r="E179" s="691"/>
      <c r="F179" s="616">
        <f>Y134</f>
        <v>0</v>
      </c>
      <c r="G179" s="616">
        <f>AC134</f>
        <v>0</v>
      </c>
      <c r="H179" s="618"/>
      <c r="I179" s="616">
        <f>AZ134</f>
        <v>2.2142999999999802E-2</v>
      </c>
      <c r="J179" s="617">
        <f>BB134</f>
        <v>169</v>
      </c>
    </row>
    <row r="180" spans="2:13" ht="20.25" customHeight="1" x14ac:dyDescent="0.4">
      <c r="B180" s="689" t="str">
        <f>C139</f>
        <v>Data Centre Replacement Project</v>
      </c>
      <c r="C180" s="690"/>
      <c r="D180" s="690"/>
      <c r="E180" s="691"/>
      <c r="F180" s="616">
        <f>Y139</f>
        <v>2.361152E-2</v>
      </c>
      <c r="G180" s="616">
        <f>AC139</f>
        <v>0</v>
      </c>
      <c r="H180" s="618"/>
      <c r="I180" s="616">
        <f>AZ139</f>
        <v>0</v>
      </c>
      <c r="J180" s="617">
        <f>BB139</f>
        <v>0</v>
      </c>
    </row>
    <row r="181" spans="2:13" ht="20.25" customHeight="1" x14ac:dyDescent="0.4">
      <c r="B181" s="687" t="str">
        <f>C11</f>
        <v>Sellafield Security Enhancement Programme (SSEP)</v>
      </c>
      <c r="C181" s="687"/>
      <c r="D181" s="687"/>
      <c r="E181" s="687"/>
      <c r="F181" s="635">
        <f>Y11</f>
        <v>-6.9</v>
      </c>
      <c r="G181" s="634">
        <f>AC11</f>
        <v>0</v>
      </c>
      <c r="H181" s="632"/>
      <c r="I181" s="633">
        <f>AZ11</f>
        <v>0</v>
      </c>
      <c r="J181" s="634">
        <f>BB11</f>
        <v>0</v>
      </c>
      <c r="K181" s="81"/>
      <c r="L181" s="81"/>
      <c r="M181" s="81"/>
    </row>
    <row r="182" spans="2:13" x14ac:dyDescent="0.4">
      <c r="G182" s="54"/>
    </row>
    <row r="183" spans="2:13" x14ac:dyDescent="0.4">
      <c r="G183" s="54"/>
    </row>
    <row r="184" spans="2:13" x14ac:dyDescent="0.4">
      <c r="G184" s="54"/>
    </row>
    <row r="185" spans="2:13" x14ac:dyDescent="0.4">
      <c r="G185" s="54"/>
    </row>
    <row r="186" spans="2:13" x14ac:dyDescent="0.4">
      <c r="G186" s="54"/>
    </row>
    <row r="187" spans="2:13" x14ac:dyDescent="0.4">
      <c r="G187" s="54"/>
    </row>
    <row r="188" spans="2:13" x14ac:dyDescent="0.4">
      <c r="G188" s="54"/>
    </row>
    <row r="189" spans="2:13" x14ac:dyDescent="0.4">
      <c r="G189" s="54"/>
    </row>
    <row r="190" spans="2:13" x14ac:dyDescent="0.4">
      <c r="G190" s="54"/>
    </row>
    <row r="191" spans="2:13" x14ac:dyDescent="0.4">
      <c r="G191" s="54"/>
    </row>
    <row r="192" spans="2:13" x14ac:dyDescent="0.4">
      <c r="G192" s="54"/>
    </row>
    <row r="193" spans="7:7" x14ac:dyDescent="0.4">
      <c r="G193" s="54"/>
    </row>
    <row r="194" spans="7:7" x14ac:dyDescent="0.4">
      <c r="G194" s="54"/>
    </row>
    <row r="195" spans="7:7" x14ac:dyDescent="0.4">
      <c r="G195" s="54"/>
    </row>
    <row r="196" spans="7:7" x14ac:dyDescent="0.4">
      <c r="G196" s="54"/>
    </row>
    <row r="197" spans="7:7" x14ac:dyDescent="0.4">
      <c r="G197" s="54"/>
    </row>
    <row r="198" spans="7:7" x14ac:dyDescent="0.4">
      <c r="G198" s="54"/>
    </row>
    <row r="199" spans="7:7" x14ac:dyDescent="0.4">
      <c r="G199" s="54"/>
    </row>
    <row r="200" spans="7:7" x14ac:dyDescent="0.4">
      <c r="G200" s="54"/>
    </row>
    <row r="201" spans="7:7" x14ac:dyDescent="0.4">
      <c r="G201" s="54"/>
    </row>
    <row r="202" spans="7:7" x14ac:dyDescent="0.4">
      <c r="G202" s="54"/>
    </row>
    <row r="203" spans="7:7" x14ac:dyDescent="0.4">
      <c r="G203" s="54"/>
    </row>
    <row r="204" spans="7:7" x14ac:dyDescent="0.4">
      <c r="G204" s="54"/>
    </row>
    <row r="205" spans="7:7" x14ac:dyDescent="0.4">
      <c r="G205" s="54"/>
    </row>
    <row r="206" spans="7:7" x14ac:dyDescent="0.4">
      <c r="G206" s="54"/>
    </row>
    <row r="207" spans="7:7" x14ac:dyDescent="0.4">
      <c r="G207" s="54"/>
    </row>
    <row r="208" spans="7:7" x14ac:dyDescent="0.4">
      <c r="G208" s="54"/>
    </row>
    <row r="209" spans="7:7" x14ac:dyDescent="0.4">
      <c r="G209" s="54"/>
    </row>
    <row r="210" spans="7:7" x14ac:dyDescent="0.4">
      <c r="G210" s="54"/>
    </row>
    <row r="211" spans="7:7" x14ac:dyDescent="0.4">
      <c r="G211" s="54"/>
    </row>
    <row r="212" spans="7:7" x14ac:dyDescent="0.4">
      <c r="G212" s="54"/>
    </row>
    <row r="213" spans="7:7" x14ac:dyDescent="0.4">
      <c r="G213" s="54"/>
    </row>
    <row r="214" spans="7:7" x14ac:dyDescent="0.4">
      <c r="G214" s="54"/>
    </row>
    <row r="215" spans="7:7" x14ac:dyDescent="0.4">
      <c r="G215" s="54"/>
    </row>
    <row r="216" spans="7:7" x14ac:dyDescent="0.4">
      <c r="G216" s="54"/>
    </row>
    <row r="217" spans="7:7" x14ac:dyDescent="0.4">
      <c r="G217" s="54"/>
    </row>
    <row r="218" spans="7:7" x14ac:dyDescent="0.4">
      <c r="G218" s="54"/>
    </row>
    <row r="219" spans="7:7" x14ac:dyDescent="0.4">
      <c r="G219" s="54"/>
    </row>
    <row r="220" spans="7:7" x14ac:dyDescent="0.4">
      <c r="G220" s="54"/>
    </row>
    <row r="221" spans="7:7" x14ac:dyDescent="0.4">
      <c r="G221" s="54"/>
    </row>
    <row r="222" spans="7:7" x14ac:dyDescent="0.4">
      <c r="G222" s="54"/>
    </row>
    <row r="223" spans="7:7" x14ac:dyDescent="0.4">
      <c r="G223" s="54"/>
    </row>
    <row r="224" spans="7:7" x14ac:dyDescent="0.4">
      <c r="G224" s="54"/>
    </row>
    <row r="225" spans="7:7" x14ac:dyDescent="0.4">
      <c r="G225" s="54"/>
    </row>
    <row r="226" spans="7:7" x14ac:dyDescent="0.4">
      <c r="G226" s="54"/>
    </row>
    <row r="227" spans="7:7" x14ac:dyDescent="0.4">
      <c r="G227" s="54"/>
    </row>
    <row r="228" spans="7:7" x14ac:dyDescent="0.4">
      <c r="G228" s="54"/>
    </row>
    <row r="229" spans="7:7" x14ac:dyDescent="0.4">
      <c r="G229" s="54"/>
    </row>
    <row r="230" spans="7:7" x14ac:dyDescent="0.4">
      <c r="G230" s="54"/>
    </row>
    <row r="231" spans="7:7" x14ac:dyDescent="0.4">
      <c r="G231" s="54"/>
    </row>
    <row r="232" spans="7:7" x14ac:dyDescent="0.4">
      <c r="G232" s="54"/>
    </row>
    <row r="233" spans="7:7" x14ac:dyDescent="0.4">
      <c r="G233" s="54"/>
    </row>
    <row r="234" spans="7:7" x14ac:dyDescent="0.4">
      <c r="G234" s="54"/>
    </row>
    <row r="235" spans="7:7" x14ac:dyDescent="0.4">
      <c r="G235" s="54"/>
    </row>
    <row r="236" spans="7:7" x14ac:dyDescent="0.4">
      <c r="G236" s="54"/>
    </row>
    <row r="237" spans="7:7" x14ac:dyDescent="0.4">
      <c r="G237" s="54"/>
    </row>
    <row r="238" spans="7:7" x14ac:dyDescent="0.4">
      <c r="G238" s="54"/>
    </row>
    <row r="239" spans="7:7" x14ac:dyDescent="0.4">
      <c r="G239" s="54"/>
    </row>
    <row r="240" spans="7:7" x14ac:dyDescent="0.4">
      <c r="G240" s="54"/>
    </row>
    <row r="241" spans="7:7" x14ac:dyDescent="0.4">
      <c r="G241" s="54"/>
    </row>
    <row r="242" spans="7:7" x14ac:dyDescent="0.4">
      <c r="G242" s="54"/>
    </row>
    <row r="243" spans="7:7" x14ac:dyDescent="0.4">
      <c r="G243" s="54"/>
    </row>
    <row r="244" spans="7:7" x14ac:dyDescent="0.4">
      <c r="G244" s="54"/>
    </row>
    <row r="245" spans="7:7" x14ac:dyDescent="0.4">
      <c r="G245" s="54"/>
    </row>
    <row r="246" spans="7:7" x14ac:dyDescent="0.4">
      <c r="G246" s="54"/>
    </row>
    <row r="247" spans="7:7" x14ac:dyDescent="0.4">
      <c r="G247" s="54"/>
    </row>
    <row r="248" spans="7:7" x14ac:dyDescent="0.4">
      <c r="G248" s="54"/>
    </row>
    <row r="249" spans="7:7" x14ac:dyDescent="0.4">
      <c r="G249" s="54"/>
    </row>
    <row r="250" spans="7:7" x14ac:dyDescent="0.4">
      <c r="G250" s="54"/>
    </row>
    <row r="251" spans="7:7" x14ac:dyDescent="0.4">
      <c r="G251" s="54"/>
    </row>
    <row r="252" spans="7:7" x14ac:dyDescent="0.4">
      <c r="G252" s="54"/>
    </row>
    <row r="253" spans="7:7" x14ac:dyDescent="0.4">
      <c r="G253" s="54"/>
    </row>
    <row r="254" spans="7:7" x14ac:dyDescent="0.4">
      <c r="G254" s="54"/>
    </row>
    <row r="255" spans="7:7" x14ac:dyDescent="0.4">
      <c r="G255" s="54"/>
    </row>
    <row r="256" spans="7:7" x14ac:dyDescent="0.4">
      <c r="G256" s="54"/>
    </row>
    <row r="257" spans="7:7" x14ac:dyDescent="0.4">
      <c r="G257" s="54"/>
    </row>
    <row r="258" spans="7:7" x14ac:dyDescent="0.4">
      <c r="G258" s="54"/>
    </row>
    <row r="259" spans="7:7" x14ac:dyDescent="0.4">
      <c r="G259" s="54"/>
    </row>
    <row r="260" spans="7:7" x14ac:dyDescent="0.4">
      <c r="G260" s="54"/>
    </row>
    <row r="261" spans="7:7" x14ac:dyDescent="0.4">
      <c r="G261" s="54"/>
    </row>
    <row r="262" spans="7:7" x14ac:dyDescent="0.4">
      <c r="G262" s="54"/>
    </row>
    <row r="263" spans="7:7" x14ac:dyDescent="0.4">
      <c r="G263" s="54"/>
    </row>
    <row r="264" spans="7:7" x14ac:dyDescent="0.4">
      <c r="G264" s="54"/>
    </row>
    <row r="265" spans="7:7" x14ac:dyDescent="0.4">
      <c r="G265" s="54"/>
    </row>
    <row r="266" spans="7:7" x14ac:dyDescent="0.4">
      <c r="G266" s="54"/>
    </row>
    <row r="267" spans="7:7" x14ac:dyDescent="0.4">
      <c r="G267" s="54"/>
    </row>
    <row r="268" spans="7:7" x14ac:dyDescent="0.4">
      <c r="G268" s="54"/>
    </row>
    <row r="269" spans="7:7" x14ac:dyDescent="0.4">
      <c r="G269" s="54"/>
    </row>
    <row r="270" spans="7:7" x14ac:dyDescent="0.4">
      <c r="G270" s="54"/>
    </row>
    <row r="271" spans="7:7" x14ac:dyDescent="0.4">
      <c r="G271" s="54"/>
    </row>
    <row r="272" spans="7:7" x14ac:dyDescent="0.4">
      <c r="G272" s="54"/>
    </row>
    <row r="273" spans="7:7" x14ac:dyDescent="0.4">
      <c r="G273" s="54"/>
    </row>
    <row r="274" spans="7:7" x14ac:dyDescent="0.4">
      <c r="G274" s="54"/>
    </row>
    <row r="275" spans="7:7" x14ac:dyDescent="0.4">
      <c r="G275" s="54"/>
    </row>
    <row r="276" spans="7:7" x14ac:dyDescent="0.4">
      <c r="G276" s="54"/>
    </row>
    <row r="277" spans="7:7" x14ac:dyDescent="0.4">
      <c r="G277" s="54"/>
    </row>
    <row r="278" spans="7:7" x14ac:dyDescent="0.4">
      <c r="G278" s="54"/>
    </row>
    <row r="279" spans="7:7" x14ac:dyDescent="0.4">
      <c r="G279" s="54"/>
    </row>
    <row r="280" spans="7:7" x14ac:dyDescent="0.4">
      <c r="G280" s="54"/>
    </row>
    <row r="281" spans="7:7" x14ac:dyDescent="0.4">
      <c r="G281" s="54"/>
    </row>
    <row r="282" spans="7:7" x14ac:dyDescent="0.4">
      <c r="G282" s="54"/>
    </row>
    <row r="283" spans="7:7" x14ac:dyDescent="0.4">
      <c r="G283" s="54"/>
    </row>
    <row r="284" spans="7:7" x14ac:dyDescent="0.4">
      <c r="G284" s="54"/>
    </row>
    <row r="285" spans="7:7" x14ac:dyDescent="0.4">
      <c r="G285" s="54"/>
    </row>
    <row r="286" spans="7:7" x14ac:dyDescent="0.4">
      <c r="G286" s="54"/>
    </row>
    <row r="287" spans="7:7" x14ac:dyDescent="0.4">
      <c r="G287" s="54"/>
    </row>
    <row r="288" spans="7:7" x14ac:dyDescent="0.4">
      <c r="G288" s="54"/>
    </row>
    <row r="289" spans="7:7" x14ac:dyDescent="0.4">
      <c r="G289" s="54"/>
    </row>
    <row r="290" spans="7:7" x14ac:dyDescent="0.4">
      <c r="G290" s="54"/>
    </row>
    <row r="291" spans="7:7" x14ac:dyDescent="0.4">
      <c r="G291" s="54"/>
    </row>
    <row r="292" spans="7:7" x14ac:dyDescent="0.4">
      <c r="G292" s="54"/>
    </row>
    <row r="293" spans="7:7" x14ac:dyDescent="0.4">
      <c r="G293" s="54"/>
    </row>
    <row r="294" spans="7:7" x14ac:dyDescent="0.4">
      <c r="G294" s="54"/>
    </row>
    <row r="295" spans="7:7" x14ac:dyDescent="0.4">
      <c r="G295" s="54"/>
    </row>
    <row r="296" spans="7:7" x14ac:dyDescent="0.4">
      <c r="G296" s="54"/>
    </row>
    <row r="297" spans="7:7" x14ac:dyDescent="0.4">
      <c r="G297" s="54"/>
    </row>
    <row r="298" spans="7:7" x14ac:dyDescent="0.4">
      <c r="G298" s="54"/>
    </row>
    <row r="299" spans="7:7" x14ac:dyDescent="0.4">
      <c r="G299" s="54"/>
    </row>
    <row r="300" spans="7:7" x14ac:dyDescent="0.4">
      <c r="G300" s="54"/>
    </row>
    <row r="301" spans="7:7" x14ac:dyDescent="0.4">
      <c r="G301" s="54"/>
    </row>
  </sheetData>
  <sheetProtection algorithmName="SHA-512" hashValue="t+S0qLzmyZBNkshZo4mDnG3Ge6jpIo5oBXrrpSYxDs4KNxhj24Vy9hs0YgYXxBIOGU9LoMnL5JOtYK8Ptc5bsw==" saltValue="w+lYD8LdgLHIwZaFWcgxhQ==" spinCount="100000" sheet="1" formatCells="0"/>
  <customSheetViews>
    <customSheetView guid="{800416AC-1374-44AC-811C-612C85EF24E6}" scale="55" showGridLines="0" fitToPage="1" hiddenRows="1" hiddenColumns="1" topLeftCell="B2">
      <selection activeCell="B64" sqref="B64:AM64"/>
      <rowBreaks count="4" manualBreakCount="4">
        <brk id="33" min="1" max="38" man="1"/>
        <brk id="64" min="1" max="38" man="1"/>
        <brk id="97" min="1" max="38" man="1"/>
        <brk id="129" min="1" max="38" man="1"/>
      </rowBreaks>
      <pageMargins left="0.23622047244094491" right="0.23622047244094491" top="0.35433070866141736" bottom="0.35433070866141736" header="0.31496062992125984" footer="0.31496062992125984"/>
      <pageSetup paperSize="8" scale="62" fitToHeight="0" orientation="landscape" r:id="rId1"/>
      <headerFooter>
        <oddFooter>&amp;L&amp;1#&amp;"Calibri"&amp;10&amp;K000000OFFICIAL</oddFooter>
      </headerFooter>
    </customSheetView>
    <customSheetView guid="{FBC63E8F-69FE-4648-B709-FA1212EFFB29}" scale="70" showGridLines="0" fitToPage="1" hiddenRows="1" hiddenColumns="1" topLeftCell="B93">
      <selection activeCell="C99" sqref="C99"/>
      <rowBreaks count="4" manualBreakCount="4">
        <brk id="33" min="1" max="38" man="1"/>
        <brk id="64" min="1" max="38" man="1"/>
        <brk id="97" min="1" max="38" man="1"/>
        <brk id="129" min="1" max="38" man="1"/>
      </rowBreaks>
      <pageMargins left="0.23622047244094491" right="0.23622047244094491" top="0.35433070866141736" bottom="0.35433070866141736" header="0.31496062992125984" footer="0.31496062992125984"/>
      <pageSetup paperSize="8" scale="62" fitToHeight="0" orientation="landscape" r:id="rId2"/>
      <headerFooter>
        <oddFooter>&amp;L&amp;1#&amp;"Calibri"&amp;10&amp;K000000OFFICIAL</oddFooter>
      </headerFooter>
    </customSheetView>
    <customSheetView guid="{C7C13768-4A8D-4CBA-978C-F4A7B5550C00}" scale="70" showGridLines="0" fitToPage="1" printArea="1" hiddenRows="1" hiddenColumns="1" topLeftCell="A79">
      <selection activeCell="B85" sqref="B85:AM85"/>
      <rowBreaks count="4" manualBreakCount="4">
        <brk id="36" min="1" max="38" man="1"/>
        <brk id="67" min="1" max="38" man="1"/>
        <brk id="100" min="1" max="38" man="1"/>
        <brk id="132" min="1" max="38" man="1"/>
      </rowBreaks>
      <pageMargins left="0.23622047244094491" right="0.23622047244094491" top="0.35433070866141736" bottom="0.35433070866141736" header="0.31496062992125984" footer="0.31496062992125984"/>
      <pageSetup paperSize="8" scale="62" fitToHeight="0" orientation="landscape" r:id="rId3"/>
      <headerFooter>
        <oddFooter>&amp;L&amp;1#&amp;"Calibri"&amp;10&amp;K000000OFFICIAL</oddFooter>
      </headerFooter>
    </customSheetView>
    <customSheetView guid="{466708C2-41CE-4656-AB81-E1E49DF5945D}" scale="80" showGridLines="0" fitToPage="1" hiddenRows="1" hiddenColumns="1" topLeftCell="A2">
      <pane ySplit="5" topLeftCell="A73" activePane="bottomLeft" state="frozen"/>
      <selection pane="bottomLeft" activeCell="B76" sqref="B76:AM76"/>
      <rowBreaks count="4" manualBreakCount="4">
        <brk id="36" min="1" max="38" man="1"/>
        <brk id="67" min="1" max="38" man="1"/>
        <brk id="100" min="1" max="38" man="1"/>
        <brk id="132" min="1" max="38" man="1"/>
      </rowBreaks>
      <pageMargins left="0.23622047244094491" right="0.23622047244094491" top="0.35433070866141736" bottom="0.35433070866141736" header="0.31496062992125984" footer="0.31496062992125984"/>
      <pageSetup paperSize="8" scale="62" fitToHeight="0" orientation="landscape" r:id="rId4"/>
      <headerFooter>
        <oddFooter>&amp;L&amp;1#&amp;"Calibri"&amp;10&amp;K000000OFFICIAL</oddFooter>
      </headerFooter>
    </customSheetView>
    <customSheetView guid="{E3A3AE56-8881-4A6F-9299-803C489AD1B4}" scale="90" showGridLines="0" fitToPage="1" hiddenRows="1" hiddenColumns="1" topLeftCell="B2">
      <pane ySplit="5" topLeftCell="A47" activePane="bottomLeft" state="frozen"/>
      <selection pane="bottomLeft" activeCell="B58" sqref="B58:AM58"/>
      <rowBreaks count="4" manualBreakCount="4">
        <brk id="36" min="1" max="38" man="1"/>
        <brk id="67" min="1" max="38" man="1"/>
        <brk id="100" min="1" max="38" man="1"/>
        <brk id="132" min="1" max="38" man="1"/>
      </rowBreaks>
      <pageMargins left="0.23622047244094491" right="0.23622047244094491" top="0.35433070866141736" bottom="0.35433070866141736" header="0.31496062992125984" footer="0.31496062992125984"/>
      <pageSetup paperSize="8" scale="62" fitToHeight="0" orientation="landscape" r:id="rId5"/>
      <headerFooter>
        <oddFooter>&amp;L&amp;1#&amp;"Calibri"&amp;10&amp;K000000OFFICIAL</oddFooter>
      </headerFooter>
    </customSheetView>
    <customSheetView guid="{83044EFE-7F92-4F81-B034-85D9567158C2}" scale="75" showGridLines="0" fitToPage="1" hiddenRows="1" hiddenColumns="1" topLeftCell="D2">
      <pane ySplit="5" topLeftCell="A67" activePane="bottomLeft" state="frozen"/>
      <selection pane="bottomLeft" activeCell="B74" sqref="B74"/>
      <rowBreaks count="4" manualBreakCount="4">
        <brk id="36" min="1" max="38" man="1"/>
        <brk id="67" min="1" max="38" man="1"/>
        <brk id="100" min="1" max="38" man="1"/>
        <brk id="132" min="1" max="38" man="1"/>
      </rowBreaks>
      <pageMargins left="0.23622047244094491" right="0.23622047244094491" top="0.35433070866141736" bottom="0.35433070866141736" header="0.31496062992125984" footer="0.31496062992125984"/>
      <pageSetup paperSize="8" scale="62" fitToHeight="0" orientation="landscape" r:id="rId6"/>
      <headerFooter>
        <oddFooter>&amp;L&amp;1#&amp;"Calibri"&amp;10&amp;K000000OFFICIAL</oddFooter>
      </headerFooter>
    </customSheetView>
    <customSheetView guid="{E4713981-DD11-40CE-BE52-873D93BDDE05}" scale="90" showGridLines="0" fitToPage="1" hiddenRows="1" hiddenColumns="1" topLeftCell="D2">
      <pane ySplit="5" topLeftCell="A62" activePane="bottomLeft" state="frozen"/>
      <selection pane="bottomLeft" activeCell="B67" sqref="B67:AM67"/>
      <rowBreaks count="4" manualBreakCount="4">
        <brk id="36" min="1" max="38" man="1"/>
        <brk id="67" min="1" max="38" man="1"/>
        <brk id="100" min="1" max="38" man="1"/>
        <brk id="132" min="1" max="38" man="1"/>
      </rowBreaks>
      <pageMargins left="0.23622047244094491" right="0.23622047244094491" top="0.35433070866141736" bottom="0.35433070866141736" header="0.31496062992125984" footer="0.31496062992125984"/>
      <pageSetup paperSize="8" scale="62" fitToHeight="0" orientation="landscape" r:id="rId7"/>
      <headerFooter>
        <oddFooter>&amp;L&amp;1#&amp;"Calibri"&amp;10&amp;K000000OFFICIAL</oddFooter>
      </headerFooter>
    </customSheetView>
    <customSheetView guid="{442F9A23-CA6E-4109-B10C-ACF5FD36B859}" scale="70" showGridLines="0" fitToPage="1" hiddenRows="1" hiddenColumns="1" topLeftCell="B2">
      <pane ySplit="5" topLeftCell="A74" activePane="bottomLeft" state="frozen"/>
      <selection pane="bottomLeft" activeCell="B76" sqref="B76:AM76"/>
      <rowBreaks count="4" manualBreakCount="4">
        <brk id="36" min="1" max="38" man="1"/>
        <brk id="67" min="1" max="38" man="1"/>
        <brk id="100" min="1" max="38" man="1"/>
        <brk id="132" min="1" max="38" man="1"/>
      </rowBreaks>
      <pageMargins left="0.23622047244094491" right="0.23622047244094491" top="0.35433070866141736" bottom="0.35433070866141736" header="0.31496062992125984" footer="0.31496062992125984"/>
      <pageSetup paperSize="8" scale="62" fitToHeight="0" orientation="landscape" r:id="rId8"/>
      <headerFooter>
        <oddFooter>&amp;L&amp;1#&amp;"Calibri"&amp;10&amp;K000000OFFICIAL</oddFooter>
      </headerFooter>
    </customSheetView>
    <customSheetView guid="{B434A8A8-5A4C-48C0-82E7-2458B9D2EEEF}" scale="75" showGridLines="0" fitToPage="1" hiddenRows="1" hiddenColumns="1" topLeftCell="B2">
      <pane ySplit="5" topLeftCell="A121" activePane="bottomLeft" state="frozen"/>
      <selection pane="bottomLeft" activeCell="B129" sqref="B129:AM129"/>
      <rowBreaks count="4" manualBreakCount="4">
        <brk id="36" min="1" max="38" man="1"/>
        <brk id="67" min="1" max="38" man="1"/>
        <brk id="100" min="1" max="38" man="1"/>
        <brk id="132" min="1" max="38" man="1"/>
      </rowBreaks>
      <pageMargins left="0.23622047244094491" right="0.23622047244094491" top="0.35433070866141736" bottom="0.35433070866141736" header="0.31496062992125984" footer="0.31496062992125984"/>
      <pageSetup paperSize="8" scale="62" fitToHeight="0" orientation="landscape" r:id="rId9"/>
      <headerFooter>
        <oddFooter>&amp;L&amp;1#&amp;"Calibri"&amp;10&amp;K000000OFFICIAL</oddFooter>
      </headerFooter>
    </customSheetView>
    <customSheetView guid="{3827E543-57D2-48C8-B786-7077EA079DD2}" scale="74" showGridLines="0" fitToPage="1" hiddenRows="1" hiddenColumns="1" topLeftCell="B2">
      <pane ySplit="5" topLeftCell="A97" activePane="bottomLeft" state="frozen"/>
      <selection pane="bottomLeft" activeCell="B103" sqref="B103:AM103"/>
      <rowBreaks count="4" manualBreakCount="4">
        <brk id="36" min="1" max="38" man="1"/>
        <brk id="67" min="1" max="38" man="1"/>
        <brk id="100" min="1" max="38" man="1"/>
        <brk id="132" min="1" max="38" man="1"/>
      </rowBreaks>
      <pageMargins left="0.23622047244094491" right="0.23622047244094491" top="0.35433070866141736" bottom="0.35433070866141736" header="0.31496062992125984" footer="0.31496062992125984"/>
      <pageSetup paperSize="8" scale="62" fitToHeight="0" orientation="landscape" r:id="rId10"/>
      <headerFooter>
        <oddFooter>&amp;L&amp;1#&amp;"Calibri"&amp;10&amp;K000000OFFICIAL</oddFooter>
      </headerFooter>
    </customSheetView>
    <customSheetView guid="{2EA8DBF7-9763-457C-AA9F-1EEB2F136D1F}" scale="74" showGridLines="0" fitToPage="1" hiddenRows="1" hiddenColumns="1" topLeftCell="A2">
      <pane ySplit="5" topLeftCell="A73" activePane="bottomLeft" state="frozen"/>
      <selection pane="bottomLeft" activeCell="B76" sqref="B76:AM76"/>
      <rowBreaks count="4" manualBreakCount="4">
        <brk id="36" min="1" max="38" man="1"/>
        <brk id="67" min="1" max="38" man="1"/>
        <brk id="100" min="1" max="38" man="1"/>
        <brk id="132" min="1" max="38" man="1"/>
      </rowBreaks>
      <pageMargins left="0.23622047244094491" right="0.23622047244094491" top="0.35433070866141736" bottom="0.35433070866141736" header="0.31496062992125984" footer="0.31496062992125984"/>
      <pageSetup paperSize="8" scale="62" fitToHeight="0" orientation="landscape" r:id="rId11"/>
      <headerFooter>
        <oddFooter>&amp;L&amp;1#&amp;"Calibri"&amp;10&amp;K000000OFFICIAL</oddFooter>
      </headerFooter>
    </customSheetView>
    <customSheetView guid="{70582C04-BB53-4A99-A3C1-673011D9AE1C}" scale="85" showGridLines="0" fitToPage="1" hiddenRows="1" hiddenColumns="1" topLeftCell="A2">
      <pane ySplit="5" topLeftCell="A139" activePane="bottomLeft" state="frozen"/>
      <selection pane="bottomLeft" activeCell="B142" sqref="B142:AM142"/>
      <rowBreaks count="4" manualBreakCount="4">
        <brk id="35" min="1" max="38" man="1"/>
        <brk id="66" min="1" max="38" man="1"/>
        <brk id="99" min="1" max="38" man="1"/>
        <brk id="131" min="1" max="38" man="1"/>
      </rowBreaks>
      <pageMargins left="0.23622047244094491" right="0.23622047244094491" top="0.35433070866141736" bottom="0.35433070866141736" header="0.31496062992125984" footer="0.31496062992125984"/>
      <pageSetup paperSize="8" scale="63" fitToHeight="0" orientation="landscape" r:id="rId12"/>
      <headerFooter>
        <oddFooter>&amp;L&amp;1#&amp;"Calibri"&amp;10&amp;K000000OFFICIAL</oddFooter>
      </headerFooter>
    </customSheetView>
    <customSheetView guid="{37F5A0AB-EB39-4832-9D67-F67D908BF486}" scale="90" showGridLines="0" fitToPage="1" hiddenRows="1" hiddenColumns="1" topLeftCell="A2">
      <pane ySplit="5" topLeftCell="A111" activePane="bottomLeft" state="frozen"/>
      <selection pane="bottomLeft" activeCell="B117" sqref="B117:AM117"/>
      <rowBreaks count="4" manualBreakCount="4">
        <brk id="35" min="1" max="38" man="1"/>
        <brk id="66" min="1" max="38" man="1"/>
        <brk id="99" min="1" max="38" man="1"/>
        <brk id="131" min="1" max="38" man="1"/>
      </rowBreaks>
      <pageMargins left="0.23622047244094491" right="0.23622047244094491" top="0.35433070866141736" bottom="0.35433070866141736" header="0.31496062992125984" footer="0.31496062992125984"/>
      <pageSetup paperSize="8" scale="63" fitToHeight="0" orientation="landscape" r:id="rId13"/>
      <headerFooter>
        <oddFooter>&amp;L&amp;1#&amp;"Calibri"&amp;10&amp;K000000OFFICIAL</oddFooter>
      </headerFooter>
    </customSheetView>
    <customSheetView guid="{78AA4A71-CE17-4C4D-849E-E3E1A44EA907}" scale="75" showGridLines="0" fitToPage="1" hiddenRows="1" hiddenColumns="1" topLeftCell="A2">
      <pane ySplit="5" topLeftCell="A7" activePane="bottomLeft" state="frozen"/>
      <selection pane="bottomLeft" activeCell="B134" sqref="B134:AM134"/>
      <rowBreaks count="4" manualBreakCount="4">
        <brk id="35" min="1" max="38" man="1"/>
        <brk id="66" min="1" max="38" man="1"/>
        <brk id="99" min="1" max="38" man="1"/>
        <brk id="131" min="1" max="38" man="1"/>
      </rowBreaks>
      <pageMargins left="0.23622047244094491" right="0.23622047244094491" top="0.35433070866141736" bottom="0.35433070866141736" header="0.31496062992125984" footer="0.31496062992125984"/>
      <pageSetup paperSize="8" scale="63" fitToHeight="0" orientation="landscape" r:id="rId14"/>
      <headerFooter>
        <oddFooter>&amp;L&amp;1#&amp;"Calibri"&amp;10&amp;K000000OFFICIAL</oddFooter>
      </headerFooter>
    </customSheetView>
    <customSheetView guid="{51DFD3D6-BC25-47B4-B28F-D640534DB3A9}" scale="75" showGridLines="0" fitToPage="1" printArea="1" hiddenRows="1" hiddenColumns="1" topLeftCell="A2">
      <pane ySplit="5" topLeftCell="A7" activePane="bottomLeft" state="frozen"/>
      <selection pane="bottomLeft" activeCell="C11" sqref="C11"/>
      <rowBreaks count="4" manualBreakCount="4">
        <brk id="35" min="1" max="38" man="1"/>
        <brk id="66" min="1" max="38" man="1"/>
        <brk id="99" min="1" max="38" man="1"/>
        <brk id="131" min="1" max="38" man="1"/>
      </rowBreaks>
      <pageMargins left="0.23622047244094491" right="0.23622047244094491" top="0.35433070866141736" bottom="0.35433070866141736" header="0.31496062992125984" footer="0.31496062992125984"/>
      <pageSetup paperSize="8" scale="63" fitToHeight="0" orientation="landscape" r:id="rId15"/>
      <headerFooter>
        <oddFooter>&amp;L&amp;1#&amp;"Calibri"&amp;10&amp;K000000OFFICIAL</oddFooter>
      </headerFooter>
    </customSheetView>
    <customSheetView guid="{CA7E8063-5145-49E1-8E00-2E1025705A81}" showGridLines="0" fitToPage="1" hiddenRows="1" hiddenColumns="1" topLeftCell="A2">
      <pane ySplit="5" topLeftCell="A49" activePane="bottomLeft" state="frozen"/>
      <selection pane="bottomLeft" activeCell="B57" sqref="B57:AM57"/>
      <rowBreaks count="4" manualBreakCount="4">
        <brk id="35" min="1" max="38" man="1"/>
        <brk id="66" min="1" max="38" man="1"/>
        <brk id="99" min="1" max="38" man="1"/>
        <brk id="131" min="1" max="38" man="1"/>
      </rowBreaks>
      <pageMargins left="0.23622047244094491" right="0.23622047244094491" top="0.35433070866141736" bottom="0.35433070866141736" header="0.31496062992125984" footer="0.31496062992125984"/>
      <pageSetup paperSize="8" scale="63" fitToHeight="0" orientation="landscape" r:id="rId16"/>
      <headerFooter>
        <oddFooter>&amp;L&amp;1#&amp;"Calibri"&amp;10&amp;K000000OFFICIAL</oddFooter>
      </headerFooter>
    </customSheetView>
    <customSheetView guid="{75EE3B92-AF4D-4E93-A70E-6ADE60CC674F}" scale="70" showGridLines="0" fitToPage="1" hiddenRows="1" hiddenColumns="1" topLeftCell="B2">
      <pane ySplit="5" topLeftCell="A117" activePane="bottomLeft" state="frozen"/>
      <selection pane="bottomLeft" activeCell="B128" sqref="B128:AM128"/>
      <rowBreaks count="4" manualBreakCount="4">
        <brk id="35" min="1" max="38" man="1"/>
        <brk id="66" min="1" max="38" man="1"/>
        <brk id="99" min="1" max="38" man="1"/>
        <brk id="131" min="1" max="38" man="1"/>
      </rowBreaks>
      <pageMargins left="0.23622047244094491" right="0.23622047244094491" top="0.35433070866141736" bottom="0.35433070866141736" header="0.31496062992125984" footer="0.31496062992125984"/>
      <pageSetup paperSize="8" scale="63" fitToHeight="0" orientation="landscape" r:id="rId17"/>
      <headerFooter>
        <oddFooter>&amp;L&amp;1#&amp;"Calibri"&amp;10&amp;K000000OFFICIAL</oddFooter>
      </headerFooter>
    </customSheetView>
    <customSheetView guid="{29AC9BE3-332A-4738-949C-1F8C0D32BAEE}" scale="70" showGridLines="0" fitToPage="1" hiddenRows="1" hiddenColumns="1" topLeftCell="A2">
      <pane ySplit="5" topLeftCell="A7" activePane="bottomLeft" state="frozen"/>
      <selection pane="bottomLeft" activeCell="B57" sqref="B57:AM57"/>
      <rowBreaks count="4" manualBreakCount="4">
        <brk id="35" min="1" max="38" man="1"/>
        <brk id="66" min="1" max="38" man="1"/>
        <brk id="99" min="1" max="38" man="1"/>
        <brk id="131" min="1" max="38" man="1"/>
      </rowBreaks>
      <pageMargins left="0.23622047244094491" right="0.23622047244094491" top="0.35433070866141736" bottom="0.35433070866141736" header="0.31496062992125984" footer="0.31496062992125984"/>
      <pageSetup paperSize="8" scale="63" fitToHeight="0" orientation="landscape" r:id="rId18"/>
      <headerFooter>
        <oddFooter>&amp;L&amp;1#&amp;"Calibri"&amp;10&amp;K000000OFFICIAL</oddFooter>
      </headerFooter>
    </customSheetView>
    <customSheetView guid="{42B0E8B1-ADFA-49AE-A83B-82D384737703}" showGridLines="0" fitToPage="1" hiddenRows="1" hiddenColumns="1" topLeftCell="A2">
      <pane xSplit="1" ySplit="6" topLeftCell="B105" activePane="bottomRight" state="frozen"/>
      <selection pane="bottomRight" activeCell="B111" sqref="B111:AM111"/>
      <rowBreaks count="4" manualBreakCount="4">
        <brk id="35" min="1" max="38" man="1"/>
        <brk id="66" min="1" max="38" man="1"/>
        <brk id="99" min="1" max="38" man="1"/>
        <brk id="131" min="1" max="38" man="1"/>
      </rowBreaks>
      <pageMargins left="0.23622047244094491" right="0.23622047244094491" top="0.35433070866141736" bottom="0.35433070866141736" header="0.31496062992125984" footer="0.31496062992125984"/>
      <pageSetup paperSize="8" scale="63" fitToHeight="0" orientation="landscape" r:id="rId19"/>
      <headerFooter>
        <oddFooter>&amp;L&amp;1#&amp;"Calibri"&amp;10&amp;K000000OFFICIAL</oddFooter>
      </headerFooter>
    </customSheetView>
    <customSheetView guid="{D59DDBAA-620D-43B7-A6D9-759808D3397A}" scale="75" showGridLines="0" fitToPage="1" printArea="1" hiddenRows="1" hiddenColumns="1" topLeftCell="A2">
      <pane xSplit="1" ySplit="6" topLeftCell="B105" activePane="bottomRight" state="frozen"/>
      <selection pane="bottomRight" activeCell="B111" sqref="B111:AM111"/>
      <rowBreaks count="4" manualBreakCount="4">
        <brk id="35" min="1" max="38" man="1"/>
        <brk id="66" min="1" max="38" man="1"/>
        <brk id="99" min="1" max="38" man="1"/>
        <brk id="131" min="1" max="38" man="1"/>
      </rowBreaks>
      <pageMargins left="0.23622047244094491" right="0.23622047244094491" top="0.35433070866141736" bottom="0.35433070866141736" header="0.31496062992125984" footer="0.31496062992125984"/>
      <pageSetup paperSize="8" scale="63" fitToHeight="0" orientation="landscape" r:id="rId20"/>
      <headerFooter>
        <oddFooter>&amp;L&amp;1#&amp;"Calibri"&amp;10&amp;K000000OFFICIAL</oddFooter>
      </headerFooter>
    </customSheetView>
    <customSheetView guid="{F4A6298C-1A75-4FA9-A6A4-2BE13CCFE545}" scale="80" showGridLines="0" fitToPage="1" hiddenRows="1" hiddenColumns="1" topLeftCell="A29">
      <selection activeCell="B144" sqref="B144:AM144"/>
      <rowBreaks count="4" manualBreakCount="4">
        <brk id="36" min="1" max="38" man="1"/>
        <brk id="71" min="1" max="38" man="1"/>
        <brk id="104" min="1" max="38" man="1"/>
        <brk id="136" min="1" max="38" man="1"/>
      </rowBreaks>
      <pageMargins left="0.23622047244094491" right="0.23622047244094491" top="0.35433070866141736" bottom="0.35433070866141736" header="0.31496062992125984" footer="0.31496062992125984"/>
      <pageSetup paperSize="8" scale="62" fitToHeight="0" orientation="landscape" r:id="rId21"/>
      <headerFooter>
        <oddFooter>&amp;L&amp;1#&amp;"Calibri"&amp;10&amp;K000000OFFICIAL</oddFooter>
      </headerFooter>
    </customSheetView>
    <customSheetView guid="{9F91FBC4-6A13-42C2-A2D9-42A2AC814E28}" scale="72" showGridLines="0" fitToPage="1" hiddenRows="1" hiddenColumns="1" topLeftCell="A107">
      <selection activeCell="B119" sqref="B119:AM119"/>
      <rowBreaks count="4" manualBreakCount="4">
        <brk id="36" min="1" max="38" man="1"/>
        <brk id="71" min="1" max="38" man="1"/>
        <brk id="104" min="1" max="38" man="1"/>
        <brk id="136" min="1" max="38" man="1"/>
      </rowBreaks>
      <pageMargins left="0.23622047244094491" right="0.23622047244094491" top="0.35433070866141736" bottom="0.35433070866141736" header="0.31496062992125984" footer="0.31496062992125984"/>
      <pageSetup paperSize="8" scale="62" fitToHeight="0" orientation="landscape" r:id="rId22"/>
      <headerFooter>
        <oddFooter>&amp;L&amp;1#&amp;"Calibri"&amp;10&amp;K000000OFFICIAL</oddFooter>
      </headerFooter>
    </customSheetView>
    <customSheetView guid="{DF265C7B-1EEB-47EB-982A-6938E81F7AC2}" scale="80" showGridLines="0" fitToPage="1" hiddenRows="1" hiddenColumns="1" topLeftCell="A90">
      <selection activeCell="B96" sqref="B96:AM96"/>
      <rowBreaks count="4" manualBreakCount="4">
        <brk id="33" min="1" max="38" man="1"/>
        <brk id="67" min="1" max="38" man="1"/>
        <brk id="99" min="1" max="38" man="1"/>
        <brk id="131" min="1" max="38" man="1"/>
      </rowBreaks>
      <pageMargins left="0.23622047244094491" right="0.23622047244094491" top="0.35433070866141736" bottom="0.35433070866141736" header="0.31496062992125984" footer="0.31496062992125984"/>
      <pageSetup paperSize="8" scale="62" fitToHeight="0" orientation="landscape" r:id="rId23"/>
      <headerFooter>
        <oddFooter>&amp;L&amp;1#&amp;"Calibri"&amp;10&amp;K000000OFFICIAL</oddFooter>
      </headerFooter>
    </customSheetView>
    <customSheetView guid="{8263C9D2-452D-46FA-AFA0-452B42DC0298}" showGridLines="0" fitToPage="1" hiddenRows="1" hiddenColumns="1" topLeftCell="A2">
      <pane xSplit="1" ySplit="6" topLeftCell="B108" activePane="bottomRight" state="frozen"/>
      <selection pane="bottomRight" activeCell="B114" sqref="B114:AM114"/>
      <rowBreaks count="4" manualBreakCount="4">
        <brk id="33" min="1" max="38" man="1"/>
        <brk id="67" min="1" max="38" man="1"/>
        <brk id="99" min="1" max="38" man="1"/>
        <brk id="131" min="1" max="38" man="1"/>
      </rowBreaks>
      <pageMargins left="0.23622047244094491" right="0.23622047244094491" top="0.35433070866141736" bottom="0.35433070866141736" header="0.31496062992125984" footer="0.31496062992125984"/>
      <pageSetup paperSize="8" scale="62" fitToHeight="0" orientation="landscape" r:id="rId24"/>
      <headerFooter>
        <oddFooter>&amp;L&amp;1#&amp;"Calibri"&amp;10&amp;K000000OFFICIAL</oddFooter>
      </headerFooter>
    </customSheetView>
    <customSheetView guid="{151EB58C-4EFD-4330-8D1A-8AACF5F7C679}" showGridLines="0" fitToPage="1" hiddenRows="1" hiddenColumns="1" topLeftCell="A2">
      <pane xSplit="1" ySplit="6" topLeftCell="B52" activePane="bottomRight" state="frozen"/>
      <selection pane="bottomRight" activeCell="B55" sqref="B55:AM55"/>
      <rowBreaks count="4" manualBreakCount="4">
        <brk id="33" min="1" max="38" man="1"/>
        <brk id="67" min="1" max="38" man="1"/>
        <brk id="99" min="1" max="38" man="1"/>
        <brk id="131" min="1" max="38" man="1"/>
      </rowBreaks>
      <pageMargins left="0.23622047244094491" right="0.23622047244094491" top="0.35433070866141736" bottom="0.35433070866141736" header="0.31496062992125984" footer="0.31496062992125984"/>
      <pageSetup paperSize="8" scale="62" fitToHeight="0" orientation="landscape" r:id="rId25"/>
      <headerFooter>
        <oddFooter>&amp;L&amp;1#&amp;"Calibri"&amp;10&amp;K000000OFFICIAL</oddFooter>
      </headerFooter>
    </customSheetView>
    <customSheetView guid="{8CB67476-3FD4-42E0-ACD6-62ACA9412843}" fitToPage="1" hiddenRows="1" topLeftCell="A2">
      <pane ySplit="6" topLeftCell="A76" activePane="bottomLeft" state="frozen"/>
      <selection pane="bottomLeft" activeCell="B70" sqref="B70:AM70"/>
      <rowBreaks count="5" manualBreakCount="5">
        <brk id="33" min="1" max="38" man="1"/>
        <brk id="64" min="1" max="38" man="1"/>
        <brk id="95" min="1" max="38" man="1"/>
        <brk id="126" min="1" max="38" man="1"/>
        <brk id="156" min="1" max="38" man="1"/>
      </rowBreaks>
      <pageMargins left="0.23622047244094491" right="0.23622047244094491" top="0.35433070866141736" bottom="0.35433070866141736" header="0.31496062992125984" footer="0.31496062992125984"/>
      <pageSetup paperSize="8" scale="63" fitToHeight="0" orientation="landscape" r:id="rId26"/>
      <headerFooter>
        <oddFooter>&amp;L&amp;1#&amp;"Calibri"&amp;10&amp;K000000OFFICIAL</oddFooter>
      </headerFooter>
    </customSheetView>
    <customSheetView guid="{51B3083F-A103-41AB-A137-63549C54B838}" scale="90" fitToPage="1" hiddenRows="1" topLeftCell="B2">
      <pane ySplit="6" topLeftCell="A58" activePane="bottomLeft" state="frozen"/>
      <selection pane="bottomLeft" activeCell="B67" sqref="B67:AM67"/>
      <rowBreaks count="5" manualBreakCount="5">
        <brk id="33" min="1" max="38" man="1"/>
        <brk id="64" min="1" max="38" man="1"/>
        <brk id="95" min="1" max="38" man="1"/>
        <brk id="126" min="1" max="38" man="1"/>
        <brk id="156" min="1" max="38" man="1"/>
      </rowBreaks>
      <pageMargins left="0.23622047244094491" right="0.23622047244094491" top="0.35433070866141736" bottom="0.35433070866141736" header="0.31496062992125984" footer="0.31496062992125984"/>
      <pageSetup paperSize="8" scale="65" fitToHeight="0" orientation="landscape" r:id="rId27"/>
      <headerFooter>
        <oddHeader>&amp;L&amp;"Calibri"&amp;10&amp;K000000OFFICIAL&amp;1#</oddHeader>
        <oddFooter>&amp;L&amp;1#&amp;"Calibri"&amp;10&amp;K000000OFFICIAL</oddFooter>
      </headerFooter>
    </customSheetView>
    <customSheetView guid="{E06B4FE8-6127-47B2-A6A5-4FAC9EEB4538}" scale="80" fitToPage="1" hiddenRows="1" topLeftCell="D2">
      <pane ySplit="6" topLeftCell="A80" activePane="bottomLeft" state="frozen"/>
      <selection pane="bottomLeft" activeCell="B92" sqref="B92:AM92"/>
      <rowBreaks count="5" manualBreakCount="5">
        <brk id="33" min="1" max="38" man="1"/>
        <brk id="64" min="1" max="38" man="1"/>
        <brk id="95" min="1" max="38" man="1"/>
        <brk id="126" min="1" max="38" man="1"/>
        <brk id="156" min="1" max="38" man="1"/>
      </rowBreaks>
      <pageMargins left="0.23622047244094491" right="0.23622047244094491" top="0.35433070866141736" bottom="0.35433070866141736" header="0.31496062992125984" footer="0.31496062992125984"/>
      <pageSetup paperSize="8" scale="65" fitToHeight="0" orientation="landscape" r:id="rId28"/>
      <headerFooter>
        <oddHeader>&amp;L&amp;"Calibri"&amp;10&amp;K000000OFFICIAL&amp;1#</oddHeader>
        <oddFooter>&amp;L&amp;1#&amp;"Calibri"&amp;10&amp;K000000OFFICIAL</oddFooter>
      </headerFooter>
    </customSheetView>
    <customSheetView guid="{593284E7-E32C-4D6C-8C2F-3DEEF9DEE1DF}" scale="80" fitToPage="1" hiddenRows="1" topLeftCell="B2">
      <pane ySplit="6" topLeftCell="A95" activePane="bottomLeft" state="frozen"/>
      <selection pane="bottomLeft" activeCell="L110" sqref="L110"/>
      <rowBreaks count="5" manualBreakCount="5">
        <brk id="33" min="1" max="38" man="1"/>
        <brk id="64" min="1" max="38" man="1"/>
        <brk id="95" min="1" max="38" man="1"/>
        <brk id="126" min="1" max="38" man="1"/>
        <brk id="156" min="1" max="38" man="1"/>
      </rowBreaks>
      <pageMargins left="0.23622047244094491" right="0.23622047244094491" top="0.35433070866141736" bottom="0.35433070866141736" header="0.31496062992125984" footer="0.31496062992125984"/>
      <pageSetup paperSize="8" scale="65" fitToHeight="0" orientation="landscape" r:id="rId29"/>
      <headerFooter>
        <oddHeader>&amp;L&amp;"Calibri"&amp;10&amp;K000000OFFICIAL&amp;1#</oddHeader>
        <oddFooter>&amp;L&amp;1#&amp;"Calibri"&amp;10&amp;K000000OFFICIAL</oddFooter>
      </headerFooter>
    </customSheetView>
    <customSheetView guid="{351EFD38-BF62-4E34-A37F-0EEB3E165043}" scale="55" fitToPage="1" hiddenRows="1" topLeftCell="A2">
      <pane ySplit="6" topLeftCell="A85" activePane="bottomLeft" state="frozen"/>
      <selection pane="bottomLeft" activeCell="B137" sqref="B137:AM137"/>
      <rowBreaks count="5" manualBreakCount="5">
        <brk id="33" min="1" max="38" man="1"/>
        <brk id="64" min="1" max="38" man="1"/>
        <brk id="95" min="1" max="38" man="1"/>
        <brk id="126" min="1" max="38" man="1"/>
        <brk id="156" min="1" max="38" man="1"/>
      </rowBreaks>
      <pageMargins left="0.23622047244094491" right="0.23622047244094491" top="0.35433070866141736" bottom="0.35433070866141736" header="0.31496062992125984" footer="0.31496062992125984"/>
      <pageSetup paperSize="8" scale="65" fitToHeight="0" orientation="landscape" r:id="rId30"/>
      <headerFooter>
        <oddHeader>&amp;L&amp;"Calibri"&amp;10&amp;K000000OFFICIAL&amp;1#</oddHeader>
        <oddFooter>&amp;L&amp;1#&amp;"Calibri"&amp;10&amp;K000000OFFICIAL</oddFooter>
      </headerFooter>
    </customSheetView>
    <customSheetView guid="{EB96DBE4-2D64-4388-853C-CB52A0CB79BA}" scale="85" fitToPage="1" hiddenRows="1" topLeftCell="A2">
      <pane ySplit="6" topLeftCell="A61" activePane="bottomLeft" state="frozen"/>
      <selection pane="bottomLeft" activeCell="B64" sqref="B64:AM64"/>
      <rowBreaks count="5" manualBreakCount="5">
        <brk id="33" min="1" max="38" man="1"/>
        <brk id="64" min="1" max="38" man="1"/>
        <brk id="95" min="1" max="38" man="1"/>
        <brk id="126" min="1" max="38" man="1"/>
        <brk id="156" min="1" max="38" man="1"/>
      </rowBreaks>
      <pageMargins left="0.23622047244094491" right="0.23622047244094491" top="0.35433070866141736" bottom="0.35433070866141736" header="0.31496062992125984" footer="0.31496062992125984"/>
      <pageSetup paperSize="8" scale="65" fitToHeight="0" orientation="landscape" r:id="rId31"/>
      <headerFooter>
        <oddHeader>&amp;L&amp;"Calibri"&amp;10&amp;K000000OFFICIAL&amp;1#</oddHeader>
        <oddFooter>&amp;L&amp;1#&amp;"Calibri"&amp;10&amp;K000000OFFICIAL</oddFooter>
      </headerFooter>
    </customSheetView>
    <customSheetView guid="{016CEBB2-C827-48F4-95E1-85D8C5129F41}" scale="90" fitToPage="1" hiddenRows="1" topLeftCell="B2">
      <pane ySplit="6" topLeftCell="A79" activePane="bottomLeft" state="frozen"/>
      <selection pane="bottomLeft" activeCell="B86" sqref="B86:AM86"/>
      <rowBreaks count="3" manualBreakCount="3">
        <brk id="30" min="1" max="38" man="1"/>
        <brk id="99" min="1" max="38" man="1"/>
        <brk id="127" min="1" max="38" man="1"/>
      </rowBreaks>
      <pageMargins left="0.23622047244094491" right="0.23622047244094491" top="0.35433070866141736" bottom="0.35433070866141736" header="0.31496062992125984" footer="0.31496062992125984"/>
      <pageSetup paperSize="8" scale="67" fitToHeight="0" orientation="landscape" r:id="rId32"/>
      <headerFooter>
        <oddHeader>&amp;L&amp;"Calibri"&amp;10&amp;K000000OFFICIAL&amp;1#</oddHeader>
        <oddFooter>&amp;L&amp;1#&amp;"Calibri"&amp;10&amp;K000000OFFICIAL</oddFooter>
      </headerFooter>
    </customSheetView>
    <customSheetView guid="{6702457D-A9A8-4F46-8E1C-BC7255F4BA77}" scale="90" fitToPage="1" hiddenRows="1" topLeftCell="B2">
      <pane ySplit="6" topLeftCell="A114" activePane="bottomLeft" state="frozen"/>
      <selection pane="bottomLeft" activeCell="B126" sqref="B126"/>
      <rowBreaks count="3" manualBreakCount="3">
        <brk id="30" min="1" max="38" man="1"/>
        <brk id="99" min="1" max="38" man="1"/>
        <brk id="127" min="1" max="38" man="1"/>
      </rowBreaks>
      <pageMargins left="0.23622047244094491" right="0.23622047244094491" top="0.35433070866141736" bottom="0.35433070866141736" header="0.31496062992125984" footer="0.31496062992125984"/>
      <pageSetup paperSize="8" scale="66" fitToHeight="0" orientation="landscape" r:id="rId33"/>
      <headerFooter>
        <oddHeader>&amp;L&amp;"Calibri"&amp;10&amp;K000000OFFICIAL&amp;1#</oddHeader>
        <oddFooter>&amp;L&amp;1#&amp;"Calibri"&amp;10&amp;K000000OFFICIAL</oddFooter>
      </headerFooter>
    </customSheetView>
    <customSheetView guid="{D27C51BB-BB54-4F37-8171-98067C39697C}" scale="70" fitToPage="1" hiddenRows="1" topLeftCell="B2">
      <pane ySplit="6" topLeftCell="A85" activePane="bottomLeft" state="frozen"/>
      <selection pane="bottomLeft" activeCell="B3" sqref="B3:B6"/>
      <rowBreaks count="5" manualBreakCount="5">
        <brk id="26" min="1" max="38" man="1"/>
        <brk id="47" min="1" max="38" man="1"/>
        <brk id="99" min="1" max="38" man="1"/>
        <brk id="130" min="1" max="38" man="1"/>
        <brk id="150" min="1" max="38" man="1"/>
      </rowBreaks>
      <pageMargins left="0.23622047244094491" right="0.23622047244094491" top="0.35433070866141736" bottom="0.35433070866141736" header="0.31496062992125984" footer="0.31496062992125984"/>
      <pageSetup paperSize="8" scale="64" fitToHeight="0" orientation="landscape" r:id="rId34"/>
      <headerFooter>
        <oddHeader>&amp;L&amp;"Calibri"&amp;10&amp;K000000OFFICIAL&amp;1#</oddHeader>
        <oddFooter>&amp;L&amp;1#&amp;"Calibri"&amp;10&amp;K000000OFFICIAL</oddFooter>
      </headerFooter>
    </customSheetView>
    <customSheetView guid="{008CCD98-7480-4C51-806A-4B55C801DDC2}" scale="85" fitToPage="1" hiddenRows="1" topLeftCell="A2">
      <pane ySplit="6" topLeftCell="A138" activePane="bottomLeft" state="frozen"/>
      <selection pane="bottomLeft" activeCell="B141" sqref="B141:AM141"/>
      <rowBreaks count="3" manualBreakCount="3">
        <brk id="30" min="1" max="38" man="1"/>
        <brk id="99" min="1" max="38" man="1"/>
        <brk id="127" min="1" max="38" man="1"/>
      </rowBreaks>
      <pageMargins left="0.23622047244094491" right="0.23622047244094491" top="0.35433070866141736" bottom="0.35433070866141736" header="0.31496062992125984" footer="0.31496062992125984"/>
      <pageSetup paperSize="8" scale="64" fitToHeight="0" orientation="landscape" r:id="rId35"/>
      <headerFooter>
        <oddHeader>&amp;L&amp;"Calibri"&amp;10&amp;K000000OFFICIAL&amp;1#</oddHeader>
        <oddFooter>&amp;L&amp;1#&amp;"Calibri"&amp;10&amp;K000000OFFICIAL</oddFooter>
      </headerFooter>
    </customSheetView>
    <customSheetView guid="{4E6F9C2D-76F2-4884-BBF6-E02A7BAE11EF}" fitToPage="1" hiddenRows="1" topLeftCell="A2">
      <pane ySplit="6" topLeftCell="A10" activePane="bottomLeft" state="frozen"/>
      <selection pane="bottomLeft" activeCell="B15" sqref="B15:AM15"/>
      <rowBreaks count="3" manualBreakCount="3">
        <brk id="30" min="1" max="38" man="1"/>
        <brk id="99" min="1" max="38" man="1"/>
        <brk id="127" min="1" max="38" man="1"/>
      </rowBreaks>
      <pageMargins left="0.23622047244094491" right="0.23622047244094491" top="0.35433070866141736" bottom="0.35433070866141736" header="0.31496062992125984" footer="0.31496062992125984"/>
      <pageSetup paperSize="8" scale="66" fitToHeight="0" orientation="landscape" r:id="rId36"/>
      <headerFooter>
        <oddHeader>&amp;L&amp;"Calibri"&amp;10&amp;K000000OFFICIAL&amp;1#</oddHeader>
        <oddFooter>&amp;L&amp;1#&amp;"Calibri"&amp;10&amp;K000000OFFICIAL</oddFooter>
      </headerFooter>
    </customSheetView>
    <customSheetView guid="{C39AE06A-FC0A-4D7D-B287-2FA9CA174191}" fitToPage="1" hiddenRows="1" topLeftCell="A2">
      <pane ySplit="6" topLeftCell="A120" activePane="bottomLeft" state="frozen"/>
      <selection pane="bottomLeft" activeCell="B129" sqref="B129:AM129"/>
      <rowBreaks count="5" manualBreakCount="5">
        <brk id="33" min="1" max="38" man="1"/>
        <brk id="64" min="1" max="38" man="1"/>
        <brk id="95" min="1" max="38" man="1"/>
        <brk id="126" min="1" max="38" man="1"/>
        <brk id="156" min="1" max="38" man="1"/>
      </rowBreaks>
      <pageMargins left="0.23622047244094491" right="0.23622047244094491" top="0.35433070866141736" bottom="0.35433070866141736" header="0.31496062992125984" footer="0.31496062992125984"/>
      <pageSetup paperSize="8" scale="65" fitToHeight="0" orientation="landscape" r:id="rId37"/>
      <headerFooter>
        <oddHeader>&amp;L&amp;"Calibri"&amp;10&amp;K000000OFFICIAL&amp;1#</oddHeader>
        <oddFooter>&amp;L&amp;1#&amp;"Calibri"&amp;10&amp;K000000OFFICIAL</oddFooter>
      </headerFooter>
    </customSheetView>
    <customSheetView guid="{D16D941B-FC89-4FEC-A49B-5FA2532584DE}" scale="91" fitToPage="1" hiddenRows="1" topLeftCell="A2">
      <pane ySplit="6" topLeftCell="A105" activePane="bottomLeft" state="frozen"/>
      <selection pane="bottomLeft" activeCell="B109" sqref="B109"/>
      <rowBreaks count="5" manualBreakCount="5">
        <brk id="33" min="1" max="38" man="1"/>
        <brk id="64" min="1" max="38" man="1"/>
        <brk id="95" min="1" max="38" man="1"/>
        <brk id="126" min="1" max="38" man="1"/>
        <brk id="156" min="1" max="38" man="1"/>
      </rowBreaks>
      <pageMargins left="0.23622047244094491" right="0.23622047244094491" top="0.35433070866141736" bottom="0.35433070866141736" header="0.31496062992125984" footer="0.31496062992125984"/>
      <pageSetup paperSize="8" scale="65" fitToHeight="0" orientation="landscape" r:id="rId38"/>
      <headerFooter>
        <oddHeader>&amp;L&amp;"Calibri"&amp;10&amp;K000000OFFICIAL&amp;1#</oddHeader>
        <oddFooter>&amp;L&amp;1#&amp;"Calibri"&amp;10&amp;K000000OFFICIAL</oddFooter>
      </headerFooter>
    </customSheetView>
    <customSheetView guid="{3BB18945-69B5-4B22-8D55-989F8F233459}" scale="80" fitToPage="1" hiddenRows="1" topLeftCell="B2">
      <pane ySplit="6" topLeftCell="A107" activePane="bottomLeft" state="frozen"/>
      <selection pane="bottomLeft" activeCell="B108" sqref="B108:AM108"/>
      <rowBreaks count="5" manualBreakCount="5">
        <brk id="33" min="1" max="38" man="1"/>
        <brk id="64" min="1" max="38" man="1"/>
        <brk id="95" min="1" max="38" man="1"/>
        <brk id="126" min="1" max="38" man="1"/>
        <brk id="156" min="1" max="38" man="1"/>
      </rowBreaks>
      <pageMargins left="0.23622047244094491" right="0.23622047244094491" top="0.35433070866141736" bottom="0.35433070866141736" header="0.31496062992125984" footer="0.31496062992125984"/>
      <pageSetup paperSize="8" scale="65" fitToHeight="0" orientation="landscape" r:id="rId39"/>
      <headerFooter>
        <oddHeader>&amp;L&amp;"Calibri"&amp;10&amp;K000000OFFICIAL&amp;1#</oddHeader>
        <oddFooter>&amp;L&amp;1#&amp;"Calibri"&amp;10&amp;K000000OFFICIAL</oddFooter>
      </headerFooter>
    </customSheetView>
    <customSheetView guid="{B84DA703-8C5B-4100-91A4-8807E303D379}" scale="90" fitToPage="1" hiddenRows="1" topLeftCell="A2">
      <pane ySplit="6" topLeftCell="A142" activePane="bottomLeft" state="frozen"/>
      <selection pane="bottomLeft" activeCell="B143" sqref="B143:AM143"/>
      <rowBreaks count="5" manualBreakCount="5">
        <brk id="33" min="1" max="38" man="1"/>
        <brk id="64" min="1" max="38" man="1"/>
        <brk id="95" min="1" max="38" man="1"/>
        <brk id="126" min="1" max="38" man="1"/>
        <brk id="156" min="1" max="38" man="1"/>
      </rowBreaks>
      <pageMargins left="0.23622047244094491" right="0.23622047244094491" top="0.35433070866141736" bottom="0.35433070866141736" header="0.31496062992125984" footer="0.31496062992125984"/>
      <pageSetup paperSize="8" scale="65" fitToHeight="0" orientation="landscape" r:id="rId40"/>
      <headerFooter>
        <oddHeader>&amp;L&amp;"Calibri"&amp;10&amp;K000000OFFICIAL&amp;1#</oddHeader>
        <oddFooter>&amp;L&amp;1#&amp;"Calibri"&amp;10&amp;K000000OFFICIAL</oddFooter>
      </headerFooter>
    </customSheetView>
    <customSheetView guid="{B0A28FD4-D7F6-428C-A7F7-92132DCD74BB}" scale="75" fitToPage="1" hiddenRows="1" topLeftCell="A2">
      <pane ySplit="6" topLeftCell="A80" activePane="bottomLeft" state="frozen"/>
      <selection pane="bottomLeft" activeCell="Y85" sqref="Y85"/>
      <rowBreaks count="5" manualBreakCount="5">
        <brk id="33" min="1" max="38" man="1"/>
        <brk id="64" min="1" max="38" man="1"/>
        <brk id="95" min="1" max="38" man="1"/>
        <brk id="126" min="1" max="38" man="1"/>
        <brk id="156" min="1" max="38" man="1"/>
      </rowBreaks>
      <pageMargins left="0.23622047244094491" right="0.23622047244094491" top="0.35433070866141736" bottom="0.35433070866141736" header="0.31496062992125984" footer="0.31496062992125984"/>
      <pageSetup paperSize="8" scale="65" fitToHeight="0" orientation="landscape" r:id="rId41"/>
      <headerFooter>
        <oddHeader>&amp;L&amp;"Calibri"&amp;10&amp;K000000OFFICIAL&amp;1#</oddHeader>
        <oddFooter>&amp;L&amp;1#&amp;"Calibri"&amp;10&amp;K000000OFFICIAL</oddFooter>
      </headerFooter>
    </customSheetView>
    <customSheetView guid="{3C97F0B0-2F3C-4E03-96E0-0C4FEC2F24AC}" scale="75" fitToPage="1" hiddenRows="1" topLeftCell="B2">
      <pane ySplit="5" topLeftCell="A52" activePane="bottomLeft" state="frozen"/>
      <selection pane="bottomLeft" activeCell="B52" sqref="B52:AM52"/>
      <rowBreaks count="5" manualBreakCount="5">
        <brk id="33" min="1" max="38" man="1"/>
        <brk id="64" min="1" max="38" man="1"/>
        <brk id="95" min="1" max="38" man="1"/>
        <brk id="126" min="1" max="38" man="1"/>
        <brk id="156" min="1" max="38" man="1"/>
      </rowBreaks>
      <pageMargins left="0.23622047244094491" right="0.23622047244094491" top="0.35433070866141736" bottom="0.35433070866141736" header="0.31496062992125984" footer="0.31496062992125984"/>
      <pageSetup paperSize="8" scale="65" fitToHeight="0" orientation="landscape" r:id="rId42"/>
      <headerFooter>
        <oddHeader>&amp;L&amp;"Calibri"&amp;10&amp;K000000OFFICIAL&amp;1#</oddHeader>
        <oddFooter>&amp;L&amp;1#&amp;"Calibri"&amp;10&amp;K000000OFFICIAL</oddFooter>
      </headerFooter>
    </customSheetView>
    <customSheetView guid="{A03C6B09-6B58-4DDE-A3B2-41A27A7049D9}" scale="75" fitToPage="1" hiddenRows="1" topLeftCell="A24">
      <selection activeCell="B58" sqref="B58:AM58"/>
      <rowBreaks count="5" manualBreakCount="5">
        <brk id="33" min="1" max="38" man="1"/>
        <brk id="64" min="1" max="38" man="1"/>
        <brk id="95" min="1" max="38" man="1"/>
        <brk id="126" min="1" max="38" man="1"/>
        <brk id="156" min="1" max="38" man="1"/>
      </rowBreaks>
      <pageMargins left="0.23622047244094491" right="0.23622047244094491" top="0.35433070866141736" bottom="0.35433070866141736" header="0.31496062992125984" footer="0.31496062992125984"/>
      <pageSetup paperSize="8" scale="63" fitToHeight="0" orientation="landscape" r:id="rId43"/>
      <headerFooter>
        <oddFooter>&amp;L&amp;1#&amp;"Calibri"&amp;10&amp;K000000OFFICIAL</oddFooter>
      </headerFooter>
    </customSheetView>
    <customSheetView guid="{4EBEE699-7DEF-4A50-9CB7-490835CF0B98}" fitToPage="1" hiddenRows="1" topLeftCell="A2">
      <pane xSplit="1" ySplit="6" topLeftCell="B112" activePane="bottomRight" state="frozen"/>
      <selection pane="bottomRight" activeCell="B126" sqref="B126:AM126"/>
      <rowBreaks count="5" manualBreakCount="5">
        <brk id="33" min="1" max="38" man="1"/>
        <brk id="64" min="1" max="38" man="1"/>
        <brk id="95" min="1" max="38" man="1"/>
        <brk id="126" min="1" max="38" man="1"/>
        <brk id="156" min="1" max="38" man="1"/>
      </rowBreaks>
      <pageMargins left="0.23622047244094491" right="0.23622047244094491" top="0.35433070866141736" bottom="0.35433070866141736" header="0.31496062992125984" footer="0.31496062992125984"/>
      <pageSetup paperSize="8" scale="63" fitToHeight="0" orientation="landscape" r:id="rId44"/>
      <headerFooter>
        <oddFooter>&amp;L&amp;1#&amp;"Calibri"&amp;10&amp;K000000OFFICIAL</oddFooter>
      </headerFooter>
    </customSheetView>
    <customSheetView guid="{451730E2-FFE9-4FCE-B8B5-64952C26C672}" fitToPage="1" hiddenRows="1" topLeftCell="A2">
      <pane xSplit="1" ySplit="6" topLeftCell="B46" activePane="bottomRight" state="frozen"/>
      <selection pane="bottomRight" activeCell="O5" sqref="O5:O6"/>
      <rowBreaks count="5" manualBreakCount="5">
        <brk id="33" min="1" max="38" man="1"/>
        <brk id="64" min="1" max="38" man="1"/>
        <brk id="95" min="1" max="38" man="1"/>
        <brk id="126" min="1" max="38" man="1"/>
        <brk id="156" min="1" max="38" man="1"/>
      </rowBreaks>
      <pageMargins left="0.23622047244094491" right="0.23622047244094491" top="0.35433070866141736" bottom="0.35433070866141736" header="0.31496062992125984" footer="0.31496062992125984"/>
      <pageSetup paperSize="8" scale="63" fitToHeight="0" orientation="landscape" r:id="rId45"/>
      <headerFooter>
        <oddFooter>&amp;L&amp;1#&amp;"Calibri"&amp;10&amp;K000000OFFICIAL</oddFooter>
      </headerFooter>
    </customSheetView>
    <customSheetView guid="{9AF6E233-883D-48B4-95AB-42B37199AB9E}" scale="80" showGridLines="0" fitToPage="1" hiddenRows="1" hiddenColumns="1" topLeftCell="A2">
      <pane xSplit="1" ySplit="6" topLeftCell="B72" activePane="bottomRight" state="frozen"/>
      <selection pane="bottomRight" activeCell="B76" sqref="B76:AM76"/>
      <rowBreaks count="4" manualBreakCount="4">
        <brk id="33" min="1" max="38" man="1"/>
        <brk id="67" min="1" max="38" man="1"/>
        <brk id="99" min="1" max="38" man="1"/>
        <brk id="131" min="1" max="38" man="1"/>
      </rowBreaks>
      <pageMargins left="0.23622047244094491" right="0.23622047244094491" top="0.35433070866141736" bottom="0.35433070866141736" header="0.31496062992125984" footer="0.31496062992125984"/>
      <pageSetup paperSize="8" scale="62" fitToHeight="0" orientation="landscape" r:id="rId46"/>
      <headerFooter>
        <oddFooter>&amp;L&amp;1#&amp;"Calibri"&amp;10&amp;K000000OFFICIAL</oddFooter>
      </headerFooter>
    </customSheetView>
    <customSheetView guid="{1ECD6E30-299B-4354-A416-2DAFF33C7022}" scale="80" showGridLines="0" fitToPage="1" printArea="1" hiddenRows="1" hiddenColumns="1" topLeftCell="A2">
      <pane xSplit="1" ySplit="6" topLeftCell="B59" activePane="bottomRight" state="frozen"/>
      <selection pane="bottomRight" activeCell="M67" sqref="M67"/>
      <rowBreaks count="4" manualBreakCount="4">
        <brk id="36" min="1" max="38" man="1"/>
        <brk id="71" min="1" max="38" man="1"/>
        <brk id="104" min="1" max="38" man="1"/>
        <brk id="136" min="1" max="38" man="1"/>
      </rowBreaks>
      <pageMargins left="0.23622047244094491" right="0.23622047244094491" top="0.35433070866141736" bottom="0.35433070866141736" header="0.31496062992125984" footer="0.31496062992125984"/>
      <pageSetup paperSize="8" scale="62" fitToHeight="0" orientation="landscape" r:id="rId47"/>
      <headerFooter>
        <oddFooter>&amp;L&amp;1#&amp;"Calibri"&amp;10&amp;K000000OFFICIAL</oddFooter>
      </headerFooter>
    </customSheetView>
    <customSheetView guid="{97D58294-343B-4B62-A826-0DDDE29B5F0D}" scale="80" showGridLines="0" fitToPage="1" hiddenRows="1" hiddenColumns="1" topLeftCell="A2">
      <pane xSplit="1" ySplit="6" topLeftCell="B103" activePane="bottomRight" state="frozen"/>
      <selection pane="bottomRight" activeCell="B110" sqref="B110:AM110"/>
      <rowBreaks count="4" manualBreakCount="4">
        <brk id="36" min="1" max="38" man="1"/>
        <brk id="71" min="1" max="38" man="1"/>
        <brk id="104" min="1" max="38" man="1"/>
        <brk id="136" min="1" max="38" man="1"/>
      </rowBreaks>
      <pageMargins left="0.23622047244094491" right="0.23622047244094491" top="0.35433070866141736" bottom="0.35433070866141736" header="0.31496062992125984" footer="0.31496062992125984"/>
      <pageSetup paperSize="8" scale="62" fitToHeight="0" orientation="landscape" r:id="rId48"/>
      <headerFooter>
        <oddFooter>&amp;L&amp;1#&amp;"Calibri"&amp;10&amp;K000000OFFICIAL</oddFooter>
      </headerFooter>
    </customSheetView>
    <customSheetView guid="{BDCD1595-C0B8-4F6C-B01C-3472C895B827}" scale="55" showGridLines="0" fitToPage="1" hiddenRows="1" hiddenColumns="1" topLeftCell="A2">
      <pane ySplit="5" topLeftCell="A110" activePane="bottomLeft" state="frozen"/>
      <selection pane="bottomLeft" activeCell="B128" sqref="B128:AM128"/>
      <rowBreaks count="4" manualBreakCount="4">
        <brk id="35" min="1" max="38" man="1"/>
        <brk id="66" min="1" max="38" man="1"/>
        <brk id="99" min="1" max="38" man="1"/>
        <brk id="131" min="1" max="38" man="1"/>
      </rowBreaks>
      <pageMargins left="0.23622047244094491" right="0.23622047244094491" top="0.35433070866141736" bottom="0.35433070866141736" header="0.31496062992125984" footer="0.31496062992125984"/>
      <pageSetup paperSize="8" scale="63" fitToHeight="0" orientation="landscape" r:id="rId49"/>
      <headerFooter>
        <oddFooter>&amp;L&amp;1#&amp;"Calibri"&amp;10&amp;K000000OFFICIAL</oddFooter>
      </headerFooter>
    </customSheetView>
    <customSheetView guid="{9355C9F4-9C07-4A93-B7F2-69F1D1526716}" scale="70" showGridLines="0" fitToPage="1" hiddenRows="1" hiddenColumns="1" topLeftCell="A2">
      <pane ySplit="5" topLeftCell="A70" activePane="bottomLeft" state="frozen"/>
      <selection pane="bottomLeft" activeCell="B75" sqref="B75:AM75"/>
      <rowBreaks count="4" manualBreakCount="4">
        <brk id="35" min="1" max="38" man="1"/>
        <brk id="66" min="1" max="38" man="1"/>
        <brk id="99" min="1" max="38" man="1"/>
        <brk id="131" min="1" max="38" man="1"/>
      </rowBreaks>
      <pageMargins left="0.23622047244094491" right="0.23622047244094491" top="0.35433070866141736" bottom="0.35433070866141736" header="0.31496062992125984" footer="0.31496062992125984"/>
      <pageSetup paperSize="8" scale="63" fitToHeight="0" orientation="landscape" r:id="rId50"/>
      <headerFooter>
        <oddFooter>&amp;L&amp;1#&amp;"Calibri"&amp;10&amp;K000000OFFICIAL</oddFooter>
      </headerFooter>
    </customSheetView>
    <customSheetView guid="{F5FA2A23-9E46-4C2F-B1EE-B71787F95C57}" showGridLines="0" fitToPage="1" hiddenRows="1" hiddenColumns="1" topLeftCell="A2">
      <pane ySplit="5" topLeftCell="A65" activePane="bottomLeft" state="frozen"/>
      <selection pane="bottomLeft" activeCell="U71" sqref="U71"/>
      <rowBreaks count="4" manualBreakCount="4">
        <brk id="35" min="1" max="38" man="1"/>
        <brk id="66" min="1" max="38" man="1"/>
        <brk id="99" min="1" max="38" man="1"/>
        <brk id="131" min="1" max="38" man="1"/>
      </rowBreaks>
      <pageMargins left="0.23622047244094491" right="0.23622047244094491" top="0.35433070866141736" bottom="0.35433070866141736" header="0.31496062992125984" footer="0.31496062992125984"/>
      <pageSetup paperSize="8" scale="63" fitToHeight="0" orientation="landscape" r:id="rId51"/>
      <headerFooter>
        <oddFooter>&amp;L&amp;1#&amp;"Calibri"&amp;10&amp;K000000OFFICIAL</oddFooter>
      </headerFooter>
    </customSheetView>
    <customSheetView guid="{B95D32C7-1418-4EF6-8936-849885C54A4A}" scale="110" showGridLines="0" fitToPage="1" hiddenRows="1" hiddenColumns="1" topLeftCell="B2">
      <pane ySplit="5" topLeftCell="A50" activePane="bottomLeft" state="frozen"/>
      <selection pane="bottomLeft" activeCell="B66" sqref="B66:AM66"/>
      <rowBreaks count="4" manualBreakCount="4">
        <brk id="35" min="1" max="38" man="1"/>
        <brk id="66" min="1" max="38" man="1"/>
        <brk id="99" min="1" max="38" man="1"/>
        <brk id="131" min="1" max="38" man="1"/>
      </rowBreaks>
      <pageMargins left="0.23622047244094491" right="0.23622047244094491" top="0.35433070866141736" bottom="0.35433070866141736" header="0.31496062992125984" footer="0.31496062992125984"/>
      <pageSetup paperSize="8" scale="63" fitToHeight="0" orientation="landscape" r:id="rId52"/>
      <headerFooter>
        <oddFooter>&amp;L&amp;1#&amp;"Calibri"&amp;10&amp;K000000OFFICIAL</oddFooter>
      </headerFooter>
    </customSheetView>
    <customSheetView guid="{602520CD-F98C-43A6-AA0D-88893E9CB6E8}" showGridLines="0" fitToPage="1" hiddenRows="1" hiddenColumns="1" topLeftCell="A2">
      <pane ySplit="5" topLeftCell="A115" activePane="bottomLeft" state="frozen"/>
      <selection pane="bottomLeft" activeCell="B121" sqref="B121:AM121"/>
      <rowBreaks count="4" manualBreakCount="4">
        <brk id="36" min="1" max="38" man="1"/>
        <brk id="67" min="1" max="38" man="1"/>
        <brk id="100" min="1" max="38" man="1"/>
        <brk id="132" min="1" max="38" man="1"/>
      </rowBreaks>
      <pageMargins left="0.23622047244094491" right="0.23622047244094491" top="0.35433070866141736" bottom="0.35433070866141736" header="0.31496062992125984" footer="0.31496062992125984"/>
      <pageSetup paperSize="8" scale="62" fitToHeight="0" orientation="landscape" r:id="rId53"/>
      <headerFooter>
        <oddFooter>&amp;L&amp;1#&amp;"Calibri"&amp;10&amp;K000000OFFICIAL</oddFooter>
      </headerFooter>
    </customSheetView>
    <customSheetView guid="{A8E976B8-D767-4DB4-82BD-ABE90880F33F}" scale="145" showGridLines="0" fitToPage="1" hiddenRows="1" hiddenColumns="1" topLeftCell="A2">
      <pane ySplit="5" topLeftCell="A7" activePane="bottomLeft" state="frozen"/>
      <selection pane="bottomLeft" activeCell="K11" sqref="K11"/>
      <rowBreaks count="4" manualBreakCount="4">
        <brk id="36" min="1" max="38" man="1"/>
        <brk id="67" min="1" max="38" man="1"/>
        <brk id="100" min="1" max="38" man="1"/>
        <brk id="132" min="1" max="38" man="1"/>
      </rowBreaks>
      <pageMargins left="0.23622047244094491" right="0.23622047244094491" top="0.35433070866141736" bottom="0.35433070866141736" header="0.31496062992125984" footer="0.31496062992125984"/>
      <pageSetup paperSize="8" scale="62" fitToHeight="0" orientation="landscape" r:id="rId54"/>
      <headerFooter>
        <oddFooter>&amp;L&amp;1#&amp;"Calibri"&amp;10&amp;K000000OFFICIAL</oddFooter>
      </headerFooter>
    </customSheetView>
    <customSheetView guid="{D850720D-4A1C-48F2-8E1D-8E09B7414A1A}" scale="120" showGridLines="0" fitToPage="1" hiddenRows="1" hiddenColumns="1" topLeftCell="I2">
      <pane ySplit="5" topLeftCell="A66" activePane="bottomLeft" state="frozen"/>
      <selection pane="bottomLeft" activeCell="B67" sqref="B67:AM67"/>
      <rowBreaks count="4" manualBreakCount="4">
        <brk id="36" min="1" max="38" man="1"/>
        <brk id="67" min="1" max="38" man="1"/>
        <brk id="100" min="1" max="38" man="1"/>
        <brk id="132" min="1" max="38" man="1"/>
      </rowBreaks>
      <pageMargins left="0.23622047244094491" right="0.23622047244094491" top="0.35433070866141736" bottom="0.35433070866141736" header="0.31496062992125984" footer="0.31496062992125984"/>
      <pageSetup paperSize="8" scale="62" fitToHeight="0" orientation="landscape" r:id="rId55"/>
      <headerFooter>
        <oddFooter>&amp;L&amp;1#&amp;"Calibri"&amp;10&amp;K000000OFFICIAL</oddFooter>
      </headerFooter>
    </customSheetView>
    <customSheetView guid="{C57A83F1-F5A3-470B-9579-6A222C54F4E8}" scale="74" showGridLines="0" fitToPage="1" hiddenRows="1" hiddenColumns="1" topLeftCell="A2">
      <pane ySplit="5" topLeftCell="A61" activePane="bottomLeft" state="frozen"/>
      <selection pane="bottomLeft" activeCell="B73" sqref="B73:AM73"/>
      <rowBreaks count="4" manualBreakCount="4">
        <brk id="36" min="1" max="38" man="1"/>
        <brk id="67" min="1" max="38" man="1"/>
        <brk id="100" min="1" max="38" man="1"/>
        <brk id="132" min="1" max="38" man="1"/>
      </rowBreaks>
      <pageMargins left="0.23622047244094491" right="0.23622047244094491" top="0.35433070866141736" bottom="0.35433070866141736" header="0.31496062992125984" footer="0.31496062992125984"/>
      <pageSetup paperSize="8" scale="62" fitToHeight="0" orientation="landscape" r:id="rId56"/>
      <headerFooter>
        <oddFooter>&amp;L&amp;1#&amp;"Calibri"&amp;10&amp;K000000OFFICIAL</oddFooter>
      </headerFooter>
    </customSheetView>
    <customSheetView guid="{2608BE9B-66AC-4D4C-8EE0-E88C94E88140}" scale="80" showGridLines="0" fitToPage="1" hiddenRows="1" hiddenColumns="1" topLeftCell="B2">
      <pane ySplit="5" topLeftCell="A62" activePane="bottomLeft" state="frozen"/>
      <selection pane="bottomLeft" activeCell="B70" sqref="B70:AM70"/>
      <rowBreaks count="4" manualBreakCount="4">
        <brk id="36" min="1" max="38" man="1"/>
        <brk id="67" min="1" max="38" man="1"/>
        <brk id="100" min="1" max="38" man="1"/>
        <brk id="132" min="1" max="38" man="1"/>
      </rowBreaks>
      <pageMargins left="0.23622047244094491" right="0.23622047244094491" top="0.35433070866141736" bottom="0.35433070866141736" header="0.31496062992125984" footer="0.31496062992125984"/>
      <pageSetup paperSize="8" scale="62" fitToHeight="0" orientation="landscape" r:id="rId57"/>
      <headerFooter>
        <oddFooter>&amp;L&amp;1#&amp;"Calibri"&amp;10&amp;K000000OFFICIAL</oddFooter>
      </headerFooter>
    </customSheetView>
    <customSheetView guid="{EDD5A64E-02C0-4DD6-80BA-449123FCDAA2}" scale="80" showGridLines="0" fitToPage="1" hiddenRows="1" hiddenColumns="1" topLeftCell="B2">
      <pane ySplit="5" topLeftCell="A28" activePane="bottomLeft" state="frozen"/>
      <selection pane="bottomLeft" activeCell="B36" sqref="B36:AM36"/>
      <rowBreaks count="4" manualBreakCount="4">
        <brk id="36" min="1" max="38" man="1"/>
        <brk id="67" min="1" max="38" man="1"/>
        <brk id="100" min="1" max="38" man="1"/>
        <brk id="132" min="1" max="38" man="1"/>
      </rowBreaks>
      <pageMargins left="0.23622047244094491" right="0.23622047244094491" top="0.35433070866141736" bottom="0.35433070866141736" header="0.31496062992125984" footer="0.31496062992125984"/>
      <pageSetup paperSize="8" scale="62" fitToHeight="0" orientation="landscape" r:id="rId58"/>
      <headerFooter>
        <oddFooter>&amp;L&amp;1#&amp;"Calibri"&amp;10&amp;K000000OFFICIAL</oddFooter>
      </headerFooter>
    </customSheetView>
    <customSheetView guid="{B8317A9A-0FFD-4A18-80F7-203DB2FC8CA5}" scale="80" showGridLines="0" fitToPage="1" hiddenRows="1" hiddenColumns="1" topLeftCell="A48">
      <selection activeCell="B61" sqref="B61:AM61"/>
      <rowBreaks count="4" manualBreakCount="4">
        <brk id="33" min="1" max="38" man="1"/>
        <brk id="64" min="1" max="38" man="1"/>
        <brk id="97" min="1" max="38" man="1"/>
        <brk id="129" min="1" max="38" man="1"/>
      </rowBreaks>
      <pageMargins left="0.23622047244094491" right="0.23622047244094491" top="0.35433070866141736" bottom="0.35433070866141736" header="0.31496062992125984" footer="0.31496062992125984"/>
      <pageSetup paperSize="8" scale="62" fitToHeight="0" orientation="landscape" r:id="rId59"/>
      <headerFooter>
        <oddFooter>&amp;L&amp;1#&amp;"Calibri"&amp;10&amp;K000000OFFICIAL</oddFooter>
      </headerFooter>
    </customSheetView>
    <customSheetView guid="{7E571F1D-D438-4605-90D6-3F831F76D652}" scale="40" showGridLines="0" fitToPage="1" hiddenRows="1" hiddenColumns="1" topLeftCell="A4">
      <selection activeCell="C99" sqref="C99"/>
      <rowBreaks count="4" manualBreakCount="4">
        <brk id="33" min="1" max="38" man="1"/>
        <brk id="64" min="1" max="38" man="1"/>
        <brk id="97" min="1" max="38" man="1"/>
        <brk id="129" min="1" max="38" man="1"/>
      </rowBreaks>
      <pageMargins left="0.23622047244094491" right="0.23622047244094491" top="0.35433070866141736" bottom="0.35433070866141736" header="0.31496062992125984" footer="0.31496062992125984"/>
      <pageSetup paperSize="8" scale="62" fitToHeight="0" orientation="landscape" r:id="rId60"/>
      <headerFooter>
        <oddFooter>&amp;L&amp;1#&amp;"Calibri"&amp;10&amp;K000000OFFICIAL</oddFooter>
      </headerFooter>
    </customSheetView>
  </customSheetViews>
  <mergeCells count="126">
    <mergeCell ref="F3:P3"/>
    <mergeCell ref="P5:P6"/>
    <mergeCell ref="D3:D6"/>
    <mergeCell ref="B3:B6"/>
    <mergeCell ref="O5:O6"/>
    <mergeCell ref="F4:G6"/>
    <mergeCell ref="I5:I6"/>
    <mergeCell ref="AM3:AM6"/>
    <mergeCell ref="R3:AK3"/>
    <mergeCell ref="AF5:AF6"/>
    <mergeCell ref="AG5:AG6"/>
    <mergeCell ref="AH5:AH6"/>
    <mergeCell ref="AI5:AI6"/>
    <mergeCell ref="B109:AM109"/>
    <mergeCell ref="B64:AM64"/>
    <mergeCell ref="B67:AM67"/>
    <mergeCell ref="B70:AM70"/>
    <mergeCell ref="B82:AM82"/>
    <mergeCell ref="B50:AM50"/>
    <mergeCell ref="B88:AM88"/>
    <mergeCell ref="B112:AM112"/>
    <mergeCell ref="B144:E144"/>
    <mergeCell ref="B91:AM91"/>
    <mergeCell ref="B135:AM135"/>
    <mergeCell ref="B97:AM97"/>
    <mergeCell ref="B100:AM100"/>
    <mergeCell ref="B123:AM123"/>
    <mergeCell ref="B94:AM94"/>
    <mergeCell ref="B129:AM129"/>
    <mergeCell ref="B126:AM126"/>
    <mergeCell ref="B106:AM106"/>
    <mergeCell ref="B103:AM103"/>
    <mergeCell ref="B79:AM79"/>
    <mergeCell ref="B44:AM44"/>
    <mergeCell ref="B48:AM48"/>
    <mergeCell ref="I4:M4"/>
    <mergeCell ref="B85:AM85"/>
    <mergeCell ref="B73:AM73"/>
    <mergeCell ref="B58:AM58"/>
    <mergeCell ref="B61:AM61"/>
    <mergeCell ref="B12:AM12"/>
    <mergeCell ref="B45:AM45"/>
    <mergeCell ref="R4:S6"/>
    <mergeCell ref="U4:U6"/>
    <mergeCell ref="W4:AC4"/>
    <mergeCell ref="AE4:AK4"/>
    <mergeCell ref="B16:AM16"/>
    <mergeCell ref="B52:AM52"/>
    <mergeCell ref="B27:AM27"/>
    <mergeCell ref="B24:AM24"/>
    <mergeCell ref="B36:AM36"/>
    <mergeCell ref="B33:AM33"/>
    <mergeCell ref="B8:AM8"/>
    <mergeCell ref="B10:AM10"/>
    <mergeCell ref="B150:E150"/>
    <mergeCell ref="O4:P4"/>
    <mergeCell ref="B39:AM39"/>
    <mergeCell ref="B18:AM18"/>
    <mergeCell ref="B21:AM21"/>
    <mergeCell ref="B140:AM140"/>
    <mergeCell ref="B76:AM76"/>
    <mergeCell ref="J5:K5"/>
    <mergeCell ref="AA5:AC5"/>
    <mergeCell ref="L5:M5"/>
    <mergeCell ref="B55:AM55"/>
    <mergeCell ref="B137:AM137"/>
    <mergeCell ref="B90:AM90"/>
    <mergeCell ref="B115:AM115"/>
    <mergeCell ref="B118:AM118"/>
    <mergeCell ref="B121:AM121"/>
    <mergeCell ref="B132:AM132"/>
    <mergeCell ref="B30:AM30"/>
    <mergeCell ref="W5:Y5"/>
    <mergeCell ref="AE5:AE6"/>
    <mergeCell ref="AJ5:AK5"/>
    <mergeCell ref="B14:AM14"/>
    <mergeCell ref="C3:C6"/>
    <mergeCell ref="B42:AM42"/>
    <mergeCell ref="B155:E155"/>
    <mergeCell ref="B143:J143"/>
    <mergeCell ref="AV3:AW4"/>
    <mergeCell ref="AY3:BB4"/>
    <mergeCell ref="AY5:AZ5"/>
    <mergeCell ref="BA5:BB5"/>
    <mergeCell ref="B168:E168"/>
    <mergeCell ref="B169:E169"/>
    <mergeCell ref="B170:E170"/>
    <mergeCell ref="B161:E161"/>
    <mergeCell ref="B162:E162"/>
    <mergeCell ref="B163:E163"/>
    <mergeCell ref="B164:E164"/>
    <mergeCell ref="B165:E165"/>
    <mergeCell ref="B156:E156"/>
    <mergeCell ref="B157:E157"/>
    <mergeCell ref="B158:E158"/>
    <mergeCell ref="B159:E159"/>
    <mergeCell ref="B160:E160"/>
    <mergeCell ref="B145:E145"/>
    <mergeCell ref="B146:E146"/>
    <mergeCell ref="B147:E147"/>
    <mergeCell ref="B148:E148"/>
    <mergeCell ref="B149:E149"/>
    <mergeCell ref="B181:E181"/>
    <mergeCell ref="AO3:AQ4"/>
    <mergeCell ref="AS3:AT4"/>
    <mergeCell ref="AO5:AO6"/>
    <mergeCell ref="AP5:AP6"/>
    <mergeCell ref="AQ5:AQ6"/>
    <mergeCell ref="AS5:AS6"/>
    <mergeCell ref="AT5:AT6"/>
    <mergeCell ref="B176:E176"/>
    <mergeCell ref="B177:E177"/>
    <mergeCell ref="B178:E178"/>
    <mergeCell ref="B179:E179"/>
    <mergeCell ref="B180:E180"/>
    <mergeCell ref="B171:E171"/>
    <mergeCell ref="B172:E172"/>
    <mergeCell ref="B173:E173"/>
    <mergeCell ref="B174:E174"/>
    <mergeCell ref="B175:E175"/>
    <mergeCell ref="B166:E166"/>
    <mergeCell ref="B167:E167"/>
    <mergeCell ref="B151:E151"/>
    <mergeCell ref="B152:E152"/>
    <mergeCell ref="B153:E153"/>
    <mergeCell ref="B154:E154"/>
  </mergeCells>
  <conditionalFormatting sqref="F11">
    <cfRule type="cellIs" dxfId="1500" priority="11" operator="equal">
      <formula>"n/a"</formula>
    </cfRule>
    <cfRule type="cellIs" dxfId="1499" priority="12" operator="equal">
      <formula>"G"</formula>
    </cfRule>
    <cfRule type="cellIs" dxfId="1498" priority="13" operator="equal">
      <formula>"A"</formula>
    </cfRule>
    <cfRule type="cellIs" dxfId="1497" priority="14" operator="equal">
      <formula>"R"</formula>
    </cfRule>
  </conditionalFormatting>
  <conditionalFormatting sqref="F17">
    <cfRule type="cellIs" dxfId="1496" priority="1931" operator="equal">
      <formula>"R"</formula>
    </cfRule>
    <cfRule type="cellIs" dxfId="1495" priority="1930" operator="equal">
      <formula>"A"</formula>
    </cfRule>
    <cfRule type="cellIs" dxfId="1494" priority="1929" operator="equal">
      <formula>"G"</formula>
    </cfRule>
    <cfRule type="cellIs" dxfId="1493" priority="1928" operator="equal">
      <formula>"n/a"</formula>
    </cfRule>
  </conditionalFormatting>
  <conditionalFormatting sqref="F20">
    <cfRule type="cellIs" dxfId="1492" priority="1927" operator="equal">
      <formula>"R"</formula>
    </cfRule>
    <cfRule type="cellIs" dxfId="1491" priority="1926" operator="equal">
      <formula>"A"</formula>
    </cfRule>
    <cfRule type="cellIs" dxfId="1490" priority="1925" operator="equal">
      <formula>"G"</formula>
    </cfRule>
    <cfRule type="cellIs" dxfId="1489" priority="1924" operator="equal">
      <formula>"n/a"</formula>
    </cfRule>
  </conditionalFormatting>
  <conditionalFormatting sqref="F23">
    <cfRule type="cellIs" dxfId="1488" priority="1916" operator="equal">
      <formula>"n/a"</formula>
    </cfRule>
    <cfRule type="cellIs" dxfId="1487" priority="1917" operator="equal">
      <formula>"G"</formula>
    </cfRule>
    <cfRule type="cellIs" dxfId="1486" priority="1918" operator="equal">
      <formula>"A"</formula>
    </cfRule>
    <cfRule type="cellIs" dxfId="1485" priority="1919" operator="equal">
      <formula>"R"</formula>
    </cfRule>
  </conditionalFormatting>
  <conditionalFormatting sqref="F26">
    <cfRule type="cellIs" dxfId="1484" priority="1933" operator="equal">
      <formula>"G"</formula>
    </cfRule>
    <cfRule type="cellIs" dxfId="1483" priority="1935" operator="equal">
      <formula>"R"</formula>
    </cfRule>
    <cfRule type="cellIs" dxfId="1482" priority="1932" operator="equal">
      <formula>"n/a"</formula>
    </cfRule>
    <cfRule type="cellIs" dxfId="1481" priority="1934" operator="equal">
      <formula>"A"</formula>
    </cfRule>
  </conditionalFormatting>
  <conditionalFormatting sqref="F29">
    <cfRule type="cellIs" dxfId="1480" priority="3719" operator="equal">
      <formula>"R"</formula>
    </cfRule>
    <cfRule type="cellIs" dxfId="1479" priority="3716" operator="equal">
      <formula>"n/a"</formula>
    </cfRule>
    <cfRule type="cellIs" dxfId="1478" priority="3717" operator="equal">
      <formula>"G"</formula>
    </cfRule>
    <cfRule type="cellIs" dxfId="1477" priority="3718" operator="equal">
      <formula>"A"</formula>
    </cfRule>
  </conditionalFormatting>
  <conditionalFormatting sqref="F32">
    <cfRule type="cellIs" dxfId="1476" priority="1921" operator="equal">
      <formula>"G"</formula>
    </cfRule>
    <cfRule type="cellIs" dxfId="1475" priority="1922" operator="equal">
      <formula>"A"</formula>
    </cfRule>
    <cfRule type="cellIs" dxfId="1474" priority="1923" operator="equal">
      <formula>"R"</formula>
    </cfRule>
    <cfRule type="cellIs" dxfId="1473" priority="1920" operator="equal">
      <formula>"n/a"</formula>
    </cfRule>
  </conditionalFormatting>
  <conditionalFormatting sqref="F35">
    <cfRule type="cellIs" dxfId="1472" priority="1915" operator="equal">
      <formula>"R"</formula>
    </cfRule>
    <cfRule type="cellIs" dxfId="1471" priority="1914" operator="equal">
      <formula>"A"</formula>
    </cfRule>
    <cfRule type="cellIs" dxfId="1470" priority="1913" operator="equal">
      <formula>"G"</formula>
    </cfRule>
    <cfRule type="cellIs" dxfId="1469" priority="1912" operator="equal">
      <formula>"n/a"</formula>
    </cfRule>
  </conditionalFormatting>
  <conditionalFormatting sqref="F38">
    <cfRule type="cellIs" dxfId="1468" priority="1911" operator="equal">
      <formula>"R"</formula>
    </cfRule>
    <cfRule type="cellIs" dxfId="1467" priority="1910" operator="equal">
      <formula>"A"</formula>
    </cfRule>
    <cfRule type="cellIs" dxfId="1466" priority="1909" operator="equal">
      <formula>"G"</formula>
    </cfRule>
    <cfRule type="cellIs" dxfId="1465" priority="1908" operator="equal">
      <formula>"n/a"</formula>
    </cfRule>
  </conditionalFormatting>
  <conditionalFormatting sqref="F41">
    <cfRule type="cellIs" dxfId="1464" priority="3466" operator="equal">
      <formula>"n/a"</formula>
    </cfRule>
    <cfRule type="cellIs" dxfId="1463" priority="3468" operator="equal">
      <formula>"A"</formula>
    </cfRule>
    <cfRule type="cellIs" dxfId="1462" priority="3469" operator="equal">
      <formula>"R"</formula>
    </cfRule>
    <cfRule type="cellIs" dxfId="1461" priority="3467" operator="equal">
      <formula>"G"</formula>
    </cfRule>
  </conditionalFormatting>
  <conditionalFormatting sqref="F47">
    <cfRule type="cellIs" dxfId="1460" priority="4115" operator="equal">
      <formula>"R"</formula>
    </cfRule>
    <cfRule type="cellIs" dxfId="1459" priority="4113" operator="equal">
      <formula>"G"</formula>
    </cfRule>
    <cfRule type="cellIs" dxfId="1458" priority="4114" operator="equal">
      <formula>"A"</formula>
    </cfRule>
    <cfRule type="cellIs" dxfId="1457" priority="4112" operator="equal">
      <formula>"n/a"</formula>
    </cfRule>
  </conditionalFormatting>
  <conditionalFormatting sqref="F54">
    <cfRule type="cellIs" dxfId="1456" priority="1089" operator="equal">
      <formula>"R"</formula>
    </cfRule>
    <cfRule type="cellIs" dxfId="1455" priority="1088" operator="equal">
      <formula>"A"</formula>
    </cfRule>
    <cfRule type="cellIs" dxfId="1454" priority="1087" operator="equal">
      <formula>"G"</formula>
    </cfRule>
    <cfRule type="cellIs" dxfId="1453" priority="1086" operator="equal">
      <formula>"n/a"</formula>
    </cfRule>
  </conditionalFormatting>
  <conditionalFormatting sqref="F57">
    <cfRule type="cellIs" dxfId="1452" priority="1601" operator="equal">
      <formula>"R"</formula>
    </cfRule>
    <cfRule type="cellIs" dxfId="1451" priority="1600" operator="equal">
      <formula>"A"</formula>
    </cfRule>
    <cfRule type="cellIs" dxfId="1450" priority="1599" operator="equal">
      <formula>"G"</formula>
    </cfRule>
    <cfRule type="cellIs" dxfId="1449" priority="1598" operator="equal">
      <formula>"n/a"</formula>
    </cfRule>
  </conditionalFormatting>
  <conditionalFormatting sqref="F60">
    <cfRule type="cellIs" dxfId="1448" priority="805" operator="equal">
      <formula>"R"</formula>
    </cfRule>
    <cfRule type="cellIs" dxfId="1447" priority="802" operator="equal">
      <formula>"n/a"</formula>
    </cfRule>
    <cfRule type="cellIs" dxfId="1446" priority="804" operator="equal">
      <formula>"A"</formula>
    </cfRule>
    <cfRule type="cellIs" dxfId="1445" priority="803" operator="equal">
      <formula>"G"</formula>
    </cfRule>
  </conditionalFormatting>
  <conditionalFormatting sqref="F63">
    <cfRule type="cellIs" dxfId="1444" priority="705" operator="equal">
      <formula>"R"</formula>
    </cfRule>
    <cfRule type="cellIs" dxfId="1443" priority="704" operator="equal">
      <formula>"A"</formula>
    </cfRule>
    <cfRule type="cellIs" dxfId="1442" priority="703" operator="equal">
      <formula>"G"</formula>
    </cfRule>
    <cfRule type="cellIs" dxfId="1441" priority="702" operator="equal">
      <formula>"n/a"</formula>
    </cfRule>
  </conditionalFormatting>
  <conditionalFormatting sqref="F66">
    <cfRule type="cellIs" dxfId="1440" priority="685" operator="equal">
      <formula>"R"</formula>
    </cfRule>
    <cfRule type="cellIs" dxfId="1439" priority="684" operator="equal">
      <formula>"A"</formula>
    </cfRule>
    <cfRule type="cellIs" dxfId="1438" priority="683" operator="equal">
      <formula>"G"</formula>
    </cfRule>
    <cfRule type="cellIs" dxfId="1437" priority="682" operator="equal">
      <formula>"n/a"</formula>
    </cfRule>
  </conditionalFormatting>
  <conditionalFormatting sqref="F69">
    <cfRule type="cellIs" dxfId="1436" priority="662" operator="equal">
      <formula>"n/a"</formula>
    </cfRule>
    <cfRule type="cellIs" dxfId="1435" priority="665" operator="equal">
      <formula>"R"</formula>
    </cfRule>
    <cfRule type="cellIs" dxfId="1434" priority="664" operator="equal">
      <formula>"A"</formula>
    </cfRule>
    <cfRule type="cellIs" dxfId="1433" priority="663" operator="equal">
      <formula>"G"</formula>
    </cfRule>
  </conditionalFormatting>
  <conditionalFormatting sqref="F72">
    <cfRule type="cellIs" dxfId="1432" priority="544" operator="equal">
      <formula>"A"</formula>
    </cfRule>
    <cfRule type="cellIs" dxfId="1431" priority="542" operator="equal">
      <formula>"n/a"</formula>
    </cfRule>
    <cfRule type="cellIs" dxfId="1430" priority="543" operator="equal">
      <formula>"G"</formula>
    </cfRule>
    <cfRule type="cellIs" dxfId="1429" priority="545" operator="equal">
      <formula>"R"</formula>
    </cfRule>
  </conditionalFormatting>
  <conditionalFormatting sqref="F75">
    <cfRule type="cellIs" dxfId="1428" priority="745" operator="equal">
      <formula>"R"</formula>
    </cfRule>
    <cfRule type="cellIs" dxfId="1427" priority="744" operator="equal">
      <formula>"A"</formula>
    </cfRule>
    <cfRule type="cellIs" dxfId="1426" priority="743" operator="equal">
      <formula>"G"</formula>
    </cfRule>
    <cfRule type="cellIs" dxfId="1425" priority="742" operator="equal">
      <formula>"n/a"</formula>
    </cfRule>
  </conditionalFormatting>
  <conditionalFormatting sqref="F78">
    <cfRule type="cellIs" dxfId="1424" priority="355" operator="equal">
      <formula>"n/a"</formula>
    </cfRule>
    <cfRule type="cellIs" dxfId="1423" priority="357" operator="equal">
      <formula>"A"</formula>
    </cfRule>
    <cfRule type="cellIs" dxfId="1422" priority="356" operator="equal">
      <formula>"G"</formula>
    </cfRule>
    <cfRule type="cellIs" dxfId="1421" priority="358" operator="equal">
      <formula>"R"</formula>
    </cfRule>
  </conditionalFormatting>
  <conditionalFormatting sqref="F81">
    <cfRule type="cellIs" dxfId="1420" priority="582" operator="equal">
      <formula>"n/a"</formula>
    </cfRule>
    <cfRule type="cellIs" dxfId="1419" priority="585" operator="equal">
      <formula>"R"</formula>
    </cfRule>
    <cfRule type="cellIs" dxfId="1418" priority="584" operator="equal">
      <formula>"A"</formula>
    </cfRule>
    <cfRule type="cellIs" dxfId="1417" priority="583" operator="equal">
      <formula>"G"</formula>
    </cfRule>
  </conditionalFormatting>
  <conditionalFormatting sqref="F84">
    <cfRule type="cellIs" dxfId="1416" priority="565" operator="equal">
      <formula>"R"</formula>
    </cfRule>
    <cfRule type="cellIs" dxfId="1415" priority="564" operator="equal">
      <formula>"A"</formula>
    </cfRule>
    <cfRule type="cellIs" dxfId="1414" priority="563" operator="equal">
      <formula>"G"</formula>
    </cfRule>
    <cfRule type="cellIs" dxfId="1413" priority="562" operator="equal">
      <formula>"n/a"</formula>
    </cfRule>
  </conditionalFormatting>
  <conditionalFormatting sqref="F87">
    <cfRule type="cellIs" dxfId="1412" priority="522" operator="equal">
      <formula>"n/a"</formula>
    </cfRule>
    <cfRule type="cellIs" dxfId="1411" priority="524" operator="equal">
      <formula>"A"</formula>
    </cfRule>
    <cfRule type="cellIs" dxfId="1410" priority="525" operator="equal">
      <formula>"R"</formula>
    </cfRule>
    <cfRule type="cellIs" dxfId="1409" priority="523" operator="equal">
      <formula>"G"</formula>
    </cfRule>
  </conditionalFormatting>
  <conditionalFormatting sqref="F93">
    <cfRule type="cellIs" dxfId="1408" priority="1891" operator="equal">
      <formula>"R"</formula>
    </cfRule>
    <cfRule type="cellIs" dxfId="1407" priority="1890" operator="equal">
      <formula>"A"</formula>
    </cfRule>
    <cfRule type="cellIs" dxfId="1406" priority="1889" operator="equal">
      <formula>"G"</formula>
    </cfRule>
    <cfRule type="cellIs" dxfId="1405" priority="1888" operator="equal">
      <formula>"n/a"</formula>
    </cfRule>
  </conditionalFormatting>
  <conditionalFormatting sqref="F96">
    <cfRule type="cellIs" dxfId="1404" priority="1661" operator="equal">
      <formula>"R"</formula>
    </cfRule>
    <cfRule type="cellIs" dxfId="1403" priority="1660" operator="equal">
      <formula>"A"</formula>
    </cfRule>
    <cfRule type="cellIs" dxfId="1402" priority="1658" operator="equal">
      <formula>"n/a"</formula>
    </cfRule>
    <cfRule type="cellIs" dxfId="1401" priority="1659" operator="equal">
      <formula>"G"</formula>
    </cfRule>
  </conditionalFormatting>
  <conditionalFormatting sqref="F99">
    <cfRule type="cellIs" dxfId="1400" priority="502" operator="equal">
      <formula>"n/a"</formula>
    </cfRule>
    <cfRule type="cellIs" dxfId="1399" priority="505" operator="equal">
      <formula>"R"</formula>
    </cfRule>
    <cfRule type="cellIs" dxfId="1398" priority="504" operator="equal">
      <formula>"A"</formula>
    </cfRule>
    <cfRule type="cellIs" dxfId="1397" priority="503" operator="equal">
      <formula>"G"</formula>
    </cfRule>
  </conditionalFormatting>
  <conditionalFormatting sqref="F102">
    <cfRule type="cellIs" dxfId="1396" priority="1899" operator="equal">
      <formula>"R"</formula>
    </cfRule>
    <cfRule type="cellIs" dxfId="1395" priority="1897" operator="equal">
      <formula>"G"</formula>
    </cfRule>
    <cfRule type="cellIs" dxfId="1394" priority="1896" operator="equal">
      <formula>"n/a"</formula>
    </cfRule>
    <cfRule type="cellIs" dxfId="1393" priority="1898" operator="equal">
      <formula>"A"</formula>
    </cfRule>
  </conditionalFormatting>
  <conditionalFormatting sqref="F105">
    <cfRule type="cellIs" dxfId="1392" priority="1900" operator="equal">
      <formula>"n/a"</formula>
    </cfRule>
    <cfRule type="cellIs" dxfId="1391" priority="1901" operator="equal">
      <formula>"G"</formula>
    </cfRule>
    <cfRule type="cellIs" dxfId="1390" priority="1902" operator="equal">
      <formula>"A"</formula>
    </cfRule>
    <cfRule type="cellIs" dxfId="1389" priority="1903" operator="equal">
      <formula>"R"</formula>
    </cfRule>
  </conditionalFormatting>
  <conditionalFormatting sqref="F108">
    <cfRule type="cellIs" dxfId="1388" priority="369" operator="equal">
      <formula>"n/a"</formula>
    </cfRule>
    <cfRule type="cellIs" dxfId="1387" priority="371" operator="equal">
      <formula>"A"</formula>
    </cfRule>
    <cfRule type="cellIs" dxfId="1386" priority="370" operator="equal">
      <formula>"G"</formula>
    </cfRule>
    <cfRule type="cellIs" dxfId="1385" priority="372" operator="equal">
      <formula>"R"</formula>
    </cfRule>
  </conditionalFormatting>
  <conditionalFormatting sqref="F111">
    <cfRule type="cellIs" dxfId="1384" priority="1894" operator="equal">
      <formula>"A"</formula>
    </cfRule>
    <cfRule type="cellIs" dxfId="1383" priority="1893" operator="equal">
      <formula>"G"</formula>
    </cfRule>
    <cfRule type="cellIs" dxfId="1382" priority="1895" operator="equal">
      <formula>"R"</formula>
    </cfRule>
    <cfRule type="cellIs" dxfId="1381" priority="1892" operator="equal">
      <formula>"n/a"</formula>
    </cfRule>
  </conditionalFormatting>
  <conditionalFormatting sqref="F114">
    <cfRule type="cellIs" dxfId="1380" priority="2005" operator="equal">
      <formula>"G"</formula>
    </cfRule>
    <cfRule type="cellIs" dxfId="1379" priority="2006" operator="equal">
      <formula>"A"</formula>
    </cfRule>
    <cfRule type="cellIs" dxfId="1378" priority="2004" operator="equal">
      <formula>"n/a"</formula>
    </cfRule>
    <cfRule type="cellIs" dxfId="1377" priority="2007" operator="equal">
      <formula>"R"</formula>
    </cfRule>
  </conditionalFormatting>
  <conditionalFormatting sqref="F117">
    <cfRule type="cellIs" dxfId="1376" priority="2010" operator="equal">
      <formula>"A"</formula>
    </cfRule>
    <cfRule type="cellIs" dxfId="1375" priority="2011" operator="equal">
      <formula>"R"</formula>
    </cfRule>
    <cfRule type="cellIs" dxfId="1374" priority="2008" operator="equal">
      <formula>"n/a"</formula>
    </cfRule>
    <cfRule type="cellIs" dxfId="1373" priority="2009" operator="equal">
      <formula>"G"</formula>
    </cfRule>
  </conditionalFormatting>
  <conditionalFormatting sqref="F125">
    <cfRule type="cellIs" dxfId="1372" priority="1996" operator="equal">
      <formula>"n/a"</formula>
    </cfRule>
    <cfRule type="cellIs" dxfId="1371" priority="1999" operator="equal">
      <formula>"R"</formula>
    </cfRule>
    <cfRule type="cellIs" dxfId="1370" priority="1997" operator="equal">
      <formula>"G"</formula>
    </cfRule>
    <cfRule type="cellIs" dxfId="1369" priority="1998" operator="equal">
      <formula>"A"</formula>
    </cfRule>
  </conditionalFormatting>
  <conditionalFormatting sqref="F128">
    <cfRule type="cellIs" dxfId="1368" priority="1884" operator="equal">
      <formula>"n/a"</formula>
    </cfRule>
    <cfRule type="cellIs" dxfId="1367" priority="1887" operator="equal">
      <formula>"R"</formula>
    </cfRule>
    <cfRule type="cellIs" dxfId="1366" priority="1886" operator="equal">
      <formula>"A"</formula>
    </cfRule>
    <cfRule type="cellIs" dxfId="1365" priority="1885" operator="equal">
      <formula>"G"</formula>
    </cfRule>
  </conditionalFormatting>
  <conditionalFormatting sqref="F131">
    <cfRule type="cellIs" dxfId="1364" priority="1883" operator="equal">
      <formula>"R"</formula>
    </cfRule>
    <cfRule type="cellIs" dxfId="1363" priority="1882" operator="equal">
      <formula>"A"</formula>
    </cfRule>
    <cfRule type="cellIs" dxfId="1362" priority="1881" operator="equal">
      <formula>"G"</formula>
    </cfRule>
    <cfRule type="cellIs" dxfId="1361" priority="1880" operator="equal">
      <formula>"n/a"</formula>
    </cfRule>
  </conditionalFormatting>
  <conditionalFormatting sqref="F134">
    <cfRule type="cellIs" dxfId="1360" priority="1879" operator="equal">
      <formula>"R"</formula>
    </cfRule>
    <cfRule type="cellIs" dxfId="1359" priority="1878" operator="equal">
      <formula>"A"</formula>
    </cfRule>
    <cfRule type="cellIs" dxfId="1358" priority="1877" operator="equal">
      <formula>"G"</formula>
    </cfRule>
    <cfRule type="cellIs" dxfId="1357" priority="1876" operator="equal">
      <formula>"n/a"</formula>
    </cfRule>
  </conditionalFormatting>
  <conditionalFormatting sqref="F139">
    <cfRule type="cellIs" dxfId="1356" priority="1701" operator="equal">
      <formula>"G"</formula>
    </cfRule>
    <cfRule type="cellIs" dxfId="1355" priority="1700" operator="equal">
      <formula>"n/a"</formula>
    </cfRule>
    <cfRule type="cellIs" dxfId="1354" priority="1703" operator="equal">
      <formula>"R"</formula>
    </cfRule>
    <cfRule type="cellIs" dxfId="1353" priority="1702" operator="equal">
      <formula>"A"</formula>
    </cfRule>
  </conditionalFormatting>
  <conditionalFormatting sqref="G11">
    <cfRule type="iconSet" priority="1">
      <iconSet iconSet="3ArrowsGray" showValue="0">
        <cfvo type="percent" val="0"/>
        <cfvo type="num" val="0"/>
        <cfvo type="num" val="1"/>
      </iconSet>
    </cfRule>
  </conditionalFormatting>
  <conditionalFormatting sqref="G26 G17">
    <cfRule type="iconSet" priority="1709">
      <iconSet iconSet="3ArrowsGray" showValue="0">
        <cfvo type="percent" val="0"/>
        <cfvo type="num" val="0"/>
        <cfvo type="num" val="1"/>
      </iconSet>
    </cfRule>
  </conditionalFormatting>
  <conditionalFormatting sqref="G29">
    <cfRule type="iconSet" priority="276">
      <iconSet iconSet="3ArrowsGray" showValue="0">
        <cfvo type="percent" val="0"/>
        <cfvo type="num" val="0"/>
        <cfvo type="num" val="1"/>
      </iconSet>
    </cfRule>
  </conditionalFormatting>
  <conditionalFormatting sqref="G47">
    <cfRule type="iconSet" priority="264">
      <iconSet iconSet="3ArrowsGray" showValue="0">
        <cfvo type="percent" val="0"/>
        <cfvo type="num" val="0"/>
        <cfvo type="num" val="1"/>
      </iconSet>
    </cfRule>
  </conditionalFormatting>
  <conditionalFormatting sqref="G57">
    <cfRule type="iconSet" priority="1588">
      <iconSet iconSet="3ArrowsGray" showValue="0">
        <cfvo type="percent" val="0"/>
        <cfvo type="num" val="0"/>
        <cfvo type="num" val="1"/>
      </iconSet>
    </cfRule>
  </conditionalFormatting>
  <conditionalFormatting sqref="G60">
    <cfRule type="iconSet" priority="786">
      <iconSet iconSet="3ArrowsGray" showValue="0">
        <cfvo type="percent" val="0"/>
        <cfvo type="num" val="0"/>
        <cfvo type="num" val="1"/>
      </iconSet>
    </cfRule>
  </conditionalFormatting>
  <conditionalFormatting sqref="G63">
    <cfRule type="iconSet" priority="686">
      <iconSet iconSet="3ArrowsGray" showValue="0">
        <cfvo type="percent" val="0"/>
        <cfvo type="num" val="0"/>
        <cfvo type="num" val="1"/>
      </iconSet>
    </cfRule>
  </conditionalFormatting>
  <conditionalFormatting sqref="G66">
    <cfRule type="iconSet" priority="666">
      <iconSet iconSet="3ArrowsGray" showValue="0">
        <cfvo type="percent" val="0"/>
        <cfvo type="num" val="0"/>
        <cfvo type="num" val="1"/>
      </iconSet>
    </cfRule>
  </conditionalFormatting>
  <conditionalFormatting sqref="G69">
    <cfRule type="iconSet" priority="646">
      <iconSet iconSet="3ArrowsGray" showValue="0">
        <cfvo type="percent" val="0"/>
        <cfvo type="num" val="0"/>
        <cfvo type="num" val="1"/>
      </iconSet>
    </cfRule>
  </conditionalFormatting>
  <conditionalFormatting sqref="G72">
    <cfRule type="iconSet" priority="526">
      <iconSet iconSet="3ArrowsGray" showValue="0">
        <cfvo type="percent" val="0"/>
        <cfvo type="num" val="0"/>
        <cfvo type="num" val="1"/>
      </iconSet>
    </cfRule>
  </conditionalFormatting>
  <conditionalFormatting sqref="G75">
    <cfRule type="iconSet" priority="726">
      <iconSet iconSet="3ArrowsGray" showValue="0">
        <cfvo type="percent" val="0"/>
        <cfvo type="num" val="0"/>
        <cfvo type="num" val="1"/>
      </iconSet>
    </cfRule>
  </conditionalFormatting>
  <conditionalFormatting sqref="G78">
    <cfRule type="iconSet" priority="353">
      <iconSet iconSet="3ArrowsGray" showValue="0">
        <cfvo type="percent" val="0"/>
        <cfvo type="num" val="0"/>
        <cfvo type="num" val="1"/>
      </iconSet>
    </cfRule>
  </conditionalFormatting>
  <conditionalFormatting sqref="G81">
    <cfRule type="iconSet" priority="566">
      <iconSet iconSet="3ArrowsGray" showValue="0">
        <cfvo type="percent" val="0"/>
        <cfvo type="num" val="0"/>
        <cfvo type="num" val="1"/>
      </iconSet>
    </cfRule>
  </conditionalFormatting>
  <conditionalFormatting sqref="G84">
    <cfRule type="iconSet" priority="546">
      <iconSet iconSet="3ArrowsGray" showValue="0">
        <cfvo type="percent" val="0"/>
        <cfvo type="num" val="0"/>
        <cfvo type="num" val="1"/>
      </iconSet>
    </cfRule>
  </conditionalFormatting>
  <conditionalFormatting sqref="G87">
    <cfRule type="iconSet" priority="506">
      <iconSet iconSet="3ArrowsGray" showValue="0">
        <cfvo type="percent" val="0"/>
        <cfvo type="num" val="0"/>
        <cfvo type="num" val="1"/>
      </iconSet>
    </cfRule>
  </conditionalFormatting>
  <conditionalFormatting sqref="G96">
    <cfRule type="iconSet" priority="1648">
      <iconSet iconSet="3ArrowsGray" showValue="0">
        <cfvo type="percent" val="0"/>
        <cfvo type="num" val="0"/>
        <cfvo type="num" val="1"/>
      </iconSet>
    </cfRule>
  </conditionalFormatting>
  <conditionalFormatting sqref="G99">
    <cfRule type="iconSet" priority="486">
      <iconSet iconSet="3ArrowsGray" showValue="0">
        <cfvo type="percent" val="0"/>
        <cfvo type="num" val="0"/>
        <cfvo type="num" val="1"/>
      </iconSet>
    </cfRule>
  </conditionalFormatting>
  <conditionalFormatting sqref="G102">
    <cfRule type="iconSet" priority="259">
      <iconSet iconSet="3ArrowsGray" showValue="0">
        <cfvo type="percent" val="0"/>
        <cfvo type="num" val="0"/>
        <cfvo type="num" val="1"/>
      </iconSet>
    </cfRule>
  </conditionalFormatting>
  <conditionalFormatting sqref="G108">
    <cfRule type="iconSet" priority="359">
      <iconSet iconSet="3ArrowsGray" showValue="0">
        <cfvo type="percent" val="0"/>
        <cfvo type="num" val="0"/>
        <cfvo type="num" val="1"/>
      </iconSet>
    </cfRule>
  </conditionalFormatting>
  <conditionalFormatting sqref="G134 G93 G38 G41 G23 G20 G32 G105 G54 G114 G35 G111 G117 G125 G128 G131">
    <cfRule type="iconSet" priority="56796">
      <iconSet iconSet="3ArrowsGray" showValue="0">
        <cfvo type="percent" val="0"/>
        <cfvo type="num" val="0"/>
        <cfvo type="num" val="1"/>
      </iconSet>
    </cfRule>
  </conditionalFormatting>
  <conditionalFormatting sqref="G139">
    <cfRule type="iconSet" priority="404">
      <iconSet iconSet="3ArrowsGray" showValue="0">
        <cfvo type="percent" val="0"/>
        <cfvo type="num" val="0"/>
        <cfvo type="num" val="1"/>
      </iconSet>
    </cfRule>
  </conditionalFormatting>
  <conditionalFormatting sqref="H145:H161 F145:G181 I145:J181">
    <cfRule type="cellIs" dxfId="1352" priority="18" operator="notEqual">
      <formula>0</formula>
    </cfRule>
  </conditionalFormatting>
  <conditionalFormatting sqref="R11">
    <cfRule type="cellIs" dxfId="1351" priority="7" operator="equal">
      <formula>"n/a"</formula>
    </cfRule>
    <cfRule type="cellIs" dxfId="1350" priority="8" operator="equal">
      <formula>"G"</formula>
    </cfRule>
    <cfRule type="cellIs" dxfId="1349" priority="9" operator="equal">
      <formula>"A"</formula>
    </cfRule>
    <cfRule type="cellIs" dxfId="1348" priority="10" operator="equal">
      <formula>"R"</formula>
    </cfRule>
  </conditionalFormatting>
  <conditionalFormatting sqref="R17">
    <cfRule type="cellIs" dxfId="1347" priority="1856" operator="equal">
      <formula>"n/a"</formula>
    </cfRule>
    <cfRule type="cellIs" dxfId="1346" priority="1857" operator="equal">
      <formula>"G"</formula>
    </cfRule>
    <cfRule type="cellIs" dxfId="1345" priority="1858" operator="equal">
      <formula>"A"</formula>
    </cfRule>
    <cfRule type="cellIs" dxfId="1344" priority="1859" operator="equal">
      <formula>"R"</formula>
    </cfRule>
  </conditionalFormatting>
  <conditionalFormatting sqref="R20">
    <cfRule type="cellIs" dxfId="1343" priority="1852" operator="equal">
      <formula>"n/a"</formula>
    </cfRule>
    <cfRule type="cellIs" dxfId="1342" priority="1853" operator="equal">
      <formula>"G"</formula>
    </cfRule>
    <cfRule type="cellIs" dxfId="1341" priority="1854" operator="equal">
      <formula>"A"</formula>
    </cfRule>
    <cfRule type="cellIs" dxfId="1340" priority="1855" operator="equal">
      <formula>"R"</formula>
    </cfRule>
  </conditionalFormatting>
  <conditionalFormatting sqref="R23">
    <cfRule type="cellIs" dxfId="1339" priority="1844" operator="equal">
      <formula>"n/a"</formula>
    </cfRule>
    <cfRule type="cellIs" dxfId="1338" priority="1845" operator="equal">
      <formula>"G"</formula>
    </cfRule>
    <cfRule type="cellIs" dxfId="1337" priority="1847" operator="equal">
      <formula>"R"</formula>
    </cfRule>
    <cfRule type="cellIs" dxfId="1336" priority="1846" operator="equal">
      <formula>"A"</formula>
    </cfRule>
  </conditionalFormatting>
  <conditionalFormatting sqref="R26">
    <cfRule type="cellIs" dxfId="1335" priority="1861" operator="equal">
      <formula>"G"</formula>
    </cfRule>
    <cfRule type="cellIs" dxfId="1334" priority="1862" operator="equal">
      <formula>"A"</formula>
    </cfRule>
    <cfRule type="cellIs" dxfId="1333" priority="1863" operator="equal">
      <formula>"R"</formula>
    </cfRule>
    <cfRule type="cellIs" dxfId="1332" priority="1860" operator="equal">
      <formula>"n/a"</formula>
    </cfRule>
  </conditionalFormatting>
  <conditionalFormatting sqref="R29">
    <cfRule type="cellIs" dxfId="1331" priority="274" operator="equal">
      <formula>"R"</formula>
    </cfRule>
    <cfRule type="cellIs" dxfId="1330" priority="273" operator="equal">
      <formula>"A"</formula>
    </cfRule>
    <cfRule type="cellIs" dxfId="1329" priority="272" operator="equal">
      <formula>"G"</formula>
    </cfRule>
    <cfRule type="cellIs" dxfId="1328" priority="271" operator="equal">
      <formula>"n/a"</formula>
    </cfRule>
  </conditionalFormatting>
  <conditionalFormatting sqref="R32">
    <cfRule type="cellIs" dxfId="1327" priority="1849" operator="equal">
      <formula>"G"</formula>
    </cfRule>
    <cfRule type="cellIs" dxfId="1326" priority="1850" operator="equal">
      <formula>"A"</formula>
    </cfRule>
    <cfRule type="cellIs" dxfId="1325" priority="1851" operator="equal">
      <formula>"R"</formula>
    </cfRule>
    <cfRule type="cellIs" dxfId="1324" priority="1848" operator="equal">
      <formula>"n/a"</formula>
    </cfRule>
  </conditionalFormatting>
  <conditionalFormatting sqref="R35">
    <cfRule type="cellIs" dxfId="1323" priority="1840" operator="equal">
      <formula>"n/a"</formula>
    </cfRule>
    <cfRule type="cellIs" dxfId="1322" priority="1843" operator="equal">
      <formula>"R"</formula>
    </cfRule>
    <cfRule type="cellIs" dxfId="1321" priority="1841" operator="equal">
      <formula>"G"</formula>
    </cfRule>
    <cfRule type="cellIs" dxfId="1320" priority="1842" operator="equal">
      <formula>"A"</formula>
    </cfRule>
  </conditionalFormatting>
  <conditionalFormatting sqref="R38">
    <cfRule type="cellIs" dxfId="1319" priority="1839" operator="equal">
      <formula>"R"</formula>
    </cfRule>
    <cfRule type="cellIs" dxfId="1318" priority="1837" operator="equal">
      <formula>"G"</formula>
    </cfRule>
    <cfRule type="cellIs" dxfId="1317" priority="1838" operator="equal">
      <formula>"A"</formula>
    </cfRule>
    <cfRule type="cellIs" dxfId="1316" priority="1836" operator="equal">
      <formula>"n/a"</formula>
    </cfRule>
  </conditionalFormatting>
  <conditionalFormatting sqref="R41">
    <cfRule type="cellIs" dxfId="1315" priority="1995" operator="equal">
      <formula>"R"</formula>
    </cfRule>
    <cfRule type="cellIs" dxfId="1314" priority="1994" operator="equal">
      <formula>"A"</formula>
    </cfRule>
    <cfRule type="cellIs" dxfId="1313" priority="1993" operator="equal">
      <formula>"G"</formula>
    </cfRule>
    <cfRule type="cellIs" dxfId="1312" priority="1992" operator="equal">
      <formula>"n/a"</formula>
    </cfRule>
  </conditionalFormatting>
  <conditionalFormatting sqref="R47">
    <cfRule type="cellIs" dxfId="1311" priority="288" operator="equal">
      <formula>"A"</formula>
    </cfRule>
    <cfRule type="cellIs" dxfId="1310" priority="289" operator="equal">
      <formula>"R"</formula>
    </cfRule>
    <cfRule type="cellIs" dxfId="1309" priority="286" operator="equal">
      <formula>"n/a"</formula>
    </cfRule>
    <cfRule type="cellIs" dxfId="1308" priority="287" operator="equal">
      <formula>"G"</formula>
    </cfRule>
  </conditionalFormatting>
  <conditionalFormatting sqref="R54">
    <cfRule type="cellIs" dxfId="1307" priority="1985" operator="equal">
      <formula>"G"</formula>
    </cfRule>
    <cfRule type="cellIs" dxfId="1306" priority="1984" operator="equal">
      <formula>"n/a"</formula>
    </cfRule>
    <cfRule type="cellIs" dxfId="1305" priority="1987" operator="equal">
      <formula>"R"</formula>
    </cfRule>
    <cfRule type="cellIs" dxfId="1304" priority="1986" operator="equal">
      <formula>"A"</formula>
    </cfRule>
  </conditionalFormatting>
  <conditionalFormatting sqref="R57">
    <cfRule type="cellIs" dxfId="1303" priority="1597" operator="equal">
      <formula>"R"</formula>
    </cfRule>
    <cfRule type="cellIs" dxfId="1302" priority="1594" operator="equal">
      <formula>"n/a"</formula>
    </cfRule>
    <cfRule type="cellIs" dxfId="1301" priority="1595" operator="equal">
      <formula>"G"</formula>
    </cfRule>
    <cfRule type="cellIs" dxfId="1300" priority="1596" operator="equal">
      <formula>"A"</formula>
    </cfRule>
  </conditionalFormatting>
  <conditionalFormatting sqref="R60">
    <cfRule type="cellIs" dxfId="1299" priority="793" operator="equal">
      <formula>"G"</formula>
    </cfRule>
    <cfRule type="cellIs" dxfId="1298" priority="794" operator="equal">
      <formula>"A"</formula>
    </cfRule>
    <cfRule type="cellIs" dxfId="1297" priority="795" operator="equal">
      <formula>"R"</formula>
    </cfRule>
    <cfRule type="cellIs" dxfId="1296" priority="792" operator="equal">
      <formula>"n/a"</formula>
    </cfRule>
  </conditionalFormatting>
  <conditionalFormatting sqref="R63">
    <cfRule type="cellIs" dxfId="1295" priority="695" operator="equal">
      <formula>"R"</formula>
    </cfRule>
    <cfRule type="cellIs" dxfId="1294" priority="694" operator="equal">
      <formula>"A"</formula>
    </cfRule>
    <cfRule type="cellIs" dxfId="1293" priority="693" operator="equal">
      <formula>"G"</formula>
    </cfRule>
    <cfRule type="cellIs" dxfId="1292" priority="692" operator="equal">
      <formula>"n/a"</formula>
    </cfRule>
  </conditionalFormatting>
  <conditionalFormatting sqref="R66">
    <cfRule type="cellIs" dxfId="1291" priority="675" operator="equal">
      <formula>"R"</formula>
    </cfRule>
    <cfRule type="cellIs" dxfId="1290" priority="674" operator="equal">
      <formula>"A"</formula>
    </cfRule>
    <cfRule type="cellIs" dxfId="1289" priority="673" operator="equal">
      <formula>"G"</formula>
    </cfRule>
    <cfRule type="cellIs" dxfId="1288" priority="672" operator="equal">
      <formula>"n/a"</formula>
    </cfRule>
  </conditionalFormatting>
  <conditionalFormatting sqref="R69">
    <cfRule type="cellIs" dxfId="1287" priority="655" operator="equal">
      <formula>"R"</formula>
    </cfRule>
    <cfRule type="cellIs" dxfId="1286" priority="654" operator="equal">
      <formula>"A"</formula>
    </cfRule>
    <cfRule type="cellIs" dxfId="1285" priority="653" operator="equal">
      <formula>"G"</formula>
    </cfRule>
    <cfRule type="cellIs" dxfId="1284" priority="652" operator="equal">
      <formula>"n/a"</formula>
    </cfRule>
  </conditionalFormatting>
  <conditionalFormatting sqref="R72">
    <cfRule type="cellIs" dxfId="1283" priority="532" operator="equal">
      <formula>"n/a"</formula>
    </cfRule>
    <cfRule type="cellIs" dxfId="1282" priority="533" operator="equal">
      <formula>"G"</formula>
    </cfRule>
    <cfRule type="cellIs" dxfId="1281" priority="534" operator="equal">
      <formula>"A"</formula>
    </cfRule>
    <cfRule type="cellIs" dxfId="1280" priority="535" operator="equal">
      <formula>"R"</formula>
    </cfRule>
  </conditionalFormatting>
  <conditionalFormatting sqref="R75">
    <cfRule type="cellIs" dxfId="1279" priority="735" operator="equal">
      <formula>"R"</formula>
    </cfRule>
    <cfRule type="cellIs" dxfId="1278" priority="734" operator="equal">
      <formula>"A"</formula>
    </cfRule>
    <cfRule type="cellIs" dxfId="1277" priority="733" operator="equal">
      <formula>"G"</formula>
    </cfRule>
    <cfRule type="cellIs" dxfId="1276" priority="732" operator="equal">
      <formula>"n/a"</formula>
    </cfRule>
  </conditionalFormatting>
  <conditionalFormatting sqref="R78">
    <cfRule type="cellIs" dxfId="1275" priority="387" operator="equal">
      <formula>"A"</formula>
    </cfRule>
    <cfRule type="cellIs" dxfId="1274" priority="386" operator="equal">
      <formula>"G"</formula>
    </cfRule>
    <cfRule type="cellIs" dxfId="1273" priority="385" operator="equal">
      <formula>"n/a"</formula>
    </cfRule>
    <cfRule type="cellIs" dxfId="1272" priority="388" operator="equal">
      <formula>"R"</formula>
    </cfRule>
  </conditionalFormatting>
  <conditionalFormatting sqref="R81">
    <cfRule type="cellIs" dxfId="1271" priority="575" operator="equal">
      <formula>"R"</formula>
    </cfRule>
    <cfRule type="cellIs" dxfId="1270" priority="572" operator="equal">
      <formula>"n/a"</formula>
    </cfRule>
    <cfRule type="cellIs" dxfId="1269" priority="573" operator="equal">
      <formula>"G"</formula>
    </cfRule>
    <cfRule type="cellIs" dxfId="1268" priority="574" operator="equal">
      <formula>"A"</formula>
    </cfRule>
  </conditionalFormatting>
  <conditionalFormatting sqref="R84">
    <cfRule type="cellIs" dxfId="1267" priority="553" operator="equal">
      <formula>"G"</formula>
    </cfRule>
    <cfRule type="cellIs" dxfId="1266" priority="554" operator="equal">
      <formula>"A"</formula>
    </cfRule>
    <cfRule type="cellIs" dxfId="1265" priority="555" operator="equal">
      <formula>"R"</formula>
    </cfRule>
    <cfRule type="cellIs" dxfId="1264" priority="552" operator="equal">
      <formula>"n/a"</formula>
    </cfRule>
  </conditionalFormatting>
  <conditionalFormatting sqref="R87">
    <cfRule type="cellIs" dxfId="1263" priority="515" operator="equal">
      <formula>"R"</formula>
    </cfRule>
    <cfRule type="cellIs" dxfId="1262" priority="512" operator="equal">
      <formula>"n/a"</formula>
    </cfRule>
    <cfRule type="cellIs" dxfId="1261" priority="514" operator="equal">
      <formula>"A"</formula>
    </cfRule>
    <cfRule type="cellIs" dxfId="1260" priority="513" operator="equal">
      <formula>"G"</formula>
    </cfRule>
  </conditionalFormatting>
  <conditionalFormatting sqref="R93">
    <cfRule type="cellIs" dxfId="1259" priority="1819" operator="equal">
      <formula>"R"</formula>
    </cfRule>
    <cfRule type="cellIs" dxfId="1258" priority="1817" operator="equal">
      <formula>"G"</formula>
    </cfRule>
    <cfRule type="cellIs" dxfId="1257" priority="1816" operator="equal">
      <formula>"n/a"</formula>
    </cfRule>
    <cfRule type="cellIs" dxfId="1256" priority="1818" operator="equal">
      <formula>"A"</formula>
    </cfRule>
  </conditionalFormatting>
  <conditionalFormatting sqref="R96">
    <cfRule type="cellIs" dxfId="1255" priority="1654" operator="equal">
      <formula>"n/a"</formula>
    </cfRule>
    <cfRule type="cellIs" dxfId="1254" priority="1657" operator="equal">
      <formula>"R"</formula>
    </cfRule>
    <cfRule type="cellIs" dxfId="1253" priority="1656" operator="equal">
      <formula>"A"</formula>
    </cfRule>
    <cfRule type="cellIs" dxfId="1252" priority="1655" operator="equal">
      <formula>"G"</formula>
    </cfRule>
  </conditionalFormatting>
  <conditionalFormatting sqref="R99">
    <cfRule type="cellIs" dxfId="1251" priority="495" operator="equal">
      <formula>"R"</formula>
    </cfRule>
    <cfRule type="cellIs" dxfId="1250" priority="494" operator="equal">
      <formula>"A"</formula>
    </cfRule>
    <cfRule type="cellIs" dxfId="1249" priority="493" operator="equal">
      <formula>"G"</formula>
    </cfRule>
    <cfRule type="cellIs" dxfId="1248" priority="492" operator="equal">
      <formula>"n/a"</formula>
    </cfRule>
  </conditionalFormatting>
  <conditionalFormatting sqref="R102">
    <cfRule type="cellIs" dxfId="1247" priority="1824" operator="equal">
      <formula>"n/a"</formula>
    </cfRule>
    <cfRule type="cellIs" dxfId="1246" priority="1825" operator="equal">
      <formula>"G"</formula>
    </cfRule>
    <cfRule type="cellIs" dxfId="1245" priority="1827" operator="equal">
      <formula>"R"</formula>
    </cfRule>
    <cfRule type="cellIs" dxfId="1244" priority="1826" operator="equal">
      <formula>"A"</formula>
    </cfRule>
  </conditionalFormatting>
  <conditionalFormatting sqref="R105">
    <cfRule type="cellIs" dxfId="1243" priority="1828" operator="equal">
      <formula>"n/a"</formula>
    </cfRule>
    <cfRule type="cellIs" dxfId="1242" priority="1829" operator="equal">
      <formula>"G"</formula>
    </cfRule>
    <cfRule type="cellIs" dxfId="1241" priority="1830" operator="equal">
      <formula>"A"</formula>
    </cfRule>
    <cfRule type="cellIs" dxfId="1240" priority="1831" operator="equal">
      <formula>"R"</formula>
    </cfRule>
  </conditionalFormatting>
  <conditionalFormatting sqref="R108">
    <cfRule type="cellIs" dxfId="1239" priority="367" operator="equal">
      <formula>"A"</formula>
    </cfRule>
    <cfRule type="cellIs" dxfId="1238" priority="366" operator="equal">
      <formula>"G"</formula>
    </cfRule>
    <cfRule type="cellIs" dxfId="1237" priority="365" operator="equal">
      <formula>"n/a"</formula>
    </cfRule>
    <cfRule type="cellIs" dxfId="1236" priority="368" operator="equal">
      <formula>"R"</formula>
    </cfRule>
  </conditionalFormatting>
  <conditionalFormatting sqref="R111">
    <cfRule type="cellIs" dxfId="1235" priority="1822" operator="equal">
      <formula>"A"</formula>
    </cfRule>
    <cfRule type="cellIs" dxfId="1234" priority="1823" operator="equal">
      <formula>"R"</formula>
    </cfRule>
    <cfRule type="cellIs" dxfId="1233" priority="1820" operator="equal">
      <formula>"n/a"</formula>
    </cfRule>
    <cfRule type="cellIs" dxfId="1232" priority="1821" operator="equal">
      <formula>"G"</formula>
    </cfRule>
  </conditionalFormatting>
  <conditionalFormatting sqref="R114">
    <cfRule type="cellIs" dxfId="1231" priority="1960" operator="equal">
      <formula>"n/a"</formula>
    </cfRule>
    <cfRule type="cellIs" dxfId="1230" priority="1961" operator="equal">
      <formula>"G"</formula>
    </cfRule>
    <cfRule type="cellIs" dxfId="1229" priority="1963" operator="equal">
      <formula>"R"</formula>
    </cfRule>
    <cfRule type="cellIs" dxfId="1228" priority="1962" operator="equal">
      <formula>"A"</formula>
    </cfRule>
  </conditionalFormatting>
  <conditionalFormatting sqref="R117">
    <cfRule type="cellIs" dxfId="1227" priority="1971" operator="equal">
      <formula>"R"</formula>
    </cfRule>
    <cfRule type="cellIs" dxfId="1226" priority="1970" operator="equal">
      <formula>"A"</formula>
    </cfRule>
    <cfRule type="cellIs" dxfId="1225" priority="1969" operator="equal">
      <formula>"G"</formula>
    </cfRule>
    <cfRule type="cellIs" dxfId="1224" priority="1968" operator="equal">
      <formula>"n/a"</formula>
    </cfRule>
  </conditionalFormatting>
  <conditionalFormatting sqref="R125">
    <cfRule type="cellIs" dxfId="1223" priority="1946" operator="equal">
      <formula>"A"</formula>
    </cfRule>
    <cfRule type="cellIs" dxfId="1222" priority="1945" operator="equal">
      <formula>"G"</formula>
    </cfRule>
    <cfRule type="cellIs" dxfId="1221" priority="1947" operator="equal">
      <formula>"R"</formula>
    </cfRule>
    <cfRule type="cellIs" dxfId="1220" priority="1944" operator="equal">
      <formula>"n/a"</formula>
    </cfRule>
  </conditionalFormatting>
  <conditionalFormatting sqref="R128">
    <cfRule type="cellIs" dxfId="1219" priority="1812" operator="equal">
      <formula>"n/a"</formula>
    </cfRule>
    <cfRule type="cellIs" dxfId="1218" priority="1815" operator="equal">
      <formula>"R"</formula>
    </cfRule>
    <cfRule type="cellIs" dxfId="1217" priority="1814" operator="equal">
      <formula>"A"</formula>
    </cfRule>
    <cfRule type="cellIs" dxfId="1216" priority="1813" operator="equal">
      <formula>"G"</formula>
    </cfRule>
  </conditionalFormatting>
  <conditionalFormatting sqref="R131">
    <cfRule type="cellIs" dxfId="1215" priority="1811" operator="equal">
      <formula>"R"</formula>
    </cfRule>
    <cfRule type="cellIs" dxfId="1214" priority="1810" operator="equal">
      <formula>"A"</formula>
    </cfRule>
    <cfRule type="cellIs" dxfId="1213" priority="1809" operator="equal">
      <formula>"G"</formula>
    </cfRule>
    <cfRule type="cellIs" dxfId="1212" priority="1808" operator="equal">
      <formula>"n/a"</formula>
    </cfRule>
  </conditionalFormatting>
  <conditionalFormatting sqref="R134">
    <cfRule type="cellIs" dxfId="1211" priority="1804" operator="equal">
      <formula>"n/a"</formula>
    </cfRule>
    <cfRule type="cellIs" dxfId="1210" priority="1807" operator="equal">
      <formula>"R"</formula>
    </cfRule>
    <cfRule type="cellIs" dxfId="1209" priority="1806" operator="equal">
      <formula>"A"</formula>
    </cfRule>
    <cfRule type="cellIs" dxfId="1208" priority="1805" operator="equal">
      <formula>"G"</formula>
    </cfRule>
  </conditionalFormatting>
  <conditionalFormatting sqref="R139">
    <cfRule type="cellIs" dxfId="1207" priority="1697" operator="equal">
      <formula>"G"</formula>
    </cfRule>
    <cfRule type="cellIs" dxfId="1206" priority="1698" operator="equal">
      <formula>"A"</formula>
    </cfRule>
    <cfRule type="cellIs" dxfId="1205" priority="1696" operator="equal">
      <formula>"n/a"</formula>
    </cfRule>
    <cfRule type="cellIs" dxfId="1204" priority="1699" operator="equal">
      <formula>"R"</formula>
    </cfRule>
  </conditionalFormatting>
  <conditionalFormatting sqref="S11">
    <cfRule type="iconSet" priority="2">
      <iconSet iconSet="3ArrowsGray" showValue="0">
        <cfvo type="percent" val="0"/>
        <cfvo type="num" val="0"/>
        <cfvo type="num" val="1"/>
      </iconSet>
    </cfRule>
  </conditionalFormatting>
  <conditionalFormatting sqref="S29">
    <cfRule type="iconSet" priority="270">
      <iconSet iconSet="3ArrowsGray" showValue="0">
        <cfvo type="percent" val="0"/>
        <cfvo type="num" val="0"/>
        <cfvo type="num" val="1"/>
      </iconSet>
    </cfRule>
  </conditionalFormatting>
  <conditionalFormatting sqref="S57">
    <cfRule type="iconSet" priority="1589">
      <iconSet iconSet="3ArrowsGray" showValue="0">
        <cfvo type="percent" val="0"/>
        <cfvo type="num" val="0"/>
        <cfvo type="num" val="1"/>
      </iconSet>
    </cfRule>
  </conditionalFormatting>
  <conditionalFormatting sqref="S60">
    <cfRule type="iconSet" priority="787">
      <iconSet iconSet="3ArrowsGray" showValue="0">
        <cfvo type="percent" val="0"/>
        <cfvo type="num" val="0"/>
        <cfvo type="num" val="1"/>
      </iconSet>
    </cfRule>
  </conditionalFormatting>
  <conditionalFormatting sqref="S63">
    <cfRule type="iconSet" priority="687">
      <iconSet iconSet="3ArrowsGray" showValue="0">
        <cfvo type="percent" val="0"/>
        <cfvo type="num" val="0"/>
        <cfvo type="num" val="1"/>
      </iconSet>
    </cfRule>
  </conditionalFormatting>
  <conditionalFormatting sqref="S66">
    <cfRule type="iconSet" priority="667">
      <iconSet iconSet="3ArrowsGray" showValue="0">
        <cfvo type="percent" val="0"/>
        <cfvo type="num" val="0"/>
        <cfvo type="num" val="1"/>
      </iconSet>
    </cfRule>
  </conditionalFormatting>
  <conditionalFormatting sqref="S69">
    <cfRule type="iconSet" priority="647">
      <iconSet iconSet="3ArrowsGray" showValue="0">
        <cfvo type="percent" val="0"/>
        <cfvo type="num" val="0"/>
        <cfvo type="num" val="1"/>
      </iconSet>
    </cfRule>
  </conditionalFormatting>
  <conditionalFormatting sqref="S72">
    <cfRule type="iconSet" priority="527">
      <iconSet iconSet="3ArrowsGray" showValue="0">
        <cfvo type="percent" val="0"/>
        <cfvo type="num" val="0"/>
        <cfvo type="num" val="1"/>
      </iconSet>
    </cfRule>
  </conditionalFormatting>
  <conditionalFormatting sqref="S75">
    <cfRule type="iconSet" priority="727">
      <iconSet iconSet="3ArrowsGray" showValue="0">
        <cfvo type="percent" val="0"/>
        <cfvo type="num" val="0"/>
        <cfvo type="num" val="1"/>
      </iconSet>
    </cfRule>
  </conditionalFormatting>
  <conditionalFormatting sqref="S78">
    <cfRule type="iconSet" priority="380">
      <iconSet iconSet="3ArrowsGray" showValue="0">
        <cfvo type="percent" val="0"/>
        <cfvo type="num" val="0"/>
        <cfvo type="num" val="1"/>
      </iconSet>
    </cfRule>
  </conditionalFormatting>
  <conditionalFormatting sqref="S81">
    <cfRule type="iconSet" priority="567">
      <iconSet iconSet="3ArrowsGray" showValue="0">
        <cfvo type="percent" val="0"/>
        <cfvo type="num" val="0"/>
        <cfvo type="num" val="1"/>
      </iconSet>
    </cfRule>
  </conditionalFormatting>
  <conditionalFormatting sqref="S84">
    <cfRule type="iconSet" priority="547">
      <iconSet iconSet="3ArrowsGray" showValue="0">
        <cfvo type="percent" val="0"/>
        <cfvo type="num" val="0"/>
        <cfvo type="num" val="1"/>
      </iconSet>
    </cfRule>
  </conditionalFormatting>
  <conditionalFormatting sqref="S87">
    <cfRule type="iconSet" priority="507">
      <iconSet iconSet="3ArrowsGray" showValue="0">
        <cfvo type="percent" val="0"/>
        <cfvo type="num" val="0"/>
        <cfvo type="num" val="1"/>
      </iconSet>
    </cfRule>
  </conditionalFormatting>
  <conditionalFormatting sqref="S96">
    <cfRule type="iconSet" priority="1649">
      <iconSet iconSet="3ArrowsGray" showValue="0">
        <cfvo type="percent" val="0"/>
        <cfvo type="num" val="0"/>
        <cfvo type="num" val="1"/>
      </iconSet>
    </cfRule>
  </conditionalFormatting>
  <conditionalFormatting sqref="S99">
    <cfRule type="iconSet" priority="487">
      <iconSet iconSet="3ArrowsGray" showValue="0">
        <cfvo type="percent" val="0"/>
        <cfvo type="num" val="0"/>
        <cfvo type="num" val="1"/>
      </iconSet>
    </cfRule>
  </conditionalFormatting>
  <conditionalFormatting sqref="S108">
    <cfRule type="iconSet" priority="360">
      <iconSet iconSet="3ArrowsGray" showValue="0">
        <cfvo type="percent" val="0"/>
        <cfvo type="num" val="0"/>
        <cfvo type="num" val="1"/>
      </iconSet>
    </cfRule>
  </conditionalFormatting>
  <conditionalFormatting sqref="S134 S93 S38 S41 S23 S20 S32 S105 S26 S54 S114 S102 S17 S35 S111 S117 S125 S128 S131 S47">
    <cfRule type="iconSet" priority="56812">
      <iconSet iconSet="3ArrowsGray" showValue="0">
        <cfvo type="percent" val="0"/>
        <cfvo type="num" val="0"/>
        <cfvo type="num" val="1"/>
      </iconSet>
    </cfRule>
  </conditionalFormatting>
  <conditionalFormatting sqref="S139">
    <cfRule type="iconSet" priority="403">
      <iconSet iconSet="3ArrowsGray" showValue="0">
        <cfvo type="percent" val="0"/>
        <cfvo type="num" val="0"/>
        <cfvo type="num" val="1"/>
      </iconSet>
    </cfRule>
  </conditionalFormatting>
  <conditionalFormatting sqref="AH17">
    <cfRule type="cellIs" dxfId="1203" priority="2711" stopIfTrue="1" operator="greaterThanOrEqual">
      <formula>1</formula>
    </cfRule>
    <cfRule type="cellIs" dxfId="1202" priority="2712" stopIfTrue="1" operator="lessThan">
      <formula>0.95</formula>
    </cfRule>
    <cfRule type="cellIs" dxfId="1201" priority="2713" operator="lessThan">
      <formula>1</formula>
    </cfRule>
  </conditionalFormatting>
  <conditionalFormatting sqref="AH29">
    <cfRule type="cellIs" dxfId="1200" priority="2602" operator="lessThan">
      <formula>1</formula>
    </cfRule>
    <cfRule type="cellIs" dxfId="1199" priority="2601" stopIfTrue="1" operator="lessThan">
      <formula>0.95</formula>
    </cfRule>
    <cfRule type="cellIs" dxfId="1198" priority="2600" stopIfTrue="1" operator="greaterThanOrEqual">
      <formula>1</formula>
    </cfRule>
  </conditionalFormatting>
  <conditionalFormatting sqref="AH38">
    <cfRule type="cellIs" dxfId="1197" priority="2665" operator="lessThan">
      <formula>1</formula>
    </cfRule>
    <cfRule type="cellIs" dxfId="1196" priority="2664" stopIfTrue="1" operator="lessThan">
      <formula>0.95</formula>
    </cfRule>
    <cfRule type="cellIs" dxfId="1195" priority="2663" stopIfTrue="1" operator="greaterThanOrEqual">
      <formula>1</formula>
    </cfRule>
  </conditionalFormatting>
  <conditionalFormatting sqref="AH57">
    <cfRule type="cellIs" dxfId="1194" priority="1605" stopIfTrue="1" operator="greaterThanOrEqual">
      <formula>1</formula>
    </cfRule>
    <cfRule type="cellIs" dxfId="1193" priority="1606" stopIfTrue="1" operator="lessThan">
      <formula>0.95</formula>
    </cfRule>
    <cfRule type="cellIs" dxfId="1192" priority="1607" operator="lessThan">
      <formula>1</formula>
    </cfRule>
  </conditionalFormatting>
  <conditionalFormatting sqref="AH93">
    <cfRule type="cellIs" dxfId="1191" priority="2245" stopIfTrue="1" operator="greaterThanOrEqual">
      <formula>1</formula>
    </cfRule>
    <cfRule type="cellIs" dxfId="1190" priority="2246" stopIfTrue="1" operator="lessThan">
      <formula>0.95</formula>
    </cfRule>
    <cfRule type="cellIs" dxfId="1189" priority="2247" operator="lessThan">
      <formula>1</formula>
    </cfRule>
  </conditionalFormatting>
  <conditionalFormatting sqref="AH128">
    <cfRule type="cellIs" dxfId="1188" priority="2623" operator="lessThan">
      <formula>1</formula>
    </cfRule>
  </conditionalFormatting>
  <conditionalFormatting sqref="AH131">
    <cfRule type="cellIs" dxfId="1187" priority="2617" operator="lessThan">
      <formula>1</formula>
    </cfRule>
    <cfRule type="cellIs" dxfId="1186" priority="2616" stopIfTrue="1" operator="lessThan">
      <formula>0.95</formula>
    </cfRule>
    <cfRule type="cellIs" dxfId="1185" priority="2615" stopIfTrue="1" operator="greaterThanOrEqual">
      <formula>1</formula>
    </cfRule>
  </conditionalFormatting>
  <conditionalFormatting sqref="AH134">
    <cfRule type="cellIs" dxfId="1184" priority="2284" operator="lessThan">
      <formula>1</formula>
    </cfRule>
    <cfRule type="cellIs" dxfId="1183" priority="2282" stopIfTrue="1" operator="greaterThanOrEqual">
      <formula>1</formula>
    </cfRule>
    <cfRule type="cellIs" dxfId="1182" priority="2283" stopIfTrue="1" operator="lessThan">
      <formula>0.95</formula>
    </cfRule>
  </conditionalFormatting>
  <conditionalFormatting sqref="AH20:AI20">
    <cfRule type="cellIs" dxfId="1181" priority="2595" stopIfTrue="1" operator="lessThan">
      <formula>0.95</formula>
    </cfRule>
    <cfRule type="cellIs" dxfId="1180" priority="2594" stopIfTrue="1" operator="greaterThanOrEqual">
      <formula>1</formula>
    </cfRule>
    <cfRule type="cellIs" dxfId="1179" priority="2596" operator="lessThan">
      <formula>1</formula>
    </cfRule>
  </conditionalFormatting>
  <conditionalFormatting sqref="AH23:AI23">
    <cfRule type="cellIs" dxfId="1178" priority="2591" stopIfTrue="1" operator="greaterThanOrEqual">
      <formula>1</formula>
    </cfRule>
    <cfRule type="cellIs" dxfId="1177" priority="2592" stopIfTrue="1" operator="lessThan">
      <formula>0.95</formula>
    </cfRule>
    <cfRule type="cellIs" dxfId="1176" priority="2593" operator="lessThan">
      <formula>1</formula>
    </cfRule>
  </conditionalFormatting>
  <conditionalFormatting sqref="AH26:AI26">
    <cfRule type="cellIs" dxfId="1175" priority="2492" stopIfTrue="1" operator="lessThan">
      <formula>0.95</formula>
    </cfRule>
    <cfRule type="cellIs" dxfId="1174" priority="2491" stopIfTrue="1" operator="greaterThanOrEqual">
      <formula>1</formula>
    </cfRule>
    <cfRule type="cellIs" dxfId="1173" priority="2493" operator="lessThan">
      <formula>1</formula>
    </cfRule>
  </conditionalFormatting>
  <conditionalFormatting sqref="AH32:AI32">
    <cfRule type="cellIs" dxfId="1172" priority="2586" stopIfTrue="1" operator="lessThan">
      <formula>0.95</formula>
    </cfRule>
    <cfRule type="cellIs" dxfId="1171" priority="2585" stopIfTrue="1" operator="greaterThanOrEqual">
      <formula>1</formula>
    </cfRule>
    <cfRule type="cellIs" dxfId="1170" priority="2587" operator="lessThan">
      <formula>1</formula>
    </cfRule>
  </conditionalFormatting>
  <conditionalFormatting sqref="AH35:AI35">
    <cfRule type="cellIs" dxfId="1169" priority="279" operator="lessThan">
      <formula>1</formula>
    </cfRule>
    <cfRule type="cellIs" dxfId="1168" priority="277" stopIfTrue="1" operator="greaterThanOrEqual">
      <formula>1</formula>
    </cfRule>
    <cfRule type="cellIs" dxfId="1167" priority="278" stopIfTrue="1" operator="lessThan">
      <formula>0.95</formula>
    </cfRule>
  </conditionalFormatting>
  <conditionalFormatting sqref="AH41:AI41">
    <cfRule type="cellIs" dxfId="1166" priority="2578" operator="lessThan">
      <formula>1</formula>
    </cfRule>
    <cfRule type="cellIs" dxfId="1165" priority="2577" stopIfTrue="1" operator="lessThan">
      <formula>0.95</formula>
    </cfRule>
    <cfRule type="cellIs" dxfId="1164" priority="2576" stopIfTrue="1" operator="greaterThanOrEqual">
      <formula>1</formula>
    </cfRule>
  </conditionalFormatting>
  <conditionalFormatting sqref="AH47:AI47">
    <cfRule type="cellIs" dxfId="1163" priority="253" stopIfTrue="1" operator="greaterThanOrEqual">
      <formula>1</formula>
    </cfRule>
    <cfRule type="cellIs" dxfId="1162" priority="255" operator="lessThan">
      <formula>1</formula>
    </cfRule>
    <cfRule type="cellIs" dxfId="1161" priority="254" stopIfTrue="1" operator="lessThan">
      <formula>0.95</formula>
    </cfRule>
  </conditionalFormatting>
  <conditionalFormatting sqref="AH54:AI54">
    <cfRule type="cellIs" dxfId="1160" priority="245" operator="lessThan">
      <formula>1</formula>
    </cfRule>
    <cfRule type="cellIs" dxfId="1159" priority="244" stopIfTrue="1" operator="lessThan">
      <formula>0.95</formula>
    </cfRule>
    <cfRule type="cellIs" dxfId="1158" priority="243" stopIfTrue="1" operator="greaterThanOrEqual">
      <formula>1</formula>
    </cfRule>
  </conditionalFormatting>
  <conditionalFormatting sqref="AH60:AI60">
    <cfRule type="cellIs" dxfId="1157" priority="203" stopIfTrue="1" operator="greaterThanOrEqual">
      <formula>1</formula>
    </cfRule>
    <cfRule type="cellIs" dxfId="1156" priority="204" stopIfTrue="1" operator="lessThan">
      <formula>0.95</formula>
    </cfRule>
    <cfRule type="cellIs" dxfId="1155" priority="205" operator="lessThan">
      <formula>1</formula>
    </cfRule>
  </conditionalFormatting>
  <conditionalFormatting sqref="AH63:AI63">
    <cfRule type="cellIs" dxfId="1154" priority="174" stopIfTrue="1" operator="lessThan">
      <formula>0.95</formula>
    </cfRule>
    <cfRule type="cellIs" dxfId="1153" priority="173" stopIfTrue="1" operator="greaterThanOrEqual">
      <formula>1</formula>
    </cfRule>
    <cfRule type="cellIs" dxfId="1152" priority="175" operator="lessThan">
      <formula>1</formula>
    </cfRule>
  </conditionalFormatting>
  <conditionalFormatting sqref="AH66:AI66">
    <cfRule type="cellIs" dxfId="1151" priority="214" stopIfTrue="1" operator="lessThan">
      <formula>0.95</formula>
    </cfRule>
    <cfRule type="cellIs" dxfId="1150" priority="213" stopIfTrue="1" operator="greaterThanOrEqual">
      <formula>1</formula>
    </cfRule>
    <cfRule type="cellIs" dxfId="1149" priority="215" operator="lessThan">
      <formula>1</formula>
    </cfRule>
  </conditionalFormatting>
  <conditionalFormatting sqref="AH69:AI69">
    <cfRule type="cellIs" dxfId="1148" priority="233" stopIfTrue="1" operator="greaterThanOrEqual">
      <formula>1</formula>
    </cfRule>
    <cfRule type="cellIs" dxfId="1147" priority="235" operator="lessThan">
      <formula>1</formula>
    </cfRule>
    <cfRule type="cellIs" dxfId="1146" priority="234" stopIfTrue="1" operator="lessThan">
      <formula>0.95</formula>
    </cfRule>
  </conditionalFormatting>
  <conditionalFormatting sqref="AH72:AI72">
    <cfRule type="cellIs" dxfId="1145" priority="123" stopIfTrue="1" operator="greaterThanOrEqual">
      <formula>1</formula>
    </cfRule>
    <cfRule type="cellIs" dxfId="1144" priority="124" stopIfTrue="1" operator="lessThan">
      <formula>0.95</formula>
    </cfRule>
    <cfRule type="cellIs" dxfId="1143" priority="125" operator="lessThan">
      <formula>1</formula>
    </cfRule>
  </conditionalFormatting>
  <conditionalFormatting sqref="AH75:AI75">
    <cfRule type="cellIs" dxfId="1142" priority="164" stopIfTrue="1" operator="lessThan">
      <formula>0.95</formula>
    </cfRule>
    <cfRule type="cellIs" dxfId="1141" priority="165" operator="lessThan">
      <formula>1</formula>
    </cfRule>
    <cfRule type="cellIs" dxfId="1140" priority="163" stopIfTrue="1" operator="greaterThanOrEqual">
      <formula>1</formula>
    </cfRule>
  </conditionalFormatting>
  <conditionalFormatting sqref="AH78:AI78">
    <cfRule type="cellIs" dxfId="1139" priority="154" stopIfTrue="1" operator="lessThan">
      <formula>0.95</formula>
    </cfRule>
    <cfRule type="cellIs" dxfId="1138" priority="155" operator="lessThan">
      <formula>1</formula>
    </cfRule>
    <cfRule type="cellIs" dxfId="1137" priority="153" stopIfTrue="1" operator="greaterThanOrEqual">
      <formula>1</formula>
    </cfRule>
  </conditionalFormatting>
  <conditionalFormatting sqref="AH81:AI81">
    <cfRule type="cellIs" dxfId="1136" priority="145" operator="lessThan">
      <formula>1</formula>
    </cfRule>
    <cfRule type="cellIs" dxfId="1135" priority="144" stopIfTrue="1" operator="lessThan">
      <formula>0.95</formula>
    </cfRule>
    <cfRule type="cellIs" dxfId="1134" priority="143" stopIfTrue="1" operator="greaterThanOrEqual">
      <formula>1</formula>
    </cfRule>
  </conditionalFormatting>
  <conditionalFormatting sqref="AH84:AI84">
    <cfRule type="cellIs" dxfId="1133" priority="135" operator="lessThan">
      <formula>1</formula>
    </cfRule>
    <cfRule type="cellIs" dxfId="1132" priority="134" stopIfTrue="1" operator="lessThan">
      <formula>0.95</formula>
    </cfRule>
    <cfRule type="cellIs" dxfId="1131" priority="133" stopIfTrue="1" operator="greaterThanOrEqual">
      <formula>1</formula>
    </cfRule>
  </conditionalFormatting>
  <conditionalFormatting sqref="AH87:AI87">
    <cfRule type="cellIs" dxfId="1130" priority="114" stopIfTrue="1" operator="lessThan">
      <formula>0.95</formula>
    </cfRule>
    <cfRule type="cellIs" dxfId="1129" priority="113" stopIfTrue="1" operator="greaterThanOrEqual">
      <formula>1</formula>
    </cfRule>
    <cfRule type="cellIs" dxfId="1128" priority="115" operator="lessThan">
      <formula>1</formula>
    </cfRule>
  </conditionalFormatting>
  <conditionalFormatting sqref="AH96:AI96">
    <cfRule type="cellIs" dxfId="1127" priority="75" operator="lessThan">
      <formula>1</formula>
    </cfRule>
    <cfRule type="cellIs" dxfId="1126" priority="74" stopIfTrue="1" operator="lessThan">
      <formula>0.95</formula>
    </cfRule>
    <cfRule type="cellIs" dxfId="1125" priority="73" stopIfTrue="1" operator="greaterThanOrEqual">
      <formula>1</formula>
    </cfRule>
  </conditionalFormatting>
  <conditionalFormatting sqref="AH99:AI99">
    <cfRule type="cellIs" dxfId="1124" priority="94" stopIfTrue="1" operator="lessThan">
      <formula>0.95</formula>
    </cfRule>
    <cfRule type="cellIs" dxfId="1123" priority="95" operator="lessThan">
      <formula>1</formula>
    </cfRule>
    <cfRule type="cellIs" dxfId="1122" priority="93" stopIfTrue="1" operator="greaterThanOrEqual">
      <formula>1</formula>
    </cfRule>
  </conditionalFormatting>
  <conditionalFormatting sqref="AH102:AI102">
    <cfRule type="cellIs" dxfId="1121" priority="2536" stopIfTrue="1" operator="lessThan">
      <formula>0.95</formula>
    </cfRule>
    <cfRule type="cellIs" dxfId="1120" priority="2535" stopIfTrue="1" operator="greaterThanOrEqual">
      <formula>1</formula>
    </cfRule>
    <cfRule type="cellIs" dxfId="1119" priority="2537" operator="lessThan">
      <formula>1</formula>
    </cfRule>
  </conditionalFormatting>
  <conditionalFormatting sqref="AH105:AI105">
    <cfRule type="cellIs" dxfId="1118" priority="2568" stopIfTrue="1" operator="lessThan">
      <formula>0.95</formula>
    </cfRule>
    <cfRule type="cellIs" dxfId="1117" priority="2569" operator="lessThan">
      <formula>1</formula>
    </cfRule>
    <cfRule type="cellIs" dxfId="1116" priority="2567" stopIfTrue="1" operator="greaterThanOrEqual">
      <formula>1</formula>
    </cfRule>
  </conditionalFormatting>
  <conditionalFormatting sqref="AH108:AI108">
    <cfRule type="cellIs" dxfId="1115" priority="55" operator="lessThan">
      <formula>1</formula>
    </cfRule>
    <cfRule type="cellIs" dxfId="1114" priority="54" stopIfTrue="1" operator="lessThan">
      <formula>0.95</formula>
    </cfRule>
    <cfRule type="cellIs" dxfId="1113" priority="53" stopIfTrue="1" operator="greaterThanOrEqual">
      <formula>1</formula>
    </cfRule>
  </conditionalFormatting>
  <conditionalFormatting sqref="AH111:AI111">
    <cfRule type="cellIs" dxfId="1112" priority="2543" stopIfTrue="1" operator="greaterThanOrEqual">
      <formula>1</formula>
    </cfRule>
    <cfRule type="cellIs" dxfId="1111" priority="2544" stopIfTrue="1" operator="lessThan">
      <formula>0.95</formula>
    </cfRule>
    <cfRule type="cellIs" dxfId="1110" priority="2545" operator="lessThan">
      <formula>1</formula>
    </cfRule>
  </conditionalFormatting>
  <conditionalFormatting sqref="AH114:AI114">
    <cfRule type="cellIs" dxfId="1109" priority="83" stopIfTrue="1" operator="greaterThanOrEqual">
      <formula>1</formula>
    </cfRule>
    <cfRule type="cellIs" dxfId="1108" priority="84" stopIfTrue="1" operator="lessThan">
      <formula>0.95</formula>
    </cfRule>
    <cfRule type="cellIs" dxfId="1107" priority="85" operator="lessThan">
      <formula>1</formula>
    </cfRule>
  </conditionalFormatting>
  <conditionalFormatting sqref="AH117:AI117">
    <cfRule type="cellIs" dxfId="1106" priority="65" operator="lessThan">
      <formula>1</formula>
    </cfRule>
    <cfRule type="cellIs" dxfId="1105" priority="64" stopIfTrue="1" operator="lessThan">
      <formula>0.95</formula>
    </cfRule>
    <cfRule type="cellIs" dxfId="1104" priority="63" stopIfTrue="1" operator="greaterThanOrEqual">
      <formula>1</formula>
    </cfRule>
  </conditionalFormatting>
  <conditionalFormatting sqref="AH125:AI125">
    <cfRule type="cellIs" dxfId="1103" priority="44" stopIfTrue="1" operator="lessThan">
      <formula>0.95</formula>
    </cfRule>
    <cfRule type="cellIs" dxfId="1102" priority="43" stopIfTrue="1" operator="greaterThanOrEqual">
      <formula>1</formula>
    </cfRule>
    <cfRule type="cellIs" dxfId="1101" priority="45" operator="lessThan">
      <formula>1</formula>
    </cfRule>
  </conditionalFormatting>
  <conditionalFormatting sqref="AH128:AI128">
    <cfRule type="cellIs" dxfId="1100" priority="1682" stopIfTrue="1" operator="greaterThanOrEqual">
      <formula>1</formula>
    </cfRule>
    <cfRule type="cellIs" dxfId="1099" priority="2622" stopIfTrue="1" operator="lessThan">
      <formula>0.95</formula>
    </cfRule>
  </conditionalFormatting>
  <conditionalFormatting sqref="AH139:AI139">
    <cfRule type="cellIs" dxfId="1098" priority="34" stopIfTrue="1" operator="lessThan">
      <formula>0.95</formula>
    </cfRule>
    <cfRule type="cellIs" dxfId="1097" priority="35" operator="lessThan">
      <formula>1</formula>
    </cfRule>
    <cfRule type="cellIs" dxfId="1096" priority="33" stopIfTrue="1" operator="greaterThanOrEqual">
      <formula>1</formula>
    </cfRule>
  </conditionalFormatting>
  <conditionalFormatting sqref="AI17">
    <cfRule type="cellIs" dxfId="1095" priority="2709" stopIfTrue="1" operator="lessThan">
      <formula>0.95</formula>
    </cfRule>
    <cfRule type="cellIs" dxfId="1094" priority="2708" stopIfTrue="1" operator="lessThan">
      <formula>0.9</formula>
    </cfRule>
    <cfRule type="cellIs" dxfId="1093" priority="2710" operator="greaterThanOrEqual">
      <formula>0.95</formula>
    </cfRule>
  </conditionalFormatting>
  <conditionalFormatting sqref="AI29">
    <cfRule type="cellIs" dxfId="1092" priority="2599" operator="greaterThanOrEqual">
      <formula>0.95</formula>
    </cfRule>
    <cfRule type="cellIs" dxfId="1091" priority="2597" stopIfTrue="1" operator="lessThan">
      <formula>0.9</formula>
    </cfRule>
    <cfRule type="cellIs" dxfId="1090" priority="2598" stopIfTrue="1" operator="lessThan">
      <formula>0.95</formula>
    </cfRule>
  </conditionalFormatting>
  <conditionalFormatting sqref="AI38">
    <cfRule type="cellIs" dxfId="1089" priority="2662" operator="greaterThanOrEqual">
      <formula>0.95</formula>
    </cfRule>
    <cfRule type="cellIs" dxfId="1088" priority="2661" stopIfTrue="1" operator="lessThan">
      <formula>0.95</formula>
    </cfRule>
    <cfRule type="cellIs" dxfId="1087" priority="2660" stopIfTrue="1" operator="lessThan">
      <formula>0.9</formula>
    </cfRule>
  </conditionalFormatting>
  <conditionalFormatting sqref="AI57">
    <cfRule type="cellIs" dxfId="1086" priority="1604" operator="greaterThanOrEqual">
      <formula>0.95</formula>
    </cfRule>
    <cfRule type="cellIs" dxfId="1085" priority="1603" stopIfTrue="1" operator="lessThan">
      <formula>0.95</formula>
    </cfRule>
    <cfRule type="cellIs" dxfId="1084" priority="1602" stopIfTrue="1" operator="lessThan">
      <formula>0.9</formula>
    </cfRule>
  </conditionalFormatting>
  <conditionalFormatting sqref="AI93">
    <cfRule type="cellIs" dxfId="1083" priority="2243" stopIfTrue="1" operator="lessThan">
      <formula>0.95</formula>
    </cfRule>
    <cfRule type="cellIs" dxfId="1082" priority="2244" operator="greaterThanOrEqual">
      <formula>0.95</formula>
    </cfRule>
    <cfRule type="cellIs" dxfId="1081" priority="2242" stopIfTrue="1" operator="lessThan">
      <formula>0.9</formula>
    </cfRule>
  </conditionalFormatting>
  <conditionalFormatting sqref="AI128">
    <cfRule type="cellIs" dxfId="1080" priority="1683" operator="lessThan">
      <formula>1</formula>
    </cfRule>
  </conditionalFormatting>
  <conditionalFormatting sqref="AI131">
    <cfRule type="cellIs" dxfId="1079" priority="1686" operator="lessThan">
      <formula>1</formula>
    </cfRule>
    <cfRule type="cellIs" dxfId="1078" priority="1685" stopIfTrue="1" operator="lessThan">
      <formula>0.95</formula>
    </cfRule>
  </conditionalFormatting>
  <conditionalFormatting sqref="AI134">
    <cfRule type="cellIs" dxfId="1077" priority="1681" operator="lessThan">
      <formula>1</formula>
    </cfRule>
    <cfRule type="cellIs" dxfId="1076" priority="1680" stopIfTrue="1" operator="lessThan">
      <formula>0.95</formula>
    </cfRule>
  </conditionalFormatting>
  <conditionalFormatting sqref="AM11">
    <cfRule type="cellIs" dxfId="1075" priority="4" operator="equal">
      <formula>"G"</formula>
    </cfRule>
    <cfRule type="cellIs" dxfId="1074" priority="6" operator="equal">
      <formula>"R"</formula>
    </cfRule>
    <cfRule type="cellIs" dxfId="1073" priority="5" operator="equal">
      <formula>"A"</formula>
    </cfRule>
    <cfRule type="cellIs" dxfId="1072" priority="3" operator="equal">
      <formula>"n/a"</formula>
    </cfRule>
  </conditionalFormatting>
  <conditionalFormatting sqref="AM17">
    <cfRule type="cellIs" dxfId="1071" priority="1787" operator="equal">
      <formula>"R"</formula>
    </cfRule>
    <cfRule type="cellIs" dxfId="1070" priority="1784" operator="equal">
      <formula>"n/a"</formula>
    </cfRule>
    <cfRule type="cellIs" dxfId="1069" priority="1785" operator="equal">
      <formula>"G"</formula>
    </cfRule>
    <cfRule type="cellIs" dxfId="1068" priority="1786" operator="equal">
      <formula>"A"</formula>
    </cfRule>
  </conditionalFormatting>
  <conditionalFormatting sqref="AM20">
    <cfRule type="cellIs" dxfId="1067" priority="1780" operator="equal">
      <formula>"n/a"</formula>
    </cfRule>
    <cfRule type="cellIs" dxfId="1066" priority="1782" operator="equal">
      <formula>"A"</formula>
    </cfRule>
    <cfRule type="cellIs" dxfId="1065" priority="1783" operator="equal">
      <formula>"R"</formula>
    </cfRule>
    <cfRule type="cellIs" dxfId="1064" priority="1781" operator="equal">
      <formula>"G"</formula>
    </cfRule>
  </conditionalFormatting>
  <conditionalFormatting sqref="AM23">
    <cfRule type="cellIs" dxfId="1063" priority="1775" operator="equal">
      <formula>"R"</formula>
    </cfRule>
    <cfRule type="cellIs" dxfId="1062" priority="1774" operator="equal">
      <formula>"A"</formula>
    </cfRule>
    <cfRule type="cellIs" dxfId="1061" priority="1773" operator="equal">
      <formula>"G"</formula>
    </cfRule>
    <cfRule type="cellIs" dxfId="1060" priority="1772" operator="equal">
      <formula>"n/a"</formula>
    </cfRule>
  </conditionalFormatting>
  <conditionalFormatting sqref="AM26">
    <cfRule type="cellIs" dxfId="1059" priority="1788" operator="equal">
      <formula>"n/a"</formula>
    </cfRule>
    <cfRule type="cellIs" dxfId="1058" priority="1789" operator="equal">
      <formula>"G"</formula>
    </cfRule>
    <cfRule type="cellIs" dxfId="1057" priority="1790" operator="equal">
      <formula>"A"</formula>
    </cfRule>
    <cfRule type="cellIs" dxfId="1056" priority="1791" operator="equal">
      <formula>"R"</formula>
    </cfRule>
  </conditionalFormatting>
  <conditionalFormatting sqref="AM29">
    <cfRule type="cellIs" dxfId="1055" priority="267" operator="equal">
      <formula>"A"</formula>
    </cfRule>
    <cfRule type="cellIs" dxfId="1054" priority="266" operator="equal">
      <formula>"G"</formula>
    </cfRule>
    <cfRule type="cellIs" dxfId="1053" priority="265" operator="equal">
      <formula>"n/a"</formula>
    </cfRule>
    <cfRule type="cellIs" dxfId="1052" priority="268" operator="equal">
      <formula>"R"</formula>
    </cfRule>
  </conditionalFormatting>
  <conditionalFormatting sqref="AM32">
    <cfRule type="cellIs" dxfId="1051" priority="1779" operator="equal">
      <formula>"R"</formula>
    </cfRule>
    <cfRule type="cellIs" dxfId="1050" priority="1776" operator="equal">
      <formula>"n/a"</formula>
    </cfRule>
    <cfRule type="cellIs" dxfId="1049" priority="1777" operator="equal">
      <formula>"G"</formula>
    </cfRule>
    <cfRule type="cellIs" dxfId="1048" priority="1778" operator="equal">
      <formula>"A"</formula>
    </cfRule>
  </conditionalFormatting>
  <conditionalFormatting sqref="AM35">
    <cfRule type="cellIs" dxfId="1047" priority="1769" operator="equal">
      <formula>"G"</formula>
    </cfRule>
    <cfRule type="cellIs" dxfId="1046" priority="1770" operator="equal">
      <formula>"A"</formula>
    </cfRule>
    <cfRule type="cellIs" dxfId="1045" priority="1768" operator="equal">
      <formula>"n/a"</formula>
    </cfRule>
    <cfRule type="cellIs" dxfId="1044" priority="1771" operator="equal">
      <formula>"R"</formula>
    </cfRule>
  </conditionalFormatting>
  <conditionalFormatting sqref="AM38">
    <cfRule type="cellIs" dxfId="1043" priority="1766" operator="equal">
      <formula>"A"</formula>
    </cfRule>
    <cfRule type="cellIs" dxfId="1042" priority="1764" operator="equal">
      <formula>"n/a"</formula>
    </cfRule>
    <cfRule type="cellIs" dxfId="1041" priority="1765" operator="equal">
      <formula>"G"</formula>
    </cfRule>
    <cfRule type="cellIs" dxfId="1040" priority="1767" operator="equal">
      <formula>"R"</formula>
    </cfRule>
  </conditionalFormatting>
  <conditionalFormatting sqref="AM41">
    <cfRule type="cellIs" dxfId="1039" priority="1988" operator="equal">
      <formula>"n/a"</formula>
    </cfRule>
    <cfRule type="cellIs" dxfId="1038" priority="1989" operator="equal">
      <formula>"G"</formula>
    </cfRule>
    <cfRule type="cellIs" dxfId="1037" priority="1990" operator="equal">
      <formula>"A"</formula>
    </cfRule>
    <cfRule type="cellIs" dxfId="1036" priority="1991" operator="equal">
      <formula>"R"</formula>
    </cfRule>
  </conditionalFormatting>
  <conditionalFormatting sqref="AM47">
    <cfRule type="cellIs" dxfId="1035" priority="252" operator="equal">
      <formula>"R"</formula>
    </cfRule>
    <cfRule type="cellIs" dxfId="1034" priority="251" operator="equal">
      <formula>"A"</formula>
    </cfRule>
    <cfRule type="cellIs" dxfId="1033" priority="250" operator="equal">
      <formula>"G"</formula>
    </cfRule>
    <cfRule type="cellIs" dxfId="1032" priority="249" operator="equal">
      <formula>"n/a"</formula>
    </cfRule>
  </conditionalFormatting>
  <conditionalFormatting sqref="AM54">
    <cfRule type="cellIs" dxfId="1031" priority="240" operator="equal">
      <formula>"G"</formula>
    </cfRule>
    <cfRule type="cellIs" dxfId="1030" priority="242" operator="equal">
      <formula>"R"</formula>
    </cfRule>
    <cfRule type="cellIs" dxfId="1029" priority="239" operator="equal">
      <formula>"n/a"</formula>
    </cfRule>
    <cfRule type="cellIs" dxfId="1028" priority="241" operator="equal">
      <formula>"A"</formula>
    </cfRule>
  </conditionalFormatting>
  <conditionalFormatting sqref="AM57">
    <cfRule type="cellIs" dxfId="1027" priority="1593" operator="equal">
      <formula>"R"</formula>
    </cfRule>
    <cfRule type="cellIs" dxfId="1026" priority="1591" operator="equal">
      <formula>"G"</formula>
    </cfRule>
    <cfRule type="cellIs" dxfId="1025" priority="1590" operator="equal">
      <formula>"n/a"</formula>
    </cfRule>
    <cfRule type="cellIs" dxfId="1024" priority="1592" operator="equal">
      <formula>"A"</formula>
    </cfRule>
  </conditionalFormatting>
  <conditionalFormatting sqref="AM60">
    <cfRule type="cellIs" dxfId="1023" priority="202" operator="equal">
      <formula>"R"</formula>
    </cfRule>
    <cfRule type="cellIs" dxfId="1022" priority="201" operator="equal">
      <formula>"A"</formula>
    </cfRule>
    <cfRule type="cellIs" dxfId="1021" priority="200" operator="equal">
      <formula>"G"</formula>
    </cfRule>
    <cfRule type="cellIs" dxfId="1020" priority="199" operator="equal">
      <formula>"n/a"</formula>
    </cfRule>
  </conditionalFormatting>
  <conditionalFormatting sqref="AM63">
    <cfRule type="cellIs" dxfId="1019" priority="170" operator="equal">
      <formula>"G"</formula>
    </cfRule>
    <cfRule type="cellIs" dxfId="1018" priority="172" operator="equal">
      <formula>"R"</formula>
    </cfRule>
    <cfRule type="cellIs" dxfId="1017" priority="171" operator="equal">
      <formula>"A"</formula>
    </cfRule>
    <cfRule type="cellIs" dxfId="1016" priority="169" operator="equal">
      <formula>"n/a"</formula>
    </cfRule>
  </conditionalFormatting>
  <conditionalFormatting sqref="AM66">
    <cfRule type="cellIs" dxfId="1015" priority="211" operator="equal">
      <formula>"A"</formula>
    </cfRule>
    <cfRule type="cellIs" dxfId="1014" priority="209" operator="equal">
      <formula>"n/a"</formula>
    </cfRule>
    <cfRule type="cellIs" dxfId="1013" priority="212" operator="equal">
      <formula>"R"</formula>
    </cfRule>
    <cfRule type="cellIs" dxfId="1012" priority="210" operator="equal">
      <formula>"G"</formula>
    </cfRule>
  </conditionalFormatting>
  <conditionalFormatting sqref="AM69">
    <cfRule type="cellIs" dxfId="1011" priority="231" operator="equal">
      <formula>"A"</formula>
    </cfRule>
    <cfRule type="cellIs" dxfId="1010" priority="232" operator="equal">
      <formula>"R"</formula>
    </cfRule>
    <cfRule type="cellIs" dxfId="1009" priority="230" operator="equal">
      <formula>"G"</formula>
    </cfRule>
    <cfRule type="cellIs" dxfId="1008" priority="229" operator="equal">
      <formula>"n/a"</formula>
    </cfRule>
  </conditionalFormatting>
  <conditionalFormatting sqref="AM72">
    <cfRule type="cellIs" dxfId="1007" priority="120" operator="equal">
      <formula>"G"</formula>
    </cfRule>
    <cfRule type="cellIs" dxfId="1006" priority="121" operator="equal">
      <formula>"A"</formula>
    </cfRule>
    <cfRule type="cellIs" dxfId="1005" priority="122" operator="equal">
      <formula>"R"</formula>
    </cfRule>
    <cfRule type="cellIs" dxfId="1004" priority="119" operator="equal">
      <formula>"n/a"</formula>
    </cfRule>
  </conditionalFormatting>
  <conditionalFormatting sqref="AM75">
    <cfRule type="cellIs" dxfId="1003" priority="161" operator="equal">
      <formula>"A"</formula>
    </cfRule>
    <cfRule type="cellIs" dxfId="1002" priority="162" operator="equal">
      <formula>"R"</formula>
    </cfRule>
    <cfRule type="cellIs" dxfId="1001" priority="160" operator="equal">
      <formula>"G"</formula>
    </cfRule>
    <cfRule type="cellIs" dxfId="1000" priority="159" operator="equal">
      <formula>"n/a"</formula>
    </cfRule>
  </conditionalFormatting>
  <conditionalFormatting sqref="AM78">
    <cfRule type="cellIs" dxfId="999" priority="152" operator="equal">
      <formula>"R"</formula>
    </cfRule>
    <cfRule type="cellIs" dxfId="998" priority="149" operator="equal">
      <formula>"n/a"</formula>
    </cfRule>
    <cfRule type="cellIs" dxfId="997" priority="150" operator="equal">
      <formula>"G"</formula>
    </cfRule>
    <cfRule type="cellIs" dxfId="996" priority="151" operator="equal">
      <formula>"A"</formula>
    </cfRule>
  </conditionalFormatting>
  <conditionalFormatting sqref="AM81">
    <cfRule type="cellIs" dxfId="995" priority="141" operator="equal">
      <formula>"A"</formula>
    </cfRule>
    <cfRule type="cellIs" dxfId="994" priority="140" operator="equal">
      <formula>"G"</formula>
    </cfRule>
    <cfRule type="cellIs" dxfId="993" priority="139" operator="equal">
      <formula>"n/a"</formula>
    </cfRule>
    <cfRule type="cellIs" dxfId="992" priority="142" operator="equal">
      <formula>"R"</formula>
    </cfRule>
  </conditionalFormatting>
  <conditionalFormatting sqref="AM84">
    <cfRule type="cellIs" dxfId="991" priority="132" operator="equal">
      <formula>"R"</formula>
    </cfRule>
    <cfRule type="cellIs" dxfId="990" priority="131" operator="equal">
      <formula>"A"</formula>
    </cfRule>
    <cfRule type="cellIs" dxfId="989" priority="129" operator="equal">
      <formula>"n/a"</formula>
    </cfRule>
    <cfRule type="cellIs" dxfId="988" priority="130" operator="equal">
      <formula>"G"</formula>
    </cfRule>
  </conditionalFormatting>
  <conditionalFormatting sqref="AM87">
    <cfRule type="cellIs" dxfId="987" priority="112" operator="equal">
      <formula>"R"</formula>
    </cfRule>
    <cfRule type="cellIs" dxfId="986" priority="109" operator="equal">
      <formula>"n/a"</formula>
    </cfRule>
    <cfRule type="cellIs" dxfId="985" priority="110" operator="equal">
      <formula>"G"</formula>
    </cfRule>
    <cfRule type="cellIs" dxfId="984" priority="111" operator="equal">
      <formula>"A"</formula>
    </cfRule>
  </conditionalFormatting>
  <conditionalFormatting sqref="AM93">
    <cfRule type="cellIs" dxfId="983" priority="1747" operator="equal">
      <formula>"R"</formula>
    </cfRule>
    <cfRule type="cellIs" dxfId="982" priority="1746" operator="equal">
      <formula>"A"</formula>
    </cfRule>
    <cfRule type="cellIs" dxfId="981" priority="1744" operator="equal">
      <formula>"n/a"</formula>
    </cfRule>
    <cfRule type="cellIs" dxfId="980" priority="1745" operator="equal">
      <formula>"G"</formula>
    </cfRule>
  </conditionalFormatting>
  <conditionalFormatting sqref="AM96">
    <cfRule type="cellIs" dxfId="979" priority="71" operator="equal">
      <formula>"A"</formula>
    </cfRule>
    <cfRule type="cellIs" dxfId="978" priority="72" operator="equal">
      <formula>"R"</formula>
    </cfRule>
    <cfRule type="cellIs" dxfId="977" priority="69" operator="equal">
      <formula>"n/a"</formula>
    </cfRule>
    <cfRule type="cellIs" dxfId="976" priority="70" operator="equal">
      <formula>"G"</formula>
    </cfRule>
  </conditionalFormatting>
  <conditionalFormatting sqref="AM99">
    <cfRule type="cellIs" dxfId="975" priority="91" operator="equal">
      <formula>"A"</formula>
    </cfRule>
    <cfRule type="cellIs" dxfId="974" priority="89" operator="equal">
      <formula>"n/a"</formula>
    </cfRule>
    <cfRule type="cellIs" dxfId="973" priority="90" operator="equal">
      <formula>"G"</formula>
    </cfRule>
    <cfRule type="cellIs" dxfId="972" priority="92" operator="equal">
      <formula>"R"</formula>
    </cfRule>
  </conditionalFormatting>
  <conditionalFormatting sqref="AM102">
    <cfRule type="cellIs" dxfId="971" priority="1753" operator="equal">
      <formula>"G"</formula>
    </cfRule>
    <cfRule type="cellIs" dxfId="970" priority="1755" operator="equal">
      <formula>"R"</formula>
    </cfRule>
    <cfRule type="cellIs" dxfId="969" priority="1754" operator="equal">
      <formula>"A"</formula>
    </cfRule>
    <cfRule type="cellIs" dxfId="968" priority="1752" operator="equal">
      <formula>"n/a"</formula>
    </cfRule>
  </conditionalFormatting>
  <conditionalFormatting sqref="AM105">
    <cfRule type="cellIs" dxfId="967" priority="1758" operator="equal">
      <formula>"A"</formula>
    </cfRule>
    <cfRule type="cellIs" dxfId="966" priority="1757" operator="equal">
      <formula>"G"</formula>
    </cfRule>
    <cfRule type="cellIs" dxfId="965" priority="1756" operator="equal">
      <formula>"n/a"</formula>
    </cfRule>
    <cfRule type="cellIs" dxfId="964" priority="1759" operator="equal">
      <formula>"R"</formula>
    </cfRule>
  </conditionalFormatting>
  <conditionalFormatting sqref="AM108">
    <cfRule type="cellIs" dxfId="963" priority="51" operator="equal">
      <formula>"A"</formula>
    </cfRule>
    <cfRule type="cellIs" dxfId="962" priority="49" operator="equal">
      <formula>"n/a"</formula>
    </cfRule>
    <cfRule type="cellIs" dxfId="961" priority="52" operator="equal">
      <formula>"R"</formula>
    </cfRule>
    <cfRule type="cellIs" dxfId="960" priority="50" operator="equal">
      <formula>"G"</formula>
    </cfRule>
  </conditionalFormatting>
  <conditionalFormatting sqref="AM111">
    <cfRule type="cellIs" dxfId="959" priority="1751" operator="equal">
      <formula>"R"</formula>
    </cfRule>
    <cfRule type="cellIs" dxfId="958" priority="1750" operator="equal">
      <formula>"A"</formula>
    </cfRule>
    <cfRule type="cellIs" dxfId="957" priority="1749" operator="equal">
      <formula>"G"</formula>
    </cfRule>
    <cfRule type="cellIs" dxfId="956" priority="1748" operator="equal">
      <formula>"n/a"</formula>
    </cfRule>
  </conditionalFormatting>
  <conditionalFormatting sqref="AM114">
    <cfRule type="cellIs" dxfId="955" priority="80" operator="equal">
      <formula>"G"</formula>
    </cfRule>
    <cfRule type="cellIs" dxfId="954" priority="81" operator="equal">
      <formula>"A"</formula>
    </cfRule>
    <cfRule type="cellIs" dxfId="953" priority="79" operator="equal">
      <formula>"n/a"</formula>
    </cfRule>
    <cfRule type="cellIs" dxfId="952" priority="82" operator="equal">
      <formula>"R"</formula>
    </cfRule>
  </conditionalFormatting>
  <conditionalFormatting sqref="AM117">
    <cfRule type="cellIs" dxfId="951" priority="62" operator="equal">
      <formula>"R"</formula>
    </cfRule>
    <cfRule type="cellIs" dxfId="950" priority="61" operator="equal">
      <formula>"A"</formula>
    </cfRule>
    <cfRule type="cellIs" dxfId="949" priority="60" operator="equal">
      <formula>"G"</formula>
    </cfRule>
    <cfRule type="cellIs" dxfId="948" priority="59" operator="equal">
      <formula>"n/a"</formula>
    </cfRule>
  </conditionalFormatting>
  <conditionalFormatting sqref="AM125">
    <cfRule type="cellIs" dxfId="947" priority="39" operator="equal">
      <formula>"n/a"</formula>
    </cfRule>
    <cfRule type="cellIs" dxfId="946" priority="40" operator="equal">
      <formula>"G"</formula>
    </cfRule>
    <cfRule type="cellIs" dxfId="945" priority="41" operator="equal">
      <formula>"A"</formula>
    </cfRule>
    <cfRule type="cellIs" dxfId="944" priority="42" operator="equal">
      <formula>"R"</formula>
    </cfRule>
  </conditionalFormatting>
  <conditionalFormatting sqref="AM128">
    <cfRule type="cellIs" dxfId="943" priority="1742" operator="equal">
      <formula>"A"</formula>
    </cfRule>
    <cfRule type="cellIs" dxfId="942" priority="1740" operator="equal">
      <formula>"n/a"</formula>
    </cfRule>
    <cfRule type="cellIs" dxfId="941" priority="1743" operator="equal">
      <formula>"R"</formula>
    </cfRule>
    <cfRule type="cellIs" dxfId="940" priority="1741" operator="equal">
      <formula>"G"</formula>
    </cfRule>
  </conditionalFormatting>
  <conditionalFormatting sqref="AM131">
    <cfRule type="cellIs" dxfId="939" priority="1736" operator="equal">
      <formula>"n/a"</formula>
    </cfRule>
    <cfRule type="cellIs" dxfId="938" priority="1737" operator="equal">
      <formula>"G"</formula>
    </cfRule>
    <cfRule type="cellIs" dxfId="937" priority="1738" operator="equal">
      <formula>"A"</formula>
    </cfRule>
    <cfRule type="cellIs" dxfId="936" priority="1739" operator="equal">
      <formula>"R"</formula>
    </cfRule>
  </conditionalFormatting>
  <conditionalFormatting sqref="AM134">
    <cfRule type="cellIs" dxfId="935" priority="1733" operator="equal">
      <formula>"G"</formula>
    </cfRule>
    <cfRule type="cellIs" dxfId="934" priority="1734" operator="equal">
      <formula>"A"</formula>
    </cfRule>
    <cfRule type="cellIs" dxfId="933" priority="1735" operator="equal">
      <formula>"R"</formula>
    </cfRule>
    <cfRule type="cellIs" dxfId="932" priority="1732" operator="equal">
      <formula>"n/a"</formula>
    </cfRule>
  </conditionalFormatting>
  <conditionalFormatting sqref="AM139">
    <cfRule type="cellIs" dxfId="931" priority="29" operator="equal">
      <formula>"n/a"</formula>
    </cfRule>
    <cfRule type="cellIs" dxfId="930" priority="32" operator="equal">
      <formula>"R"</formula>
    </cfRule>
    <cfRule type="cellIs" dxfId="929" priority="31" operator="equal">
      <formula>"A"</formula>
    </cfRule>
    <cfRule type="cellIs" dxfId="928" priority="30" operator="equal">
      <formula>"G"</formula>
    </cfRule>
  </conditionalFormatting>
  <pageMargins left="0.23622047244094491" right="0.23622047244094491" top="0.35433070866141736" bottom="0.35433070866141736" header="0.31496062992125984" footer="0.31496062992125984"/>
  <pageSetup paperSize="8" scale="63" fitToHeight="0" orientation="landscape" r:id="rId61"/>
  <headerFooter>
    <oddFooter>&amp;L&amp;1#&amp;"Calibri"&amp;10&amp;K000000OFFICIAL</oddFooter>
  </headerFooter>
  <rowBreaks count="4" manualBreakCount="4">
    <brk id="36" min="1" max="38" man="1"/>
    <brk id="73" min="1" max="38" man="1"/>
    <brk id="106" min="1" max="38" man="1"/>
    <brk id="135" min="1" max="38" man="1"/>
  </rowBreaks>
  <legacyDrawing r:id="rId6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BC9EFB-D59B-41A3-BA57-3E859AF0DAB7}">
  <sheetPr codeName="Sheet3"/>
  <dimension ref="A2:O77"/>
  <sheetViews>
    <sheetView zoomScale="90" zoomScaleNormal="90" workbookViewId="0">
      <pane ySplit="5" topLeftCell="A6" activePane="bottomLeft" state="frozen"/>
      <selection activeCell="AJ34" sqref="AJ34"/>
      <selection pane="bottomLeft" activeCell="A67" sqref="A67"/>
    </sheetView>
  </sheetViews>
  <sheetFormatPr defaultColWidth="8.3828125" defaultRowHeight="11.6" x14ac:dyDescent="0.4"/>
  <cols>
    <col min="1" max="1" width="25.3828125" style="15" customWidth="1"/>
    <col min="2" max="2" width="9.3828125" style="1" customWidth="1"/>
    <col min="3" max="3" width="0.53515625" style="15" customWidth="1"/>
    <col min="4" max="4" width="8.3828125" style="15" customWidth="1"/>
    <col min="5" max="5" width="8.3828125" style="25" customWidth="1"/>
    <col min="6" max="6" width="8.3828125" style="15" customWidth="1"/>
    <col min="7" max="7" width="10.3828125" style="57" customWidth="1"/>
    <col min="8" max="8" width="10.3828125" style="58" customWidth="1"/>
    <col min="9" max="9" width="0.3828125" style="15" customWidth="1"/>
    <col min="10" max="11" width="8.3828125" style="15" customWidth="1"/>
    <col min="12" max="12" width="0.53515625" style="15" customWidth="1"/>
    <col min="13" max="13" width="15.3828125" style="6" bestFit="1" customWidth="1"/>
    <col min="14" max="14" width="98.3828125" style="15" customWidth="1"/>
    <col min="15" max="16" width="8.3828125" style="15"/>
    <col min="17" max="17" width="74.3828125" style="15" customWidth="1"/>
    <col min="18" max="16384" width="8.3828125" style="15"/>
  </cols>
  <sheetData>
    <row r="2" spans="1:14" ht="15" customHeight="1" x14ac:dyDescent="0.4">
      <c r="A2" s="725" t="s">
        <v>0</v>
      </c>
      <c r="B2" s="746" t="s">
        <v>1</v>
      </c>
      <c r="C2" s="177"/>
      <c r="D2" s="703" t="s">
        <v>47</v>
      </c>
      <c r="E2" s="703"/>
      <c r="F2" s="703"/>
      <c r="G2" s="703"/>
      <c r="H2" s="703"/>
      <c r="I2" s="703"/>
      <c r="J2" s="703"/>
      <c r="K2" s="703"/>
    </row>
    <row r="3" spans="1:14" ht="12" customHeight="1" x14ac:dyDescent="0.4">
      <c r="A3" s="725"/>
      <c r="B3" s="746"/>
      <c r="C3" s="19"/>
      <c r="D3" s="717" t="s">
        <v>48</v>
      </c>
      <c r="E3" s="717"/>
      <c r="F3" s="717"/>
      <c r="G3" s="717"/>
      <c r="H3" s="717"/>
      <c r="I3" s="178"/>
      <c r="J3" s="703" t="s">
        <v>30</v>
      </c>
      <c r="K3" s="704"/>
      <c r="L3" s="178"/>
    </row>
    <row r="4" spans="1:14" ht="12" customHeight="1" x14ac:dyDescent="0.4">
      <c r="A4" s="725"/>
      <c r="B4" s="746"/>
      <c r="C4" s="20"/>
      <c r="D4" s="732" t="s">
        <v>221</v>
      </c>
      <c r="E4" s="732" t="s">
        <v>54</v>
      </c>
      <c r="F4" s="732" t="s">
        <v>49</v>
      </c>
      <c r="G4" s="732" t="s">
        <v>55</v>
      </c>
      <c r="H4" s="732" t="s">
        <v>50</v>
      </c>
      <c r="I4" s="178"/>
      <c r="J4" s="732" t="s">
        <v>51</v>
      </c>
      <c r="K4" s="755" t="s">
        <v>2</v>
      </c>
      <c r="L4" s="178"/>
      <c r="M4" s="751" t="s">
        <v>65</v>
      </c>
      <c r="N4" s="753" t="s">
        <v>61</v>
      </c>
    </row>
    <row r="5" spans="1:14" ht="12" customHeight="1" x14ac:dyDescent="0.4">
      <c r="A5" s="725"/>
      <c r="B5" s="746"/>
      <c r="C5" s="21"/>
      <c r="D5" s="734"/>
      <c r="E5" s="734"/>
      <c r="F5" s="734"/>
      <c r="G5" s="734"/>
      <c r="H5" s="734"/>
      <c r="I5" s="178"/>
      <c r="J5" s="734"/>
      <c r="K5" s="756"/>
      <c r="L5" s="178"/>
      <c r="M5" s="752"/>
      <c r="N5" s="754"/>
    </row>
    <row r="6" spans="1:14" x14ac:dyDescent="0.4">
      <c r="A6" s="179"/>
      <c r="B6" s="178"/>
      <c r="E6" s="170"/>
      <c r="G6" s="171"/>
    </row>
    <row r="7" spans="1:14" ht="23.15" x14ac:dyDescent="0.4">
      <c r="A7" s="3" t="s">
        <v>7</v>
      </c>
      <c r="B7" s="178" t="s">
        <v>3</v>
      </c>
      <c r="C7" s="13"/>
      <c r="D7" s="62" t="s">
        <v>8</v>
      </c>
      <c r="E7" s="5">
        <v>788</v>
      </c>
      <c r="F7" s="4">
        <v>846</v>
      </c>
      <c r="G7" s="75">
        <v>44986</v>
      </c>
      <c r="H7" s="63">
        <v>45170</v>
      </c>
      <c r="J7" s="4">
        <v>846</v>
      </c>
      <c r="K7" s="4">
        <v>846</v>
      </c>
      <c r="M7" s="23"/>
      <c r="N7" s="22"/>
    </row>
    <row r="8" spans="1:14" ht="23.15" x14ac:dyDescent="0.4">
      <c r="A8" s="3"/>
      <c r="B8" s="178"/>
      <c r="C8" s="13"/>
      <c r="D8" s="62" t="s">
        <v>8</v>
      </c>
      <c r="E8" s="5">
        <v>788</v>
      </c>
      <c r="F8" s="4">
        <v>846</v>
      </c>
      <c r="G8" s="75">
        <v>44986</v>
      </c>
      <c r="H8" s="63">
        <v>45170</v>
      </c>
      <c r="J8" s="16">
        <v>871</v>
      </c>
      <c r="K8" s="16">
        <v>871</v>
      </c>
      <c r="M8" s="23" t="s">
        <v>62</v>
      </c>
      <c r="N8" s="24" t="s">
        <v>63</v>
      </c>
    </row>
    <row r="9" spans="1:14" ht="46.3" x14ac:dyDescent="0.4">
      <c r="A9" s="3"/>
      <c r="B9" s="178"/>
      <c r="C9" s="13"/>
      <c r="D9" s="62" t="s">
        <v>8</v>
      </c>
      <c r="E9" s="5">
        <v>788</v>
      </c>
      <c r="F9" s="16">
        <v>871</v>
      </c>
      <c r="G9" s="75">
        <v>44986</v>
      </c>
      <c r="H9" s="63">
        <v>45170</v>
      </c>
      <c r="J9" s="4">
        <v>871</v>
      </c>
      <c r="K9" s="4">
        <v>871</v>
      </c>
      <c r="M9" s="23" t="s">
        <v>143</v>
      </c>
      <c r="N9" s="24" t="s">
        <v>180</v>
      </c>
    </row>
    <row r="10" spans="1:14" ht="23.15" x14ac:dyDescent="0.4">
      <c r="A10" s="3"/>
      <c r="B10" s="178"/>
      <c r="C10" s="13"/>
      <c r="D10" s="62" t="s">
        <v>8</v>
      </c>
      <c r="E10" s="26">
        <f>E9+25</f>
        <v>813</v>
      </c>
      <c r="F10" s="4">
        <v>871</v>
      </c>
      <c r="G10" s="75">
        <v>44986</v>
      </c>
      <c r="H10" s="63">
        <v>45170</v>
      </c>
      <c r="J10" s="4">
        <v>871</v>
      </c>
      <c r="K10" s="4">
        <v>871</v>
      </c>
      <c r="M10" s="68" t="s">
        <v>181</v>
      </c>
      <c r="N10" s="24" t="s">
        <v>182</v>
      </c>
    </row>
    <row r="11" spans="1:14" x14ac:dyDescent="0.4">
      <c r="A11" s="179"/>
      <c r="B11" s="178"/>
      <c r="E11" s="170"/>
      <c r="G11" s="171"/>
    </row>
    <row r="12" spans="1:14" ht="23.15" x14ac:dyDescent="0.4">
      <c r="A12" s="3" t="s">
        <v>115</v>
      </c>
      <c r="B12" s="178" t="s">
        <v>3</v>
      </c>
      <c r="C12" s="13"/>
      <c r="D12" s="62" t="s">
        <v>20</v>
      </c>
      <c r="E12" s="5">
        <v>218</v>
      </c>
      <c r="F12" s="4">
        <v>238</v>
      </c>
      <c r="G12" s="75">
        <v>44986</v>
      </c>
      <c r="H12" s="63">
        <v>44986</v>
      </c>
      <c r="J12" s="4">
        <v>238</v>
      </c>
      <c r="K12" s="7">
        <v>201.5</v>
      </c>
      <c r="M12" s="23"/>
      <c r="N12" s="22"/>
    </row>
    <row r="13" spans="1:14" ht="57.9" x14ac:dyDescent="0.4">
      <c r="A13" s="3"/>
      <c r="B13" s="178"/>
      <c r="C13" s="13"/>
      <c r="D13" s="62" t="s">
        <v>20</v>
      </c>
      <c r="E13" s="5">
        <v>218</v>
      </c>
      <c r="F13" s="16">
        <v>249.3</v>
      </c>
      <c r="G13" s="75">
        <v>44986</v>
      </c>
      <c r="H13" s="63">
        <v>44986</v>
      </c>
      <c r="J13" s="16">
        <v>249.3</v>
      </c>
      <c r="K13" s="7">
        <v>201.5</v>
      </c>
      <c r="M13" s="23" t="s">
        <v>163</v>
      </c>
      <c r="N13" s="24" t="s">
        <v>183</v>
      </c>
    </row>
    <row r="14" spans="1:14" ht="23.15" x14ac:dyDescent="0.4">
      <c r="A14" s="3"/>
      <c r="B14" s="178"/>
      <c r="C14" s="13"/>
      <c r="D14" s="62" t="s">
        <v>20</v>
      </c>
      <c r="E14" s="26">
        <f>E13+11.3</f>
        <v>229.3</v>
      </c>
      <c r="F14" s="4">
        <v>249.3</v>
      </c>
      <c r="G14" s="75">
        <v>44986</v>
      </c>
      <c r="H14" s="63">
        <v>44986</v>
      </c>
      <c r="J14" s="4">
        <v>249.3</v>
      </c>
      <c r="K14" s="7">
        <v>201.5</v>
      </c>
      <c r="M14" s="68" t="s">
        <v>181</v>
      </c>
      <c r="N14" s="24" t="s">
        <v>184</v>
      </c>
    </row>
    <row r="15" spans="1:14" ht="23.15" x14ac:dyDescent="0.4">
      <c r="A15" s="3"/>
      <c r="B15" s="178"/>
      <c r="C15" s="13"/>
      <c r="D15" s="62" t="s">
        <v>20</v>
      </c>
      <c r="E15" s="26">
        <v>229.4</v>
      </c>
      <c r="F15" s="16">
        <v>249.4</v>
      </c>
      <c r="G15" s="74">
        <v>44810</v>
      </c>
      <c r="H15" s="63">
        <v>44986</v>
      </c>
      <c r="J15" s="16">
        <f>F15</f>
        <v>249.4</v>
      </c>
      <c r="K15" s="7">
        <v>201.5</v>
      </c>
      <c r="M15" s="68" t="s">
        <v>197</v>
      </c>
      <c r="N15" s="24" t="s">
        <v>198</v>
      </c>
    </row>
    <row r="16" spans="1:14" ht="23.15" x14ac:dyDescent="0.4">
      <c r="A16" s="3"/>
      <c r="B16" s="178"/>
      <c r="C16" s="13"/>
      <c r="D16" s="71" t="s">
        <v>253</v>
      </c>
      <c r="E16" s="26">
        <v>379.16399999999999</v>
      </c>
      <c r="F16" s="16">
        <v>403.00099999999998</v>
      </c>
      <c r="G16" s="74">
        <v>47362</v>
      </c>
      <c r="H16" s="74">
        <v>11140</v>
      </c>
      <c r="J16" s="16">
        <v>403.00099999999998</v>
      </c>
      <c r="K16" s="26">
        <v>379.16399999999999</v>
      </c>
      <c r="M16" s="68" t="s">
        <v>254</v>
      </c>
      <c r="N16" s="24" t="s">
        <v>255</v>
      </c>
    </row>
    <row r="17" spans="1:15" x14ac:dyDescent="0.4">
      <c r="A17" s="3"/>
      <c r="B17" s="178"/>
      <c r="C17" s="13"/>
      <c r="D17" s="6"/>
      <c r="E17" s="5"/>
      <c r="F17" s="5"/>
      <c r="G17" s="75"/>
      <c r="H17" s="59"/>
      <c r="J17" s="5"/>
      <c r="K17" s="14"/>
    </row>
    <row r="18" spans="1:15" ht="23.15" x14ac:dyDescent="0.4">
      <c r="A18" s="3" t="s">
        <v>98</v>
      </c>
      <c r="B18" s="178" t="s">
        <v>3</v>
      </c>
      <c r="C18" s="13"/>
      <c r="D18" s="62" t="s">
        <v>12</v>
      </c>
      <c r="E18" s="5">
        <v>769</v>
      </c>
      <c r="F18" s="4">
        <v>887</v>
      </c>
      <c r="G18" s="75">
        <v>44593</v>
      </c>
      <c r="H18" s="63">
        <v>45078</v>
      </c>
      <c r="J18" s="4">
        <v>887</v>
      </c>
      <c r="K18" s="7">
        <v>887</v>
      </c>
      <c r="M18" s="23"/>
      <c r="N18" s="22"/>
    </row>
    <row r="19" spans="1:15" ht="23.15" x14ac:dyDescent="0.4">
      <c r="A19" s="3"/>
      <c r="B19" s="178"/>
      <c r="C19" s="13"/>
      <c r="D19" s="62" t="s">
        <v>185</v>
      </c>
      <c r="E19" s="26">
        <v>1316</v>
      </c>
      <c r="F19" s="16">
        <v>1512</v>
      </c>
      <c r="G19" s="74">
        <v>46226</v>
      </c>
      <c r="H19" s="69">
        <v>46847</v>
      </c>
      <c r="J19" s="16">
        <v>1512</v>
      </c>
      <c r="K19" s="26">
        <v>1316</v>
      </c>
      <c r="M19" s="23" t="s">
        <v>186</v>
      </c>
      <c r="N19" s="22" t="s">
        <v>187</v>
      </c>
    </row>
    <row r="20" spans="1:15" x14ac:dyDescent="0.4">
      <c r="A20" s="179"/>
      <c r="B20" s="178"/>
      <c r="E20" s="170"/>
      <c r="G20" s="171"/>
    </row>
    <row r="21" spans="1:15" ht="34.75" x14ac:dyDescent="0.4">
      <c r="A21" s="3" t="s">
        <v>101</v>
      </c>
      <c r="B21" s="178" t="s">
        <v>3</v>
      </c>
      <c r="C21" s="13"/>
      <c r="D21" s="62" t="s">
        <v>4</v>
      </c>
      <c r="E21" s="5">
        <v>420</v>
      </c>
      <c r="F21" s="4">
        <v>435</v>
      </c>
      <c r="G21" s="75">
        <v>44652</v>
      </c>
      <c r="H21" s="63">
        <v>44743</v>
      </c>
      <c r="J21" s="4">
        <v>445</v>
      </c>
      <c r="K21" s="7">
        <v>445</v>
      </c>
      <c r="M21" s="23"/>
      <c r="N21" s="22"/>
      <c r="O21" s="70"/>
    </row>
    <row r="22" spans="1:15" ht="46.3" x14ac:dyDescent="0.4">
      <c r="A22" s="3"/>
      <c r="B22" s="178"/>
      <c r="C22" s="13"/>
      <c r="D22" s="62" t="s">
        <v>4</v>
      </c>
      <c r="E22" s="26">
        <v>458.9</v>
      </c>
      <c r="F22" s="16">
        <v>466.4</v>
      </c>
      <c r="G22" s="74">
        <v>45244</v>
      </c>
      <c r="H22" s="69">
        <v>45361</v>
      </c>
      <c r="J22" s="16">
        <v>458.9</v>
      </c>
      <c r="K22" s="26">
        <v>458.9</v>
      </c>
      <c r="M22" s="23" t="s">
        <v>150</v>
      </c>
      <c r="N22" s="24" t="s">
        <v>188</v>
      </c>
    </row>
    <row r="23" spans="1:15" ht="23.15" x14ac:dyDescent="0.4">
      <c r="A23" s="3"/>
      <c r="B23" s="178"/>
      <c r="C23" s="13"/>
      <c r="D23" s="62" t="s">
        <v>4</v>
      </c>
      <c r="E23" s="5">
        <v>458.9</v>
      </c>
      <c r="F23" s="4">
        <v>466.4</v>
      </c>
      <c r="G23" s="75">
        <v>45244</v>
      </c>
      <c r="H23" s="63">
        <v>45361</v>
      </c>
      <c r="J23" s="16">
        <v>466.4</v>
      </c>
      <c r="K23" s="7">
        <v>458.9</v>
      </c>
      <c r="M23" s="68" t="s">
        <v>181</v>
      </c>
      <c r="N23" s="24" t="s">
        <v>189</v>
      </c>
    </row>
    <row r="24" spans="1:15" x14ac:dyDescent="0.4">
      <c r="A24" s="3"/>
      <c r="B24" s="178"/>
      <c r="C24" s="13"/>
      <c r="D24" s="6"/>
      <c r="E24" s="5"/>
      <c r="F24" s="8"/>
      <c r="G24" s="75"/>
      <c r="H24" s="59"/>
      <c r="J24" s="8"/>
      <c r="K24" s="14"/>
    </row>
    <row r="25" spans="1:15" ht="23.15" x14ac:dyDescent="0.4">
      <c r="A25" s="3" t="s">
        <v>113</v>
      </c>
      <c r="B25" s="178" t="s">
        <v>3</v>
      </c>
      <c r="C25" s="13"/>
      <c r="D25" s="62" t="s">
        <v>52</v>
      </c>
      <c r="E25" s="5">
        <v>574</v>
      </c>
      <c r="F25" s="4">
        <v>730</v>
      </c>
      <c r="G25" s="75">
        <v>46966</v>
      </c>
      <c r="H25" s="63">
        <v>11232</v>
      </c>
      <c r="J25" s="4">
        <v>313.5</v>
      </c>
      <c r="K25" s="7" t="s">
        <v>67</v>
      </c>
      <c r="M25" s="23"/>
      <c r="N25" s="22"/>
    </row>
    <row r="26" spans="1:15" ht="23.15" x14ac:dyDescent="0.4">
      <c r="A26" s="3"/>
      <c r="B26" s="178"/>
      <c r="C26" s="13"/>
      <c r="D26" s="71" t="s">
        <v>16</v>
      </c>
      <c r="E26" s="26">
        <v>1007</v>
      </c>
      <c r="F26" s="16">
        <v>1182</v>
      </c>
      <c r="G26" s="74">
        <v>47849</v>
      </c>
      <c r="H26" s="69">
        <v>48611</v>
      </c>
      <c r="J26" s="16">
        <v>1182</v>
      </c>
      <c r="K26" s="26">
        <v>1007</v>
      </c>
      <c r="M26" s="23" t="s">
        <v>66</v>
      </c>
      <c r="N26" s="22" t="s">
        <v>190</v>
      </c>
    </row>
    <row r="27" spans="1:15" x14ac:dyDescent="0.4">
      <c r="A27" s="3"/>
      <c r="B27" s="178"/>
      <c r="C27" s="13"/>
      <c r="D27" s="6"/>
      <c r="E27" s="5"/>
      <c r="F27" s="5"/>
      <c r="G27" s="75"/>
      <c r="H27" s="59"/>
      <c r="J27" s="5"/>
      <c r="K27" s="14"/>
    </row>
    <row r="28" spans="1:15" ht="23.15" x14ac:dyDescent="0.4">
      <c r="A28" s="3" t="s">
        <v>117</v>
      </c>
      <c r="B28" s="178" t="s">
        <v>3</v>
      </c>
      <c r="C28" s="13"/>
      <c r="D28" s="62" t="s">
        <v>21</v>
      </c>
      <c r="E28" s="5">
        <v>680</v>
      </c>
      <c r="F28" s="4">
        <v>878</v>
      </c>
      <c r="G28" s="75">
        <v>46935</v>
      </c>
      <c r="H28" s="63">
        <v>47150</v>
      </c>
      <c r="J28" s="4" t="s">
        <v>53</v>
      </c>
      <c r="K28" s="7" t="s">
        <v>22</v>
      </c>
      <c r="M28" s="23"/>
      <c r="N28" s="22"/>
    </row>
    <row r="29" spans="1:15" ht="34.75" x14ac:dyDescent="0.4">
      <c r="A29" s="3"/>
      <c r="B29" s="178"/>
      <c r="C29" s="13"/>
      <c r="D29" s="62" t="s">
        <v>21</v>
      </c>
      <c r="E29" s="5">
        <v>680</v>
      </c>
      <c r="F29" s="4">
        <v>878</v>
      </c>
      <c r="G29" s="75">
        <v>46935</v>
      </c>
      <c r="H29" s="63">
        <v>47150</v>
      </c>
      <c r="J29" s="16" t="s">
        <v>175</v>
      </c>
      <c r="K29" s="26" t="s">
        <v>176</v>
      </c>
      <c r="M29" s="23" t="s">
        <v>177</v>
      </c>
      <c r="N29" s="22" t="s">
        <v>256</v>
      </c>
    </row>
    <row r="30" spans="1:15" ht="23.15" x14ac:dyDescent="0.4">
      <c r="A30" s="3"/>
      <c r="B30" s="178"/>
      <c r="C30" s="13"/>
      <c r="D30" s="62" t="s">
        <v>21</v>
      </c>
      <c r="E30" s="26">
        <f>E29+24.6</f>
        <v>704.6</v>
      </c>
      <c r="F30" s="16">
        <f>F29+24.6</f>
        <v>902.6</v>
      </c>
      <c r="G30" s="75">
        <v>46935</v>
      </c>
      <c r="H30" s="63">
        <v>47150</v>
      </c>
      <c r="J30" s="4" t="s">
        <v>175</v>
      </c>
      <c r="K30" s="7" t="s">
        <v>176</v>
      </c>
      <c r="M30" s="23" t="s">
        <v>181</v>
      </c>
      <c r="N30" s="24" t="s">
        <v>191</v>
      </c>
    </row>
    <row r="31" spans="1:15" ht="23.15" x14ac:dyDescent="0.4">
      <c r="A31" s="3"/>
      <c r="B31" s="178"/>
      <c r="C31" s="13"/>
      <c r="D31" s="62" t="s">
        <v>21</v>
      </c>
      <c r="E31" s="5">
        <v>704.6</v>
      </c>
      <c r="F31" s="4">
        <v>902.6</v>
      </c>
      <c r="G31" s="74">
        <v>47209</v>
      </c>
      <c r="H31" s="69">
        <v>47423</v>
      </c>
      <c r="J31" s="4" t="s">
        <v>175</v>
      </c>
      <c r="K31" s="7" t="s">
        <v>176</v>
      </c>
      <c r="M31" s="23" t="s">
        <v>197</v>
      </c>
      <c r="N31" s="24" t="s">
        <v>199</v>
      </c>
    </row>
    <row r="32" spans="1:15" x14ac:dyDescent="0.4">
      <c r="A32" s="3"/>
      <c r="B32" s="178"/>
      <c r="C32" s="13"/>
      <c r="D32" s="6"/>
      <c r="E32" s="5"/>
      <c r="F32" s="5"/>
      <c r="G32" s="75"/>
      <c r="H32" s="59"/>
      <c r="J32" s="5"/>
      <c r="K32" s="5"/>
    </row>
    <row r="33" spans="1:15" ht="23.15" x14ac:dyDescent="0.4">
      <c r="A33" s="3" t="s">
        <v>5</v>
      </c>
      <c r="B33" s="178" t="s">
        <v>3</v>
      </c>
      <c r="C33" s="13"/>
      <c r="D33" s="62" t="s">
        <v>6</v>
      </c>
      <c r="E33" s="5">
        <v>284.3</v>
      </c>
      <c r="F33" s="4">
        <v>293.7</v>
      </c>
      <c r="G33" s="75">
        <v>44805</v>
      </c>
      <c r="H33" s="63">
        <v>44927</v>
      </c>
      <c r="J33" s="4">
        <v>293.7</v>
      </c>
      <c r="K33" s="7">
        <v>284.3</v>
      </c>
      <c r="M33" s="23"/>
      <c r="N33" s="22"/>
    </row>
    <row r="34" spans="1:15" ht="23.15" x14ac:dyDescent="0.4">
      <c r="A34" s="3"/>
      <c r="B34" s="178"/>
      <c r="C34" s="13"/>
      <c r="D34" s="62" t="s">
        <v>6</v>
      </c>
      <c r="E34" s="5">
        <v>284.3</v>
      </c>
      <c r="F34" s="4">
        <v>293.7</v>
      </c>
      <c r="G34" s="75">
        <v>44805</v>
      </c>
      <c r="H34" s="63">
        <v>44927</v>
      </c>
      <c r="J34" s="16">
        <v>315.3</v>
      </c>
      <c r="K34" s="26">
        <v>305.93</v>
      </c>
      <c r="M34" s="23" t="s">
        <v>62</v>
      </c>
      <c r="N34" s="24" t="s">
        <v>64</v>
      </c>
    </row>
    <row r="35" spans="1:15" ht="23.15" x14ac:dyDescent="0.4">
      <c r="A35" s="3"/>
      <c r="B35" s="178"/>
      <c r="C35" s="13"/>
      <c r="D35" s="62" t="s">
        <v>6</v>
      </c>
      <c r="E35" s="5">
        <v>284.3</v>
      </c>
      <c r="F35" s="16">
        <v>315.3</v>
      </c>
      <c r="G35" s="75">
        <v>44805</v>
      </c>
      <c r="H35" s="69">
        <v>45627</v>
      </c>
      <c r="J35" s="4">
        <v>315.3</v>
      </c>
      <c r="K35" s="7">
        <v>305.93</v>
      </c>
      <c r="M35" s="23" t="s">
        <v>143</v>
      </c>
      <c r="N35" s="41" t="s">
        <v>144</v>
      </c>
    </row>
    <row r="36" spans="1:15" ht="34.75" x14ac:dyDescent="0.4">
      <c r="A36" s="3"/>
      <c r="B36" s="178"/>
      <c r="C36" s="13"/>
      <c r="D36" s="62" t="s">
        <v>6</v>
      </c>
      <c r="E36" s="26">
        <f>E35+21.6</f>
        <v>305.90000000000003</v>
      </c>
      <c r="F36" s="4">
        <v>315.3</v>
      </c>
      <c r="G36" s="74">
        <v>45392</v>
      </c>
      <c r="H36" s="63">
        <v>45627</v>
      </c>
      <c r="J36" s="4">
        <v>315.3</v>
      </c>
      <c r="K36" s="7">
        <v>305.93</v>
      </c>
      <c r="M36" s="68" t="s">
        <v>181</v>
      </c>
      <c r="N36" s="24" t="s">
        <v>192</v>
      </c>
    </row>
    <row r="37" spans="1:15" x14ac:dyDescent="0.4">
      <c r="B37" s="178"/>
      <c r="E37" s="170"/>
      <c r="G37" s="171"/>
    </row>
    <row r="38" spans="1:15" ht="34.5" customHeight="1" x14ac:dyDescent="0.4">
      <c r="A38" s="3" t="s">
        <v>13</v>
      </c>
      <c r="B38" s="178" t="s">
        <v>3</v>
      </c>
      <c r="C38" s="13"/>
      <c r="D38" s="62" t="s">
        <v>14</v>
      </c>
      <c r="E38" s="5">
        <v>116.6</v>
      </c>
      <c r="F38" s="4">
        <v>122.6</v>
      </c>
      <c r="G38" s="75">
        <v>46874</v>
      </c>
      <c r="H38" s="63">
        <v>47239</v>
      </c>
      <c r="J38" s="4">
        <v>139.6</v>
      </c>
      <c r="K38" s="7">
        <v>116.6</v>
      </c>
      <c r="M38" s="23" t="s">
        <v>143</v>
      </c>
      <c r="N38" s="22" t="s">
        <v>140</v>
      </c>
    </row>
    <row r="39" spans="1:15" x14ac:dyDescent="0.4">
      <c r="A39" s="3"/>
      <c r="B39" s="178"/>
      <c r="C39" s="13"/>
      <c r="D39" s="6"/>
      <c r="E39" s="5"/>
      <c r="F39" s="5"/>
      <c r="G39" s="75"/>
      <c r="H39" s="59"/>
      <c r="J39" s="5"/>
      <c r="K39" s="14"/>
    </row>
    <row r="40" spans="1:15" ht="23.15" x14ac:dyDescent="0.4">
      <c r="A40" s="3" t="s">
        <v>111</v>
      </c>
      <c r="B40" s="178" t="s">
        <v>3</v>
      </c>
      <c r="C40" s="13"/>
      <c r="D40" s="62" t="s">
        <v>15</v>
      </c>
      <c r="E40" s="5">
        <v>1330</v>
      </c>
      <c r="F40" s="4">
        <v>1673</v>
      </c>
      <c r="G40" s="75">
        <v>47331</v>
      </c>
      <c r="H40" s="63">
        <v>48274</v>
      </c>
      <c r="J40" s="4">
        <v>1673</v>
      </c>
      <c r="K40" s="7">
        <v>1330</v>
      </c>
      <c r="M40" s="23"/>
      <c r="N40" s="22"/>
    </row>
    <row r="41" spans="1:15" ht="57.9" x14ac:dyDescent="0.4">
      <c r="A41" s="3"/>
      <c r="B41" s="178"/>
      <c r="C41" s="13"/>
      <c r="D41" s="62" t="s">
        <v>15</v>
      </c>
      <c r="E41" s="26">
        <v>1335.43</v>
      </c>
      <c r="F41" s="4">
        <v>1673</v>
      </c>
      <c r="G41" s="74">
        <v>47400</v>
      </c>
      <c r="H41" s="63">
        <v>48274</v>
      </c>
      <c r="J41" s="4">
        <v>1673</v>
      </c>
      <c r="K41" s="26">
        <v>1335.43</v>
      </c>
      <c r="M41" s="23" t="s">
        <v>201</v>
      </c>
      <c r="N41" s="22" t="s">
        <v>202</v>
      </c>
    </row>
    <row r="42" spans="1:15" x14ac:dyDescent="0.4">
      <c r="A42" s="3"/>
      <c r="B42" s="3"/>
      <c r="C42" s="3"/>
      <c r="D42" s="3"/>
      <c r="E42" s="3"/>
      <c r="F42" s="3"/>
      <c r="G42" s="3"/>
      <c r="H42" s="3"/>
      <c r="I42" s="3"/>
      <c r="J42" s="3"/>
      <c r="K42" s="3"/>
      <c r="L42" s="3"/>
      <c r="M42" s="3"/>
      <c r="N42" s="3"/>
      <c r="O42" s="3"/>
    </row>
    <row r="43" spans="1:15" ht="34.75" x14ac:dyDescent="0.4">
      <c r="A43" s="3" t="s">
        <v>103</v>
      </c>
      <c r="B43" s="178" t="s">
        <v>3</v>
      </c>
      <c r="C43" s="13"/>
      <c r="D43" s="62" t="s">
        <v>128</v>
      </c>
      <c r="E43" s="5">
        <v>70.653999999999996</v>
      </c>
      <c r="F43" s="7">
        <v>76.709999999999994</v>
      </c>
      <c r="G43" s="75">
        <v>45292</v>
      </c>
      <c r="H43" s="76">
        <v>45444</v>
      </c>
      <c r="J43" s="62" t="s">
        <v>164</v>
      </c>
      <c r="K43" s="7">
        <v>70.653999999999996</v>
      </c>
      <c r="M43" s="23" t="s">
        <v>197</v>
      </c>
      <c r="N43" s="22" t="s">
        <v>200</v>
      </c>
    </row>
    <row r="44" spans="1:15" x14ac:dyDescent="0.4">
      <c r="A44" s="3"/>
      <c r="B44" s="178"/>
      <c r="C44" s="13"/>
      <c r="D44" s="6"/>
      <c r="E44" s="5"/>
      <c r="F44" s="5"/>
      <c r="G44" s="75"/>
      <c r="H44" s="59"/>
      <c r="J44" s="5"/>
      <c r="K44" s="14"/>
    </row>
    <row r="45" spans="1:15" ht="23.15" x14ac:dyDescent="0.4">
      <c r="A45" s="3" t="s">
        <v>17</v>
      </c>
      <c r="B45" s="178" t="s">
        <v>18</v>
      </c>
      <c r="C45" s="13"/>
      <c r="D45" s="62" t="s">
        <v>19</v>
      </c>
      <c r="E45" s="5">
        <v>248</v>
      </c>
      <c r="F45" s="4">
        <v>266</v>
      </c>
      <c r="G45" s="75">
        <v>48914</v>
      </c>
      <c r="H45" s="63">
        <v>49369</v>
      </c>
      <c r="J45" s="4">
        <v>266</v>
      </c>
      <c r="K45" s="7">
        <v>248</v>
      </c>
      <c r="M45" s="23"/>
      <c r="N45" s="22"/>
    </row>
    <row r="46" spans="1:15" x14ac:dyDescent="0.4">
      <c r="A46" s="3"/>
      <c r="B46" s="178"/>
      <c r="C46" s="13"/>
      <c r="D46" s="6"/>
      <c r="E46" s="5"/>
      <c r="F46" s="5"/>
      <c r="G46" s="75"/>
      <c r="H46" s="59"/>
      <c r="J46" s="5"/>
      <c r="K46" s="14"/>
    </row>
    <row r="47" spans="1:15" ht="34.75" x14ac:dyDescent="0.4">
      <c r="A47" s="3" t="s">
        <v>257</v>
      </c>
      <c r="B47" s="178" t="s">
        <v>18</v>
      </c>
      <c r="C47" s="13"/>
      <c r="D47" s="62" t="s">
        <v>258</v>
      </c>
      <c r="E47" s="5">
        <v>83</v>
      </c>
      <c r="F47" s="4">
        <f>89+4.5</f>
        <v>93.5</v>
      </c>
      <c r="G47" s="75">
        <v>45029</v>
      </c>
      <c r="H47" s="63">
        <v>45233</v>
      </c>
      <c r="J47" s="4" t="s">
        <v>164</v>
      </c>
      <c r="K47" s="7">
        <v>89</v>
      </c>
      <c r="M47" s="23"/>
      <c r="N47" s="22" t="s">
        <v>259</v>
      </c>
    </row>
    <row r="48" spans="1:15" x14ac:dyDescent="0.4">
      <c r="A48" s="3"/>
      <c r="B48" s="178"/>
      <c r="C48" s="13"/>
      <c r="D48" s="6"/>
      <c r="E48" s="5"/>
      <c r="F48" s="5"/>
      <c r="G48" s="75"/>
      <c r="H48" s="59"/>
      <c r="J48" s="5"/>
      <c r="K48" s="14"/>
    </row>
    <row r="49" spans="1:14" ht="34.75" x14ac:dyDescent="0.4">
      <c r="B49" s="178"/>
      <c r="C49" s="13"/>
      <c r="D49" s="62" t="s">
        <v>260</v>
      </c>
      <c r="E49" s="26">
        <v>86.5</v>
      </c>
      <c r="F49" s="26">
        <f>89+4.5+3.5</f>
        <v>97</v>
      </c>
      <c r="G49" s="74">
        <v>45352</v>
      </c>
      <c r="H49" s="74">
        <v>45505</v>
      </c>
      <c r="J49" s="62" t="s">
        <v>164</v>
      </c>
      <c r="K49" s="26">
        <v>92.5</v>
      </c>
      <c r="M49" s="23" t="s">
        <v>197</v>
      </c>
      <c r="N49" s="22" t="s">
        <v>261</v>
      </c>
    </row>
    <row r="50" spans="1:14" x14ac:dyDescent="0.4">
      <c r="A50" s="3"/>
      <c r="B50" s="178"/>
      <c r="C50" s="13"/>
      <c r="D50" s="6"/>
      <c r="E50" s="5"/>
      <c r="F50" s="5"/>
      <c r="G50" s="75"/>
      <c r="H50" s="59"/>
      <c r="J50" s="5"/>
      <c r="K50" s="14"/>
    </row>
    <row r="51" spans="1:14" ht="57.9" x14ac:dyDescent="0.4">
      <c r="A51" s="3" t="s">
        <v>262</v>
      </c>
      <c r="B51" s="178" t="s">
        <v>18</v>
      </c>
      <c r="C51" s="13"/>
      <c r="D51" s="62" t="s">
        <v>263</v>
      </c>
      <c r="E51" s="5">
        <v>54</v>
      </c>
      <c r="F51" s="4">
        <f>58+3</f>
        <v>61</v>
      </c>
      <c r="G51" s="75">
        <v>44467</v>
      </c>
      <c r="H51" s="63">
        <v>44520</v>
      </c>
      <c r="J51" s="4" t="s">
        <v>164</v>
      </c>
      <c r="K51" s="7">
        <v>58</v>
      </c>
      <c r="M51" s="23"/>
      <c r="N51" s="22" t="s">
        <v>264</v>
      </c>
    </row>
    <row r="52" spans="1:14" x14ac:dyDescent="0.4">
      <c r="A52" s="3"/>
      <c r="B52" s="178"/>
      <c r="C52" s="13"/>
      <c r="D52" s="6"/>
      <c r="E52" s="5"/>
      <c r="F52" s="5"/>
      <c r="G52" s="75"/>
      <c r="H52" s="59"/>
      <c r="J52" s="5"/>
      <c r="K52" s="14"/>
    </row>
    <row r="53" spans="1:14" ht="34.75" x14ac:dyDescent="0.4">
      <c r="B53" s="178"/>
      <c r="C53" s="13"/>
      <c r="D53" s="62" t="s">
        <v>260</v>
      </c>
      <c r="E53" s="26">
        <v>60</v>
      </c>
      <c r="F53" s="26">
        <f>58+3+6</f>
        <v>67</v>
      </c>
      <c r="G53" s="74">
        <v>44593</v>
      </c>
      <c r="H53" s="74">
        <v>44682</v>
      </c>
      <c r="J53" s="62" t="s">
        <v>164</v>
      </c>
      <c r="K53" s="26">
        <v>64</v>
      </c>
      <c r="M53" s="23" t="s">
        <v>197</v>
      </c>
      <c r="N53" s="22" t="s">
        <v>265</v>
      </c>
    </row>
    <row r="54" spans="1:14" x14ac:dyDescent="0.4">
      <c r="A54" s="3"/>
      <c r="B54" s="178"/>
      <c r="C54" s="13"/>
      <c r="D54" s="6"/>
      <c r="E54" s="5"/>
      <c r="F54" s="5"/>
      <c r="G54" s="75"/>
      <c r="H54" s="59"/>
      <c r="J54" s="5"/>
      <c r="K54" s="14"/>
    </row>
    <row r="55" spans="1:14" ht="34.75" x14ac:dyDescent="0.4">
      <c r="A55" s="3" t="s">
        <v>266</v>
      </c>
      <c r="B55" s="178" t="s">
        <v>18</v>
      </c>
      <c r="C55" s="13"/>
      <c r="D55" s="62" t="s">
        <v>267</v>
      </c>
      <c r="E55" s="5">
        <v>68.564999999999998</v>
      </c>
      <c r="F55" s="7">
        <v>73.138000000000005</v>
      </c>
      <c r="G55" s="75">
        <v>46905</v>
      </c>
      <c r="H55" s="76">
        <v>46966</v>
      </c>
      <c r="J55" s="7" t="s">
        <v>164</v>
      </c>
      <c r="K55" s="7">
        <v>3.5</v>
      </c>
      <c r="M55" s="23" t="s">
        <v>268</v>
      </c>
      <c r="N55" s="22" t="s">
        <v>269</v>
      </c>
    </row>
    <row r="56" spans="1:14" x14ac:dyDescent="0.4">
      <c r="A56" s="3"/>
      <c r="B56" s="178"/>
      <c r="C56" s="13"/>
      <c r="D56" s="6"/>
      <c r="E56" s="5"/>
      <c r="F56" s="5"/>
      <c r="G56" s="75"/>
      <c r="H56" s="59"/>
      <c r="J56" s="5"/>
      <c r="K56" s="14"/>
    </row>
    <row r="57" spans="1:14" ht="34.75" x14ac:dyDescent="0.4">
      <c r="A57" s="3" t="s">
        <v>9</v>
      </c>
      <c r="B57" s="178" t="s">
        <v>270</v>
      </c>
      <c r="C57" s="13"/>
      <c r="D57" s="62" t="s">
        <v>11</v>
      </c>
      <c r="E57" s="5">
        <v>63.5</v>
      </c>
      <c r="F57" s="4">
        <v>66.900000000000006</v>
      </c>
      <c r="G57" s="75">
        <v>46113</v>
      </c>
      <c r="H57" s="63">
        <v>46113</v>
      </c>
      <c r="J57" s="4">
        <v>66.900000000000006</v>
      </c>
      <c r="K57" s="4">
        <v>66.900000000000006</v>
      </c>
      <c r="M57" s="23"/>
      <c r="N57" s="22"/>
    </row>
    <row r="58" spans="1:14" x14ac:dyDescent="0.4">
      <c r="A58" s="3"/>
      <c r="B58" s="178"/>
      <c r="C58" s="13"/>
      <c r="D58" s="6"/>
      <c r="E58" s="5"/>
      <c r="F58" s="5"/>
      <c r="G58" s="75"/>
      <c r="H58" s="59"/>
      <c r="J58" s="5"/>
      <c r="K58" s="14"/>
    </row>
    <row r="59" spans="1:14" ht="34.75" x14ac:dyDescent="0.4">
      <c r="A59" s="3" t="s">
        <v>271</v>
      </c>
      <c r="B59" s="178" t="s">
        <v>270</v>
      </c>
      <c r="C59" s="13"/>
      <c r="D59" s="62" t="s">
        <v>272</v>
      </c>
      <c r="E59" s="5">
        <v>86.8</v>
      </c>
      <c r="F59" s="4">
        <v>104.4</v>
      </c>
      <c r="G59" s="75">
        <v>46752</v>
      </c>
      <c r="H59" s="63">
        <v>46821</v>
      </c>
      <c r="J59" s="4">
        <v>104.4</v>
      </c>
      <c r="K59" s="4">
        <v>33.1</v>
      </c>
      <c r="M59" s="23" t="s">
        <v>268</v>
      </c>
      <c r="N59" s="22" t="s">
        <v>273</v>
      </c>
    </row>
    <row r="60" spans="1:14" x14ac:dyDescent="0.4">
      <c r="A60" s="3"/>
      <c r="B60" s="178"/>
      <c r="C60" s="13"/>
      <c r="D60" s="6"/>
      <c r="E60" s="5"/>
      <c r="F60" s="5"/>
      <c r="G60" s="75"/>
      <c r="H60" s="59"/>
      <c r="J60" s="5"/>
      <c r="K60" s="14"/>
    </row>
    <row r="61" spans="1:14" ht="46.3" x14ac:dyDescent="0.4">
      <c r="A61" s="3" t="s">
        <v>274</v>
      </c>
      <c r="B61" s="178" t="s">
        <v>270</v>
      </c>
      <c r="C61" s="13"/>
      <c r="D61" s="62" t="s">
        <v>174</v>
      </c>
      <c r="E61" s="5">
        <v>68.111999999999995</v>
      </c>
      <c r="F61" s="4">
        <v>73.762</v>
      </c>
      <c r="G61" s="75">
        <v>45901</v>
      </c>
      <c r="H61" s="63">
        <v>45901</v>
      </c>
      <c r="J61" s="4">
        <v>73.762</v>
      </c>
      <c r="K61" s="4">
        <v>12.797000000000001</v>
      </c>
      <c r="M61" s="23" t="s">
        <v>268</v>
      </c>
      <c r="N61" s="22" t="s">
        <v>275</v>
      </c>
    </row>
    <row r="62" spans="1:14" x14ac:dyDescent="0.4">
      <c r="A62" s="3"/>
      <c r="B62" s="178"/>
      <c r="C62" s="13"/>
      <c r="D62" s="6"/>
      <c r="E62" s="5"/>
      <c r="F62" s="5"/>
      <c r="G62" s="172"/>
      <c r="H62" s="59"/>
      <c r="J62" s="5"/>
      <c r="K62" s="14"/>
    </row>
    <row r="63" spans="1:14" ht="23.15" x14ac:dyDescent="0.4">
      <c r="A63" s="3" t="s">
        <v>276</v>
      </c>
      <c r="B63" s="178" t="s">
        <v>18</v>
      </c>
      <c r="C63" s="13"/>
      <c r="D63" s="62" t="s">
        <v>277</v>
      </c>
      <c r="E63" s="26">
        <v>68</v>
      </c>
      <c r="F63" s="26">
        <v>74</v>
      </c>
      <c r="G63" s="93">
        <v>11262</v>
      </c>
      <c r="H63" s="69">
        <v>11413</v>
      </c>
      <c r="J63" s="26" t="s">
        <v>164</v>
      </c>
      <c r="K63" s="26">
        <v>68</v>
      </c>
      <c r="M63" s="23" t="s">
        <v>278</v>
      </c>
      <c r="N63" s="22" t="s">
        <v>279</v>
      </c>
    </row>
    <row r="64" spans="1:14" x14ac:dyDescent="0.4">
      <c r="A64" s="3"/>
      <c r="B64" s="178"/>
      <c r="C64" s="13"/>
      <c r="D64" s="6"/>
      <c r="E64" s="5"/>
      <c r="F64" s="5"/>
      <c r="G64" s="172"/>
      <c r="H64" s="59"/>
      <c r="J64" s="5"/>
      <c r="K64" s="14"/>
    </row>
    <row r="65" spans="1:14" ht="34.75" x14ac:dyDescent="0.4">
      <c r="A65" s="3" t="s">
        <v>280</v>
      </c>
      <c r="B65" s="178" t="s">
        <v>18</v>
      </c>
      <c r="C65" s="13"/>
      <c r="D65" s="62" t="s">
        <v>281</v>
      </c>
      <c r="E65" s="26">
        <v>163</v>
      </c>
      <c r="F65" s="26">
        <v>179.5</v>
      </c>
      <c r="G65" s="93">
        <v>48180</v>
      </c>
      <c r="H65" s="93">
        <v>48493</v>
      </c>
      <c r="J65" s="26" t="s">
        <v>164</v>
      </c>
      <c r="K65" s="26">
        <v>11.3</v>
      </c>
      <c r="M65" s="23" t="s">
        <v>282</v>
      </c>
      <c r="N65" s="22" t="s">
        <v>283</v>
      </c>
    </row>
    <row r="66" spans="1:14" x14ac:dyDescent="0.4">
      <c r="A66" s="3"/>
      <c r="B66" s="178"/>
      <c r="C66" s="13"/>
      <c r="D66" s="6"/>
      <c r="E66" s="5"/>
      <c r="F66" s="5"/>
      <c r="G66" s="172"/>
      <c r="H66" s="59"/>
      <c r="J66" s="5"/>
      <c r="K66" s="14"/>
    </row>
    <row r="67" spans="1:14" ht="46.3" x14ac:dyDescent="0.4">
      <c r="A67" s="3" t="s">
        <v>284</v>
      </c>
      <c r="B67" s="178" t="s">
        <v>270</v>
      </c>
      <c r="C67" s="13"/>
      <c r="D67" s="62" t="s">
        <v>281</v>
      </c>
      <c r="E67" s="26">
        <v>280</v>
      </c>
      <c r="F67" s="26">
        <v>324.8</v>
      </c>
      <c r="G67" s="93" t="s">
        <v>164</v>
      </c>
      <c r="H67" s="69">
        <v>15436</v>
      </c>
      <c r="J67" s="26">
        <v>0</v>
      </c>
      <c r="K67" s="26">
        <v>0</v>
      </c>
      <c r="M67" s="23" t="s">
        <v>282</v>
      </c>
      <c r="N67" s="22" t="s">
        <v>285</v>
      </c>
    </row>
    <row r="68" spans="1:14" x14ac:dyDescent="0.4">
      <c r="B68" s="178"/>
      <c r="E68" s="170"/>
      <c r="G68" s="171"/>
    </row>
    <row r="69" spans="1:14" ht="23.15" x14ac:dyDescent="0.4">
      <c r="A69" s="3" t="s">
        <v>286</v>
      </c>
      <c r="B69" s="178" t="s">
        <v>270</v>
      </c>
      <c r="C69" s="13"/>
      <c r="D69" s="62" t="s">
        <v>281</v>
      </c>
      <c r="E69" s="26">
        <v>80</v>
      </c>
      <c r="F69" s="26" t="s">
        <v>164</v>
      </c>
      <c r="G69" s="69">
        <v>11288</v>
      </c>
      <c r="H69" s="69" t="s">
        <v>164</v>
      </c>
      <c r="J69" s="26" t="s">
        <v>164</v>
      </c>
      <c r="K69" s="26">
        <v>12</v>
      </c>
      <c r="M69" s="23" t="s">
        <v>210</v>
      </c>
      <c r="N69" s="22" t="s">
        <v>287</v>
      </c>
    </row>
    <row r="70" spans="1:14" x14ac:dyDescent="0.4">
      <c r="B70" s="178"/>
      <c r="E70" s="170"/>
      <c r="G70" s="171"/>
    </row>
    <row r="71" spans="1:14" ht="34.75" x14ac:dyDescent="0.4">
      <c r="A71" s="3" t="s">
        <v>208</v>
      </c>
      <c r="B71" s="178" t="s">
        <v>3</v>
      </c>
      <c r="C71" s="13"/>
      <c r="D71" s="62" t="s">
        <v>209</v>
      </c>
      <c r="E71" s="26">
        <v>68.177000000000007</v>
      </c>
      <c r="F71" s="26">
        <v>74.653000000000006</v>
      </c>
      <c r="G71" s="93">
        <v>46295</v>
      </c>
      <c r="H71" s="69">
        <v>46446</v>
      </c>
      <c r="J71" s="26" t="s">
        <v>164</v>
      </c>
      <c r="K71" s="26">
        <v>68.177000000000007</v>
      </c>
      <c r="M71" s="23" t="s">
        <v>210</v>
      </c>
      <c r="N71" s="22" t="s">
        <v>211</v>
      </c>
    </row>
    <row r="72" spans="1:14" x14ac:dyDescent="0.4">
      <c r="B72" s="178"/>
      <c r="E72" s="170"/>
      <c r="G72" s="171"/>
    </row>
    <row r="73" spans="1:14" ht="34.75" x14ac:dyDescent="0.4">
      <c r="A73" s="3" t="s">
        <v>288</v>
      </c>
      <c r="B73" s="178" t="s">
        <v>270</v>
      </c>
      <c r="C73" s="13"/>
      <c r="D73" s="62" t="s">
        <v>209</v>
      </c>
      <c r="E73" s="26">
        <v>10.3</v>
      </c>
      <c r="F73" s="26">
        <v>12.7</v>
      </c>
      <c r="G73" s="93">
        <v>46113</v>
      </c>
      <c r="H73" s="69">
        <v>46113</v>
      </c>
      <c r="J73" s="26">
        <v>0</v>
      </c>
      <c r="K73" s="26">
        <v>0</v>
      </c>
      <c r="M73" s="23" t="s">
        <v>289</v>
      </c>
      <c r="N73" s="22" t="s">
        <v>290</v>
      </c>
    </row>
    <row r="74" spans="1:14" x14ac:dyDescent="0.4">
      <c r="B74" s="178"/>
      <c r="E74" s="170"/>
      <c r="G74" s="171"/>
    </row>
    <row r="75" spans="1:14" ht="23.15" x14ac:dyDescent="0.4">
      <c r="A75" s="3" t="s">
        <v>234</v>
      </c>
      <c r="B75" s="178" t="s">
        <v>3</v>
      </c>
      <c r="C75" s="13"/>
      <c r="D75" s="62" t="s">
        <v>212</v>
      </c>
      <c r="E75" s="26">
        <v>75</v>
      </c>
      <c r="F75" s="26">
        <v>79</v>
      </c>
      <c r="G75" s="93">
        <v>46524</v>
      </c>
      <c r="H75" s="69">
        <v>46692</v>
      </c>
      <c r="J75" s="26">
        <v>90</v>
      </c>
      <c r="K75" s="26">
        <v>75</v>
      </c>
      <c r="M75" s="23" t="s">
        <v>213</v>
      </c>
      <c r="N75" s="22" t="s">
        <v>214</v>
      </c>
    </row>
    <row r="76" spans="1:14" x14ac:dyDescent="0.4">
      <c r="B76" s="178"/>
      <c r="E76" s="170"/>
      <c r="G76" s="171"/>
    </row>
    <row r="77" spans="1:14" ht="34.75" x14ac:dyDescent="0.4">
      <c r="A77" s="3" t="s">
        <v>292</v>
      </c>
      <c r="B77" s="178" t="s">
        <v>18</v>
      </c>
      <c r="C77" s="13"/>
      <c r="D77" s="62" t="s">
        <v>293</v>
      </c>
      <c r="E77" s="26">
        <v>140.19999999999999</v>
      </c>
      <c r="F77" s="26">
        <v>157.69999999999999</v>
      </c>
      <c r="G77" s="93">
        <v>11238</v>
      </c>
      <c r="H77" s="69">
        <v>11611</v>
      </c>
      <c r="J77" s="26">
        <v>151.6</v>
      </c>
      <c r="K77" s="26">
        <v>157.69999999999999</v>
      </c>
      <c r="M77" s="23" t="s">
        <v>294</v>
      </c>
      <c r="N77" s="22" t="s">
        <v>295</v>
      </c>
    </row>
  </sheetData>
  <customSheetViews>
    <customSheetView guid="{800416AC-1374-44AC-811C-612C85EF24E6}" scale="90" state="hidden">
      <pane ySplit="5" topLeftCell="A6" activePane="bottomLeft" state="frozen"/>
      <selection pane="bottomLeft" activeCell="A67" sqref="A67"/>
      <pageMargins left="0.7" right="0.7" top="0.75" bottom="0.75" header="0.3" footer="0.3"/>
      <pageSetup paperSize="9" orientation="portrait" r:id="rId1"/>
      <headerFooter>
        <oddHeader>&amp;L&amp;"Calibri"&amp;10&amp;K000000OFFICIAL&amp;1#</oddHeader>
        <oddFooter>&amp;L&amp;1#&amp;"Calibri"&amp;10&amp;K000000OFFICIAL</oddFooter>
      </headerFooter>
    </customSheetView>
    <customSheetView guid="{FBC63E8F-69FE-4648-B709-FA1212EFFB29}" scale="90" state="hidden">
      <pane ySplit="5" topLeftCell="A6" activePane="bottomLeft" state="frozen"/>
      <selection pane="bottomLeft" activeCell="A67" sqref="A67"/>
      <pageMargins left="0.7" right="0.7" top="0.75" bottom="0.75" header="0.3" footer="0.3"/>
      <pageSetup paperSize="9" orientation="portrait" r:id="rId2"/>
      <headerFooter>
        <oddHeader>&amp;L&amp;"Calibri"&amp;10&amp;K000000OFFICIAL&amp;1#</oddHeader>
        <oddFooter>&amp;L&amp;1#&amp;"Calibri"&amp;10&amp;K000000OFFICIAL</oddFooter>
      </headerFooter>
    </customSheetView>
    <customSheetView guid="{C7C13768-4A8D-4CBA-978C-F4A7B5550C00}" scale="90" state="hidden">
      <pane ySplit="5" topLeftCell="A6" activePane="bottomLeft" state="frozen"/>
      <selection pane="bottomLeft" activeCell="A67" sqref="A67"/>
      <pageMargins left="0.7" right="0.7" top="0.75" bottom="0.75" header="0.3" footer="0.3"/>
      <pageSetup paperSize="9" orientation="portrait" r:id="rId3"/>
      <headerFooter>
        <oddHeader>&amp;L&amp;"Calibri"&amp;10&amp;K000000OFFICIAL&amp;1#</oddHeader>
        <oddFooter>&amp;L&amp;1#&amp;"Calibri"&amp;10&amp;K000000OFFICIAL</oddFooter>
      </headerFooter>
    </customSheetView>
    <customSheetView guid="{466708C2-41CE-4656-AB81-E1E49DF5945D}" scale="90" state="hidden">
      <pane ySplit="5" topLeftCell="A6" activePane="bottomLeft" state="frozen"/>
      <selection pane="bottomLeft" activeCell="A67" sqref="A67"/>
      <pageMargins left="0.7" right="0.7" top="0.75" bottom="0.75" header="0.3" footer="0.3"/>
      <pageSetup paperSize="9" orientation="portrait" r:id="rId4"/>
      <headerFooter>
        <oddHeader>&amp;L&amp;"Calibri"&amp;10&amp;K000000OFFICIAL&amp;1#</oddHeader>
        <oddFooter>&amp;L&amp;1#&amp;"Calibri"&amp;10&amp;K000000OFFICIAL</oddFooter>
      </headerFooter>
    </customSheetView>
    <customSheetView guid="{E3A3AE56-8881-4A6F-9299-803C489AD1B4}" scale="90" state="hidden">
      <pane ySplit="5" topLeftCell="A6" activePane="bottomLeft" state="frozen"/>
      <selection pane="bottomLeft" activeCell="A67" sqref="A67"/>
      <pageMargins left="0.7" right="0.7" top="0.75" bottom="0.75" header="0.3" footer="0.3"/>
      <pageSetup paperSize="9" orientation="portrait" r:id="rId5"/>
      <headerFooter>
        <oddHeader>&amp;L&amp;"Calibri"&amp;10&amp;K000000OFFICIAL&amp;1#</oddHeader>
        <oddFooter>&amp;L&amp;1#&amp;"Calibri"&amp;10&amp;K000000OFFICIAL</oddFooter>
      </headerFooter>
    </customSheetView>
    <customSheetView guid="{83044EFE-7F92-4F81-B034-85D9567158C2}" scale="90" state="hidden">
      <pane ySplit="5" topLeftCell="A6" activePane="bottomLeft" state="frozen"/>
      <selection pane="bottomLeft" activeCell="A67" sqref="A67"/>
      <pageMargins left="0.7" right="0.7" top="0.75" bottom="0.75" header="0.3" footer="0.3"/>
      <pageSetup paperSize="9" orientation="portrait" r:id="rId6"/>
      <headerFooter>
        <oddHeader>&amp;L&amp;"Calibri"&amp;10&amp;K000000OFFICIAL&amp;1#</oddHeader>
        <oddFooter>&amp;L&amp;1#&amp;"Calibri"&amp;10&amp;K000000OFFICIAL</oddFooter>
      </headerFooter>
    </customSheetView>
    <customSheetView guid="{E4713981-DD11-40CE-BE52-873D93BDDE05}" scale="90" state="hidden">
      <pane ySplit="5" topLeftCell="A6" activePane="bottomLeft" state="frozen"/>
      <selection pane="bottomLeft" activeCell="A67" sqref="A67"/>
      <pageMargins left="0.7" right="0.7" top="0.75" bottom="0.75" header="0.3" footer="0.3"/>
      <pageSetup paperSize="9" orientation="portrait" r:id="rId7"/>
      <headerFooter>
        <oddHeader>&amp;L&amp;"Calibri"&amp;10&amp;K000000OFFICIAL&amp;1#</oddHeader>
        <oddFooter>&amp;L&amp;1#&amp;"Calibri"&amp;10&amp;K000000OFFICIAL</oddFooter>
      </headerFooter>
    </customSheetView>
    <customSheetView guid="{442F9A23-CA6E-4109-B10C-ACF5FD36B859}" scale="90" state="hidden">
      <pane ySplit="5" topLeftCell="A6" activePane="bottomLeft" state="frozen"/>
      <selection pane="bottomLeft" activeCell="A67" sqref="A67"/>
      <pageMargins left="0.7" right="0.7" top="0.75" bottom="0.75" header="0.3" footer="0.3"/>
      <pageSetup paperSize="9" orientation="portrait" r:id="rId8"/>
      <headerFooter>
        <oddHeader>&amp;L&amp;"Calibri"&amp;10&amp;K000000OFFICIAL&amp;1#</oddHeader>
        <oddFooter>&amp;L&amp;1#&amp;"Calibri"&amp;10&amp;K000000OFFICIAL</oddFooter>
      </headerFooter>
    </customSheetView>
    <customSheetView guid="{B434A8A8-5A4C-48C0-82E7-2458B9D2EEEF}" scale="90" state="hidden">
      <pane ySplit="5" topLeftCell="A6" activePane="bottomLeft" state="frozen"/>
      <selection pane="bottomLeft" activeCell="A67" sqref="A67"/>
      <pageMargins left="0.7" right="0.7" top="0.75" bottom="0.75" header="0.3" footer="0.3"/>
      <pageSetup paperSize="9" orientation="portrait" r:id="rId9"/>
      <headerFooter>
        <oddHeader>&amp;L&amp;"Calibri"&amp;10&amp;K000000OFFICIAL&amp;1#</oddHeader>
        <oddFooter>&amp;L&amp;1#&amp;"Calibri"&amp;10&amp;K000000OFFICIAL</oddFooter>
      </headerFooter>
    </customSheetView>
    <customSheetView guid="{3827E543-57D2-48C8-B786-7077EA079DD2}" scale="90" state="hidden">
      <pane ySplit="5" topLeftCell="A6" activePane="bottomLeft" state="frozen"/>
      <selection pane="bottomLeft" activeCell="A67" sqref="A67"/>
      <pageMargins left="0.7" right="0.7" top="0.75" bottom="0.75" header="0.3" footer="0.3"/>
      <pageSetup paperSize="9" orientation="portrait" r:id="rId10"/>
      <headerFooter>
        <oddHeader>&amp;L&amp;"Calibri"&amp;10&amp;K000000OFFICIAL&amp;1#</oddHeader>
        <oddFooter>&amp;L&amp;1#&amp;"Calibri"&amp;10&amp;K000000OFFICIAL</oddFooter>
      </headerFooter>
    </customSheetView>
    <customSheetView guid="{2EA8DBF7-9763-457C-AA9F-1EEB2F136D1F}" scale="90" state="hidden">
      <pane ySplit="5" topLeftCell="A6" activePane="bottomLeft" state="frozen"/>
      <selection pane="bottomLeft" activeCell="A67" sqref="A67"/>
      <pageMargins left="0.7" right="0.7" top="0.75" bottom="0.75" header="0.3" footer="0.3"/>
      <pageSetup paperSize="9" orientation="portrait" r:id="rId11"/>
      <headerFooter>
        <oddHeader>&amp;L&amp;"Calibri"&amp;10&amp;K000000OFFICIAL&amp;1#</oddHeader>
        <oddFooter>&amp;L&amp;1#&amp;"Calibri"&amp;10&amp;K000000OFFICIAL</oddFooter>
      </headerFooter>
    </customSheetView>
    <customSheetView guid="{70582C04-BB53-4A99-A3C1-673011D9AE1C}" scale="90" state="hidden">
      <pane ySplit="5" topLeftCell="A6" activePane="bottomLeft" state="frozen"/>
      <selection pane="bottomLeft" activeCell="A67" sqref="A67"/>
      <pageMargins left="0.7" right="0.7" top="0.75" bottom="0.75" header="0.3" footer="0.3"/>
      <pageSetup paperSize="9" orientation="portrait" r:id="rId12"/>
      <headerFooter>
        <oddHeader>&amp;L&amp;"Calibri"&amp;10&amp;K000000OFFICIAL&amp;1#</oddHeader>
        <oddFooter>&amp;L&amp;1#&amp;"Calibri"&amp;10&amp;K000000OFFICIAL</oddFooter>
      </headerFooter>
    </customSheetView>
    <customSheetView guid="{37F5A0AB-EB39-4832-9D67-F67D908BF486}" scale="90" state="hidden">
      <pane ySplit="5" topLeftCell="A6" activePane="bottomLeft" state="frozen"/>
      <selection pane="bottomLeft" activeCell="A67" sqref="A67"/>
      <pageMargins left="0.7" right="0.7" top="0.75" bottom="0.75" header="0.3" footer="0.3"/>
      <pageSetup paperSize="9" orientation="portrait" r:id="rId13"/>
      <headerFooter>
        <oddHeader>&amp;L&amp;"Calibri"&amp;10&amp;K000000OFFICIAL&amp;1#</oddHeader>
        <oddFooter>&amp;L&amp;1#&amp;"Calibri"&amp;10&amp;K000000OFFICIAL</oddFooter>
      </headerFooter>
    </customSheetView>
    <customSheetView guid="{78AA4A71-CE17-4C4D-849E-E3E1A44EA907}" scale="90" state="hidden">
      <pane ySplit="5" topLeftCell="A6" activePane="bottomLeft" state="frozen"/>
      <selection pane="bottomLeft" activeCell="A67" sqref="A67"/>
      <pageMargins left="0.7" right="0.7" top="0.75" bottom="0.75" header="0.3" footer="0.3"/>
      <pageSetup paperSize="9" orientation="portrait" r:id="rId14"/>
      <headerFooter>
        <oddHeader>&amp;L&amp;"Calibri"&amp;10&amp;K000000OFFICIAL&amp;1#</oddHeader>
        <oddFooter>&amp;L&amp;1#&amp;"Calibri"&amp;10&amp;K000000OFFICIAL</oddFooter>
      </headerFooter>
    </customSheetView>
    <customSheetView guid="{51DFD3D6-BC25-47B4-B28F-D640534DB3A9}" scale="90" state="hidden">
      <pane ySplit="5" topLeftCell="A6" activePane="bottomLeft" state="frozen"/>
      <selection pane="bottomLeft" activeCell="A67" sqref="A67"/>
      <pageMargins left="0.7" right="0.7" top="0.75" bottom="0.75" header="0.3" footer="0.3"/>
      <pageSetup paperSize="9" orientation="portrait" r:id="rId15"/>
      <headerFooter>
        <oddHeader>&amp;L&amp;"Calibri"&amp;10&amp;K000000OFFICIAL&amp;1#</oddHeader>
        <oddFooter>&amp;L&amp;1#&amp;"Calibri"&amp;10&amp;K000000OFFICIAL</oddFooter>
      </headerFooter>
    </customSheetView>
    <customSheetView guid="{CA7E8063-5145-49E1-8E00-2E1025705A81}" scale="90" state="hidden">
      <pane ySplit="5" topLeftCell="A6" activePane="bottomLeft" state="frozen"/>
      <selection pane="bottomLeft" activeCell="A67" sqref="A67"/>
      <pageMargins left="0.7" right="0.7" top="0.75" bottom="0.75" header="0.3" footer="0.3"/>
      <pageSetup paperSize="9" orientation="portrait" r:id="rId16"/>
      <headerFooter>
        <oddHeader>&amp;L&amp;"Calibri"&amp;10&amp;K000000OFFICIAL&amp;1#</oddHeader>
        <oddFooter>&amp;L&amp;1#&amp;"Calibri"&amp;10&amp;K000000OFFICIAL</oddFooter>
      </headerFooter>
    </customSheetView>
    <customSheetView guid="{75EE3B92-AF4D-4E93-A70E-6ADE60CC674F}" scale="90" state="hidden">
      <pane ySplit="4" topLeftCell="A6" activePane="bottomLeft" state="frozen"/>
      <selection pane="bottomLeft" activeCell="A67" sqref="A67"/>
      <pageMargins left="0.7" right="0.7" top="0.75" bottom="0.75" header="0.3" footer="0.3"/>
      <pageSetup paperSize="9" orientation="portrait" r:id="rId17"/>
      <headerFooter>
        <oddHeader>&amp;L&amp;"Calibri"&amp;10&amp;K000000OFFICIAL&amp;1#</oddHeader>
        <oddFooter>&amp;L&amp;1#&amp;"Calibri"&amp;10&amp;K000000OFFICIAL</oddFooter>
      </headerFooter>
    </customSheetView>
    <customSheetView guid="{29AC9BE3-332A-4738-949C-1F8C0D32BAEE}" scale="90" state="hidden">
      <pane ySplit="5" topLeftCell="A6" activePane="bottomLeft" state="frozen"/>
      <selection pane="bottomLeft" activeCell="A67" sqref="A67"/>
      <pageMargins left="0.7" right="0.7" top="0.75" bottom="0.75" header="0.3" footer="0.3"/>
      <pageSetup paperSize="9" orientation="portrait" r:id="rId18"/>
      <headerFooter>
        <oddHeader>&amp;L&amp;"Calibri"&amp;10&amp;K000000OFFICIAL&amp;1#</oddHeader>
        <oddFooter>&amp;L&amp;1#&amp;"Calibri"&amp;10&amp;K000000OFFICIAL</oddFooter>
      </headerFooter>
    </customSheetView>
    <customSheetView guid="{42B0E8B1-ADFA-49AE-A83B-82D384737703}" scale="90" state="hidden">
      <pane ySplit="5" topLeftCell="A6" activePane="bottomLeft" state="frozen"/>
      <selection pane="bottomLeft" activeCell="A67" sqref="A67"/>
      <pageMargins left="0.7" right="0.7" top="0.75" bottom="0.75" header="0.3" footer="0.3"/>
      <pageSetup paperSize="9" orientation="portrait" r:id="rId19"/>
      <headerFooter>
        <oddHeader>&amp;L&amp;"Calibri"&amp;10&amp;K000000OFFICIAL&amp;1#</oddHeader>
        <oddFooter>&amp;L&amp;1#&amp;"Calibri"&amp;10&amp;K000000OFFICIAL</oddFooter>
      </headerFooter>
    </customSheetView>
    <customSheetView guid="{D59DDBAA-620D-43B7-A6D9-759808D3397A}" scale="90" state="hidden">
      <pane ySplit="5" topLeftCell="A6" activePane="bottomLeft" state="frozen"/>
      <selection pane="bottomLeft" activeCell="A67" sqref="A67"/>
      <pageMargins left="0.7" right="0.7" top="0.75" bottom="0.75" header="0.3" footer="0.3"/>
      <pageSetup paperSize="9" orientation="portrait" r:id="rId20"/>
      <headerFooter>
        <oddHeader>&amp;L&amp;"Calibri"&amp;10&amp;K000000OFFICIAL&amp;1#</oddHeader>
        <oddFooter>&amp;L&amp;1#&amp;"Calibri"&amp;10&amp;K000000OFFICIAL</oddFooter>
      </headerFooter>
    </customSheetView>
    <customSheetView guid="{F4A6298C-1A75-4FA9-A6A4-2BE13CCFE545}" scale="90" state="hidden">
      <pane ySplit="5" topLeftCell="A6" activePane="bottomLeft" state="frozen"/>
      <selection pane="bottomLeft" activeCell="A67" sqref="A67"/>
      <pageMargins left="0.7" right="0.7" top="0.75" bottom="0.75" header="0.3" footer="0.3"/>
      <pageSetup paperSize="9" orientation="portrait" r:id="rId21"/>
      <headerFooter>
        <oddHeader>&amp;L&amp;"Calibri"&amp;10&amp;K000000OFFICIAL&amp;1#</oddHeader>
        <oddFooter>&amp;L&amp;1#&amp;"Calibri"&amp;10&amp;K000000OFFICIAL</oddFooter>
      </headerFooter>
    </customSheetView>
    <customSheetView guid="{9F91FBC4-6A13-42C2-A2D9-42A2AC814E28}" scale="90" state="hidden">
      <pane ySplit="5" topLeftCell="A6" activePane="bottomLeft" state="frozen"/>
      <selection pane="bottomLeft" activeCell="A67" sqref="A67"/>
      <pageMargins left="0.7" right="0.7" top="0.75" bottom="0.75" header="0.3" footer="0.3"/>
      <pageSetup paperSize="9" orientation="portrait" r:id="rId22"/>
      <headerFooter>
        <oddHeader>&amp;L&amp;"Calibri"&amp;10&amp;K000000OFFICIAL&amp;1#</oddHeader>
        <oddFooter>&amp;L&amp;1#&amp;"Calibri"&amp;10&amp;K000000OFFICIAL</oddFooter>
      </headerFooter>
    </customSheetView>
    <customSheetView guid="{DF265C7B-1EEB-47EB-982A-6938E81F7AC2}" scale="90" state="hidden">
      <pane ySplit="5" topLeftCell="A6" activePane="bottomLeft" state="frozen"/>
      <selection pane="bottomLeft" activeCell="A67" sqref="A67"/>
      <pageMargins left="0.7" right="0.7" top="0.75" bottom="0.75" header="0.3" footer="0.3"/>
      <pageSetup paperSize="9" orientation="portrait" r:id="rId23"/>
      <headerFooter>
        <oddHeader>&amp;L&amp;"Calibri"&amp;10&amp;K000000OFFICIAL&amp;1#</oddHeader>
        <oddFooter>&amp;L&amp;1#&amp;"Calibri"&amp;10&amp;K000000OFFICIAL</oddFooter>
      </headerFooter>
    </customSheetView>
    <customSheetView guid="{8263C9D2-452D-46FA-AFA0-452B42DC0298}" scale="90" state="hidden">
      <pane ySplit="5" topLeftCell="A6" activePane="bottomLeft" state="frozen"/>
      <selection pane="bottomLeft" activeCell="A67" sqref="A67"/>
      <pageMargins left="0.7" right="0.7" top="0.75" bottom="0.75" header="0.3" footer="0.3"/>
      <pageSetup paperSize="9" orientation="portrait" r:id="rId24"/>
      <headerFooter>
        <oddHeader>&amp;L&amp;"Calibri"&amp;10&amp;K000000OFFICIAL&amp;1#</oddHeader>
        <oddFooter>&amp;L&amp;1#&amp;"Calibri"&amp;10&amp;K000000OFFICIAL</oddFooter>
      </headerFooter>
    </customSheetView>
    <customSheetView guid="{151EB58C-4EFD-4330-8D1A-8AACF5F7C679}" scale="90" state="hidden">
      <pane ySplit="5" topLeftCell="A6" activePane="bottomLeft" state="frozen"/>
      <selection pane="bottomLeft" activeCell="A67" sqref="A67"/>
      <pageMargins left="0.7" right="0.7" top="0.75" bottom="0.75" header="0.3" footer="0.3"/>
      <pageSetup paperSize="9" orientation="portrait" r:id="rId25"/>
      <headerFooter>
        <oddHeader>&amp;L&amp;"Calibri"&amp;10&amp;K000000OFFICIAL&amp;1#</oddHeader>
        <oddFooter>&amp;L&amp;1#&amp;"Calibri"&amp;10&amp;K000000OFFICIAL</oddFooter>
      </headerFooter>
    </customSheetView>
    <customSheetView guid="{8CB67476-3FD4-42E0-ACD6-62ACA9412843}" scale="90" state="hidden">
      <pane ySplit="5" topLeftCell="A6" activePane="bottomLeft" state="frozen"/>
      <selection pane="bottomLeft" activeCell="A67" sqref="A67"/>
      <pageMargins left="0.7" right="0.7" top="0.75" bottom="0.75" header="0.3" footer="0.3"/>
      <pageSetup paperSize="9" orientation="portrait" r:id="rId26"/>
      <headerFooter>
        <oddHeader>&amp;L&amp;"Calibri"&amp;10&amp;K000000OFFICIAL&amp;1#</oddHeader>
        <oddFooter>&amp;L&amp;1#&amp;"Calibri"&amp;10&amp;K000000OFFICIAL</oddFooter>
      </headerFooter>
    </customSheetView>
    <customSheetView guid="{51B3083F-A103-41AB-A137-63549C54B838}" scale="90" state="hidden">
      <pane ySplit="5" topLeftCell="A6" activePane="bottomLeft" state="frozen"/>
      <selection pane="bottomLeft" activeCell="A67" sqref="A67"/>
      <pageMargins left="0.7" right="0.7" top="0.75" bottom="0.75" header="0.3" footer="0.3"/>
      <pageSetup paperSize="9" orientation="portrait" r:id="rId27"/>
      <headerFooter>
        <oddHeader>&amp;L&amp;"Calibri"&amp;10&amp;K000000OFFICIAL&amp;1#</oddHeader>
        <oddFooter>&amp;L&amp;1#&amp;"Calibri"&amp;10&amp;K000000OFFICIAL</oddFooter>
      </headerFooter>
    </customSheetView>
    <customSheetView guid="{E06B4FE8-6127-47B2-A6A5-4FAC9EEB4538}" scale="90" state="hidden">
      <selection activeCell="A67" sqref="A67"/>
      <pageMargins left="0.7" right="0.7" top="0.75" bottom="0.75" header="0.3" footer="0.3"/>
      <pageSetup paperSize="9" orientation="portrait" r:id="rId28"/>
      <headerFooter>
        <oddHeader>&amp;L&amp;"Calibri"&amp;10&amp;K000000OFFICIAL&amp;1#</oddHeader>
        <oddFooter>&amp;L&amp;1#&amp;"Calibri"&amp;10&amp;K000000OFFICIAL</oddFooter>
      </headerFooter>
    </customSheetView>
    <customSheetView guid="{593284E7-E32C-4D6C-8C2F-3DEEF9DEE1DF}" scale="90" state="hidden">
      <pane ySplit="5" topLeftCell="A6" activePane="bottomLeft" state="frozen"/>
      <selection pane="bottomLeft" activeCell="A67" sqref="A67"/>
      <pageMargins left="0.7" right="0.7" top="0.75" bottom="0.75" header="0.3" footer="0.3"/>
      <pageSetup paperSize="9" orientation="portrait" r:id="rId29"/>
      <headerFooter>
        <oddHeader>&amp;L&amp;"Calibri"&amp;10&amp;K000000OFFICIAL&amp;1#</oddHeader>
        <oddFooter>&amp;L&amp;1#&amp;"Calibri"&amp;10&amp;K000000OFFICIAL</oddFooter>
      </headerFooter>
    </customSheetView>
    <customSheetView guid="{351EFD38-BF62-4E34-A37F-0EEB3E165043}" scale="90" state="hidden">
      <pane ySplit="5" topLeftCell="A6" activePane="bottomLeft" state="frozen"/>
      <selection pane="bottomLeft" activeCell="A67" sqref="A67"/>
      <pageMargins left="0.7" right="0.7" top="0.75" bottom="0.75" header="0.3" footer="0.3"/>
      <pageSetup paperSize="9" orientation="portrait" r:id="rId30"/>
      <headerFooter>
        <oddHeader>&amp;L&amp;"Calibri"&amp;10&amp;K000000OFFICIAL&amp;1#</oddHeader>
        <oddFooter>&amp;L&amp;1#&amp;"Calibri"&amp;10&amp;K000000OFFICIAL</oddFooter>
      </headerFooter>
    </customSheetView>
    <customSheetView guid="{EB96DBE4-2D64-4388-853C-CB52A0CB79BA}" scale="90" state="hidden">
      <pane ySplit="5" topLeftCell="A6" activePane="bottomLeft" state="frozen"/>
      <selection pane="bottomLeft" activeCell="A67" sqref="A67"/>
      <pageMargins left="0.7" right="0.7" top="0.75" bottom="0.75" header="0.3" footer="0.3"/>
      <pageSetup paperSize="9" orientation="portrait" r:id="rId31"/>
      <headerFooter>
        <oddHeader>&amp;L&amp;"Calibri"&amp;10&amp;K000000OFFICIAL&amp;1#</oddHeader>
        <oddFooter>&amp;L&amp;1#&amp;"Calibri"&amp;10&amp;K000000OFFICIAL</oddFooter>
      </headerFooter>
    </customSheetView>
    <customSheetView guid="{016CEBB2-C827-48F4-95E1-85D8C5129F41}" scale="90" state="hidden">
      <pane ySplit="5" topLeftCell="A6" activePane="bottomLeft" state="frozen"/>
      <selection pane="bottomLeft" activeCell="A67" sqref="A67"/>
      <pageMargins left="0.7" right="0.7" top="0.75" bottom="0.75" header="0.3" footer="0.3"/>
      <pageSetup paperSize="9" orientation="portrait" r:id="rId32"/>
      <headerFooter>
        <oddHeader>&amp;L&amp;"Calibri"&amp;10&amp;K000000OFFICIAL&amp;1#</oddHeader>
        <oddFooter>&amp;L&amp;1#&amp;"Calibri"&amp;10&amp;K000000OFFICIAL</oddFooter>
      </headerFooter>
    </customSheetView>
    <customSheetView guid="{6702457D-A9A8-4F46-8E1C-BC7255F4BA77}" scale="90" state="hidden">
      <pane ySplit="5" topLeftCell="A6" activePane="bottomLeft" state="frozen"/>
      <selection pane="bottomLeft" activeCell="A67" sqref="A67"/>
      <pageMargins left="0.7" right="0.7" top="0.75" bottom="0.75" header="0.3" footer="0.3"/>
      <pageSetup paperSize="9" orientation="portrait" r:id="rId33"/>
      <headerFooter>
        <oddHeader>&amp;L&amp;"Calibri"&amp;10&amp;K000000OFFICIAL&amp;1#</oddHeader>
        <oddFooter>&amp;L&amp;1#&amp;"Calibri"&amp;10&amp;K000000OFFICIAL</oddFooter>
      </headerFooter>
    </customSheetView>
    <customSheetView guid="{D27C51BB-BB54-4F37-8171-98067C39697C}" scale="90" state="hidden">
      <pane ySplit="5" topLeftCell="A6" activePane="bottomLeft" state="frozen"/>
      <selection pane="bottomLeft" activeCell="A67" sqref="A67"/>
      <pageMargins left="0.7" right="0.7" top="0.75" bottom="0.75" header="0.3" footer="0.3"/>
      <pageSetup paperSize="9" orientation="portrait" r:id="rId34"/>
      <headerFooter>
        <oddHeader>&amp;L&amp;"Calibri"&amp;10&amp;K000000OFFICIAL&amp;1#</oddHeader>
        <oddFooter>&amp;L&amp;1#&amp;"Calibri"&amp;10&amp;K000000OFFICIAL</oddFooter>
      </headerFooter>
    </customSheetView>
    <customSheetView guid="{008CCD98-7480-4C51-806A-4B55C801DDC2}" scale="90" state="hidden">
      <selection activeCell="A67" sqref="A67"/>
      <pageMargins left="0.7" right="0.7" top="0.75" bottom="0.75" header="0.3" footer="0.3"/>
      <pageSetup paperSize="9" orientation="portrait" r:id="rId35"/>
      <headerFooter>
        <oddHeader>&amp;L&amp;"Calibri"&amp;10&amp;K000000OFFICIAL&amp;1#</oddHeader>
        <oddFooter>&amp;L&amp;1#&amp;"Calibri"&amp;10&amp;K000000OFFICIAL</oddFooter>
      </headerFooter>
    </customSheetView>
    <customSheetView guid="{4E6F9C2D-76F2-4884-BBF6-E02A7BAE11EF}" scale="90" state="hidden">
      <pane ySplit="5" topLeftCell="A6" activePane="bottomLeft" state="frozen"/>
      <selection pane="bottomLeft" activeCell="A67" sqref="A67"/>
      <pageMargins left="0.7" right="0.7" top="0.75" bottom="0.75" header="0.3" footer="0.3"/>
      <pageSetup paperSize="9" orientation="portrait" r:id="rId36"/>
      <headerFooter>
        <oddHeader>&amp;L&amp;"Calibri"&amp;10&amp;K000000OFFICIAL&amp;1#</oddHeader>
        <oddFooter>&amp;L&amp;1#&amp;"Calibri"&amp;10&amp;K000000OFFICIAL</oddFooter>
      </headerFooter>
    </customSheetView>
    <customSheetView guid="{C39AE06A-FC0A-4D7D-B287-2FA9CA174191}" scale="90" state="hidden">
      <pane ySplit="5" topLeftCell="A6" activePane="bottomLeft" state="frozen"/>
      <selection pane="bottomLeft" activeCell="A67" sqref="A67"/>
      <pageMargins left="0.7" right="0.7" top="0.75" bottom="0.75" header="0.3" footer="0.3"/>
      <pageSetup paperSize="9" orientation="portrait" r:id="rId37"/>
      <headerFooter>
        <oddHeader>&amp;L&amp;"Calibri"&amp;10&amp;K000000OFFICIAL&amp;1#</oddHeader>
        <oddFooter>&amp;L&amp;1#&amp;"Calibri"&amp;10&amp;K000000OFFICIAL</oddFooter>
      </headerFooter>
    </customSheetView>
    <customSheetView guid="{D16D941B-FC89-4FEC-A49B-5FA2532584DE}" scale="90" state="hidden">
      <pane ySplit="5" topLeftCell="A6" activePane="bottomLeft" state="frozen"/>
      <selection pane="bottomLeft" activeCell="A67" sqref="A67"/>
      <pageMargins left="0.7" right="0.7" top="0.75" bottom="0.75" header="0.3" footer="0.3"/>
      <pageSetup paperSize="9" orientation="portrait" r:id="rId38"/>
      <headerFooter>
        <oddHeader>&amp;L&amp;"Calibri"&amp;10&amp;K000000OFFICIAL&amp;1#</oddHeader>
        <oddFooter>&amp;L&amp;1#&amp;"Calibri"&amp;10&amp;K000000OFFICIAL</oddFooter>
      </headerFooter>
    </customSheetView>
    <customSheetView guid="{3BB18945-69B5-4B22-8D55-989F8F233459}" scale="90" state="hidden">
      <pane ySplit="5" topLeftCell="A6" activePane="bottomLeft" state="frozen"/>
      <selection pane="bottomLeft" activeCell="A67" sqref="A67"/>
      <pageMargins left="0.7" right="0.7" top="0.75" bottom="0.75" header="0.3" footer="0.3"/>
      <pageSetup paperSize="9" orientation="portrait" r:id="rId39"/>
      <headerFooter>
        <oddHeader>&amp;L&amp;"Calibri"&amp;10&amp;K000000OFFICIAL&amp;1#</oddHeader>
        <oddFooter>&amp;L&amp;1#&amp;"Calibri"&amp;10&amp;K000000OFFICIAL</oddFooter>
      </headerFooter>
    </customSheetView>
    <customSheetView guid="{B84DA703-8C5B-4100-91A4-8807E303D379}" scale="90" state="hidden">
      <pane ySplit="5" topLeftCell="A6" activePane="bottomLeft" state="frozen"/>
      <selection pane="bottomLeft" activeCell="A67" sqref="A67"/>
      <pageMargins left="0.7" right="0.7" top="0.75" bottom="0.75" header="0.3" footer="0.3"/>
      <pageSetup paperSize="9" orientation="portrait" r:id="rId40"/>
      <headerFooter>
        <oddHeader>&amp;L&amp;"Calibri"&amp;10&amp;K000000OFFICIAL&amp;1#</oddHeader>
        <oddFooter>&amp;L&amp;1#&amp;"Calibri"&amp;10&amp;K000000OFFICIAL</oddFooter>
      </headerFooter>
    </customSheetView>
    <customSheetView guid="{B0A28FD4-D7F6-428C-A7F7-92132DCD74BB}" scale="90" state="hidden">
      <pane ySplit="5" topLeftCell="A6" activePane="bottomLeft" state="frozen"/>
      <selection pane="bottomLeft" activeCell="A67" sqref="A67"/>
      <pageMargins left="0.7" right="0.7" top="0.75" bottom="0.75" header="0.3" footer="0.3"/>
      <pageSetup paperSize="9" orientation="portrait" r:id="rId41"/>
      <headerFooter>
        <oddHeader>&amp;L&amp;"Calibri"&amp;10&amp;K000000OFFICIAL&amp;1#</oddHeader>
        <oddFooter>&amp;L&amp;1#&amp;"Calibri"&amp;10&amp;K000000OFFICIAL</oddFooter>
      </headerFooter>
    </customSheetView>
    <customSheetView guid="{3C97F0B0-2F3C-4E03-96E0-0C4FEC2F24AC}" scale="90" state="hidden">
      <pane ySplit="5" topLeftCell="A6" activePane="bottomLeft" state="frozen"/>
      <selection pane="bottomLeft" activeCell="A67" sqref="A67"/>
      <pageMargins left="0.7" right="0.7" top="0.75" bottom="0.75" header="0.3" footer="0.3"/>
      <pageSetup paperSize="9" orientation="portrait" r:id="rId42"/>
      <headerFooter>
        <oddHeader>&amp;L&amp;"Calibri"&amp;10&amp;K000000OFFICIAL&amp;1#</oddHeader>
        <oddFooter>&amp;L&amp;1#&amp;"Calibri"&amp;10&amp;K000000OFFICIAL</oddFooter>
      </headerFooter>
    </customSheetView>
    <customSheetView guid="{A03C6B09-6B58-4DDE-A3B2-41A27A7049D9}" scale="90" state="hidden">
      <pane ySplit="5" topLeftCell="A6" activePane="bottomLeft" state="frozen"/>
      <selection pane="bottomLeft" activeCell="A67" sqref="A67"/>
      <pageMargins left="0.7" right="0.7" top="0.75" bottom="0.75" header="0.3" footer="0.3"/>
      <pageSetup paperSize="9" orientation="portrait" r:id="rId43"/>
      <headerFooter>
        <oddHeader>&amp;L&amp;"Calibri"&amp;10&amp;K000000OFFICIAL&amp;1#</oddHeader>
        <oddFooter>&amp;L&amp;1#&amp;"Calibri"&amp;10&amp;K000000OFFICIAL</oddFooter>
      </headerFooter>
    </customSheetView>
    <customSheetView guid="{4EBEE699-7DEF-4A50-9CB7-490835CF0B98}" scale="90" state="hidden">
      <pane ySplit="5" topLeftCell="A6" activePane="bottomLeft" state="frozen"/>
      <selection pane="bottomLeft" activeCell="A67" sqref="A67"/>
      <pageMargins left="0.7" right="0.7" top="0.75" bottom="0.75" header="0.3" footer="0.3"/>
      <pageSetup paperSize="9" orientation="portrait" r:id="rId44"/>
      <headerFooter>
        <oddHeader>&amp;L&amp;"Calibri"&amp;10&amp;K000000OFFICIAL&amp;1#</oddHeader>
        <oddFooter>&amp;L&amp;1#&amp;"Calibri"&amp;10&amp;K000000OFFICIAL</oddFooter>
      </headerFooter>
    </customSheetView>
    <customSheetView guid="{451730E2-FFE9-4FCE-B8B5-64952C26C672}" scale="90" state="hidden">
      <pane ySplit="5" topLeftCell="A6" activePane="bottomLeft" state="frozen"/>
      <selection pane="bottomLeft" activeCell="A67" sqref="A67"/>
      <pageMargins left="0.7" right="0.7" top="0.75" bottom="0.75" header="0.3" footer="0.3"/>
      <pageSetup paperSize="9" orientation="portrait" r:id="rId45"/>
      <headerFooter>
        <oddHeader>&amp;L&amp;"Calibri"&amp;10&amp;K000000OFFICIAL&amp;1#</oddHeader>
        <oddFooter>&amp;L&amp;1#&amp;"Calibri"&amp;10&amp;K000000OFFICIAL</oddFooter>
      </headerFooter>
    </customSheetView>
    <customSheetView guid="{9AF6E233-883D-48B4-95AB-42B37199AB9E}" scale="90" state="hidden">
      <pane ySplit="5" topLeftCell="A6" activePane="bottomLeft" state="frozen"/>
      <selection pane="bottomLeft" activeCell="A67" sqref="A67"/>
      <pageMargins left="0.7" right="0.7" top="0.75" bottom="0.75" header="0.3" footer="0.3"/>
      <pageSetup paperSize="9" orientation="portrait" r:id="rId46"/>
      <headerFooter>
        <oddHeader>&amp;L&amp;"Calibri"&amp;10&amp;K000000OFFICIAL&amp;1#</oddHeader>
        <oddFooter>&amp;L&amp;1#&amp;"Calibri"&amp;10&amp;K000000OFFICIAL</oddFooter>
      </headerFooter>
    </customSheetView>
    <customSheetView guid="{1ECD6E30-299B-4354-A416-2DAFF33C7022}" scale="90" state="hidden">
      <pane ySplit="5" topLeftCell="A6" activePane="bottomLeft" state="frozen"/>
      <selection pane="bottomLeft" activeCell="A67" sqref="A67"/>
      <pageMargins left="0.7" right="0.7" top="0.75" bottom="0.75" header="0.3" footer="0.3"/>
      <pageSetup paperSize="9" orientation="portrait" r:id="rId47"/>
      <headerFooter>
        <oddHeader>&amp;L&amp;"Calibri"&amp;10&amp;K000000OFFICIAL&amp;1#</oddHeader>
        <oddFooter>&amp;L&amp;1#&amp;"Calibri"&amp;10&amp;K000000OFFICIAL</oddFooter>
      </headerFooter>
    </customSheetView>
    <customSheetView guid="{97D58294-343B-4B62-A826-0DDDE29B5F0D}" scale="90" state="hidden">
      <pane ySplit="5" topLeftCell="A6" activePane="bottomLeft" state="frozen"/>
      <selection pane="bottomLeft" activeCell="A67" sqref="A67"/>
      <pageMargins left="0.7" right="0.7" top="0.75" bottom="0.75" header="0.3" footer="0.3"/>
      <pageSetup paperSize="9" orientation="portrait" r:id="rId48"/>
      <headerFooter>
        <oddHeader>&amp;L&amp;"Calibri"&amp;10&amp;K000000OFFICIAL&amp;1#</oddHeader>
        <oddFooter>&amp;L&amp;1#&amp;"Calibri"&amp;10&amp;K000000OFFICIAL</oddFooter>
      </headerFooter>
    </customSheetView>
    <customSheetView guid="{BDCD1595-C0B8-4F6C-B01C-3472C895B827}" scale="90" state="hidden">
      <pane ySplit="5" topLeftCell="A6" activePane="bottomLeft" state="frozen"/>
      <selection pane="bottomLeft" activeCell="A67" sqref="A67"/>
      <pageMargins left="0.7" right="0.7" top="0.75" bottom="0.75" header="0.3" footer="0.3"/>
      <pageSetup paperSize="9" orientation="portrait" r:id="rId49"/>
      <headerFooter>
        <oddHeader>&amp;L&amp;"Calibri"&amp;10&amp;K000000OFFICIAL&amp;1#</oddHeader>
        <oddFooter>&amp;L&amp;1#&amp;"Calibri"&amp;10&amp;K000000OFFICIAL</oddFooter>
      </headerFooter>
    </customSheetView>
    <customSheetView guid="{9355C9F4-9C07-4A93-B7F2-69F1D1526716}" scale="90" state="hidden">
      <pane ySplit="5" topLeftCell="A6" activePane="bottomLeft" state="frozen"/>
      <selection pane="bottomLeft" activeCell="A67" sqref="A67"/>
      <pageMargins left="0.7" right="0.7" top="0.75" bottom="0.75" header="0.3" footer="0.3"/>
      <pageSetup paperSize="9" orientation="portrait" r:id="rId50"/>
      <headerFooter>
        <oddHeader>&amp;L&amp;"Calibri"&amp;10&amp;K000000OFFICIAL&amp;1#</oddHeader>
        <oddFooter>&amp;L&amp;1#&amp;"Calibri"&amp;10&amp;K000000OFFICIAL</oddFooter>
      </headerFooter>
    </customSheetView>
    <customSheetView guid="{F5FA2A23-9E46-4C2F-B1EE-B71787F95C57}" scale="90" state="hidden">
      <pane ySplit="5" topLeftCell="A6" activePane="bottomLeft" state="frozen"/>
      <selection pane="bottomLeft" activeCell="A67" sqref="A67"/>
      <pageMargins left="0.7" right="0.7" top="0.75" bottom="0.75" header="0.3" footer="0.3"/>
      <pageSetup paperSize="9" orientation="portrait" r:id="rId51"/>
      <headerFooter>
        <oddHeader>&amp;L&amp;"Calibri"&amp;10&amp;K000000OFFICIAL&amp;1#</oddHeader>
        <oddFooter>&amp;L&amp;1#&amp;"Calibri"&amp;10&amp;K000000OFFICIAL</oddFooter>
      </headerFooter>
    </customSheetView>
    <customSheetView guid="{B95D32C7-1418-4EF6-8936-849885C54A4A}" scale="90" state="hidden">
      <pane ySplit="5" topLeftCell="A6" activePane="bottomLeft" state="frozen"/>
      <selection pane="bottomLeft" activeCell="A67" sqref="A67"/>
      <pageMargins left="0.7" right="0.7" top="0.75" bottom="0.75" header="0.3" footer="0.3"/>
      <pageSetup paperSize="9" orientation="portrait" r:id="rId52"/>
      <headerFooter>
        <oddHeader>&amp;L&amp;"Calibri"&amp;10&amp;K000000OFFICIAL&amp;1#</oddHeader>
        <oddFooter>&amp;L&amp;1#&amp;"Calibri"&amp;10&amp;K000000OFFICIAL</oddFooter>
      </headerFooter>
    </customSheetView>
    <customSheetView guid="{602520CD-F98C-43A6-AA0D-88893E9CB6E8}" scale="90" state="hidden">
      <pane ySplit="5" topLeftCell="A6" activePane="bottomLeft" state="frozen"/>
      <selection pane="bottomLeft" activeCell="A67" sqref="A67"/>
      <pageMargins left="0.7" right="0.7" top="0.75" bottom="0.75" header="0.3" footer="0.3"/>
      <pageSetup paperSize="9" orientation="portrait" r:id="rId53"/>
      <headerFooter>
        <oddHeader>&amp;L&amp;"Calibri"&amp;10&amp;K000000OFFICIAL&amp;1#</oddHeader>
        <oddFooter>&amp;L&amp;1#&amp;"Calibri"&amp;10&amp;K000000OFFICIAL</oddFooter>
      </headerFooter>
    </customSheetView>
    <customSheetView guid="{A8E976B8-D767-4DB4-82BD-ABE90880F33F}" scale="90" state="hidden">
      <pane ySplit="5" topLeftCell="A6" activePane="bottomLeft" state="frozen"/>
      <selection pane="bottomLeft" activeCell="A67" sqref="A67"/>
      <pageMargins left="0.7" right="0.7" top="0.75" bottom="0.75" header="0.3" footer="0.3"/>
      <pageSetup paperSize="9" orientation="portrait" r:id="rId54"/>
      <headerFooter>
        <oddHeader>&amp;L&amp;"Calibri"&amp;10&amp;K000000OFFICIAL&amp;1#</oddHeader>
        <oddFooter>&amp;L&amp;1#&amp;"Calibri"&amp;10&amp;K000000OFFICIAL</oddFooter>
      </headerFooter>
    </customSheetView>
    <customSheetView guid="{D850720D-4A1C-48F2-8E1D-8E09B7414A1A}" scale="90" state="hidden">
      <pane ySplit="5" topLeftCell="A6" activePane="bottomLeft" state="frozen"/>
      <selection pane="bottomLeft" activeCell="A67" sqref="A67"/>
      <pageMargins left="0.7" right="0.7" top="0.75" bottom="0.75" header="0.3" footer="0.3"/>
      <pageSetup paperSize="9" orientation="portrait" r:id="rId55"/>
      <headerFooter>
        <oddHeader>&amp;L&amp;"Calibri"&amp;10&amp;K000000OFFICIAL&amp;1#</oddHeader>
        <oddFooter>&amp;L&amp;1#&amp;"Calibri"&amp;10&amp;K000000OFFICIAL</oddFooter>
      </headerFooter>
    </customSheetView>
    <customSheetView guid="{C57A83F1-F5A3-470B-9579-6A222C54F4E8}" scale="90" state="hidden">
      <pane ySplit="5" topLeftCell="A6" activePane="bottomLeft" state="frozen"/>
      <selection pane="bottomLeft" activeCell="A67" sqref="A67"/>
      <pageMargins left="0.7" right="0.7" top="0.75" bottom="0.75" header="0.3" footer="0.3"/>
      <pageSetup paperSize="9" orientation="portrait" r:id="rId56"/>
      <headerFooter>
        <oddHeader>&amp;L&amp;"Calibri"&amp;10&amp;K000000OFFICIAL&amp;1#</oddHeader>
        <oddFooter>&amp;L&amp;1#&amp;"Calibri"&amp;10&amp;K000000OFFICIAL</oddFooter>
      </headerFooter>
    </customSheetView>
    <customSheetView guid="{2608BE9B-66AC-4D4C-8EE0-E88C94E88140}" scale="90" state="hidden">
      <selection activeCell="A67" sqref="A67"/>
      <pageMargins left="0.7" right="0.7" top="0.75" bottom="0.75" header="0.3" footer="0.3"/>
      <pageSetup paperSize="9" orientation="portrait" r:id="rId57"/>
      <headerFooter>
        <oddHeader>&amp;L&amp;"Calibri"&amp;10&amp;K000000OFFICIAL&amp;1#</oddHeader>
        <oddFooter>&amp;L&amp;1#&amp;"Calibri"&amp;10&amp;K000000OFFICIAL</oddFooter>
      </headerFooter>
    </customSheetView>
    <customSheetView guid="{EDD5A64E-02C0-4DD6-80BA-449123FCDAA2}" scale="90" state="hidden">
      <pane ySplit="5" topLeftCell="A6" activePane="bottomLeft" state="frozen"/>
      <selection pane="bottomLeft" activeCell="A67" sqref="A67"/>
      <pageMargins left="0.7" right="0.7" top="0.75" bottom="0.75" header="0.3" footer="0.3"/>
      <pageSetup paperSize="9" orientation="portrait" r:id="rId58"/>
      <headerFooter>
        <oddHeader>&amp;L&amp;"Calibri"&amp;10&amp;K000000OFFICIAL&amp;1#</oddHeader>
        <oddFooter>&amp;L&amp;1#&amp;"Calibri"&amp;10&amp;K000000OFFICIAL</oddFooter>
      </headerFooter>
    </customSheetView>
    <customSheetView guid="{B8317A9A-0FFD-4A18-80F7-203DB2FC8CA5}" scale="90" state="hidden">
      <selection activeCell="A67" sqref="A67"/>
      <pageMargins left="0.7" right="0.7" top="0.75" bottom="0.75" header="0.3" footer="0.3"/>
      <pageSetup paperSize="9" orientation="portrait" r:id="rId59"/>
      <headerFooter>
        <oddHeader>&amp;L&amp;"Calibri"&amp;10&amp;K000000OFFICIAL&amp;1#</oddHeader>
        <oddFooter>&amp;L&amp;1#&amp;"Calibri"&amp;10&amp;K000000OFFICIAL</oddFooter>
      </headerFooter>
    </customSheetView>
    <customSheetView guid="{7E571F1D-D438-4605-90D6-3F831F76D652}" scale="90" state="hidden">
      <pane ySplit="5" topLeftCell="A6" activePane="bottomLeft" state="frozen"/>
      <selection pane="bottomLeft" activeCell="A67" sqref="A67"/>
      <pageMargins left="0.7" right="0.7" top="0.75" bottom="0.75" header="0.3" footer="0.3"/>
      <pageSetup paperSize="9" orientation="portrait" r:id="rId60"/>
      <headerFooter>
        <oddHeader>&amp;L&amp;"Calibri"&amp;10&amp;K000000OFFICIAL&amp;1#</oddHeader>
        <oddFooter>&amp;L&amp;1#&amp;"Calibri"&amp;10&amp;K000000OFFICIAL</oddFooter>
      </headerFooter>
    </customSheetView>
  </customSheetViews>
  <mergeCells count="14">
    <mergeCell ref="A2:A5"/>
    <mergeCell ref="B2:B5"/>
    <mergeCell ref="D3:H3"/>
    <mergeCell ref="J3:K3"/>
    <mergeCell ref="D2:K2"/>
    <mergeCell ref="M4:M5"/>
    <mergeCell ref="N4:N5"/>
    <mergeCell ref="D4:D5"/>
    <mergeCell ref="E4:E5"/>
    <mergeCell ref="G4:G5"/>
    <mergeCell ref="F4:F5"/>
    <mergeCell ref="H4:H5"/>
    <mergeCell ref="J4:J5"/>
    <mergeCell ref="K4:K5"/>
  </mergeCells>
  <pageMargins left="0.7" right="0.7" top="0.75" bottom="0.75" header="0.3" footer="0.3"/>
  <pageSetup paperSize="9" orientation="portrait" r:id="rId61"/>
  <headerFooter>
    <oddHeader>&amp;L&amp;"Calibri"&amp;10&amp;K000000OFFICIAL&amp;1#</oddHeader>
    <oddFooter>&amp;L&amp;1#&amp;"Calibri"&amp;10&amp;K000000OFFICIAL</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975284-7239-439D-99F0-853BEEB5125B}">
  <sheetPr codeName="Sheet4"/>
  <dimension ref="A1:K41"/>
  <sheetViews>
    <sheetView topLeftCell="A2" zoomScaleNormal="100" workbookViewId="0">
      <pane ySplit="4" topLeftCell="A27" activePane="bottomLeft" state="frozen"/>
      <selection activeCell="AJ34" sqref="AJ34"/>
      <selection pane="bottomLeft" activeCell="AJ34" sqref="AJ34"/>
    </sheetView>
  </sheetViews>
  <sheetFormatPr defaultColWidth="8.53515625" defaultRowHeight="11.6" x14ac:dyDescent="0.4"/>
  <cols>
    <col min="1" max="1" width="25.53515625" style="15" customWidth="1"/>
    <col min="2" max="2" width="9.53515625" style="1" customWidth="1"/>
    <col min="3" max="3" width="0.53515625" style="15" customWidth="1"/>
    <col min="4" max="4" width="8.53515625" style="15" customWidth="1"/>
    <col min="5" max="5" width="0.3828125" style="15" customWidth="1"/>
    <col min="6" max="6" width="10.53515625" style="15" customWidth="1"/>
    <col min="7" max="7" width="0.3828125" style="15" customWidth="1"/>
    <col min="8" max="8" width="10.53515625" style="27" customWidth="1"/>
    <col min="9" max="9" width="0.53515625" style="15" customWidth="1"/>
    <col min="10" max="10" width="8.53515625" style="6"/>
    <col min="11" max="11" width="98.53515625" style="15" customWidth="1"/>
    <col min="12" max="13" width="8.53515625" style="15"/>
    <col min="14" max="14" width="74.3828125" style="15" customWidth="1"/>
    <col min="15" max="16384" width="8.53515625" style="15"/>
  </cols>
  <sheetData>
    <row r="1" spans="1:11" hidden="1" x14ac:dyDescent="0.4"/>
    <row r="2" spans="1:11" ht="23.25" customHeight="1" x14ac:dyDescent="0.4">
      <c r="A2" s="725" t="s">
        <v>0</v>
      </c>
      <c r="B2" s="746" t="s">
        <v>1</v>
      </c>
      <c r="C2" s="17"/>
      <c r="D2" s="703" t="s">
        <v>69</v>
      </c>
      <c r="E2" s="757"/>
      <c r="F2" s="757"/>
      <c r="G2" s="757"/>
      <c r="H2" s="757"/>
    </row>
    <row r="3" spans="1:11" ht="23.25" customHeight="1" x14ac:dyDescent="0.4">
      <c r="A3" s="725"/>
      <c r="B3" s="746"/>
      <c r="C3" s="19"/>
      <c r="D3" s="735" t="s">
        <v>72</v>
      </c>
      <c r="E3" s="28"/>
      <c r="F3" s="736" t="s">
        <v>33</v>
      </c>
      <c r="G3" s="737"/>
      <c r="H3" s="737"/>
      <c r="I3" s="1"/>
    </row>
    <row r="4" spans="1:11" ht="23.25" customHeight="1" x14ac:dyDescent="0.4">
      <c r="A4" s="725"/>
      <c r="B4" s="746"/>
      <c r="C4" s="20"/>
      <c r="D4" s="735"/>
      <c r="E4" s="28"/>
      <c r="F4" s="34" t="s">
        <v>73</v>
      </c>
      <c r="G4" s="29"/>
      <c r="H4" s="36" t="s">
        <v>74</v>
      </c>
      <c r="I4" s="1"/>
      <c r="J4" s="751" t="s">
        <v>65</v>
      </c>
      <c r="K4" s="753" t="s">
        <v>61</v>
      </c>
    </row>
    <row r="5" spans="1:11" ht="54" customHeight="1" x14ac:dyDescent="0.4">
      <c r="A5" s="725"/>
      <c r="B5" s="746"/>
      <c r="C5" s="21"/>
      <c r="D5" s="732"/>
      <c r="E5" s="30"/>
      <c r="F5" s="18" t="s">
        <v>81</v>
      </c>
      <c r="G5" s="30"/>
      <c r="H5" s="37" t="s">
        <v>129</v>
      </c>
      <c r="I5" s="1"/>
      <c r="J5" s="752"/>
      <c r="K5" s="754"/>
    </row>
    <row r="6" spans="1:11" ht="5.25" customHeight="1" x14ac:dyDescent="0.4">
      <c r="A6" s="2"/>
      <c r="F6" s="1"/>
      <c r="G6" s="1"/>
      <c r="H6" s="38"/>
    </row>
    <row r="7" spans="1:11" ht="38.25" customHeight="1" x14ac:dyDescent="0.4">
      <c r="A7" s="3" t="s">
        <v>7</v>
      </c>
      <c r="B7" s="1" t="s">
        <v>3</v>
      </c>
      <c r="C7" s="13"/>
      <c r="D7" s="35" t="s">
        <v>124</v>
      </c>
      <c r="E7" s="13"/>
      <c r="F7" s="7">
        <v>793.2</v>
      </c>
      <c r="G7" s="14"/>
      <c r="H7" s="39">
        <v>45016</v>
      </c>
      <c r="J7" s="23" t="s">
        <v>143</v>
      </c>
      <c r="K7" s="22" t="s">
        <v>145</v>
      </c>
    </row>
    <row r="8" spans="1:11" ht="5.25" customHeight="1" x14ac:dyDescent="0.4">
      <c r="A8" s="2"/>
    </row>
    <row r="9" spans="1:11" ht="38.25" customHeight="1" x14ac:dyDescent="0.4">
      <c r="A9" s="3" t="s">
        <v>115</v>
      </c>
      <c r="B9" s="1" t="s">
        <v>3</v>
      </c>
      <c r="C9" s="13"/>
      <c r="D9" s="35" t="s">
        <v>125</v>
      </c>
      <c r="E9" s="13"/>
      <c r="F9" s="7">
        <v>343.90990519999997</v>
      </c>
      <c r="G9" s="14"/>
      <c r="H9" s="39">
        <v>46344</v>
      </c>
      <c r="J9" s="23" t="s">
        <v>143</v>
      </c>
      <c r="K9" s="22" t="s">
        <v>145</v>
      </c>
    </row>
    <row r="10" spans="1:11" ht="5.25" customHeight="1" x14ac:dyDescent="0.4">
      <c r="A10" s="3"/>
      <c r="C10" s="13"/>
    </row>
    <row r="11" spans="1:11" ht="38.25" customHeight="1" x14ac:dyDescent="0.4">
      <c r="A11" s="3" t="s">
        <v>98</v>
      </c>
      <c r="B11" s="1" t="s">
        <v>3</v>
      </c>
      <c r="C11" s="13"/>
      <c r="D11" s="35" t="s">
        <v>125</v>
      </c>
      <c r="E11" s="13"/>
      <c r="F11" s="7">
        <v>1316</v>
      </c>
      <c r="G11" s="14"/>
      <c r="H11" s="39">
        <v>46226</v>
      </c>
      <c r="J11" s="23" t="s">
        <v>143</v>
      </c>
      <c r="K11" s="22" t="s">
        <v>145</v>
      </c>
    </row>
    <row r="12" spans="1:11" ht="5.25" customHeight="1" x14ac:dyDescent="0.4">
      <c r="A12" s="2"/>
    </row>
    <row r="13" spans="1:11" ht="38.25" customHeight="1" x14ac:dyDescent="0.4">
      <c r="A13" s="3" t="s">
        <v>101</v>
      </c>
      <c r="B13" s="1" t="s">
        <v>3</v>
      </c>
      <c r="C13" s="13"/>
      <c r="D13" s="35" t="s">
        <v>128</v>
      </c>
      <c r="E13" s="13"/>
      <c r="F13" s="7">
        <v>419.522673</v>
      </c>
      <c r="G13" s="14"/>
      <c r="H13" s="39">
        <v>45050</v>
      </c>
      <c r="J13" s="23" t="s">
        <v>143</v>
      </c>
      <c r="K13" s="22" t="s">
        <v>145</v>
      </c>
    </row>
    <row r="14" spans="1:11" ht="5.25" customHeight="1" x14ac:dyDescent="0.4">
      <c r="A14" s="3"/>
      <c r="C14" s="13"/>
    </row>
    <row r="15" spans="1:11" ht="38.25" customHeight="1" x14ac:dyDescent="0.4">
      <c r="A15" s="3" t="s">
        <v>113</v>
      </c>
      <c r="B15" s="1" t="s">
        <v>3</v>
      </c>
      <c r="C15" s="13"/>
      <c r="D15" s="35" t="s">
        <v>126</v>
      </c>
      <c r="E15" s="13"/>
      <c r="F15" s="7">
        <v>959.6</v>
      </c>
      <c r="G15" s="14"/>
      <c r="H15" s="39">
        <v>47871</v>
      </c>
      <c r="J15" s="23" t="s">
        <v>143</v>
      </c>
      <c r="K15" s="22" t="s">
        <v>145</v>
      </c>
    </row>
    <row r="16" spans="1:11" ht="5.25" customHeight="1" x14ac:dyDescent="0.4">
      <c r="A16" s="3"/>
      <c r="C16" s="13"/>
      <c r="D16" s="13"/>
      <c r="E16" s="13"/>
      <c r="F16" s="31"/>
      <c r="G16" s="32"/>
      <c r="H16" s="38"/>
    </row>
    <row r="17" spans="1:11" ht="38.25" customHeight="1" x14ac:dyDescent="0.4">
      <c r="A17" s="3" t="s">
        <v>117</v>
      </c>
      <c r="B17" s="1" t="s">
        <v>3</v>
      </c>
      <c r="C17" s="13"/>
      <c r="D17" s="35" t="s">
        <v>127</v>
      </c>
      <c r="E17" s="13"/>
      <c r="F17" s="7">
        <v>647.67882000000009</v>
      </c>
      <c r="G17" s="14"/>
      <c r="H17" s="39">
        <v>47066</v>
      </c>
      <c r="J17" s="23" t="s">
        <v>143</v>
      </c>
      <c r="K17" s="22" t="s">
        <v>145</v>
      </c>
    </row>
    <row r="18" spans="1:11" ht="38.25" customHeight="1" x14ac:dyDescent="0.4">
      <c r="A18" s="3"/>
      <c r="C18" s="13"/>
      <c r="D18" s="35" t="s">
        <v>153</v>
      </c>
      <c r="E18" s="13"/>
      <c r="F18" s="7">
        <v>647.67882000000009</v>
      </c>
      <c r="G18" s="14"/>
      <c r="H18" s="56">
        <v>46944</v>
      </c>
      <c r="J18" s="23" t="s">
        <v>154</v>
      </c>
      <c r="K18" s="22" t="s">
        <v>155</v>
      </c>
    </row>
    <row r="19" spans="1:11" ht="5.25" customHeight="1" x14ac:dyDescent="0.4">
      <c r="A19" s="3"/>
      <c r="C19" s="13"/>
    </row>
    <row r="20" spans="1:11" ht="38.25" customHeight="1" x14ac:dyDescent="0.4">
      <c r="A20" s="3" t="s">
        <v>5</v>
      </c>
      <c r="B20" s="1" t="s">
        <v>3</v>
      </c>
      <c r="C20" s="13"/>
      <c r="D20" s="35" t="s">
        <v>6</v>
      </c>
      <c r="E20" s="40"/>
      <c r="F20" s="7">
        <v>305.931037</v>
      </c>
      <c r="G20" s="5"/>
      <c r="H20" s="39">
        <v>45392</v>
      </c>
      <c r="J20" s="23" t="s">
        <v>143</v>
      </c>
      <c r="K20" s="22" t="s">
        <v>145</v>
      </c>
    </row>
    <row r="21" spans="1:11" ht="38.25" customHeight="1" x14ac:dyDescent="0.4">
      <c r="A21" s="3"/>
      <c r="C21" s="13"/>
      <c r="D21" s="35" t="s">
        <v>6</v>
      </c>
      <c r="E21" s="40"/>
      <c r="F21" s="26">
        <v>285.91510297000002</v>
      </c>
      <c r="G21" s="5"/>
      <c r="H21" s="39">
        <v>45392</v>
      </c>
      <c r="J21" s="23" t="s">
        <v>146</v>
      </c>
      <c r="K21" s="22" t="s">
        <v>152</v>
      </c>
    </row>
    <row r="22" spans="1:11" ht="5.25" customHeight="1" x14ac:dyDescent="0.4">
      <c r="A22" s="3"/>
      <c r="C22" s="13"/>
    </row>
    <row r="23" spans="1:11" ht="38.25" customHeight="1" x14ac:dyDescent="0.4">
      <c r="A23" s="3" t="s">
        <v>13</v>
      </c>
      <c r="B23" s="1" t="s">
        <v>3</v>
      </c>
      <c r="C23" s="13"/>
      <c r="D23" s="35" t="s">
        <v>141</v>
      </c>
      <c r="E23" s="40"/>
      <c r="F23" s="7">
        <v>113.6</v>
      </c>
      <c r="G23" s="5"/>
      <c r="H23" s="39">
        <v>46892</v>
      </c>
      <c r="J23" s="23" t="s">
        <v>143</v>
      </c>
      <c r="K23" s="22" t="s">
        <v>145</v>
      </c>
    </row>
    <row r="24" spans="1:11" ht="5.25" customHeight="1" x14ac:dyDescent="0.4">
      <c r="A24" s="3"/>
      <c r="C24" s="13"/>
    </row>
    <row r="25" spans="1:11" ht="38.25" customHeight="1" x14ac:dyDescent="0.4">
      <c r="A25" s="3" t="s">
        <v>111</v>
      </c>
      <c r="B25" s="1" t="s">
        <v>3</v>
      </c>
      <c r="C25" s="13"/>
      <c r="D25" s="35" t="s">
        <v>128</v>
      </c>
      <c r="E25" s="40"/>
      <c r="F25" s="7">
        <v>1277.3</v>
      </c>
      <c r="G25" s="5"/>
      <c r="H25" s="39">
        <v>47350</v>
      </c>
      <c r="J25" s="23" t="s">
        <v>143</v>
      </c>
      <c r="K25" s="22" t="s">
        <v>145</v>
      </c>
    </row>
    <row r="26" spans="1:11" ht="38.25" customHeight="1" x14ac:dyDescent="0.4">
      <c r="A26" s="3"/>
      <c r="C26" s="13"/>
      <c r="D26" s="35" t="s">
        <v>128</v>
      </c>
      <c r="E26" s="40"/>
      <c r="F26" s="26">
        <v>1227.71</v>
      </c>
      <c r="G26" s="5"/>
      <c r="H26" s="39">
        <v>47350</v>
      </c>
      <c r="J26" s="23" t="s">
        <v>154</v>
      </c>
      <c r="K26" s="22" t="s">
        <v>156</v>
      </c>
    </row>
    <row r="27" spans="1:11" ht="5.25" customHeight="1" x14ac:dyDescent="0.4">
      <c r="A27" s="3"/>
      <c r="C27" s="13"/>
      <c r="D27" s="13"/>
      <c r="E27" s="13"/>
      <c r="F27" s="5"/>
      <c r="G27" s="33"/>
      <c r="H27" s="38"/>
    </row>
    <row r="28" spans="1:11" ht="38.25" customHeight="1" x14ac:dyDescent="0.4">
      <c r="A28" s="3" t="s">
        <v>17</v>
      </c>
      <c r="B28" s="1" t="s">
        <v>18</v>
      </c>
      <c r="C28" s="13"/>
      <c r="D28" s="35" t="s">
        <v>19</v>
      </c>
      <c r="E28" s="13"/>
      <c r="F28" s="7">
        <v>233.8</v>
      </c>
      <c r="G28" s="14"/>
      <c r="H28" s="39">
        <v>48944</v>
      </c>
      <c r="J28" s="23" t="s">
        <v>143</v>
      </c>
      <c r="K28" s="22" t="s">
        <v>145</v>
      </c>
    </row>
    <row r="29" spans="1:11" ht="38.25" customHeight="1" x14ac:dyDescent="0.4">
      <c r="A29" s="3"/>
      <c r="C29" s="13"/>
      <c r="D29" s="35" t="s">
        <v>19</v>
      </c>
      <c r="E29" s="13"/>
      <c r="F29" s="26">
        <v>254.2</v>
      </c>
      <c r="G29" s="14"/>
      <c r="H29" s="56">
        <v>49646</v>
      </c>
      <c r="J29" s="23" t="s">
        <v>146</v>
      </c>
      <c r="K29" s="22" t="s">
        <v>151</v>
      </c>
    </row>
    <row r="30" spans="1:11" ht="5.25" customHeight="1" x14ac:dyDescent="0.4">
      <c r="A30" s="3"/>
      <c r="C30" s="13"/>
      <c r="D30" s="13"/>
      <c r="E30" s="13"/>
      <c r="F30" s="5"/>
      <c r="G30" s="33"/>
      <c r="H30" s="38"/>
    </row>
    <row r="31" spans="1:11" ht="38.25" customHeight="1" x14ac:dyDescent="0.4">
      <c r="A31" s="3" t="s">
        <v>9</v>
      </c>
      <c r="B31" s="1" t="s">
        <v>10</v>
      </c>
      <c r="C31" s="13"/>
      <c r="D31" s="35" t="s">
        <v>11</v>
      </c>
      <c r="E31" s="13"/>
      <c r="F31" s="7">
        <v>66.900000000000006</v>
      </c>
      <c r="G31" s="14"/>
      <c r="H31" s="39">
        <v>46023</v>
      </c>
      <c r="J31" s="23" t="s">
        <v>143</v>
      </c>
      <c r="K31" s="22" t="s">
        <v>145</v>
      </c>
    </row>
    <row r="32" spans="1:11" ht="10.5" customHeight="1" x14ac:dyDescent="0.4">
      <c r="A32" s="3"/>
      <c r="C32" s="13"/>
      <c r="D32" s="13"/>
      <c r="E32" s="13"/>
      <c r="F32" s="5"/>
      <c r="G32" s="33"/>
      <c r="H32" s="38"/>
    </row>
    <row r="33" spans="1:8" ht="10.5" customHeight="1" x14ac:dyDescent="0.4">
      <c r="A33" s="3"/>
      <c r="C33" s="13"/>
      <c r="D33" s="13"/>
      <c r="E33" s="13"/>
      <c r="F33" s="5"/>
      <c r="G33" s="33"/>
      <c r="H33" s="38"/>
    </row>
    <row r="34" spans="1:8" ht="10.5" customHeight="1" x14ac:dyDescent="0.4">
      <c r="A34" s="3"/>
      <c r="C34" s="13"/>
      <c r="D34" s="13"/>
      <c r="E34" s="13"/>
      <c r="F34" s="5"/>
      <c r="G34" s="33"/>
      <c r="H34" s="38"/>
    </row>
    <row r="35" spans="1:8" ht="10.5" customHeight="1" x14ac:dyDescent="0.4">
      <c r="A35" s="3"/>
      <c r="C35" s="13"/>
      <c r="D35" s="13"/>
      <c r="E35" s="13"/>
      <c r="F35" s="5"/>
      <c r="G35" s="33"/>
      <c r="H35" s="38"/>
    </row>
    <row r="36" spans="1:8" ht="10.5" customHeight="1" x14ac:dyDescent="0.4">
      <c r="A36" s="3"/>
      <c r="C36" s="13"/>
      <c r="D36" s="13"/>
      <c r="E36" s="13"/>
      <c r="F36" s="5"/>
      <c r="G36" s="33"/>
      <c r="H36" s="38"/>
    </row>
    <row r="37" spans="1:8" ht="10.5" customHeight="1" x14ac:dyDescent="0.4">
      <c r="A37" s="3"/>
      <c r="C37" s="13"/>
      <c r="D37" s="13"/>
      <c r="E37" s="13"/>
      <c r="F37" s="5"/>
      <c r="G37" s="33"/>
      <c r="H37" s="38"/>
    </row>
    <row r="38" spans="1:8" ht="10.5" customHeight="1" x14ac:dyDescent="0.4">
      <c r="A38" s="3"/>
      <c r="C38" s="13"/>
      <c r="D38" s="13"/>
      <c r="E38" s="13"/>
      <c r="F38" s="5"/>
      <c r="G38" s="33"/>
      <c r="H38" s="38"/>
    </row>
    <row r="39" spans="1:8" ht="10.5" customHeight="1" x14ac:dyDescent="0.4">
      <c r="A39" s="3"/>
      <c r="C39" s="13"/>
      <c r="D39" s="13"/>
      <c r="E39" s="13"/>
      <c r="F39" s="5"/>
      <c r="G39" s="33"/>
      <c r="H39" s="38"/>
    </row>
    <row r="40" spans="1:8" ht="10.5" customHeight="1" x14ac:dyDescent="0.4">
      <c r="A40" s="3"/>
      <c r="C40" s="13"/>
    </row>
    <row r="41" spans="1:8" ht="10.5" customHeight="1" x14ac:dyDescent="0.4">
      <c r="A41" s="3"/>
      <c r="C41" s="13"/>
    </row>
  </sheetData>
  <sheetProtection algorithmName="SHA-512" hashValue="+ekyJXf2mdHINyAzoRLq79QBOIOQMOH4Tj8hbC3jCtQElFstxLFFgSuXnFNKQDw2awTGGqgqfN33A/P6G/NyxQ==" saltValue="3GdNWzS1x/grHg4dcQBKBg==" spinCount="100000" sheet="1" objects="1" scenarios="1"/>
  <customSheetViews>
    <customSheetView guid="{800416AC-1374-44AC-811C-612C85EF24E6}" hiddenRows="1" state="hidden" topLeftCell="A2">
      <pane ySplit="4" topLeftCell="A27" activePane="bottomLeft" state="frozen"/>
      <selection pane="bottomLeft" activeCell="AJ34" sqref="AJ34"/>
      <pageMargins left="0.7" right="0.7" top="0.75" bottom="0.75" header="0.3" footer="0.3"/>
      <pageSetup paperSize="9" orientation="portrait" r:id="rId1"/>
      <headerFooter>
        <oddHeader>&amp;L&amp;"Calibri"&amp;10&amp;K000000OFFICIAL&amp;1#</oddHeader>
        <oddFooter>&amp;L&amp;1#&amp;"Calibri"&amp;10&amp;K000000OFFICIAL</oddFooter>
      </headerFooter>
    </customSheetView>
    <customSheetView guid="{FBC63E8F-69FE-4648-B709-FA1212EFFB29}" hiddenRows="1" state="hidden" topLeftCell="A2">
      <pane ySplit="4" topLeftCell="A27" activePane="bottomLeft" state="frozen"/>
      <selection pane="bottomLeft" activeCell="AJ34" sqref="AJ34"/>
      <pageMargins left="0.7" right="0.7" top="0.75" bottom="0.75" header="0.3" footer="0.3"/>
      <pageSetup paperSize="9" orientation="portrait" r:id="rId2"/>
      <headerFooter>
        <oddHeader>&amp;L&amp;"Calibri"&amp;10&amp;K000000OFFICIAL&amp;1#</oddHeader>
        <oddFooter>&amp;L&amp;1#&amp;"Calibri"&amp;10&amp;K000000OFFICIAL</oddFooter>
      </headerFooter>
    </customSheetView>
    <customSheetView guid="{C7C13768-4A8D-4CBA-978C-F4A7B5550C00}" hiddenRows="1" state="hidden" topLeftCell="A2">
      <pane ySplit="4" topLeftCell="A27" activePane="bottomLeft" state="frozen"/>
      <selection pane="bottomLeft" activeCell="AJ34" sqref="AJ34"/>
      <pageMargins left="0.7" right="0.7" top="0.75" bottom="0.75" header="0.3" footer="0.3"/>
      <pageSetup paperSize="9" orientation="portrait" r:id="rId3"/>
      <headerFooter>
        <oddHeader>&amp;L&amp;"Calibri"&amp;10&amp;K000000OFFICIAL&amp;1#</oddHeader>
        <oddFooter>&amp;L&amp;1#&amp;"Calibri"&amp;10&amp;K000000OFFICIAL</oddFooter>
      </headerFooter>
    </customSheetView>
    <customSheetView guid="{466708C2-41CE-4656-AB81-E1E49DF5945D}" hiddenRows="1" state="hidden" topLeftCell="A2">
      <pane ySplit="4" topLeftCell="A27" activePane="bottomLeft" state="frozen"/>
      <selection pane="bottomLeft" activeCell="AJ34" sqref="AJ34"/>
      <pageMargins left="0.7" right="0.7" top="0.75" bottom="0.75" header="0.3" footer="0.3"/>
      <pageSetup paperSize="9" orientation="portrait" r:id="rId4"/>
      <headerFooter>
        <oddHeader>&amp;L&amp;"Calibri"&amp;10&amp;K000000OFFICIAL&amp;1#</oddHeader>
        <oddFooter>&amp;L&amp;1#&amp;"Calibri"&amp;10&amp;K000000OFFICIAL</oddFooter>
      </headerFooter>
    </customSheetView>
    <customSheetView guid="{E3A3AE56-8881-4A6F-9299-803C489AD1B4}" hiddenRows="1" state="hidden" topLeftCell="A2">
      <pane ySplit="4" topLeftCell="A27" activePane="bottomLeft" state="frozen"/>
      <selection pane="bottomLeft" activeCell="AJ34" sqref="AJ34"/>
      <pageMargins left="0.7" right="0.7" top="0.75" bottom="0.75" header="0.3" footer="0.3"/>
      <pageSetup paperSize="9" orientation="portrait" r:id="rId5"/>
      <headerFooter>
        <oddHeader>&amp;L&amp;"Calibri"&amp;10&amp;K000000OFFICIAL&amp;1#</oddHeader>
        <oddFooter>&amp;L&amp;1#&amp;"Calibri"&amp;10&amp;K000000OFFICIAL</oddFooter>
      </headerFooter>
    </customSheetView>
    <customSheetView guid="{83044EFE-7F92-4F81-B034-85D9567158C2}" hiddenRows="1" state="hidden" topLeftCell="A2">
      <pane ySplit="4" topLeftCell="A27" activePane="bottomLeft" state="frozen"/>
      <selection pane="bottomLeft" activeCell="AJ34" sqref="AJ34"/>
      <pageMargins left="0.7" right="0.7" top="0.75" bottom="0.75" header="0.3" footer="0.3"/>
      <pageSetup paperSize="9" orientation="portrait" r:id="rId6"/>
      <headerFooter>
        <oddHeader>&amp;L&amp;"Calibri"&amp;10&amp;K000000OFFICIAL&amp;1#</oddHeader>
        <oddFooter>&amp;L&amp;1#&amp;"Calibri"&amp;10&amp;K000000OFFICIAL</oddFooter>
      </headerFooter>
    </customSheetView>
    <customSheetView guid="{E4713981-DD11-40CE-BE52-873D93BDDE05}" hiddenRows="1" state="hidden" topLeftCell="A2">
      <pane ySplit="4" topLeftCell="A27" activePane="bottomLeft" state="frozen"/>
      <selection pane="bottomLeft" activeCell="AJ34" sqref="AJ34"/>
      <pageMargins left="0.7" right="0.7" top="0.75" bottom="0.75" header="0.3" footer="0.3"/>
      <pageSetup paperSize="9" orientation="portrait" r:id="rId7"/>
      <headerFooter>
        <oddHeader>&amp;L&amp;"Calibri"&amp;10&amp;K000000OFFICIAL&amp;1#</oddHeader>
        <oddFooter>&amp;L&amp;1#&amp;"Calibri"&amp;10&amp;K000000OFFICIAL</oddFooter>
      </headerFooter>
    </customSheetView>
    <customSheetView guid="{442F9A23-CA6E-4109-B10C-ACF5FD36B859}" hiddenRows="1" state="hidden" topLeftCell="A2">
      <pane ySplit="4" topLeftCell="A27" activePane="bottomLeft" state="frozen"/>
      <selection pane="bottomLeft" activeCell="AJ34" sqref="AJ34"/>
      <pageMargins left="0.7" right="0.7" top="0.75" bottom="0.75" header="0.3" footer="0.3"/>
      <pageSetup paperSize="9" orientation="portrait" r:id="rId8"/>
      <headerFooter>
        <oddHeader>&amp;L&amp;"Calibri"&amp;10&amp;K000000OFFICIAL&amp;1#</oddHeader>
        <oddFooter>&amp;L&amp;1#&amp;"Calibri"&amp;10&amp;K000000OFFICIAL</oddFooter>
      </headerFooter>
    </customSheetView>
    <customSheetView guid="{B434A8A8-5A4C-48C0-82E7-2458B9D2EEEF}" hiddenRows="1" state="hidden" topLeftCell="A2">
      <pane ySplit="4" topLeftCell="A27" activePane="bottomLeft" state="frozen"/>
      <selection pane="bottomLeft" activeCell="AJ34" sqref="AJ34"/>
      <pageMargins left="0.7" right="0.7" top="0.75" bottom="0.75" header="0.3" footer="0.3"/>
      <pageSetup paperSize="9" orientation="portrait" r:id="rId9"/>
      <headerFooter>
        <oddHeader>&amp;L&amp;"Calibri"&amp;10&amp;K000000OFFICIAL&amp;1#</oddHeader>
        <oddFooter>&amp;L&amp;1#&amp;"Calibri"&amp;10&amp;K000000OFFICIAL</oddFooter>
      </headerFooter>
    </customSheetView>
    <customSheetView guid="{3827E543-57D2-48C8-B786-7077EA079DD2}" hiddenRows="1" state="hidden" topLeftCell="A2">
      <pane ySplit="4" topLeftCell="A27" activePane="bottomLeft" state="frozen"/>
      <selection pane="bottomLeft" activeCell="AJ34" sqref="AJ34"/>
      <pageMargins left="0.7" right="0.7" top="0.75" bottom="0.75" header="0.3" footer="0.3"/>
      <pageSetup paperSize="9" orientation="portrait" r:id="rId10"/>
      <headerFooter>
        <oddHeader>&amp;L&amp;"Calibri"&amp;10&amp;K000000OFFICIAL&amp;1#</oddHeader>
        <oddFooter>&amp;L&amp;1#&amp;"Calibri"&amp;10&amp;K000000OFFICIAL</oddFooter>
      </headerFooter>
    </customSheetView>
    <customSheetView guid="{2EA8DBF7-9763-457C-AA9F-1EEB2F136D1F}" hiddenRows="1" state="hidden" topLeftCell="A2">
      <pane ySplit="4" topLeftCell="A27" activePane="bottomLeft" state="frozen"/>
      <selection pane="bottomLeft" activeCell="AJ34" sqref="AJ34"/>
      <pageMargins left="0.7" right="0.7" top="0.75" bottom="0.75" header="0.3" footer="0.3"/>
      <pageSetup paperSize="9" orientation="portrait" r:id="rId11"/>
      <headerFooter>
        <oddHeader>&amp;L&amp;"Calibri"&amp;10&amp;K000000OFFICIAL&amp;1#</oddHeader>
        <oddFooter>&amp;L&amp;1#&amp;"Calibri"&amp;10&amp;K000000OFFICIAL</oddFooter>
      </headerFooter>
    </customSheetView>
    <customSheetView guid="{70582C04-BB53-4A99-A3C1-673011D9AE1C}" hiddenRows="1" state="hidden" topLeftCell="A2">
      <pane ySplit="4" topLeftCell="A27" activePane="bottomLeft" state="frozen"/>
      <selection pane="bottomLeft" activeCell="AJ34" sqref="AJ34"/>
      <pageMargins left="0.7" right="0.7" top="0.75" bottom="0.75" header="0.3" footer="0.3"/>
      <pageSetup paperSize="9" orientation="portrait" r:id="rId12"/>
      <headerFooter>
        <oddHeader>&amp;L&amp;"Calibri"&amp;10&amp;K000000OFFICIAL&amp;1#</oddHeader>
        <oddFooter>&amp;L&amp;1#&amp;"Calibri"&amp;10&amp;K000000OFFICIAL</oddFooter>
      </headerFooter>
    </customSheetView>
    <customSheetView guid="{37F5A0AB-EB39-4832-9D67-F67D908BF486}" hiddenRows="1" state="hidden" topLeftCell="A2">
      <pane ySplit="4" topLeftCell="A27" activePane="bottomLeft" state="frozen"/>
      <selection pane="bottomLeft" activeCell="AJ34" sqref="AJ34"/>
      <pageMargins left="0.7" right="0.7" top="0.75" bottom="0.75" header="0.3" footer="0.3"/>
      <pageSetup paperSize="9" orientation="portrait" r:id="rId13"/>
      <headerFooter>
        <oddHeader>&amp;L&amp;"Calibri"&amp;10&amp;K000000OFFICIAL&amp;1#</oddHeader>
        <oddFooter>&amp;L&amp;1#&amp;"Calibri"&amp;10&amp;K000000OFFICIAL</oddFooter>
      </headerFooter>
    </customSheetView>
    <customSheetView guid="{78AA4A71-CE17-4C4D-849E-E3E1A44EA907}" hiddenRows="1" state="hidden" topLeftCell="A2">
      <pane ySplit="4" topLeftCell="A27" activePane="bottomLeft" state="frozen"/>
      <selection pane="bottomLeft" activeCell="AJ34" sqref="AJ34"/>
      <pageMargins left="0.7" right="0.7" top="0.75" bottom="0.75" header="0.3" footer="0.3"/>
      <pageSetup paperSize="9" orientation="portrait" r:id="rId14"/>
      <headerFooter>
        <oddHeader>&amp;L&amp;"Calibri"&amp;10&amp;K000000OFFICIAL&amp;1#</oddHeader>
        <oddFooter>&amp;L&amp;1#&amp;"Calibri"&amp;10&amp;K000000OFFICIAL</oddFooter>
      </headerFooter>
    </customSheetView>
    <customSheetView guid="{51DFD3D6-BC25-47B4-B28F-D640534DB3A9}" hiddenRows="1" state="hidden" topLeftCell="A2">
      <pane ySplit="4" topLeftCell="A27" activePane="bottomLeft" state="frozen"/>
      <selection pane="bottomLeft" activeCell="AJ34" sqref="AJ34"/>
      <pageMargins left="0.7" right="0.7" top="0.75" bottom="0.75" header="0.3" footer="0.3"/>
      <pageSetup paperSize="9" orientation="portrait" r:id="rId15"/>
      <headerFooter>
        <oddHeader>&amp;L&amp;"Calibri"&amp;10&amp;K000000OFFICIAL&amp;1#</oddHeader>
        <oddFooter>&amp;L&amp;1#&amp;"Calibri"&amp;10&amp;K000000OFFICIAL</oddFooter>
      </headerFooter>
    </customSheetView>
    <customSheetView guid="{CA7E8063-5145-49E1-8E00-2E1025705A81}" hiddenRows="1" state="hidden" topLeftCell="A2">
      <pane ySplit="4" topLeftCell="A27" activePane="bottomLeft" state="frozen"/>
      <selection pane="bottomLeft" activeCell="AJ34" sqref="AJ34"/>
      <pageMargins left="0.7" right="0.7" top="0.75" bottom="0.75" header="0.3" footer="0.3"/>
      <pageSetup paperSize="9" orientation="portrait" r:id="rId16"/>
      <headerFooter>
        <oddHeader>&amp;L&amp;"Calibri"&amp;10&amp;K000000OFFICIAL&amp;1#</oddHeader>
        <oddFooter>&amp;L&amp;1#&amp;"Calibri"&amp;10&amp;K000000OFFICIAL</oddFooter>
      </headerFooter>
    </customSheetView>
    <customSheetView guid="{75EE3B92-AF4D-4E93-A70E-6ADE60CC674F}" hiddenRows="1" state="hidden" topLeftCell="A2">
      <pane ySplit="3.25" topLeftCell="A27" activePane="bottomLeft" state="frozen"/>
      <selection pane="bottomLeft" activeCell="AJ34" sqref="AJ34"/>
      <pageMargins left="0.7" right="0.7" top="0.75" bottom="0.75" header="0.3" footer="0.3"/>
      <pageSetup paperSize="9" orientation="portrait" r:id="rId17"/>
      <headerFooter>
        <oddHeader>&amp;L&amp;"Calibri"&amp;10&amp;K000000OFFICIAL&amp;1#</oddHeader>
        <oddFooter>&amp;L&amp;1#&amp;"Calibri"&amp;10&amp;K000000OFFICIAL</oddFooter>
      </headerFooter>
    </customSheetView>
    <customSheetView guid="{29AC9BE3-332A-4738-949C-1F8C0D32BAEE}" hiddenRows="1" state="hidden" topLeftCell="A2">
      <pane ySplit="4" topLeftCell="A27" activePane="bottomLeft" state="frozen"/>
      <selection pane="bottomLeft" activeCell="AJ34" sqref="AJ34"/>
      <pageMargins left="0.7" right="0.7" top="0.75" bottom="0.75" header="0.3" footer="0.3"/>
      <pageSetup paperSize="9" orientation="portrait" r:id="rId18"/>
      <headerFooter>
        <oddHeader>&amp;L&amp;"Calibri"&amp;10&amp;K000000OFFICIAL&amp;1#</oddHeader>
        <oddFooter>&amp;L&amp;1#&amp;"Calibri"&amp;10&amp;K000000OFFICIAL</oddFooter>
      </headerFooter>
    </customSheetView>
    <customSheetView guid="{42B0E8B1-ADFA-49AE-A83B-82D384737703}" hiddenRows="1" state="hidden" topLeftCell="A2">
      <pane ySplit="4" topLeftCell="A27" activePane="bottomLeft" state="frozen"/>
      <selection pane="bottomLeft" activeCell="AJ34" sqref="AJ34"/>
      <pageMargins left="0.7" right="0.7" top="0.75" bottom="0.75" header="0.3" footer="0.3"/>
      <pageSetup paperSize="9" orientation="portrait" r:id="rId19"/>
      <headerFooter>
        <oddHeader>&amp;L&amp;"Calibri"&amp;10&amp;K000000OFFICIAL&amp;1#</oddHeader>
        <oddFooter>&amp;L&amp;1#&amp;"Calibri"&amp;10&amp;K000000OFFICIAL</oddFooter>
      </headerFooter>
    </customSheetView>
    <customSheetView guid="{D59DDBAA-620D-43B7-A6D9-759808D3397A}" hiddenRows="1" state="hidden" topLeftCell="A2">
      <pane ySplit="4" topLeftCell="A27" activePane="bottomLeft" state="frozen"/>
      <selection pane="bottomLeft" activeCell="AJ34" sqref="AJ34"/>
      <pageMargins left="0.7" right="0.7" top="0.75" bottom="0.75" header="0.3" footer="0.3"/>
      <pageSetup paperSize="9" orientation="portrait" r:id="rId20"/>
      <headerFooter>
        <oddHeader>&amp;L&amp;"Calibri"&amp;10&amp;K000000OFFICIAL&amp;1#</oddHeader>
        <oddFooter>&amp;L&amp;1#&amp;"Calibri"&amp;10&amp;K000000OFFICIAL</oddFooter>
      </headerFooter>
    </customSheetView>
    <customSheetView guid="{F4A6298C-1A75-4FA9-A6A4-2BE13CCFE545}" hiddenRows="1" state="hidden" topLeftCell="A2">
      <pane ySplit="4" topLeftCell="A27" activePane="bottomLeft" state="frozen"/>
      <selection pane="bottomLeft" activeCell="AJ34" sqref="AJ34"/>
      <pageMargins left="0.7" right="0.7" top="0.75" bottom="0.75" header="0.3" footer="0.3"/>
      <pageSetup paperSize="9" orientation="portrait" r:id="rId21"/>
      <headerFooter>
        <oddHeader>&amp;L&amp;"Calibri"&amp;10&amp;K000000OFFICIAL&amp;1#</oddHeader>
        <oddFooter>&amp;L&amp;1#&amp;"Calibri"&amp;10&amp;K000000OFFICIAL</oddFooter>
      </headerFooter>
    </customSheetView>
    <customSheetView guid="{9F91FBC4-6A13-42C2-A2D9-42A2AC814E28}" hiddenRows="1" state="hidden" topLeftCell="A2">
      <pane ySplit="4" topLeftCell="A27" activePane="bottomLeft" state="frozen"/>
      <selection pane="bottomLeft" activeCell="AJ34" sqref="AJ34"/>
      <pageMargins left="0.7" right="0.7" top="0.75" bottom="0.75" header="0.3" footer="0.3"/>
      <pageSetup paperSize="9" orientation="portrait" r:id="rId22"/>
      <headerFooter>
        <oddHeader>&amp;L&amp;"Calibri"&amp;10&amp;K000000OFFICIAL&amp;1#</oddHeader>
        <oddFooter>&amp;L&amp;1#&amp;"Calibri"&amp;10&amp;K000000OFFICIAL</oddFooter>
      </headerFooter>
    </customSheetView>
    <customSheetView guid="{DF265C7B-1EEB-47EB-982A-6938E81F7AC2}" hiddenRows="1" state="hidden" topLeftCell="A2">
      <pane ySplit="4" topLeftCell="A27" activePane="bottomLeft" state="frozen"/>
      <selection pane="bottomLeft" activeCell="AJ34" sqref="AJ34"/>
      <pageMargins left="0.7" right="0.7" top="0.75" bottom="0.75" header="0.3" footer="0.3"/>
      <pageSetup paperSize="9" orientation="portrait" r:id="rId23"/>
      <headerFooter>
        <oddHeader>&amp;L&amp;"Calibri"&amp;10&amp;K000000OFFICIAL&amp;1#</oddHeader>
        <oddFooter>&amp;L&amp;1#&amp;"Calibri"&amp;10&amp;K000000OFFICIAL</oddFooter>
      </headerFooter>
    </customSheetView>
    <customSheetView guid="{8263C9D2-452D-46FA-AFA0-452B42DC0298}" hiddenRows="1" state="hidden" topLeftCell="A2">
      <pane ySplit="4" topLeftCell="A27" activePane="bottomLeft" state="frozen"/>
      <selection pane="bottomLeft" activeCell="AJ34" sqref="AJ34"/>
      <pageMargins left="0.7" right="0.7" top="0.75" bottom="0.75" header="0.3" footer="0.3"/>
      <pageSetup paperSize="9" orientation="portrait" r:id="rId24"/>
      <headerFooter>
        <oddHeader>&amp;L&amp;"Calibri"&amp;10&amp;K000000OFFICIAL&amp;1#</oddHeader>
        <oddFooter>&amp;L&amp;1#&amp;"Calibri"&amp;10&amp;K000000OFFICIAL</oddFooter>
      </headerFooter>
    </customSheetView>
    <customSheetView guid="{151EB58C-4EFD-4330-8D1A-8AACF5F7C679}" hiddenRows="1" state="hidden" topLeftCell="A2">
      <pane ySplit="4" topLeftCell="A27" activePane="bottomLeft" state="frozen"/>
      <selection pane="bottomLeft" activeCell="AJ34" sqref="AJ34"/>
      <pageMargins left="0.7" right="0.7" top="0.75" bottom="0.75" header="0.3" footer="0.3"/>
      <pageSetup paperSize="9" orientation="portrait" r:id="rId25"/>
      <headerFooter>
        <oddHeader>&amp;L&amp;"Calibri"&amp;10&amp;K000000OFFICIAL&amp;1#</oddHeader>
        <oddFooter>&amp;L&amp;1#&amp;"Calibri"&amp;10&amp;K000000OFFICIAL</oddFooter>
      </headerFooter>
    </customSheetView>
    <customSheetView guid="{8CB67476-3FD4-42E0-ACD6-62ACA9412843}" hiddenRows="1" state="hidden" topLeftCell="A2">
      <pane ySplit="4" topLeftCell="A27" activePane="bottomLeft" state="frozen"/>
      <selection pane="bottomLeft" activeCell="AJ34" sqref="AJ34"/>
      <pageMargins left="0.7" right="0.7" top="0.75" bottom="0.75" header="0.3" footer="0.3"/>
      <pageSetup paperSize="9" orientation="portrait" r:id="rId26"/>
      <headerFooter>
        <oddHeader>&amp;L&amp;"Calibri"&amp;10&amp;K000000OFFICIAL&amp;1#</oddHeader>
        <oddFooter>&amp;L&amp;1#&amp;"Calibri"&amp;10&amp;K000000OFFICIAL</oddFooter>
      </headerFooter>
    </customSheetView>
    <customSheetView guid="{51B3083F-A103-41AB-A137-63549C54B838}" hiddenRows="1" state="hidden" topLeftCell="A2">
      <pane ySplit="4" topLeftCell="A27" activePane="bottomLeft" state="frozen"/>
      <selection pane="bottomLeft" activeCell="AJ34" sqref="AJ34"/>
      <pageMargins left="0.7" right="0.7" top="0.75" bottom="0.75" header="0.3" footer="0.3"/>
      <pageSetup paperSize="9" orientation="portrait" r:id="rId27"/>
      <headerFooter>
        <oddHeader>&amp;L&amp;"Calibri"&amp;10&amp;K000000OFFICIAL&amp;1#</oddHeader>
        <oddFooter>&amp;L&amp;1#&amp;"Calibri"&amp;10&amp;K000000OFFICIAL</oddFooter>
      </headerFooter>
    </customSheetView>
    <customSheetView guid="{E06B4FE8-6127-47B2-A6A5-4FAC9EEB4538}" hiddenRows="1" state="hidden" topLeftCell="A2">
      <pane ySplit="4.583333333333333" topLeftCell="A27" activePane="bottomLeft" state="frozen"/>
      <selection pane="bottomLeft" activeCell="AJ34" sqref="AJ34"/>
      <pageMargins left="0.7" right="0.7" top="0.75" bottom="0.75" header="0.3" footer="0.3"/>
      <pageSetup paperSize="9" orientation="portrait" r:id="rId28"/>
      <headerFooter>
        <oddHeader>&amp;L&amp;"Calibri"&amp;10&amp;K000000OFFICIAL&amp;1#</oddHeader>
        <oddFooter>&amp;L&amp;1#&amp;"Calibri"&amp;10&amp;K000000OFFICIAL</oddFooter>
      </headerFooter>
    </customSheetView>
    <customSheetView guid="{593284E7-E32C-4D6C-8C2F-3DEEF9DEE1DF}" hiddenRows="1" state="hidden" topLeftCell="A2">
      <pane ySplit="4" topLeftCell="A27" activePane="bottomLeft" state="frozen"/>
      <selection pane="bottomLeft" activeCell="AJ34" sqref="AJ34"/>
      <pageMargins left="0.7" right="0.7" top="0.75" bottom="0.75" header="0.3" footer="0.3"/>
      <pageSetup paperSize="9" orientation="portrait" r:id="rId29"/>
      <headerFooter>
        <oddHeader>&amp;L&amp;"Calibri"&amp;10&amp;K000000OFFICIAL&amp;1#</oddHeader>
        <oddFooter>&amp;L&amp;1#&amp;"Calibri"&amp;10&amp;K000000OFFICIAL</oddFooter>
      </headerFooter>
    </customSheetView>
    <customSheetView guid="{351EFD38-BF62-4E34-A37F-0EEB3E165043}" hiddenRows="1" state="hidden" topLeftCell="A2">
      <pane ySplit="4" topLeftCell="A27" activePane="bottomLeft" state="frozen"/>
      <selection pane="bottomLeft" activeCell="AJ34" sqref="AJ34"/>
      <pageMargins left="0.7" right="0.7" top="0.75" bottom="0.75" header="0.3" footer="0.3"/>
      <pageSetup paperSize="9" orientation="portrait" r:id="rId30"/>
      <headerFooter>
        <oddHeader>&amp;L&amp;"Calibri"&amp;10&amp;K000000OFFICIAL&amp;1#</oddHeader>
        <oddFooter>&amp;L&amp;1#&amp;"Calibri"&amp;10&amp;K000000OFFICIAL</oddFooter>
      </headerFooter>
    </customSheetView>
    <customSheetView guid="{EB96DBE4-2D64-4388-853C-CB52A0CB79BA}" hiddenRows="1" state="hidden" topLeftCell="A2">
      <pane ySplit="4" topLeftCell="A27" activePane="bottomLeft" state="frozen"/>
      <selection pane="bottomLeft" activeCell="AJ34" sqref="AJ34"/>
      <pageMargins left="0.7" right="0.7" top="0.75" bottom="0.75" header="0.3" footer="0.3"/>
      <pageSetup paperSize="9" orientation="portrait" r:id="rId31"/>
      <headerFooter>
        <oddHeader>&amp;L&amp;"Calibri"&amp;10&amp;K000000OFFICIAL&amp;1#</oddHeader>
        <oddFooter>&amp;L&amp;1#&amp;"Calibri"&amp;10&amp;K000000OFFICIAL</oddFooter>
      </headerFooter>
    </customSheetView>
    <customSheetView guid="{016CEBB2-C827-48F4-95E1-85D8C5129F41}" hiddenRows="1" state="hidden" topLeftCell="A2">
      <pane ySplit="4" topLeftCell="A27" activePane="bottomLeft" state="frozen"/>
      <selection pane="bottomLeft" activeCell="AJ34" sqref="AJ34"/>
      <pageMargins left="0.7" right="0.7" top="0.75" bottom="0.75" header="0.3" footer="0.3"/>
      <pageSetup paperSize="9" orientation="portrait" r:id="rId32"/>
      <headerFooter>
        <oddHeader>&amp;L&amp;"Calibri"&amp;10&amp;K000000OFFICIAL&amp;1#</oddHeader>
        <oddFooter>&amp;L&amp;1#&amp;"Calibri"&amp;10&amp;K000000OFFICIAL</oddFooter>
      </headerFooter>
    </customSheetView>
    <customSheetView guid="{6702457D-A9A8-4F46-8E1C-BC7255F4BA77}" hiddenRows="1" state="hidden" topLeftCell="A2">
      <pane ySplit="4" topLeftCell="A27" activePane="bottomLeft" state="frozen"/>
      <selection pane="bottomLeft" activeCell="AJ34" sqref="AJ34"/>
      <pageMargins left="0.7" right="0.7" top="0.75" bottom="0.75" header="0.3" footer="0.3"/>
      <pageSetup paperSize="9" orientation="portrait" r:id="rId33"/>
      <headerFooter>
        <oddHeader>&amp;L&amp;"Calibri"&amp;10&amp;K000000OFFICIAL&amp;1#</oddHeader>
        <oddFooter>&amp;L&amp;1#&amp;"Calibri"&amp;10&amp;K000000OFFICIAL</oddFooter>
      </headerFooter>
    </customSheetView>
    <customSheetView guid="{D27C51BB-BB54-4F37-8171-98067C39697C}" hiddenRows="1" state="hidden" topLeftCell="A2">
      <pane ySplit="4" topLeftCell="A27" activePane="bottomLeft" state="frozen"/>
      <selection pane="bottomLeft" activeCell="AJ34" sqref="AJ34"/>
      <pageMargins left="0.7" right="0.7" top="0.75" bottom="0.75" header="0.3" footer="0.3"/>
      <pageSetup paperSize="9" orientation="portrait" r:id="rId34"/>
      <headerFooter>
        <oddHeader>&amp;L&amp;"Calibri"&amp;10&amp;K000000OFFICIAL&amp;1#</oddHeader>
        <oddFooter>&amp;L&amp;1#&amp;"Calibri"&amp;10&amp;K000000OFFICIAL</oddFooter>
      </headerFooter>
    </customSheetView>
    <customSheetView guid="{008CCD98-7480-4C51-806A-4B55C801DDC2}" hiddenRows="1" state="hidden" topLeftCell="A2">
      <pane ySplit="5.1666666666666661" topLeftCell="A27" activePane="bottomLeft" state="frozen"/>
      <selection pane="bottomLeft" activeCell="AJ34" sqref="AJ34"/>
      <pageMargins left="0.7" right="0.7" top="0.75" bottom="0.75" header="0.3" footer="0.3"/>
      <pageSetup paperSize="9" orientation="portrait" r:id="rId35"/>
      <headerFooter>
        <oddHeader>&amp;L&amp;"Calibri"&amp;10&amp;K000000OFFICIAL&amp;1#</oddHeader>
        <oddFooter>&amp;L&amp;1#&amp;"Calibri"&amp;10&amp;K000000OFFICIAL</oddFooter>
      </headerFooter>
    </customSheetView>
    <customSheetView guid="{4E6F9C2D-76F2-4884-BBF6-E02A7BAE11EF}" hiddenRows="1" state="hidden" topLeftCell="A2">
      <pane ySplit="4" topLeftCell="A27" activePane="bottomLeft" state="frozen"/>
      <selection pane="bottomLeft" activeCell="AJ34" sqref="AJ34"/>
      <pageMargins left="0.7" right="0.7" top="0.75" bottom="0.75" header="0.3" footer="0.3"/>
      <pageSetup paperSize="9" orientation="portrait" r:id="rId36"/>
      <headerFooter>
        <oddHeader>&amp;L&amp;"Calibri"&amp;10&amp;K000000OFFICIAL&amp;1#</oddHeader>
        <oddFooter>&amp;L&amp;1#&amp;"Calibri"&amp;10&amp;K000000OFFICIAL</oddFooter>
      </headerFooter>
    </customSheetView>
    <customSheetView guid="{C39AE06A-FC0A-4D7D-B287-2FA9CA174191}" hiddenRows="1" state="hidden" topLeftCell="A2">
      <pane ySplit="4" topLeftCell="A27" activePane="bottomLeft" state="frozen"/>
      <selection pane="bottomLeft" activeCell="AJ34" sqref="AJ34"/>
      <pageMargins left="0.7" right="0.7" top="0.75" bottom="0.75" header="0.3" footer="0.3"/>
      <pageSetup paperSize="9" orientation="portrait" r:id="rId37"/>
      <headerFooter>
        <oddHeader>&amp;L&amp;"Calibri"&amp;10&amp;K000000OFFICIAL&amp;1#</oddHeader>
        <oddFooter>&amp;L&amp;1#&amp;"Calibri"&amp;10&amp;K000000OFFICIAL</oddFooter>
      </headerFooter>
    </customSheetView>
    <customSheetView guid="{D16D941B-FC89-4FEC-A49B-5FA2532584DE}" hiddenRows="1" state="hidden" topLeftCell="A2">
      <pane ySplit="4" topLeftCell="A27" activePane="bottomLeft" state="frozen"/>
      <selection pane="bottomLeft" activeCell="AJ34" sqref="AJ34"/>
      <pageMargins left="0.7" right="0.7" top="0.75" bottom="0.75" header="0.3" footer="0.3"/>
      <pageSetup paperSize="9" orientation="portrait" r:id="rId38"/>
      <headerFooter>
        <oddHeader>&amp;L&amp;"Calibri"&amp;10&amp;K000000OFFICIAL&amp;1#</oddHeader>
        <oddFooter>&amp;L&amp;1#&amp;"Calibri"&amp;10&amp;K000000OFFICIAL</oddFooter>
      </headerFooter>
    </customSheetView>
    <customSheetView guid="{3BB18945-69B5-4B22-8D55-989F8F233459}" hiddenRows="1" state="hidden" topLeftCell="A2">
      <pane ySplit="4" topLeftCell="A27" activePane="bottomLeft" state="frozen"/>
      <selection pane="bottomLeft" activeCell="AJ34" sqref="AJ34"/>
      <pageMargins left="0.7" right="0.7" top="0.75" bottom="0.75" header="0.3" footer="0.3"/>
      <pageSetup paperSize="9" orientation="portrait" r:id="rId39"/>
      <headerFooter>
        <oddHeader>&amp;L&amp;"Calibri"&amp;10&amp;K000000OFFICIAL&amp;1#</oddHeader>
        <oddFooter>&amp;L&amp;1#&amp;"Calibri"&amp;10&amp;K000000OFFICIAL</oddFooter>
      </headerFooter>
    </customSheetView>
    <customSheetView guid="{B84DA703-8C5B-4100-91A4-8807E303D379}" hiddenRows="1" state="hidden" topLeftCell="A2">
      <pane ySplit="4" topLeftCell="A27" activePane="bottomLeft" state="frozen"/>
      <selection pane="bottomLeft" activeCell="AJ34" sqref="AJ34"/>
      <pageMargins left="0.7" right="0.7" top="0.75" bottom="0.75" header="0.3" footer="0.3"/>
      <pageSetup paperSize="9" orientation="portrait" r:id="rId40"/>
      <headerFooter>
        <oddHeader>&amp;L&amp;"Calibri"&amp;10&amp;K000000OFFICIAL&amp;1#</oddHeader>
        <oddFooter>&amp;L&amp;1#&amp;"Calibri"&amp;10&amp;K000000OFFICIAL</oddFooter>
      </headerFooter>
    </customSheetView>
    <customSheetView guid="{B0A28FD4-D7F6-428C-A7F7-92132DCD74BB}" hiddenRows="1" state="hidden" topLeftCell="A2">
      <pane ySplit="4" topLeftCell="A27" activePane="bottomLeft" state="frozen"/>
      <selection pane="bottomLeft" activeCell="AJ34" sqref="AJ34"/>
      <pageMargins left="0.7" right="0.7" top="0.75" bottom="0.75" header="0.3" footer="0.3"/>
      <pageSetup paperSize="9" orientation="portrait" r:id="rId41"/>
      <headerFooter>
        <oddHeader>&amp;L&amp;"Calibri"&amp;10&amp;K000000OFFICIAL&amp;1#</oddHeader>
        <oddFooter>&amp;L&amp;1#&amp;"Calibri"&amp;10&amp;K000000OFFICIAL</oddFooter>
      </headerFooter>
    </customSheetView>
    <customSheetView guid="{3C97F0B0-2F3C-4E03-96E0-0C4FEC2F24AC}" hiddenRows="1" state="hidden" topLeftCell="A2">
      <pane ySplit="4" topLeftCell="A27" activePane="bottomLeft" state="frozen"/>
      <selection pane="bottomLeft" activeCell="AJ34" sqref="AJ34"/>
      <pageMargins left="0.7" right="0.7" top="0.75" bottom="0.75" header="0.3" footer="0.3"/>
      <pageSetup paperSize="9" orientation="portrait" r:id="rId42"/>
      <headerFooter>
        <oddHeader>&amp;L&amp;"Calibri"&amp;10&amp;K000000OFFICIAL&amp;1#</oddHeader>
        <oddFooter>&amp;L&amp;1#&amp;"Calibri"&amp;10&amp;K000000OFFICIAL</oddFooter>
      </headerFooter>
    </customSheetView>
    <customSheetView guid="{A03C6B09-6B58-4DDE-A3B2-41A27A7049D9}" hiddenRows="1" state="hidden" topLeftCell="A2">
      <pane ySplit="4" topLeftCell="A27" activePane="bottomLeft" state="frozen"/>
      <selection pane="bottomLeft" activeCell="AJ34" sqref="AJ34"/>
      <pageMargins left="0.7" right="0.7" top="0.75" bottom="0.75" header="0.3" footer="0.3"/>
      <pageSetup paperSize="9" orientation="portrait" r:id="rId43"/>
      <headerFooter>
        <oddHeader>&amp;L&amp;"Calibri"&amp;10&amp;K000000OFFICIAL&amp;1#</oddHeader>
        <oddFooter>&amp;L&amp;1#&amp;"Calibri"&amp;10&amp;K000000OFFICIAL</oddFooter>
      </headerFooter>
    </customSheetView>
    <customSheetView guid="{4EBEE699-7DEF-4A50-9CB7-490835CF0B98}" hiddenRows="1" state="hidden" topLeftCell="A2">
      <pane ySplit="4" topLeftCell="A27" activePane="bottomLeft" state="frozen"/>
      <selection pane="bottomLeft" activeCell="AJ34" sqref="AJ34"/>
      <pageMargins left="0.7" right="0.7" top="0.75" bottom="0.75" header="0.3" footer="0.3"/>
      <pageSetup paperSize="9" orientation="portrait" r:id="rId44"/>
      <headerFooter>
        <oddHeader>&amp;L&amp;"Calibri"&amp;10&amp;K000000OFFICIAL&amp;1#</oddHeader>
        <oddFooter>&amp;L&amp;1#&amp;"Calibri"&amp;10&amp;K000000OFFICIAL</oddFooter>
      </headerFooter>
    </customSheetView>
    <customSheetView guid="{451730E2-FFE9-4FCE-B8B5-64952C26C672}" hiddenRows="1" state="hidden" topLeftCell="A2">
      <pane ySplit="4" topLeftCell="A27" activePane="bottomLeft" state="frozen"/>
      <selection pane="bottomLeft" activeCell="AJ34" sqref="AJ34"/>
      <pageMargins left="0.7" right="0.7" top="0.75" bottom="0.75" header="0.3" footer="0.3"/>
      <pageSetup paperSize="9" orientation="portrait" r:id="rId45"/>
      <headerFooter>
        <oddHeader>&amp;L&amp;"Calibri"&amp;10&amp;K000000OFFICIAL&amp;1#</oddHeader>
        <oddFooter>&amp;L&amp;1#&amp;"Calibri"&amp;10&amp;K000000OFFICIAL</oddFooter>
      </headerFooter>
    </customSheetView>
    <customSheetView guid="{9AF6E233-883D-48B4-95AB-42B37199AB9E}" hiddenRows="1" state="hidden" topLeftCell="A2">
      <pane ySplit="4" topLeftCell="A27" activePane="bottomLeft" state="frozen"/>
      <selection pane="bottomLeft" activeCell="AJ34" sqref="AJ34"/>
      <pageMargins left="0.7" right="0.7" top="0.75" bottom="0.75" header="0.3" footer="0.3"/>
      <pageSetup paperSize="9" orientation="portrait" r:id="rId46"/>
      <headerFooter>
        <oddHeader>&amp;L&amp;"Calibri"&amp;10&amp;K000000OFFICIAL&amp;1#</oddHeader>
        <oddFooter>&amp;L&amp;1#&amp;"Calibri"&amp;10&amp;K000000OFFICIAL</oddFooter>
      </headerFooter>
    </customSheetView>
    <customSheetView guid="{1ECD6E30-299B-4354-A416-2DAFF33C7022}" hiddenRows="1" state="hidden" topLeftCell="A2">
      <pane ySplit="4" topLeftCell="A27" activePane="bottomLeft" state="frozen"/>
      <selection pane="bottomLeft" activeCell="AJ34" sqref="AJ34"/>
      <pageMargins left="0.7" right="0.7" top="0.75" bottom="0.75" header="0.3" footer="0.3"/>
      <pageSetup paperSize="9" orientation="portrait" r:id="rId47"/>
      <headerFooter>
        <oddHeader>&amp;L&amp;"Calibri"&amp;10&amp;K000000OFFICIAL&amp;1#</oddHeader>
        <oddFooter>&amp;L&amp;1#&amp;"Calibri"&amp;10&amp;K000000OFFICIAL</oddFooter>
      </headerFooter>
    </customSheetView>
    <customSheetView guid="{97D58294-343B-4B62-A826-0DDDE29B5F0D}" hiddenRows="1" state="hidden" topLeftCell="A2">
      <pane ySplit="4" topLeftCell="A27" activePane="bottomLeft" state="frozen"/>
      <selection pane="bottomLeft" activeCell="AJ34" sqref="AJ34"/>
      <pageMargins left="0.7" right="0.7" top="0.75" bottom="0.75" header="0.3" footer="0.3"/>
      <pageSetup paperSize="9" orientation="portrait" r:id="rId48"/>
      <headerFooter>
        <oddHeader>&amp;L&amp;"Calibri"&amp;10&amp;K000000OFFICIAL&amp;1#</oddHeader>
        <oddFooter>&amp;L&amp;1#&amp;"Calibri"&amp;10&amp;K000000OFFICIAL</oddFooter>
      </headerFooter>
    </customSheetView>
    <customSheetView guid="{BDCD1595-C0B8-4F6C-B01C-3472C895B827}" hiddenRows="1" state="hidden" topLeftCell="A2">
      <pane ySplit="4" topLeftCell="A27" activePane="bottomLeft" state="frozen"/>
      <selection pane="bottomLeft" activeCell="AJ34" sqref="AJ34"/>
      <pageMargins left="0.7" right="0.7" top="0.75" bottom="0.75" header="0.3" footer="0.3"/>
      <pageSetup paperSize="9" orientation="portrait" r:id="rId49"/>
      <headerFooter>
        <oddHeader>&amp;L&amp;"Calibri"&amp;10&amp;K000000OFFICIAL&amp;1#</oddHeader>
        <oddFooter>&amp;L&amp;1#&amp;"Calibri"&amp;10&amp;K000000OFFICIAL</oddFooter>
      </headerFooter>
    </customSheetView>
    <customSheetView guid="{9355C9F4-9C07-4A93-B7F2-69F1D1526716}" hiddenRows="1" state="hidden" topLeftCell="A2">
      <pane ySplit="4" topLeftCell="A27" activePane="bottomLeft" state="frozen"/>
      <selection pane="bottomLeft" activeCell="AJ34" sqref="AJ34"/>
      <pageMargins left="0.7" right="0.7" top="0.75" bottom="0.75" header="0.3" footer="0.3"/>
      <pageSetup paperSize="9" orientation="portrait" r:id="rId50"/>
      <headerFooter>
        <oddHeader>&amp;L&amp;"Calibri"&amp;10&amp;K000000OFFICIAL&amp;1#</oddHeader>
        <oddFooter>&amp;L&amp;1#&amp;"Calibri"&amp;10&amp;K000000OFFICIAL</oddFooter>
      </headerFooter>
    </customSheetView>
    <customSheetView guid="{F5FA2A23-9E46-4C2F-B1EE-B71787F95C57}" hiddenRows="1" state="hidden" topLeftCell="A2">
      <pane ySplit="4" topLeftCell="A27" activePane="bottomLeft" state="frozen"/>
      <selection pane="bottomLeft" activeCell="AJ34" sqref="AJ34"/>
      <pageMargins left="0.7" right="0.7" top="0.75" bottom="0.75" header="0.3" footer="0.3"/>
      <pageSetup paperSize="9" orientation="portrait" r:id="rId51"/>
      <headerFooter>
        <oddHeader>&amp;L&amp;"Calibri"&amp;10&amp;K000000OFFICIAL&amp;1#</oddHeader>
        <oddFooter>&amp;L&amp;1#&amp;"Calibri"&amp;10&amp;K000000OFFICIAL</oddFooter>
      </headerFooter>
    </customSheetView>
    <customSheetView guid="{B95D32C7-1418-4EF6-8936-849885C54A4A}" hiddenRows="1" state="hidden" topLeftCell="A2">
      <pane ySplit="4" topLeftCell="A27" activePane="bottomLeft" state="frozen"/>
      <selection pane="bottomLeft" activeCell="AJ34" sqref="AJ34"/>
      <pageMargins left="0.7" right="0.7" top="0.75" bottom="0.75" header="0.3" footer="0.3"/>
      <pageSetup paperSize="9" orientation="portrait" r:id="rId52"/>
      <headerFooter>
        <oddHeader>&amp;L&amp;"Calibri"&amp;10&amp;K000000OFFICIAL&amp;1#</oddHeader>
        <oddFooter>&amp;L&amp;1#&amp;"Calibri"&amp;10&amp;K000000OFFICIAL</oddFooter>
      </headerFooter>
    </customSheetView>
    <customSheetView guid="{602520CD-F98C-43A6-AA0D-88893E9CB6E8}" hiddenRows="1" state="hidden" topLeftCell="A2">
      <pane ySplit="4" topLeftCell="A27" activePane="bottomLeft" state="frozen"/>
      <selection pane="bottomLeft" activeCell="AJ34" sqref="AJ34"/>
      <pageMargins left="0.7" right="0.7" top="0.75" bottom="0.75" header="0.3" footer="0.3"/>
      <pageSetup paperSize="9" orientation="portrait" r:id="rId53"/>
      <headerFooter>
        <oddHeader>&amp;L&amp;"Calibri"&amp;10&amp;K000000OFFICIAL&amp;1#</oddHeader>
        <oddFooter>&amp;L&amp;1#&amp;"Calibri"&amp;10&amp;K000000OFFICIAL</oddFooter>
      </headerFooter>
    </customSheetView>
    <customSheetView guid="{A8E976B8-D767-4DB4-82BD-ABE90880F33F}" hiddenRows="1" state="hidden" topLeftCell="A2">
      <pane ySplit="4" topLeftCell="A27" activePane="bottomLeft" state="frozen"/>
      <selection pane="bottomLeft" activeCell="AJ34" sqref="AJ34"/>
      <pageMargins left="0.7" right="0.7" top="0.75" bottom="0.75" header="0.3" footer="0.3"/>
      <pageSetup paperSize="9" orientation="portrait" r:id="rId54"/>
      <headerFooter>
        <oddHeader>&amp;L&amp;"Calibri"&amp;10&amp;K000000OFFICIAL&amp;1#</oddHeader>
        <oddFooter>&amp;L&amp;1#&amp;"Calibri"&amp;10&amp;K000000OFFICIAL</oddFooter>
      </headerFooter>
    </customSheetView>
    <customSheetView guid="{D850720D-4A1C-48F2-8E1D-8E09B7414A1A}" hiddenRows="1" state="hidden" topLeftCell="A2">
      <pane ySplit="4" topLeftCell="A27" activePane="bottomLeft" state="frozen"/>
      <selection pane="bottomLeft" activeCell="AJ34" sqref="AJ34"/>
      <pageMargins left="0.7" right="0.7" top="0.75" bottom="0.75" header="0.3" footer="0.3"/>
      <pageSetup paperSize="9" orientation="portrait" r:id="rId55"/>
      <headerFooter>
        <oddHeader>&amp;L&amp;"Calibri"&amp;10&amp;K000000OFFICIAL&amp;1#</oddHeader>
        <oddFooter>&amp;L&amp;1#&amp;"Calibri"&amp;10&amp;K000000OFFICIAL</oddFooter>
      </headerFooter>
    </customSheetView>
    <customSheetView guid="{C57A83F1-F5A3-470B-9579-6A222C54F4E8}" hiddenRows="1" state="hidden" topLeftCell="A2">
      <pane ySplit="4" topLeftCell="A27" activePane="bottomLeft" state="frozen"/>
      <selection pane="bottomLeft" activeCell="AJ34" sqref="AJ34"/>
      <pageMargins left="0.7" right="0.7" top="0.75" bottom="0.75" header="0.3" footer="0.3"/>
      <pageSetup paperSize="9" orientation="portrait" r:id="rId56"/>
      <headerFooter>
        <oddHeader>&amp;L&amp;"Calibri"&amp;10&amp;K000000OFFICIAL&amp;1#</oddHeader>
        <oddFooter>&amp;L&amp;1#&amp;"Calibri"&amp;10&amp;K000000OFFICIAL</oddFooter>
      </headerFooter>
    </customSheetView>
    <customSheetView guid="{2608BE9B-66AC-4D4C-8EE0-E88C94E88140}" hiddenRows="1" state="hidden" topLeftCell="A2">
      <pane ySplit="4.583333333333333" topLeftCell="A27" activePane="bottomLeft" state="frozen"/>
      <selection pane="bottomLeft" activeCell="AJ34" sqref="AJ34"/>
      <pageMargins left="0.7" right="0.7" top="0.75" bottom="0.75" header="0.3" footer="0.3"/>
      <pageSetup paperSize="9" orientation="portrait" r:id="rId57"/>
      <headerFooter>
        <oddHeader>&amp;L&amp;"Calibri"&amp;10&amp;K000000OFFICIAL&amp;1#</oddHeader>
        <oddFooter>&amp;L&amp;1#&amp;"Calibri"&amp;10&amp;K000000OFFICIAL</oddFooter>
      </headerFooter>
    </customSheetView>
    <customSheetView guid="{EDD5A64E-02C0-4DD6-80BA-449123FCDAA2}" hiddenRows="1" state="hidden" topLeftCell="A2">
      <pane ySplit="4" topLeftCell="A27" activePane="bottomLeft" state="frozen"/>
      <selection pane="bottomLeft" activeCell="AJ34" sqref="AJ34"/>
      <pageMargins left="0.7" right="0.7" top="0.75" bottom="0.75" header="0.3" footer="0.3"/>
      <pageSetup paperSize="9" orientation="portrait" r:id="rId58"/>
      <headerFooter>
        <oddHeader>&amp;L&amp;"Calibri"&amp;10&amp;K000000OFFICIAL&amp;1#</oddHeader>
        <oddFooter>&amp;L&amp;1#&amp;"Calibri"&amp;10&amp;K000000OFFICIAL</oddFooter>
      </headerFooter>
    </customSheetView>
    <customSheetView guid="{B8317A9A-0FFD-4A18-80F7-203DB2FC8CA5}" hiddenRows="1" state="hidden" topLeftCell="A2">
      <pane ySplit="5.125" topLeftCell="A27" activePane="bottomLeft" state="frozen"/>
      <selection pane="bottomLeft" activeCell="AJ34" sqref="AJ34"/>
      <pageMargins left="0.7" right="0.7" top="0.75" bottom="0.75" header="0.3" footer="0.3"/>
      <pageSetup paperSize="9" orientation="portrait" r:id="rId59"/>
      <headerFooter>
        <oddHeader>&amp;L&amp;"Calibri"&amp;10&amp;K000000OFFICIAL&amp;1#</oddHeader>
        <oddFooter>&amp;L&amp;1#&amp;"Calibri"&amp;10&amp;K000000OFFICIAL</oddFooter>
      </headerFooter>
    </customSheetView>
    <customSheetView guid="{7E571F1D-D438-4605-90D6-3F831F76D652}" hiddenRows="1" state="hidden" topLeftCell="A2">
      <pane ySplit="4" topLeftCell="A27" activePane="bottomLeft" state="frozen"/>
      <selection pane="bottomLeft" activeCell="AJ34" sqref="AJ34"/>
      <pageMargins left="0.7" right="0.7" top="0.75" bottom="0.75" header="0.3" footer="0.3"/>
      <pageSetup paperSize="9" orientation="portrait" r:id="rId60"/>
      <headerFooter>
        <oddHeader>&amp;L&amp;"Calibri"&amp;10&amp;K000000OFFICIAL&amp;1#</oddHeader>
        <oddFooter>&amp;L&amp;1#&amp;"Calibri"&amp;10&amp;K000000OFFICIAL</oddFooter>
      </headerFooter>
    </customSheetView>
  </customSheetViews>
  <mergeCells count="7">
    <mergeCell ref="A2:A5"/>
    <mergeCell ref="B2:B5"/>
    <mergeCell ref="D2:H2"/>
    <mergeCell ref="J4:J5"/>
    <mergeCell ref="K4:K5"/>
    <mergeCell ref="D3:D5"/>
    <mergeCell ref="F3:H3"/>
  </mergeCells>
  <pageMargins left="0.7" right="0.7" top="0.75" bottom="0.75" header="0.3" footer="0.3"/>
  <pageSetup paperSize="9" orientation="portrait" r:id="rId61"/>
  <headerFooter>
    <oddHeader>&amp;L&amp;"Calibri"&amp;10&amp;K000000OFFICIAL&amp;1#</oddHeader>
    <oddFooter>&amp;L&amp;1#&amp;"Calibri"&amp;10&amp;K000000OFFICIAL</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E00641-4A3D-44DE-974E-90702840E915}">
  <sheetPr codeName="Sheet2">
    <pageSetUpPr fitToPage="1"/>
  </sheetPr>
  <dimension ref="A2:A50"/>
  <sheetViews>
    <sheetView zoomScale="90" zoomScaleNormal="90" workbookViewId="0">
      <selection activeCell="A11" sqref="A11"/>
    </sheetView>
  </sheetViews>
  <sheetFormatPr defaultColWidth="8.53515625" defaultRowHeight="12.45" x14ac:dyDescent="0.3"/>
  <cols>
    <col min="1" max="6" width="27.53515625" style="9" customWidth="1"/>
    <col min="7" max="16384" width="8.53515625" style="9"/>
  </cols>
  <sheetData>
    <row r="2" spans="1:1" x14ac:dyDescent="0.3">
      <c r="A2" s="10" t="s">
        <v>157</v>
      </c>
    </row>
    <row r="3" spans="1:1" x14ac:dyDescent="0.3">
      <c r="A3" s="60" t="s">
        <v>158</v>
      </c>
    </row>
    <row r="4" spans="1:1" x14ac:dyDescent="0.3">
      <c r="A4" s="60" t="s">
        <v>159</v>
      </c>
    </row>
    <row r="5" spans="1:1" x14ac:dyDescent="0.3">
      <c r="A5" s="11" t="s">
        <v>23</v>
      </c>
    </row>
    <row r="6" spans="1:1" x14ac:dyDescent="0.3">
      <c r="A6" s="11" t="s">
        <v>24</v>
      </c>
    </row>
    <row r="7" spans="1:1" x14ac:dyDescent="0.3">
      <c r="A7" s="11" t="s">
        <v>25</v>
      </c>
    </row>
    <row r="8" spans="1:1" x14ac:dyDescent="0.3">
      <c r="A8" s="9" t="s">
        <v>56</v>
      </c>
    </row>
    <row r="10" spans="1:1" x14ac:dyDescent="0.3">
      <c r="A10" s="10" t="s">
        <v>68</v>
      </c>
    </row>
    <row r="11" spans="1:1" x14ac:dyDescent="0.3">
      <c r="A11" s="11" t="s">
        <v>23</v>
      </c>
    </row>
    <row r="12" spans="1:1" x14ac:dyDescent="0.3">
      <c r="A12" s="11" t="s">
        <v>24</v>
      </c>
    </row>
    <row r="13" spans="1:1" x14ac:dyDescent="0.3">
      <c r="A13" s="11" t="s">
        <v>25</v>
      </c>
    </row>
    <row r="14" spans="1:1" x14ac:dyDescent="0.3">
      <c r="A14" s="9" t="s">
        <v>60</v>
      </c>
    </row>
    <row r="15" spans="1:1" x14ac:dyDescent="0.3">
      <c r="A15" s="9" t="s">
        <v>57</v>
      </c>
    </row>
    <row r="17" spans="1:1" x14ac:dyDescent="0.3">
      <c r="A17" s="10" t="s">
        <v>26</v>
      </c>
    </row>
    <row r="18" spans="1:1" x14ac:dyDescent="0.3">
      <c r="A18" s="11" t="s">
        <v>27</v>
      </c>
    </row>
    <row r="19" spans="1:1" x14ac:dyDescent="0.3">
      <c r="A19" s="11" t="s">
        <v>28</v>
      </c>
    </row>
    <row r="20" spans="1:1" x14ac:dyDescent="0.3">
      <c r="A20" s="11" t="s">
        <v>29</v>
      </c>
    </row>
    <row r="21" spans="1:1" x14ac:dyDescent="0.3">
      <c r="A21" s="11"/>
    </row>
    <row r="22" spans="1:1" x14ac:dyDescent="0.3">
      <c r="A22" s="10" t="s">
        <v>30</v>
      </c>
    </row>
    <row r="23" spans="1:1" x14ac:dyDescent="0.3">
      <c r="A23" s="11" t="s">
        <v>58</v>
      </c>
    </row>
    <row r="24" spans="1:1" x14ac:dyDescent="0.3">
      <c r="A24" s="11" t="s">
        <v>59</v>
      </c>
    </row>
    <row r="26" spans="1:1" x14ac:dyDescent="0.3">
      <c r="A26" s="10" t="s">
        <v>31</v>
      </c>
    </row>
    <row r="27" spans="1:1" x14ac:dyDescent="0.3">
      <c r="A27" s="11" t="s">
        <v>32</v>
      </c>
    </row>
    <row r="28" spans="1:1" x14ac:dyDescent="0.3">
      <c r="A28" s="11"/>
    </row>
    <row r="29" spans="1:1" x14ac:dyDescent="0.3">
      <c r="A29" s="10" t="s">
        <v>33</v>
      </c>
    </row>
    <row r="30" spans="1:1" x14ac:dyDescent="0.3">
      <c r="A30" s="11" t="s">
        <v>34</v>
      </c>
    </row>
    <row r="31" spans="1:1" x14ac:dyDescent="0.3">
      <c r="A31" s="12" t="s">
        <v>35</v>
      </c>
    </row>
    <row r="32" spans="1:1" x14ac:dyDescent="0.3">
      <c r="A32" s="12" t="s">
        <v>36</v>
      </c>
    </row>
    <row r="33" spans="1:1" x14ac:dyDescent="0.3">
      <c r="A33" s="11" t="s">
        <v>37</v>
      </c>
    </row>
    <row r="34" spans="1:1" x14ac:dyDescent="0.3">
      <c r="A34" s="12" t="s">
        <v>38</v>
      </c>
    </row>
    <row r="35" spans="1:1" x14ac:dyDescent="0.3">
      <c r="A35" s="12" t="s">
        <v>39</v>
      </c>
    </row>
    <row r="36" spans="1:1" x14ac:dyDescent="0.3">
      <c r="A36" s="12"/>
    </row>
    <row r="37" spans="1:1" x14ac:dyDescent="0.3">
      <c r="A37" s="10" t="s">
        <v>40</v>
      </c>
    </row>
    <row r="38" spans="1:1" x14ac:dyDescent="0.3">
      <c r="A38" s="11" t="s">
        <v>41</v>
      </c>
    </row>
    <row r="39" spans="1:1" x14ac:dyDescent="0.3">
      <c r="A39" s="11" t="s">
        <v>138</v>
      </c>
    </row>
    <row r="40" spans="1:1" x14ac:dyDescent="0.3">
      <c r="A40" s="11" t="s">
        <v>139</v>
      </c>
    </row>
    <row r="42" spans="1:1" x14ac:dyDescent="0.3">
      <c r="A42" s="10" t="s">
        <v>42</v>
      </c>
    </row>
    <row r="43" spans="1:1" x14ac:dyDescent="0.3">
      <c r="A43" s="11" t="s">
        <v>43</v>
      </c>
    </row>
    <row r="44" spans="1:1" x14ac:dyDescent="0.3">
      <c r="A44" s="11" t="s">
        <v>44</v>
      </c>
    </row>
    <row r="45" spans="1:1" x14ac:dyDescent="0.3">
      <c r="A45" s="11" t="s">
        <v>45</v>
      </c>
    </row>
    <row r="47" spans="1:1" x14ac:dyDescent="0.3">
      <c r="A47" s="10" t="s">
        <v>46</v>
      </c>
    </row>
    <row r="48" spans="1:1" x14ac:dyDescent="0.3">
      <c r="A48" s="11" t="s">
        <v>43</v>
      </c>
    </row>
    <row r="49" spans="1:1" x14ac:dyDescent="0.3">
      <c r="A49" s="11" t="s">
        <v>44</v>
      </c>
    </row>
    <row r="50" spans="1:1" x14ac:dyDescent="0.3">
      <c r="A50" s="11" t="s">
        <v>45</v>
      </c>
    </row>
  </sheetData>
  <sheetProtection algorithmName="SHA-512" hashValue="u4YiLaWBeRziDSa+2wfUcFJxJA7jf0jsGl5DKS0OApt/mNejYKG+JGJyTJJsysfYCh0hvebY8QYAr/9dLGMjNg==" saltValue="Z2EyDeMlCOuIYGWtuZVlPQ==" spinCount="100000" sheet="1" objects="1" scenarios="1"/>
  <customSheetViews>
    <customSheetView guid="{800416AC-1374-44AC-811C-612C85EF24E6}" scale="90" fitToPage="1">
      <selection activeCell="A11" sqref="A11"/>
      <pageMargins left="0.70866141732283472" right="0.70866141732283472" top="0.74803149606299213" bottom="0.74803149606299213" header="0.31496062992125984" footer="0.31496062992125984"/>
      <pageSetup paperSize="9" scale="46" orientation="landscape" r:id="rId1"/>
    </customSheetView>
    <customSheetView guid="{FBC63E8F-69FE-4648-B709-FA1212EFFB29}" scale="90" fitToPage="1">
      <selection activeCell="A11" sqref="A11"/>
      <pageMargins left="0.70866141732283472" right="0.70866141732283472" top="0.74803149606299213" bottom="0.74803149606299213" header="0.31496062992125984" footer="0.31496062992125984"/>
      <pageSetup paperSize="9" scale="46" orientation="landscape" r:id="rId2"/>
    </customSheetView>
    <customSheetView guid="{C7C13768-4A8D-4CBA-978C-F4A7B5550C00}" scale="90" fitToPage="1">
      <selection activeCell="A11" sqref="A11"/>
      <pageMargins left="0.70866141732283472" right="0.70866141732283472" top="0.74803149606299213" bottom="0.74803149606299213" header="0.31496062992125984" footer="0.31496062992125984"/>
      <pageSetup paperSize="9" scale="46" orientation="landscape" r:id="rId3"/>
    </customSheetView>
    <customSheetView guid="{466708C2-41CE-4656-AB81-E1E49DF5945D}" scale="90" fitToPage="1">
      <selection activeCell="A11" sqref="A11"/>
      <pageMargins left="0.70866141732283472" right="0.70866141732283472" top="0.74803149606299213" bottom="0.74803149606299213" header="0.31496062992125984" footer="0.31496062992125984"/>
      <pageSetup paperSize="9" scale="46" orientation="landscape" r:id="rId4"/>
    </customSheetView>
    <customSheetView guid="{E3A3AE56-8881-4A6F-9299-803C489AD1B4}" scale="90" fitToPage="1">
      <selection activeCell="A11" sqref="A11"/>
      <pageMargins left="0.70866141732283472" right="0.70866141732283472" top="0.74803149606299213" bottom="0.74803149606299213" header="0.31496062992125984" footer="0.31496062992125984"/>
      <pageSetup paperSize="9" scale="46" orientation="landscape" r:id="rId5"/>
    </customSheetView>
    <customSheetView guid="{83044EFE-7F92-4F81-B034-85D9567158C2}" scale="90" fitToPage="1">
      <selection activeCell="A11" sqref="A11"/>
      <pageMargins left="0.70866141732283472" right="0.70866141732283472" top="0.74803149606299213" bottom="0.74803149606299213" header="0.31496062992125984" footer="0.31496062992125984"/>
      <pageSetup paperSize="9" scale="46" orientation="landscape" r:id="rId6"/>
    </customSheetView>
    <customSheetView guid="{E4713981-DD11-40CE-BE52-873D93BDDE05}" scale="90" fitToPage="1">
      <selection activeCell="A11" sqref="A11"/>
      <pageMargins left="0.70866141732283472" right="0.70866141732283472" top="0.74803149606299213" bottom="0.74803149606299213" header="0.31496062992125984" footer="0.31496062992125984"/>
      <pageSetup paperSize="9" scale="46" orientation="landscape" r:id="rId7"/>
    </customSheetView>
    <customSheetView guid="{442F9A23-CA6E-4109-B10C-ACF5FD36B859}" scale="90" fitToPage="1">
      <selection activeCell="A11" sqref="A11"/>
      <pageMargins left="0.70866141732283472" right="0.70866141732283472" top="0.74803149606299213" bottom="0.74803149606299213" header="0.31496062992125984" footer="0.31496062992125984"/>
      <pageSetup paperSize="9" scale="46" orientation="landscape" r:id="rId8"/>
    </customSheetView>
    <customSheetView guid="{B434A8A8-5A4C-48C0-82E7-2458B9D2EEEF}" scale="90" fitToPage="1">
      <selection activeCell="A11" sqref="A11"/>
      <pageMargins left="0.70866141732283472" right="0.70866141732283472" top="0.74803149606299213" bottom="0.74803149606299213" header="0.31496062992125984" footer="0.31496062992125984"/>
      <pageSetup paperSize="9" scale="46" orientation="landscape" r:id="rId9"/>
    </customSheetView>
    <customSheetView guid="{3827E543-57D2-48C8-B786-7077EA079DD2}" scale="90" fitToPage="1">
      <selection activeCell="A11" sqref="A11"/>
      <pageMargins left="0.70866141732283472" right="0.70866141732283472" top="0.74803149606299213" bottom="0.74803149606299213" header="0.31496062992125984" footer="0.31496062992125984"/>
      <pageSetup paperSize="9" scale="46" orientation="landscape" r:id="rId10"/>
    </customSheetView>
    <customSheetView guid="{2EA8DBF7-9763-457C-AA9F-1EEB2F136D1F}" scale="90" fitToPage="1">
      <selection activeCell="A11" sqref="A11"/>
      <pageMargins left="0.70866141732283472" right="0.70866141732283472" top="0.74803149606299213" bottom="0.74803149606299213" header="0.31496062992125984" footer="0.31496062992125984"/>
      <pageSetup paperSize="9" scale="46" orientation="landscape" r:id="rId11"/>
    </customSheetView>
    <customSheetView guid="{70582C04-BB53-4A99-A3C1-673011D9AE1C}" scale="90">
      <selection activeCell="A8" sqref="A8"/>
      <pageMargins left="0.70866141732283472" right="0.70866141732283472" top="0.74803149606299213" bottom="0.74803149606299213" header="0.31496062992125984" footer="0.31496062992125984"/>
      <pageSetup paperSize="9" scale="50" orientation="landscape" r:id="rId12"/>
    </customSheetView>
    <customSheetView guid="{37F5A0AB-EB39-4832-9D67-F67D908BF486}" scale="90">
      <selection activeCell="A8" sqref="A8"/>
      <pageMargins left="0.70866141732283472" right="0.70866141732283472" top="0.74803149606299213" bottom="0.74803149606299213" header="0.31496062992125984" footer="0.31496062992125984"/>
      <pageSetup paperSize="9" scale="50" orientation="landscape" r:id="rId13"/>
    </customSheetView>
    <customSheetView guid="{78AA4A71-CE17-4C4D-849E-E3E1A44EA907}" scale="90">
      <selection activeCell="A8" sqref="A8"/>
      <pageMargins left="0.70866141732283472" right="0.70866141732283472" top="0.74803149606299213" bottom="0.74803149606299213" header="0.31496062992125984" footer="0.31496062992125984"/>
      <pageSetup paperSize="9" scale="50" orientation="landscape" r:id="rId14"/>
    </customSheetView>
    <customSheetView guid="{51DFD3D6-BC25-47B4-B28F-D640534DB3A9}" scale="90">
      <selection activeCell="A8" sqref="A8"/>
      <pageMargins left="0.70866141732283472" right="0.70866141732283472" top="0.74803149606299213" bottom="0.74803149606299213" header="0.31496062992125984" footer="0.31496062992125984"/>
      <pageSetup paperSize="9" scale="50" orientation="landscape" r:id="rId15"/>
    </customSheetView>
    <customSheetView guid="{CA7E8063-5145-49E1-8E00-2E1025705A81}" scale="90">
      <selection activeCell="A8" sqref="A8"/>
      <pageMargins left="0.70866141732283472" right="0.70866141732283472" top="0.74803149606299213" bottom="0.74803149606299213" header="0.31496062992125984" footer="0.31496062992125984"/>
      <pageSetup paperSize="9" scale="50" orientation="landscape" r:id="rId16"/>
    </customSheetView>
    <customSheetView guid="{75EE3B92-AF4D-4E93-A70E-6ADE60CC674F}" scale="90">
      <selection activeCell="A8" sqref="A8"/>
      <pageMargins left="0.70866141732283472" right="0.70866141732283472" top="0.74803149606299213" bottom="0.74803149606299213" header="0.31496062992125984" footer="0.31496062992125984"/>
      <pageSetup paperSize="9" scale="50" orientation="landscape" r:id="rId17"/>
    </customSheetView>
    <customSheetView guid="{29AC9BE3-332A-4738-949C-1F8C0D32BAEE}" scale="90">
      <selection activeCell="A8" sqref="A8"/>
      <pageMargins left="0.70866141732283472" right="0.70866141732283472" top="0.74803149606299213" bottom="0.74803149606299213" header="0.31496062992125984" footer="0.31496062992125984"/>
      <pageSetup paperSize="9" scale="50" orientation="landscape" r:id="rId18"/>
    </customSheetView>
    <customSheetView guid="{42B0E8B1-ADFA-49AE-A83B-82D384737703}" scale="90" topLeftCell="A7">
      <selection activeCell="B16" sqref="B16"/>
      <pageMargins left="0.7" right="0.7" top="0.75" bottom="0.75" header="0.3" footer="0.3"/>
      <pageSetup paperSize="9" orientation="portrait" r:id="rId19"/>
    </customSheetView>
    <customSheetView guid="{D59DDBAA-620D-43B7-A6D9-759808D3397A}" scale="90" topLeftCell="A7">
      <selection activeCell="B16" sqref="B16"/>
      <pageMargins left="0.7" right="0.7" top="0.75" bottom="0.75" header="0.3" footer="0.3"/>
      <pageSetup paperSize="9" orientation="portrait" r:id="rId20"/>
    </customSheetView>
    <customSheetView guid="{F4A6298C-1A75-4FA9-A6A4-2BE13CCFE545}" scale="90" topLeftCell="A4">
      <selection activeCell="A18" sqref="A18"/>
      <pageMargins left="0.7" right="0.7" top="0.75" bottom="0.75" header="0.3" footer="0.3"/>
      <pageSetup paperSize="9" orientation="portrait" r:id="rId21"/>
    </customSheetView>
    <customSheetView guid="{9F91FBC4-6A13-42C2-A2D9-42A2AC814E28}" scale="90">
      <selection activeCell="A2" sqref="A2:Q8"/>
      <pageMargins left="0.7" right="0.7" top="0.75" bottom="0.75" header="0.3" footer="0.3"/>
      <pageSetup paperSize="9" orientation="portrait" r:id="rId22"/>
    </customSheetView>
    <customSheetView guid="{DF265C7B-1EEB-47EB-982A-6938E81F7AC2}" scale="90">
      <selection activeCell="A13" sqref="A13:XFD13"/>
      <pageMargins left="0.7" right="0.7" top="0.75" bottom="0.75" header="0.3" footer="0.3"/>
      <pageSetup paperSize="9" orientation="portrait" r:id="rId23"/>
    </customSheetView>
    <customSheetView guid="{8263C9D2-452D-46FA-AFA0-452B42DC0298}" scale="80">
      <selection activeCell="BI66" sqref="BI66"/>
      <pageMargins left="0.7" right="0.7" top="0.75" bottom="0.75" header="0.3" footer="0.3"/>
      <pageSetup paperSize="9" orientation="portrait" r:id="rId24"/>
    </customSheetView>
    <customSheetView guid="{151EB58C-4EFD-4330-8D1A-8AACF5F7C679}" scale="80">
      <selection activeCell="BI66" sqref="BI66"/>
      <pageMargins left="0.7" right="0.7" top="0.75" bottom="0.75" header="0.3" footer="0.3"/>
      <pageSetup paperSize="9" orientation="portrait" r:id="rId25"/>
    </customSheetView>
    <customSheetView guid="{8CB67476-3FD4-42E0-ACD6-62ACA9412843}" topLeftCell="A32">
      <selection activeCell="D49" sqref="D49"/>
      <pageMargins left="0.7" right="0.7" top="0.75" bottom="0.75" header="0.3" footer="0.3"/>
      <pageSetup paperSize="9" orientation="portrait" r:id="rId26"/>
    </customSheetView>
    <customSheetView guid="{51B3083F-A103-41AB-A137-63549C54B838}" topLeftCell="A32">
      <selection activeCell="D49" sqref="D49"/>
      <pageMargins left="0.7" right="0.7" top="0.75" bottom="0.75" header="0.3" footer="0.3"/>
      <pageSetup paperSize="9" orientation="portrait" r:id="rId27"/>
    </customSheetView>
    <customSheetView guid="{E06B4FE8-6127-47B2-A6A5-4FAC9EEB4538}" topLeftCell="A32">
      <selection activeCell="D49" sqref="D49"/>
      <pageMargins left="0.7" right="0.7" top="0.75" bottom="0.75" header="0.3" footer="0.3"/>
      <pageSetup paperSize="9" orientation="portrait" r:id="rId28"/>
    </customSheetView>
    <customSheetView guid="{593284E7-E32C-4D6C-8C2F-3DEEF9DEE1DF}" topLeftCell="A32">
      <selection activeCell="D49" sqref="D49"/>
      <pageMargins left="0.7" right="0.7" top="0.75" bottom="0.75" header="0.3" footer="0.3"/>
      <pageSetup paperSize="9" orientation="portrait" r:id="rId29"/>
    </customSheetView>
    <customSheetView guid="{351EFD38-BF62-4E34-A37F-0EEB3E165043}" topLeftCell="A22">
      <selection activeCell="A44" sqref="A44"/>
      <pageMargins left="0.7" right="0.7" top="0.75" bottom="0.75" header="0.3" footer="0.3"/>
      <pageSetup paperSize="9" orientation="portrait" r:id="rId30"/>
    </customSheetView>
    <customSheetView guid="{EB96DBE4-2D64-4388-853C-CB52A0CB79BA}">
      <selection activeCell="B18" sqref="B18"/>
      <pageMargins left="0.7" right="0.7" top="0.75" bottom="0.75" header="0.3" footer="0.3"/>
      <pageSetup paperSize="9" orientation="portrait" r:id="rId31"/>
    </customSheetView>
    <customSheetView guid="{016CEBB2-C827-48F4-95E1-85D8C5129F41}">
      <selection activeCell="B18" sqref="B18"/>
      <pageMargins left="0.7" right="0.7" top="0.75" bottom="0.75" header="0.3" footer="0.3"/>
      <pageSetup paperSize="9" orientation="portrait" r:id="rId32"/>
    </customSheetView>
    <customSheetView guid="{6702457D-A9A8-4F46-8E1C-BC7255F4BA77}">
      <selection activeCell="B18" sqref="B18"/>
      <pageMargins left="0.7" right="0.7" top="0.75" bottom="0.75" header="0.3" footer="0.3"/>
      <pageSetup paperSize="9" orientation="portrait" r:id="rId33"/>
    </customSheetView>
    <customSheetView guid="{D27C51BB-BB54-4F37-8171-98067C39697C}">
      <selection activeCell="A47" sqref="A47"/>
      <pageMargins left="0.7" right="0.7" top="0.75" bottom="0.75" header="0.3" footer="0.3"/>
      <pageSetup paperSize="9" orientation="portrait" r:id="rId34"/>
    </customSheetView>
    <customSheetView guid="{008CCD98-7480-4C51-806A-4B55C801DDC2}">
      <selection activeCell="B18" sqref="B18"/>
      <pageMargins left="0.7" right="0.7" top="0.75" bottom="0.75" header="0.3" footer="0.3"/>
      <pageSetup paperSize="9" orientation="portrait" r:id="rId35"/>
    </customSheetView>
    <customSheetView guid="{4E6F9C2D-76F2-4884-BBF6-E02A7BAE11EF}" topLeftCell="A30">
      <selection activeCell="B18" sqref="B18"/>
      <pageMargins left="0.7" right="0.7" top="0.75" bottom="0.75" header="0.3" footer="0.3"/>
      <pageSetup paperSize="9" orientation="portrait" r:id="rId36"/>
    </customSheetView>
    <customSheetView guid="{C39AE06A-FC0A-4D7D-B287-2FA9CA174191}">
      <selection activeCell="B18" sqref="B18"/>
      <pageMargins left="0.7" right="0.7" top="0.75" bottom="0.75" header="0.3" footer="0.3"/>
      <pageSetup paperSize="9" orientation="portrait" r:id="rId37"/>
    </customSheetView>
    <customSheetView guid="{D16D941B-FC89-4FEC-A49B-5FA2532584DE}" topLeftCell="A22">
      <selection activeCell="A44" sqref="A44"/>
      <pageMargins left="0.7" right="0.7" top="0.75" bottom="0.75" header="0.3" footer="0.3"/>
      <pageSetup paperSize="9" orientation="portrait" r:id="rId38"/>
    </customSheetView>
    <customSheetView guid="{3BB18945-69B5-4B22-8D55-989F8F233459}" topLeftCell="A32">
      <selection activeCell="D49" sqref="D49"/>
      <pageMargins left="0.7" right="0.7" top="0.75" bottom="0.75" header="0.3" footer="0.3"/>
      <pageSetup paperSize="9" orientation="portrait" r:id="rId39"/>
    </customSheetView>
    <customSheetView guid="{B84DA703-8C5B-4100-91A4-8807E303D379}" topLeftCell="A32">
      <selection activeCell="D49" sqref="D49"/>
      <pageMargins left="0.7" right="0.7" top="0.75" bottom="0.75" header="0.3" footer="0.3"/>
      <pageSetup paperSize="9" orientation="portrait" r:id="rId40"/>
    </customSheetView>
    <customSheetView guid="{B0A28FD4-D7F6-428C-A7F7-92132DCD74BB}" topLeftCell="A32">
      <selection activeCell="D49" sqref="D49"/>
      <pageMargins left="0.7" right="0.7" top="0.75" bottom="0.75" header="0.3" footer="0.3"/>
      <pageSetup paperSize="9" orientation="portrait" r:id="rId41"/>
    </customSheetView>
    <customSheetView guid="{3C97F0B0-2F3C-4E03-96E0-0C4FEC2F24AC}" topLeftCell="A32">
      <selection activeCell="D49" sqref="D49"/>
      <pageMargins left="0.7" right="0.7" top="0.75" bottom="0.75" header="0.3" footer="0.3"/>
      <pageSetup paperSize="9" orientation="portrait" r:id="rId42"/>
    </customSheetView>
    <customSheetView guid="{A03C6B09-6B58-4DDE-A3B2-41A27A7049D9}" scale="80">
      <selection activeCell="A12" sqref="A12"/>
      <pageMargins left="0.7" right="0.7" top="0.75" bottom="0.75" header="0.3" footer="0.3"/>
      <pageSetup paperSize="9" orientation="portrait" r:id="rId43"/>
    </customSheetView>
    <customSheetView guid="{4EBEE699-7DEF-4A50-9CB7-490835CF0B98}" scale="80">
      <selection activeCell="A12" sqref="A12"/>
      <pageMargins left="0.7" right="0.7" top="0.75" bottom="0.75" header="0.3" footer="0.3"/>
      <pageSetup paperSize="9" orientation="portrait" r:id="rId44"/>
    </customSheetView>
    <customSheetView guid="{451730E2-FFE9-4FCE-B8B5-64952C26C672}" scale="80">
      <selection activeCell="A12" sqref="A12"/>
      <pageMargins left="0.7" right="0.7" top="0.75" bottom="0.75" header="0.3" footer="0.3"/>
      <pageSetup paperSize="9" orientation="portrait" r:id="rId45"/>
    </customSheetView>
    <customSheetView guid="{9AF6E233-883D-48B4-95AB-42B37199AB9E}" scale="90">
      <selection activeCell="A13" sqref="A13:XFD13"/>
      <pageMargins left="0.7" right="0.7" top="0.75" bottom="0.75" header="0.3" footer="0.3"/>
      <pageSetup paperSize="9" orientation="portrait" r:id="rId46"/>
    </customSheetView>
    <customSheetView guid="{1ECD6E30-299B-4354-A416-2DAFF33C7022}" scale="90" topLeftCell="A4">
      <selection activeCell="A18" sqref="A18"/>
      <pageMargins left="0.7" right="0.7" top="0.75" bottom="0.75" header="0.3" footer="0.3"/>
      <pageSetup paperSize="9" orientation="portrait" r:id="rId47"/>
    </customSheetView>
    <customSheetView guid="{97D58294-343B-4B62-A826-0DDDE29B5F0D}" scale="90" topLeftCell="A4">
      <selection activeCell="A18" sqref="A18"/>
      <pageMargins left="0.7" right="0.7" top="0.75" bottom="0.75" header="0.3" footer="0.3"/>
      <pageSetup paperSize="9" orientation="portrait" r:id="rId48"/>
    </customSheetView>
    <customSheetView guid="{BDCD1595-C0B8-4F6C-B01C-3472C895B827}" scale="90">
      <selection activeCell="A8" sqref="A8"/>
      <pageMargins left="0.70866141732283472" right="0.70866141732283472" top="0.74803149606299213" bottom="0.74803149606299213" header="0.31496062992125984" footer="0.31496062992125984"/>
      <pageSetup paperSize="9" scale="50" orientation="landscape" r:id="rId49"/>
    </customSheetView>
    <customSheetView guid="{9355C9F4-9C07-4A93-B7F2-69F1D1526716}" scale="90">
      <selection activeCell="A8" sqref="A8"/>
      <pageMargins left="0.70866141732283472" right="0.70866141732283472" top="0.74803149606299213" bottom="0.74803149606299213" header="0.31496062992125984" footer="0.31496062992125984"/>
      <pageSetup paperSize="9" scale="50" orientation="landscape" r:id="rId50"/>
    </customSheetView>
    <customSheetView guid="{F5FA2A23-9E46-4C2F-B1EE-B71787F95C57}" scale="90">
      <selection activeCell="A8" sqref="A8"/>
      <pageMargins left="0.70866141732283472" right="0.70866141732283472" top="0.74803149606299213" bottom="0.74803149606299213" header="0.31496062992125984" footer="0.31496062992125984"/>
      <pageSetup paperSize="9" scale="50" orientation="landscape" r:id="rId51"/>
    </customSheetView>
    <customSheetView guid="{B95D32C7-1418-4EF6-8936-849885C54A4A}" scale="90">
      <selection activeCell="A8" sqref="A8"/>
      <pageMargins left="0.70866141732283472" right="0.70866141732283472" top="0.74803149606299213" bottom="0.74803149606299213" header="0.31496062992125984" footer="0.31496062992125984"/>
      <pageSetup paperSize="9" scale="50" orientation="landscape" r:id="rId52"/>
    </customSheetView>
    <customSheetView guid="{602520CD-F98C-43A6-AA0D-88893E9CB6E8}" scale="90" fitToPage="1" topLeftCell="A13">
      <selection activeCell="B26" sqref="B26"/>
      <pageMargins left="0.70866141732283472" right="0.70866141732283472" top="0.74803149606299213" bottom="0.74803149606299213" header="0.31496062992125984" footer="0.31496062992125984"/>
      <pageSetup paperSize="9" scale="46" orientation="landscape" r:id="rId53"/>
    </customSheetView>
    <customSheetView guid="{A8E976B8-D767-4DB4-82BD-ABE90880F33F}" scale="90" fitToPage="1" topLeftCell="A13">
      <selection activeCell="B26" sqref="B26"/>
      <pageMargins left="0.70866141732283472" right="0.70866141732283472" top="0.74803149606299213" bottom="0.74803149606299213" header="0.31496062992125984" footer="0.31496062992125984"/>
      <pageSetup paperSize="9" scale="46" orientation="landscape" r:id="rId54"/>
    </customSheetView>
    <customSheetView guid="{D850720D-4A1C-48F2-8E1D-8E09B7414A1A}" scale="90" fitToPage="1" topLeftCell="A13">
      <selection activeCell="B26" sqref="B26"/>
      <pageMargins left="0.70866141732283472" right="0.70866141732283472" top="0.74803149606299213" bottom="0.74803149606299213" header="0.31496062992125984" footer="0.31496062992125984"/>
      <pageSetup paperSize="9" scale="46" orientation="landscape" r:id="rId55"/>
    </customSheetView>
    <customSheetView guid="{C57A83F1-F5A3-470B-9579-6A222C54F4E8}" scale="90" fitToPage="1">
      <selection activeCell="A11" sqref="A11"/>
      <pageMargins left="0.70866141732283472" right="0.70866141732283472" top="0.74803149606299213" bottom="0.74803149606299213" header="0.31496062992125984" footer="0.31496062992125984"/>
      <pageSetup paperSize="9" scale="46" orientation="landscape" r:id="rId56"/>
    </customSheetView>
    <customSheetView guid="{2608BE9B-66AC-4D4C-8EE0-E88C94E88140}" scale="90" fitToPage="1">
      <selection activeCell="A11" sqref="A11"/>
      <pageMargins left="0.70866141732283472" right="0.70866141732283472" top="0.74803149606299213" bottom="0.74803149606299213" header="0.31496062992125984" footer="0.31496062992125984"/>
      <pageSetup paperSize="9" scale="46" orientation="landscape" r:id="rId57"/>
    </customSheetView>
    <customSheetView guid="{EDD5A64E-02C0-4DD6-80BA-449123FCDAA2}" scale="90" fitToPage="1">
      <selection activeCell="A11" sqref="A11"/>
      <pageMargins left="0.70866141732283472" right="0.70866141732283472" top="0.74803149606299213" bottom="0.74803149606299213" header="0.31496062992125984" footer="0.31496062992125984"/>
      <pageSetup paperSize="9" scale="46" orientation="landscape" r:id="rId58"/>
    </customSheetView>
    <customSheetView guid="{B8317A9A-0FFD-4A18-80F7-203DB2FC8CA5}" scale="90" fitToPage="1">
      <selection activeCell="A11" sqref="A11"/>
      <pageMargins left="0.70866141732283472" right="0.70866141732283472" top="0.74803149606299213" bottom="0.74803149606299213" header="0.31496062992125984" footer="0.31496062992125984"/>
      <pageSetup paperSize="9" scale="46" orientation="landscape" r:id="rId59"/>
    </customSheetView>
    <customSheetView guid="{7E571F1D-D438-4605-90D6-3F831F76D652}" scale="90" fitToPage="1">
      <selection activeCell="A11" sqref="A11"/>
      <pageMargins left="0.70866141732283472" right="0.70866141732283472" top="0.74803149606299213" bottom="0.74803149606299213" header="0.31496062992125984" footer="0.31496062992125984"/>
      <pageSetup paperSize="9" scale="46" orientation="landscape" r:id="rId60"/>
    </customSheetView>
  </customSheetViews>
  <pageMargins left="0.70866141732283472" right="0.70866141732283472" top="0.74803149606299213" bottom="0.74803149606299213" header="0.31496062992125984" footer="0.31496062992125984"/>
  <pageSetup paperSize="9" scale="46" orientation="landscape" r:id="rId6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3EAC78-94E8-4406-AB9A-2DDD3A074C51}">
  <sheetPr codeName="Sheet5"/>
  <dimension ref="A1:O99"/>
  <sheetViews>
    <sheetView topLeftCell="A2" zoomScale="85" zoomScaleNormal="85" workbookViewId="0">
      <selection activeCell="F8" sqref="F8"/>
    </sheetView>
  </sheetViews>
  <sheetFormatPr defaultColWidth="8.3828125" defaultRowHeight="11.6" x14ac:dyDescent="0.4"/>
  <cols>
    <col min="1" max="1" width="25.3828125" style="306" customWidth="1"/>
    <col min="2" max="2" width="9.3828125" style="463" customWidth="1"/>
    <col min="3" max="3" width="0.61328125" style="306" customWidth="1"/>
    <col min="4" max="4" width="8.3828125" style="306" customWidth="1"/>
    <col min="5" max="5" width="8.3828125" style="279" customWidth="1"/>
    <col min="6" max="6" width="8.3828125" style="306" customWidth="1"/>
    <col min="7" max="7" width="10.3828125" style="280" customWidth="1"/>
    <col min="8" max="8" width="10.3828125" style="276" customWidth="1"/>
    <col min="9" max="9" width="0.3828125" style="306" customWidth="1"/>
    <col min="10" max="11" width="8.3828125" style="306" customWidth="1"/>
    <col min="12" max="12" width="0.61328125" style="306" customWidth="1"/>
    <col min="13" max="13" width="8.3828125" style="304"/>
    <col min="14" max="14" width="116.3828125" style="306" customWidth="1"/>
    <col min="15" max="16" width="8.3828125" style="306"/>
    <col min="17" max="17" width="74.3828125" style="306" customWidth="1"/>
    <col min="18" max="16384" width="8.3828125" style="306"/>
  </cols>
  <sheetData>
    <row r="1" spans="1:14" hidden="1" x14ac:dyDescent="0.4"/>
    <row r="2" spans="1:14" ht="23.25" customHeight="1" x14ac:dyDescent="0.4">
      <c r="A2" s="725" t="s">
        <v>0</v>
      </c>
      <c r="B2" s="746" t="s">
        <v>1</v>
      </c>
      <c r="C2" s="462"/>
      <c r="D2" s="703" t="s">
        <v>47</v>
      </c>
      <c r="E2" s="703"/>
      <c r="F2" s="703"/>
      <c r="G2" s="703"/>
      <c r="H2" s="703"/>
      <c r="I2" s="703"/>
      <c r="J2" s="703"/>
      <c r="K2" s="703"/>
    </row>
    <row r="3" spans="1:14" ht="23.25" customHeight="1" x14ac:dyDescent="0.4">
      <c r="A3" s="725"/>
      <c r="B3" s="746"/>
      <c r="C3" s="268"/>
      <c r="D3" s="717" t="s">
        <v>48</v>
      </c>
      <c r="E3" s="717"/>
      <c r="F3" s="717"/>
      <c r="G3" s="717"/>
      <c r="H3" s="717"/>
      <c r="I3" s="463"/>
      <c r="J3" s="703" t="s">
        <v>30</v>
      </c>
      <c r="K3" s="704"/>
      <c r="L3" s="463"/>
    </row>
    <row r="4" spans="1:14" ht="23.25" customHeight="1" x14ac:dyDescent="0.4">
      <c r="A4" s="725"/>
      <c r="B4" s="746"/>
      <c r="C4" s="269"/>
      <c r="D4" s="732" t="s">
        <v>221</v>
      </c>
      <c r="E4" s="732" t="s">
        <v>54</v>
      </c>
      <c r="F4" s="732" t="s">
        <v>49</v>
      </c>
      <c r="G4" s="758" t="s">
        <v>55</v>
      </c>
      <c r="H4" s="758" t="s">
        <v>50</v>
      </c>
      <c r="I4" s="463"/>
      <c r="J4" s="732" t="s">
        <v>51</v>
      </c>
      <c r="K4" s="755" t="s">
        <v>2</v>
      </c>
      <c r="L4" s="463"/>
      <c r="M4" s="751" t="s">
        <v>65</v>
      </c>
      <c r="N4" s="753" t="s">
        <v>61</v>
      </c>
    </row>
    <row r="5" spans="1:14" ht="54" customHeight="1" x14ac:dyDescent="0.4">
      <c r="A5" s="725"/>
      <c r="B5" s="746"/>
      <c r="C5" s="270"/>
      <c r="D5" s="734"/>
      <c r="E5" s="734"/>
      <c r="F5" s="734"/>
      <c r="G5" s="759"/>
      <c r="H5" s="759"/>
      <c r="I5" s="463"/>
      <c r="J5" s="734"/>
      <c r="K5" s="756"/>
      <c r="L5" s="463"/>
      <c r="M5" s="752"/>
      <c r="N5" s="754"/>
    </row>
    <row r="6" spans="1:14" ht="5.25" customHeight="1" x14ac:dyDescent="0.4">
      <c r="A6" s="302"/>
    </row>
    <row r="7" spans="1:14" ht="38.25" customHeight="1" x14ac:dyDescent="0.4">
      <c r="A7" s="303" t="s">
        <v>7</v>
      </c>
      <c r="B7" s="463" t="s">
        <v>3</v>
      </c>
      <c r="C7" s="305"/>
      <c r="D7" s="271" t="s">
        <v>8</v>
      </c>
      <c r="E7" s="5">
        <v>788</v>
      </c>
      <c r="F7" s="4">
        <v>846</v>
      </c>
      <c r="G7" s="281">
        <v>44986</v>
      </c>
      <c r="H7" s="282">
        <v>45170</v>
      </c>
      <c r="J7" s="4">
        <v>846</v>
      </c>
      <c r="K7" s="4">
        <v>846</v>
      </c>
      <c r="M7" s="273"/>
      <c r="N7" s="272"/>
    </row>
    <row r="8" spans="1:14" ht="38.25" customHeight="1" x14ac:dyDescent="0.4">
      <c r="A8" s="303"/>
      <c r="C8" s="305"/>
      <c r="D8" s="271" t="s">
        <v>8</v>
      </c>
      <c r="E8" s="5">
        <v>788</v>
      </c>
      <c r="F8" s="4">
        <v>846</v>
      </c>
      <c r="G8" s="281">
        <v>44986</v>
      </c>
      <c r="H8" s="282">
        <v>45170</v>
      </c>
      <c r="J8" s="4">
        <v>871</v>
      </c>
      <c r="K8" s="4">
        <v>871</v>
      </c>
      <c r="M8" s="273" t="s">
        <v>62</v>
      </c>
      <c r="N8" s="274" t="s">
        <v>63</v>
      </c>
    </row>
    <row r="9" spans="1:14" ht="52.5" customHeight="1" x14ac:dyDescent="0.4">
      <c r="A9" s="303"/>
      <c r="C9" s="305"/>
      <c r="D9" s="271" t="s">
        <v>8</v>
      </c>
      <c r="E9" s="5">
        <v>788</v>
      </c>
      <c r="F9" s="4">
        <v>871</v>
      </c>
      <c r="G9" s="281">
        <v>44986</v>
      </c>
      <c r="H9" s="282">
        <v>45170</v>
      </c>
      <c r="J9" s="4">
        <v>871</v>
      </c>
      <c r="K9" s="4">
        <v>871</v>
      </c>
      <c r="M9" s="273" t="s">
        <v>143</v>
      </c>
      <c r="N9" s="274" t="s">
        <v>180</v>
      </c>
    </row>
    <row r="10" spans="1:14" ht="38.25" customHeight="1" x14ac:dyDescent="0.4">
      <c r="A10" s="303"/>
      <c r="C10" s="305"/>
      <c r="D10" s="271" t="s">
        <v>8</v>
      </c>
      <c r="E10" s="5">
        <f>E9+25</f>
        <v>813</v>
      </c>
      <c r="F10" s="4">
        <v>871</v>
      </c>
      <c r="G10" s="281">
        <v>44986</v>
      </c>
      <c r="H10" s="282">
        <v>45170</v>
      </c>
      <c r="J10" s="4">
        <v>871</v>
      </c>
      <c r="K10" s="4">
        <v>871</v>
      </c>
      <c r="M10" s="278" t="s">
        <v>181</v>
      </c>
      <c r="N10" s="274" t="s">
        <v>182</v>
      </c>
    </row>
    <row r="11" spans="1:14" ht="38.25" customHeight="1" x14ac:dyDescent="0.4">
      <c r="A11" s="303"/>
      <c r="C11" s="305"/>
      <c r="D11" s="271" t="s">
        <v>303</v>
      </c>
      <c r="E11" s="5">
        <v>866.7</v>
      </c>
      <c r="F11" s="4">
        <v>897.9</v>
      </c>
      <c r="G11" s="281">
        <v>46505</v>
      </c>
      <c r="H11" s="282">
        <v>47053</v>
      </c>
      <c r="J11" s="4">
        <v>897.9</v>
      </c>
      <c r="K11" s="4">
        <v>897.9</v>
      </c>
      <c r="M11" s="278" t="s">
        <v>304</v>
      </c>
      <c r="N11" s="274" t="s">
        <v>305</v>
      </c>
    </row>
    <row r="12" spans="1:14" ht="5.25" customHeight="1" x14ac:dyDescent="0.4">
      <c r="A12" s="302"/>
    </row>
    <row r="13" spans="1:14" ht="38.25" customHeight="1" x14ac:dyDescent="0.4">
      <c r="A13" s="303" t="s">
        <v>115</v>
      </c>
      <c r="B13" s="463" t="s">
        <v>3</v>
      </c>
      <c r="C13" s="305"/>
      <c r="D13" s="271" t="s">
        <v>20</v>
      </c>
      <c r="E13" s="5">
        <v>218</v>
      </c>
      <c r="F13" s="4">
        <v>238</v>
      </c>
      <c r="G13" s="281">
        <v>44986</v>
      </c>
      <c r="H13" s="282">
        <v>44986</v>
      </c>
      <c r="J13" s="4">
        <v>238</v>
      </c>
      <c r="K13" s="7">
        <v>201.5</v>
      </c>
      <c r="M13" s="273"/>
      <c r="N13" s="272"/>
    </row>
    <row r="14" spans="1:14" ht="70.5" customHeight="1" x14ac:dyDescent="0.4">
      <c r="A14" s="303"/>
      <c r="C14" s="305"/>
      <c r="D14" s="271" t="s">
        <v>20</v>
      </c>
      <c r="E14" s="5">
        <v>218</v>
      </c>
      <c r="F14" s="4">
        <v>249.3</v>
      </c>
      <c r="G14" s="281">
        <v>44986</v>
      </c>
      <c r="H14" s="282">
        <v>44986</v>
      </c>
      <c r="J14" s="4">
        <v>249.3</v>
      </c>
      <c r="K14" s="4">
        <v>201.5</v>
      </c>
      <c r="M14" s="273" t="s">
        <v>163</v>
      </c>
      <c r="N14" s="274" t="s">
        <v>183</v>
      </c>
    </row>
    <row r="15" spans="1:14" ht="38.25" customHeight="1" x14ac:dyDescent="0.4">
      <c r="A15" s="303"/>
      <c r="C15" s="305"/>
      <c r="D15" s="271" t="s">
        <v>20</v>
      </c>
      <c r="E15" s="5">
        <f>E14+11.3</f>
        <v>229.3</v>
      </c>
      <c r="F15" s="4">
        <v>249.3</v>
      </c>
      <c r="G15" s="281">
        <v>44986</v>
      </c>
      <c r="H15" s="282">
        <v>44986</v>
      </c>
      <c r="J15" s="4">
        <v>249.3</v>
      </c>
      <c r="K15" s="4">
        <v>201.5</v>
      </c>
      <c r="M15" s="278" t="s">
        <v>181</v>
      </c>
      <c r="N15" s="274" t="s">
        <v>184</v>
      </c>
    </row>
    <row r="16" spans="1:14" ht="38.25" customHeight="1" x14ac:dyDescent="0.4">
      <c r="A16" s="303"/>
      <c r="C16" s="305"/>
      <c r="D16" s="271" t="s">
        <v>20</v>
      </c>
      <c r="E16" s="5">
        <v>229.4</v>
      </c>
      <c r="F16" s="4">
        <v>249.4</v>
      </c>
      <c r="G16" s="281">
        <v>44810</v>
      </c>
      <c r="H16" s="282">
        <v>44986</v>
      </c>
      <c r="J16" s="4">
        <f>F16</f>
        <v>249.4</v>
      </c>
      <c r="K16" s="4">
        <v>201.5</v>
      </c>
      <c r="M16" s="278" t="s">
        <v>197</v>
      </c>
      <c r="N16" s="274" t="s">
        <v>198</v>
      </c>
    </row>
    <row r="17" spans="1:15" ht="38.25" customHeight="1" x14ac:dyDescent="0.4">
      <c r="A17" s="303"/>
      <c r="C17" s="305"/>
      <c r="D17" s="271" t="s">
        <v>253</v>
      </c>
      <c r="E17" s="5">
        <v>379.16399999999999</v>
      </c>
      <c r="F17" s="4">
        <v>403.00099999999998</v>
      </c>
      <c r="G17" s="281">
        <v>47362</v>
      </c>
      <c r="H17" s="282">
        <v>47665</v>
      </c>
      <c r="J17" s="4">
        <v>403.00099999999998</v>
      </c>
      <c r="K17" s="4">
        <v>379.16399999999999</v>
      </c>
      <c r="M17" s="278" t="s">
        <v>254</v>
      </c>
      <c r="N17" s="274" t="s">
        <v>255</v>
      </c>
    </row>
    <row r="18" spans="1:15" ht="5.25" customHeight="1" x14ac:dyDescent="0.4">
      <c r="A18" s="303"/>
      <c r="C18" s="305"/>
      <c r="D18" s="304"/>
      <c r="E18" s="5"/>
      <c r="F18" s="5"/>
      <c r="G18" s="281"/>
      <c r="H18" s="283"/>
      <c r="J18" s="5"/>
      <c r="K18" s="14"/>
    </row>
    <row r="19" spans="1:15" ht="38.25" customHeight="1" x14ac:dyDescent="0.4">
      <c r="A19" s="303" t="s">
        <v>98</v>
      </c>
      <c r="B19" s="463" t="s">
        <v>3</v>
      </c>
      <c r="C19" s="305"/>
      <c r="D19" s="271" t="s">
        <v>12</v>
      </c>
      <c r="E19" s="5">
        <v>769</v>
      </c>
      <c r="F19" s="4">
        <v>887</v>
      </c>
      <c r="G19" s="281">
        <v>44593</v>
      </c>
      <c r="H19" s="282">
        <v>45078</v>
      </c>
      <c r="J19" s="4">
        <v>887</v>
      </c>
      <c r="K19" s="7">
        <v>887</v>
      </c>
      <c r="M19" s="273"/>
      <c r="N19" s="272"/>
    </row>
    <row r="20" spans="1:15" ht="38.25" customHeight="1" x14ac:dyDescent="0.4">
      <c r="A20" s="303"/>
      <c r="C20" s="305"/>
      <c r="D20" s="271" t="s">
        <v>185</v>
      </c>
      <c r="E20" s="5">
        <v>1316</v>
      </c>
      <c r="F20" s="4">
        <v>1512</v>
      </c>
      <c r="G20" s="281">
        <v>46226</v>
      </c>
      <c r="H20" s="282">
        <v>46847</v>
      </c>
      <c r="J20" s="4">
        <v>1512</v>
      </c>
      <c r="K20" s="7">
        <v>1316</v>
      </c>
      <c r="M20" s="273" t="s">
        <v>186</v>
      </c>
      <c r="N20" s="272" t="s">
        <v>187</v>
      </c>
    </row>
    <row r="21" spans="1:15" ht="38.25" customHeight="1" x14ac:dyDescent="0.4">
      <c r="A21" s="303"/>
      <c r="C21" s="305"/>
      <c r="D21" s="271" t="s">
        <v>185</v>
      </c>
      <c r="E21" s="5">
        <v>1316</v>
      </c>
      <c r="F21" s="4">
        <v>1512</v>
      </c>
      <c r="G21" s="281">
        <v>46332</v>
      </c>
      <c r="H21" s="282">
        <v>46847</v>
      </c>
      <c r="J21" s="4">
        <v>1512</v>
      </c>
      <c r="K21" s="4">
        <v>1333</v>
      </c>
      <c r="M21" s="273" t="s">
        <v>241</v>
      </c>
      <c r="N21" s="272" t="s">
        <v>310</v>
      </c>
    </row>
    <row r="22" spans="1:15" ht="5.25" customHeight="1" x14ac:dyDescent="0.4">
      <c r="A22" s="302"/>
    </row>
    <row r="23" spans="1:15" ht="38.25" customHeight="1" x14ac:dyDescent="0.4">
      <c r="A23" s="303" t="s">
        <v>101</v>
      </c>
      <c r="B23" s="463" t="s">
        <v>3</v>
      </c>
      <c r="C23" s="305"/>
      <c r="D23" s="271" t="s">
        <v>4</v>
      </c>
      <c r="E23" s="5">
        <v>420</v>
      </c>
      <c r="F23" s="4">
        <v>435</v>
      </c>
      <c r="G23" s="281">
        <v>44652</v>
      </c>
      <c r="H23" s="282">
        <v>44743</v>
      </c>
      <c r="J23" s="4">
        <v>445</v>
      </c>
      <c r="K23" s="7">
        <v>445</v>
      </c>
      <c r="M23" s="273"/>
      <c r="N23" s="272"/>
      <c r="O23" s="277"/>
    </row>
    <row r="24" spans="1:15" ht="57.75" customHeight="1" x14ac:dyDescent="0.4">
      <c r="A24" s="303"/>
      <c r="C24" s="305"/>
      <c r="D24" s="271" t="s">
        <v>4</v>
      </c>
      <c r="E24" s="5">
        <v>458.9</v>
      </c>
      <c r="F24" s="4">
        <v>466.4</v>
      </c>
      <c r="G24" s="281">
        <v>45244</v>
      </c>
      <c r="H24" s="282">
        <v>45361</v>
      </c>
      <c r="J24" s="4">
        <v>458.9</v>
      </c>
      <c r="K24" s="4">
        <v>458.9</v>
      </c>
      <c r="M24" s="273" t="s">
        <v>150</v>
      </c>
      <c r="N24" s="274" t="s">
        <v>188</v>
      </c>
    </row>
    <row r="25" spans="1:15" ht="38.25" customHeight="1" x14ac:dyDescent="0.4">
      <c r="A25" s="303"/>
      <c r="C25" s="305"/>
      <c r="D25" s="271" t="s">
        <v>4</v>
      </c>
      <c r="E25" s="5">
        <v>458.9</v>
      </c>
      <c r="F25" s="4">
        <v>466.4</v>
      </c>
      <c r="G25" s="281">
        <v>45244</v>
      </c>
      <c r="H25" s="282">
        <v>45361</v>
      </c>
      <c r="J25" s="4">
        <v>466.4</v>
      </c>
      <c r="K25" s="4">
        <v>458.9</v>
      </c>
      <c r="M25" s="278" t="s">
        <v>181</v>
      </c>
      <c r="N25" s="274" t="s">
        <v>189</v>
      </c>
    </row>
    <row r="26" spans="1:15" ht="38.25" customHeight="1" x14ac:dyDescent="0.4">
      <c r="A26" s="303"/>
      <c r="C26" s="305"/>
      <c r="D26" s="271" t="s">
        <v>389</v>
      </c>
      <c r="E26" s="5">
        <v>458.9</v>
      </c>
      <c r="F26" s="4">
        <v>466.4</v>
      </c>
      <c r="G26" s="281">
        <v>45244</v>
      </c>
      <c r="H26" s="282">
        <v>45361</v>
      </c>
      <c r="J26" s="4">
        <v>466.4</v>
      </c>
      <c r="K26" s="4">
        <v>458.9</v>
      </c>
      <c r="M26" s="278" t="s">
        <v>391</v>
      </c>
      <c r="N26" s="274" t="s">
        <v>392</v>
      </c>
    </row>
    <row r="27" spans="1:15" ht="5.25" customHeight="1" x14ac:dyDescent="0.4">
      <c r="A27" s="303"/>
      <c r="C27" s="305"/>
      <c r="D27" s="304"/>
      <c r="E27" s="5"/>
      <c r="F27" s="8"/>
      <c r="G27" s="281"/>
      <c r="H27" s="283"/>
      <c r="J27" s="8"/>
      <c r="K27" s="14"/>
    </row>
    <row r="28" spans="1:15" ht="38.25" customHeight="1" x14ac:dyDescent="0.4">
      <c r="A28" s="303" t="s">
        <v>113</v>
      </c>
      <c r="B28" s="463" t="s">
        <v>3</v>
      </c>
      <c r="C28" s="305"/>
      <c r="D28" s="271" t="s">
        <v>52</v>
      </c>
      <c r="E28" s="5">
        <v>574</v>
      </c>
      <c r="F28" s="4">
        <v>730</v>
      </c>
      <c r="G28" s="281">
        <v>46966</v>
      </c>
      <c r="H28" s="282">
        <v>47757</v>
      </c>
      <c r="J28" s="4">
        <v>313.5</v>
      </c>
      <c r="K28" s="7" t="s">
        <v>67</v>
      </c>
      <c r="M28" s="273"/>
      <c r="N28" s="272"/>
    </row>
    <row r="29" spans="1:15" ht="38.25" customHeight="1" x14ac:dyDescent="0.4">
      <c r="A29" s="303"/>
      <c r="C29" s="305"/>
      <c r="D29" s="271" t="s">
        <v>16</v>
      </c>
      <c r="E29" s="5">
        <v>1007</v>
      </c>
      <c r="F29" s="4">
        <v>1182</v>
      </c>
      <c r="G29" s="281">
        <v>47849</v>
      </c>
      <c r="H29" s="282">
        <v>48611</v>
      </c>
      <c r="J29" s="4">
        <v>1182</v>
      </c>
      <c r="K29" s="4">
        <v>1007</v>
      </c>
      <c r="M29" s="273" t="s">
        <v>66</v>
      </c>
      <c r="N29" s="272" t="s">
        <v>190</v>
      </c>
    </row>
    <row r="30" spans="1:15" ht="5.25" customHeight="1" x14ac:dyDescent="0.4">
      <c r="A30" s="303"/>
      <c r="C30" s="305"/>
      <c r="D30" s="304"/>
      <c r="E30" s="5"/>
      <c r="F30" s="5"/>
      <c r="G30" s="281"/>
      <c r="H30" s="283"/>
      <c r="J30" s="5"/>
      <c r="K30" s="14"/>
    </row>
    <row r="31" spans="1:15" ht="38.25" customHeight="1" x14ac:dyDescent="0.4">
      <c r="A31" s="303" t="s">
        <v>117</v>
      </c>
      <c r="B31" s="463" t="s">
        <v>3</v>
      </c>
      <c r="C31" s="305"/>
      <c r="D31" s="271" t="s">
        <v>21</v>
      </c>
      <c r="E31" s="5">
        <v>680</v>
      </c>
      <c r="F31" s="4">
        <v>878</v>
      </c>
      <c r="G31" s="281">
        <v>46935</v>
      </c>
      <c r="H31" s="282">
        <v>47150</v>
      </c>
      <c r="J31" s="4" t="s">
        <v>53</v>
      </c>
      <c r="K31" s="7" t="s">
        <v>22</v>
      </c>
      <c r="M31" s="273"/>
      <c r="N31" s="272"/>
    </row>
    <row r="32" spans="1:15" ht="84.75" customHeight="1" x14ac:dyDescent="0.4">
      <c r="A32" s="303"/>
      <c r="C32" s="305"/>
      <c r="D32" s="271" t="s">
        <v>21</v>
      </c>
      <c r="E32" s="5">
        <v>680</v>
      </c>
      <c r="F32" s="4">
        <v>878</v>
      </c>
      <c r="G32" s="281">
        <v>46935</v>
      </c>
      <c r="H32" s="282">
        <v>47150</v>
      </c>
      <c r="J32" s="4" t="s">
        <v>175</v>
      </c>
      <c r="K32" s="4" t="s">
        <v>176</v>
      </c>
      <c r="M32" s="273" t="s">
        <v>177</v>
      </c>
      <c r="N32" s="272" t="s">
        <v>256</v>
      </c>
    </row>
    <row r="33" spans="1:15" ht="55.5" customHeight="1" x14ac:dyDescent="0.4">
      <c r="A33" s="303"/>
      <c r="C33" s="305"/>
      <c r="D33" s="271" t="s">
        <v>21</v>
      </c>
      <c r="E33" s="5">
        <f>E32+24.6</f>
        <v>704.6</v>
      </c>
      <c r="F33" s="4">
        <f>F32+24.6</f>
        <v>902.6</v>
      </c>
      <c r="G33" s="281">
        <v>46935</v>
      </c>
      <c r="H33" s="282">
        <v>47150</v>
      </c>
      <c r="J33" s="4" t="s">
        <v>175</v>
      </c>
      <c r="K33" s="4" t="s">
        <v>176</v>
      </c>
      <c r="M33" s="273" t="s">
        <v>181</v>
      </c>
      <c r="N33" s="274" t="s">
        <v>191</v>
      </c>
    </row>
    <row r="34" spans="1:15" ht="55.5" customHeight="1" x14ac:dyDescent="0.4">
      <c r="A34" s="303"/>
      <c r="C34" s="305"/>
      <c r="D34" s="271" t="s">
        <v>21</v>
      </c>
      <c r="E34" s="5">
        <v>704.6</v>
      </c>
      <c r="F34" s="4">
        <v>902.6</v>
      </c>
      <c r="G34" s="281">
        <v>47209</v>
      </c>
      <c r="H34" s="282">
        <v>47423</v>
      </c>
      <c r="J34" s="4" t="s">
        <v>175</v>
      </c>
      <c r="K34" s="4" t="s">
        <v>176</v>
      </c>
      <c r="M34" s="273" t="s">
        <v>197</v>
      </c>
      <c r="N34" s="274" t="s">
        <v>199</v>
      </c>
    </row>
    <row r="35" spans="1:15" ht="5.25" customHeight="1" x14ac:dyDescent="0.4">
      <c r="A35" s="303"/>
      <c r="C35" s="305"/>
      <c r="D35" s="304"/>
      <c r="E35" s="5"/>
      <c r="F35" s="5"/>
      <c r="G35" s="281"/>
      <c r="H35" s="283"/>
      <c r="J35" s="5"/>
      <c r="K35" s="5"/>
    </row>
    <row r="36" spans="1:15" ht="38.25" customHeight="1" x14ac:dyDescent="0.4">
      <c r="A36" s="303" t="s">
        <v>5</v>
      </c>
      <c r="B36" s="463" t="s">
        <v>3</v>
      </c>
      <c r="C36" s="305"/>
      <c r="D36" s="271" t="s">
        <v>6</v>
      </c>
      <c r="E36" s="5">
        <v>284.3</v>
      </c>
      <c r="F36" s="4">
        <v>293.7</v>
      </c>
      <c r="G36" s="281">
        <v>44805</v>
      </c>
      <c r="H36" s="282">
        <v>44927</v>
      </c>
      <c r="J36" s="4">
        <v>293.7</v>
      </c>
      <c r="K36" s="7">
        <v>284.3</v>
      </c>
      <c r="M36" s="273"/>
      <c r="N36" s="272"/>
    </row>
    <row r="37" spans="1:15" ht="38.25" customHeight="1" x14ac:dyDescent="0.4">
      <c r="A37" s="303"/>
      <c r="C37" s="305"/>
      <c r="D37" s="271" t="s">
        <v>6</v>
      </c>
      <c r="E37" s="5">
        <v>284.3</v>
      </c>
      <c r="F37" s="4">
        <v>293.7</v>
      </c>
      <c r="G37" s="281">
        <v>44805</v>
      </c>
      <c r="H37" s="282">
        <v>44927</v>
      </c>
      <c r="J37" s="4">
        <v>315.3</v>
      </c>
      <c r="K37" s="4">
        <v>305.93</v>
      </c>
      <c r="M37" s="273" t="s">
        <v>62</v>
      </c>
      <c r="N37" s="274" t="s">
        <v>64</v>
      </c>
    </row>
    <row r="38" spans="1:15" ht="38.25" customHeight="1" x14ac:dyDescent="0.4">
      <c r="A38" s="303"/>
      <c r="C38" s="305"/>
      <c r="D38" s="271" t="s">
        <v>6</v>
      </c>
      <c r="E38" s="5">
        <v>284.3</v>
      </c>
      <c r="F38" s="4">
        <v>315.3</v>
      </c>
      <c r="G38" s="281">
        <v>44805</v>
      </c>
      <c r="H38" s="282">
        <v>45627</v>
      </c>
      <c r="J38" s="4">
        <v>315.3</v>
      </c>
      <c r="K38" s="4">
        <v>305.93</v>
      </c>
      <c r="M38" s="273" t="s">
        <v>143</v>
      </c>
      <c r="N38" s="275" t="s">
        <v>144</v>
      </c>
    </row>
    <row r="39" spans="1:15" ht="38.25" customHeight="1" x14ac:dyDescent="0.4">
      <c r="A39" s="303"/>
      <c r="C39" s="305"/>
      <c r="D39" s="271" t="s">
        <v>6</v>
      </c>
      <c r="E39" s="5">
        <f>E38+21.6</f>
        <v>305.90000000000003</v>
      </c>
      <c r="F39" s="4">
        <v>315.3</v>
      </c>
      <c r="G39" s="281">
        <v>45392</v>
      </c>
      <c r="H39" s="282">
        <v>45627</v>
      </c>
      <c r="J39" s="4">
        <v>315.3</v>
      </c>
      <c r="K39" s="4">
        <v>305.93</v>
      </c>
      <c r="M39" s="278" t="s">
        <v>181</v>
      </c>
      <c r="N39" s="274" t="s">
        <v>192</v>
      </c>
    </row>
    <row r="40" spans="1:15" ht="5.25" customHeight="1" x14ac:dyDescent="0.4"/>
    <row r="41" spans="1:15" ht="38.25" customHeight="1" x14ac:dyDescent="0.4">
      <c r="A41" s="303" t="s">
        <v>13</v>
      </c>
      <c r="B41" s="463" t="s">
        <v>3</v>
      </c>
      <c r="C41" s="305"/>
      <c r="D41" s="271" t="s">
        <v>14</v>
      </c>
      <c r="E41" s="5">
        <v>116.6</v>
      </c>
      <c r="F41" s="4">
        <v>122.6</v>
      </c>
      <c r="G41" s="281">
        <v>46874</v>
      </c>
      <c r="H41" s="282">
        <v>47239</v>
      </c>
      <c r="J41" s="4">
        <v>139.6</v>
      </c>
      <c r="K41" s="7">
        <v>116.6</v>
      </c>
      <c r="M41" s="273" t="s">
        <v>143</v>
      </c>
      <c r="N41" s="272" t="s">
        <v>140</v>
      </c>
    </row>
    <row r="42" spans="1:15" ht="5.25" customHeight="1" x14ac:dyDescent="0.4">
      <c r="A42" s="303"/>
      <c r="C42" s="305"/>
      <c r="D42" s="304"/>
      <c r="E42" s="5"/>
      <c r="F42" s="5"/>
      <c r="G42" s="281"/>
      <c r="H42" s="283"/>
      <c r="J42" s="5"/>
      <c r="K42" s="14"/>
    </row>
    <row r="43" spans="1:15" ht="38.25" customHeight="1" x14ac:dyDescent="0.4">
      <c r="A43" s="303" t="s">
        <v>111</v>
      </c>
      <c r="B43" s="463" t="s">
        <v>3</v>
      </c>
      <c r="C43" s="305"/>
      <c r="D43" s="271" t="s">
        <v>15</v>
      </c>
      <c r="E43" s="5">
        <v>1330</v>
      </c>
      <c r="F43" s="4">
        <v>1673</v>
      </c>
      <c r="G43" s="281">
        <v>47331</v>
      </c>
      <c r="H43" s="282">
        <v>48274</v>
      </c>
      <c r="J43" s="4">
        <v>1673</v>
      </c>
      <c r="K43" s="7">
        <v>1330</v>
      </c>
      <c r="M43" s="273"/>
      <c r="N43" s="272"/>
    </row>
    <row r="44" spans="1:15" ht="38.25" customHeight="1" x14ac:dyDescent="0.4">
      <c r="A44" s="303"/>
      <c r="C44" s="305"/>
      <c r="D44" s="271" t="s">
        <v>15</v>
      </c>
      <c r="E44" s="5">
        <v>1335.43</v>
      </c>
      <c r="F44" s="4">
        <v>1673</v>
      </c>
      <c r="G44" s="281">
        <v>47400</v>
      </c>
      <c r="H44" s="282">
        <v>48274</v>
      </c>
      <c r="J44" s="4">
        <v>1673</v>
      </c>
      <c r="K44" s="4">
        <v>1335.43</v>
      </c>
      <c r="M44" s="273" t="s">
        <v>201</v>
      </c>
      <c r="N44" s="272" t="s">
        <v>202</v>
      </c>
    </row>
    <row r="45" spans="1:15" ht="5.25" customHeight="1" x14ac:dyDescent="0.4">
      <c r="A45" s="303"/>
      <c r="B45" s="303"/>
      <c r="C45" s="303"/>
      <c r="D45" s="303"/>
      <c r="E45" s="303"/>
      <c r="F45" s="303"/>
      <c r="G45" s="284"/>
      <c r="H45" s="284"/>
      <c r="I45" s="303"/>
      <c r="J45" s="303"/>
      <c r="K45" s="303"/>
      <c r="L45" s="303"/>
      <c r="M45" s="303"/>
      <c r="N45" s="303"/>
      <c r="O45" s="303"/>
    </row>
    <row r="46" spans="1:15" ht="38.25" customHeight="1" x14ac:dyDescent="0.4">
      <c r="A46" s="303" t="s">
        <v>103</v>
      </c>
      <c r="B46" s="463" t="s">
        <v>3</v>
      </c>
      <c r="C46" s="305"/>
      <c r="D46" s="271" t="s">
        <v>128</v>
      </c>
      <c r="E46" s="5">
        <v>70.653999999999996</v>
      </c>
      <c r="F46" s="7">
        <v>76.709999999999994</v>
      </c>
      <c r="G46" s="281">
        <v>45292</v>
      </c>
      <c r="H46" s="285">
        <v>45444</v>
      </c>
      <c r="J46" s="271" t="s">
        <v>164</v>
      </c>
      <c r="K46" s="7">
        <v>70.653999999999996</v>
      </c>
      <c r="M46" s="273" t="s">
        <v>197</v>
      </c>
      <c r="N46" s="272" t="s">
        <v>200</v>
      </c>
    </row>
    <row r="47" spans="1:15" ht="38.25" customHeight="1" x14ac:dyDescent="0.4">
      <c r="A47" s="303"/>
      <c r="C47" s="305"/>
      <c r="D47" s="271" t="s">
        <v>379</v>
      </c>
      <c r="E47" s="5">
        <v>68.5</v>
      </c>
      <c r="F47" s="7">
        <v>74.599999999999994</v>
      </c>
      <c r="G47" s="281">
        <v>45834</v>
      </c>
      <c r="H47" s="285">
        <v>45911</v>
      </c>
      <c r="J47" s="271" t="s">
        <v>164</v>
      </c>
      <c r="K47" s="7">
        <v>74.599999999999994</v>
      </c>
      <c r="M47" s="273" t="s">
        <v>380</v>
      </c>
      <c r="N47" s="272" t="s">
        <v>381</v>
      </c>
    </row>
    <row r="48" spans="1:15" ht="5.25" customHeight="1" x14ac:dyDescent="0.4">
      <c r="A48" s="303"/>
      <c r="C48" s="305"/>
      <c r="D48" s="304"/>
      <c r="E48" s="5"/>
      <c r="F48" s="5"/>
      <c r="G48" s="281"/>
      <c r="H48" s="283"/>
      <c r="J48" s="5"/>
      <c r="K48" s="14"/>
    </row>
    <row r="49" spans="1:14" ht="38.25" customHeight="1" x14ac:dyDescent="0.4">
      <c r="A49" s="303" t="s">
        <v>17</v>
      </c>
      <c r="B49" s="463" t="s">
        <v>18</v>
      </c>
      <c r="C49" s="305"/>
      <c r="D49" s="271" t="s">
        <v>19</v>
      </c>
      <c r="E49" s="5">
        <v>248</v>
      </c>
      <c r="F49" s="4">
        <v>266</v>
      </c>
      <c r="G49" s="281">
        <v>48914</v>
      </c>
      <c r="H49" s="282">
        <v>49369</v>
      </c>
      <c r="J49" s="4">
        <v>266</v>
      </c>
      <c r="K49" s="7">
        <v>248</v>
      </c>
      <c r="M49" s="273"/>
      <c r="N49" s="272"/>
    </row>
    <row r="50" spans="1:14" ht="5.25" customHeight="1" x14ac:dyDescent="0.4">
      <c r="A50" s="303"/>
      <c r="C50" s="305"/>
      <c r="D50" s="304"/>
      <c r="E50" s="5"/>
      <c r="F50" s="5"/>
      <c r="G50" s="281"/>
      <c r="H50" s="283"/>
      <c r="J50" s="5"/>
      <c r="K50" s="14"/>
    </row>
    <row r="51" spans="1:14" ht="38.25" customHeight="1" x14ac:dyDescent="0.4">
      <c r="A51" s="303" t="s">
        <v>257</v>
      </c>
      <c r="B51" s="463" t="s">
        <v>18</v>
      </c>
      <c r="C51" s="305"/>
      <c r="D51" s="271" t="s">
        <v>258</v>
      </c>
      <c r="E51" s="5">
        <v>83</v>
      </c>
      <c r="F51" s="4">
        <f>89+4.5</f>
        <v>93.5</v>
      </c>
      <c r="G51" s="281">
        <v>45029</v>
      </c>
      <c r="H51" s="282">
        <v>45233</v>
      </c>
      <c r="J51" s="4" t="s">
        <v>164</v>
      </c>
      <c r="K51" s="7">
        <v>89</v>
      </c>
      <c r="M51" s="273"/>
      <c r="N51" s="272" t="s">
        <v>259</v>
      </c>
    </row>
    <row r="52" spans="1:14" ht="38.25" customHeight="1" x14ac:dyDescent="0.4">
      <c r="C52" s="305"/>
      <c r="D52" s="271" t="s">
        <v>260</v>
      </c>
      <c r="E52" s="5">
        <v>86.5</v>
      </c>
      <c r="F52" s="4">
        <f>89+4.5+3.5</f>
        <v>97</v>
      </c>
      <c r="G52" s="281">
        <v>45352</v>
      </c>
      <c r="H52" s="282">
        <v>45505</v>
      </c>
      <c r="J52" s="4" t="s">
        <v>164</v>
      </c>
      <c r="K52" s="4">
        <v>92.5</v>
      </c>
      <c r="M52" s="273" t="s">
        <v>197</v>
      </c>
      <c r="N52" s="272" t="s">
        <v>261</v>
      </c>
    </row>
    <row r="53" spans="1:14" ht="5.25" customHeight="1" x14ac:dyDescent="0.4">
      <c r="A53" s="303"/>
      <c r="C53" s="305"/>
      <c r="D53" s="304"/>
      <c r="E53" s="5"/>
      <c r="F53" s="5"/>
      <c r="G53" s="281"/>
      <c r="H53" s="283"/>
      <c r="J53" s="5"/>
      <c r="K53" s="14"/>
    </row>
    <row r="54" spans="1:14" ht="38.25" customHeight="1" x14ac:dyDescent="0.4">
      <c r="A54" s="303" t="s">
        <v>262</v>
      </c>
      <c r="B54" s="463" t="s">
        <v>18</v>
      </c>
      <c r="C54" s="305"/>
      <c r="D54" s="271" t="s">
        <v>263</v>
      </c>
      <c r="E54" s="5">
        <v>54</v>
      </c>
      <c r="F54" s="4">
        <f>58+3</f>
        <v>61</v>
      </c>
      <c r="G54" s="281">
        <v>44467</v>
      </c>
      <c r="H54" s="282">
        <v>44520</v>
      </c>
      <c r="J54" s="4" t="s">
        <v>164</v>
      </c>
      <c r="K54" s="7">
        <v>58</v>
      </c>
      <c r="M54" s="273"/>
      <c r="N54" s="272" t="s">
        <v>264</v>
      </c>
    </row>
    <row r="55" spans="1:14" ht="38.25" customHeight="1" x14ac:dyDescent="0.4">
      <c r="C55" s="305"/>
      <c r="D55" s="271" t="s">
        <v>260</v>
      </c>
      <c r="E55" s="5">
        <v>60</v>
      </c>
      <c r="F55" s="4">
        <f>58+3+6</f>
        <v>67</v>
      </c>
      <c r="G55" s="281">
        <v>44593</v>
      </c>
      <c r="H55" s="282">
        <v>44682</v>
      </c>
      <c r="J55" s="4" t="s">
        <v>164</v>
      </c>
      <c r="K55" s="4">
        <v>64</v>
      </c>
      <c r="M55" s="273" t="s">
        <v>197</v>
      </c>
      <c r="N55" s="272" t="s">
        <v>265</v>
      </c>
    </row>
    <row r="56" spans="1:14" ht="5.25" customHeight="1" x14ac:dyDescent="0.4">
      <c r="A56" s="303"/>
      <c r="C56" s="305"/>
      <c r="D56" s="304"/>
      <c r="E56" s="5"/>
      <c r="F56" s="5"/>
      <c r="G56" s="281"/>
      <c r="H56" s="283"/>
      <c r="J56" s="5"/>
      <c r="K56" s="14"/>
    </row>
    <row r="57" spans="1:14" ht="38.25" customHeight="1" x14ac:dyDescent="0.4">
      <c r="A57" s="303" t="s">
        <v>266</v>
      </c>
      <c r="B57" s="463" t="s">
        <v>18</v>
      </c>
      <c r="C57" s="305"/>
      <c r="D57" s="271" t="s">
        <v>267</v>
      </c>
      <c r="E57" s="5">
        <v>68.564999999999998</v>
      </c>
      <c r="F57" s="7">
        <v>73.138000000000005</v>
      </c>
      <c r="G57" s="281">
        <v>46905</v>
      </c>
      <c r="H57" s="285">
        <v>46966</v>
      </c>
      <c r="J57" s="7" t="s">
        <v>164</v>
      </c>
      <c r="K57" s="7">
        <v>3.5</v>
      </c>
      <c r="M57" s="273" t="s">
        <v>268</v>
      </c>
      <c r="N57" s="272" t="s">
        <v>269</v>
      </c>
    </row>
    <row r="58" spans="1:14" ht="5.25" customHeight="1" x14ac:dyDescent="0.4">
      <c r="A58" s="303"/>
      <c r="C58" s="305"/>
      <c r="D58" s="304"/>
      <c r="E58" s="5"/>
      <c r="F58" s="5"/>
      <c r="G58" s="281"/>
      <c r="H58" s="283"/>
      <c r="J58" s="5"/>
      <c r="K58" s="14"/>
    </row>
    <row r="59" spans="1:14" ht="38.25" customHeight="1" x14ac:dyDescent="0.4">
      <c r="A59" s="303" t="s">
        <v>9</v>
      </c>
      <c r="B59" s="463" t="s">
        <v>270</v>
      </c>
      <c r="C59" s="305"/>
      <c r="D59" s="271" t="s">
        <v>11</v>
      </c>
      <c r="E59" s="5">
        <v>63.5</v>
      </c>
      <c r="F59" s="4">
        <v>66.900000000000006</v>
      </c>
      <c r="G59" s="281">
        <v>46113</v>
      </c>
      <c r="H59" s="282">
        <v>46113</v>
      </c>
      <c r="J59" s="4">
        <v>66.900000000000006</v>
      </c>
      <c r="K59" s="4">
        <v>66.900000000000006</v>
      </c>
      <c r="M59" s="273"/>
      <c r="N59" s="272"/>
    </row>
    <row r="60" spans="1:14" ht="5.25" customHeight="1" x14ac:dyDescent="0.4">
      <c r="A60" s="303"/>
      <c r="C60" s="305"/>
      <c r="D60" s="304"/>
      <c r="E60" s="5"/>
      <c r="F60" s="5"/>
      <c r="G60" s="281"/>
      <c r="H60" s="283"/>
      <c r="J60" s="5"/>
      <c r="K60" s="14"/>
    </row>
    <row r="61" spans="1:14" ht="38.25" customHeight="1" x14ac:dyDescent="0.4">
      <c r="A61" s="303" t="s">
        <v>271</v>
      </c>
      <c r="B61" s="463" t="s">
        <v>270</v>
      </c>
      <c r="C61" s="305"/>
      <c r="D61" s="271" t="s">
        <v>272</v>
      </c>
      <c r="E61" s="5">
        <v>86.8</v>
      </c>
      <c r="F61" s="4">
        <v>104.4</v>
      </c>
      <c r="G61" s="281">
        <v>46752</v>
      </c>
      <c r="H61" s="282">
        <v>46821</v>
      </c>
      <c r="J61" s="4">
        <v>104.4</v>
      </c>
      <c r="K61" s="4">
        <v>33.1</v>
      </c>
      <c r="M61" s="273" t="s">
        <v>268</v>
      </c>
      <c r="N61" s="272" t="s">
        <v>273</v>
      </c>
    </row>
    <row r="62" spans="1:14" ht="5.25" customHeight="1" x14ac:dyDescent="0.4">
      <c r="A62" s="303"/>
      <c r="C62" s="305"/>
      <c r="D62" s="304"/>
      <c r="E62" s="5"/>
      <c r="F62" s="5"/>
      <c r="G62" s="281"/>
      <c r="H62" s="283"/>
      <c r="J62" s="5"/>
      <c r="K62" s="14"/>
    </row>
    <row r="63" spans="1:14" ht="38.25" customHeight="1" x14ac:dyDescent="0.4">
      <c r="A63" s="303" t="s">
        <v>274</v>
      </c>
      <c r="B63" s="463" t="s">
        <v>270</v>
      </c>
      <c r="C63" s="305"/>
      <c r="D63" s="271" t="s">
        <v>174</v>
      </c>
      <c r="E63" s="5">
        <v>68.111999999999995</v>
      </c>
      <c r="F63" s="4">
        <v>73.762</v>
      </c>
      <c r="G63" s="281">
        <v>45901</v>
      </c>
      <c r="H63" s="282">
        <v>45901</v>
      </c>
      <c r="J63" s="4">
        <v>73.762</v>
      </c>
      <c r="K63" s="4">
        <v>12.797000000000001</v>
      </c>
      <c r="M63" s="273" t="s">
        <v>268</v>
      </c>
      <c r="N63" s="272" t="s">
        <v>275</v>
      </c>
    </row>
    <row r="64" spans="1:14" ht="3" customHeight="1" x14ac:dyDescent="0.4">
      <c r="A64" s="303"/>
      <c r="C64" s="305"/>
      <c r="D64" s="304"/>
      <c r="E64" s="5"/>
      <c r="F64" s="5"/>
      <c r="G64" s="237"/>
      <c r="H64" s="283"/>
      <c r="J64" s="5"/>
      <c r="K64" s="14"/>
    </row>
    <row r="65" spans="1:14" ht="36" customHeight="1" x14ac:dyDescent="0.4">
      <c r="A65" s="303" t="s">
        <v>276</v>
      </c>
      <c r="B65" s="463" t="s">
        <v>18</v>
      </c>
      <c r="C65" s="305"/>
      <c r="D65" s="271" t="s">
        <v>277</v>
      </c>
      <c r="E65" s="5">
        <v>68</v>
      </c>
      <c r="F65" s="4">
        <v>74</v>
      </c>
      <c r="G65" s="281">
        <v>47787</v>
      </c>
      <c r="H65" s="282">
        <v>47938</v>
      </c>
      <c r="J65" s="4" t="s">
        <v>164</v>
      </c>
      <c r="K65" s="4">
        <v>68</v>
      </c>
      <c r="M65" s="273" t="s">
        <v>278</v>
      </c>
      <c r="N65" s="272" t="s">
        <v>279</v>
      </c>
    </row>
    <row r="66" spans="1:14" ht="4.5" customHeight="1" x14ac:dyDescent="0.4">
      <c r="A66" s="303"/>
      <c r="C66" s="305"/>
      <c r="D66" s="304"/>
      <c r="E66" s="5"/>
      <c r="F66" s="5"/>
      <c r="G66" s="237"/>
      <c r="H66" s="283"/>
      <c r="J66" s="5"/>
      <c r="K66" s="14"/>
    </row>
    <row r="67" spans="1:14" ht="36" customHeight="1" x14ac:dyDescent="0.4">
      <c r="A67" s="303" t="s">
        <v>280</v>
      </c>
      <c r="B67" s="463" t="s">
        <v>18</v>
      </c>
      <c r="C67" s="305"/>
      <c r="D67" s="271" t="s">
        <v>281</v>
      </c>
      <c r="E67" s="5">
        <v>163</v>
      </c>
      <c r="F67" s="4">
        <v>179.5</v>
      </c>
      <c r="G67" s="281">
        <v>48180</v>
      </c>
      <c r="H67" s="282">
        <v>48493</v>
      </c>
      <c r="J67" s="4" t="s">
        <v>164</v>
      </c>
      <c r="K67" s="4">
        <v>11.3</v>
      </c>
      <c r="M67" s="273" t="s">
        <v>282</v>
      </c>
      <c r="N67" s="272" t="s">
        <v>283</v>
      </c>
    </row>
    <row r="68" spans="1:14" ht="4.5" customHeight="1" x14ac:dyDescent="0.4">
      <c r="A68" s="303"/>
      <c r="C68" s="305"/>
      <c r="D68" s="304"/>
      <c r="E68" s="5"/>
      <c r="F68" s="5"/>
      <c r="G68" s="237"/>
      <c r="H68" s="283"/>
      <c r="J68" s="5"/>
      <c r="K68" s="14"/>
    </row>
    <row r="69" spans="1:14" ht="44.25" customHeight="1" x14ac:dyDescent="0.4">
      <c r="A69" s="303" t="s">
        <v>284</v>
      </c>
      <c r="B69" s="463" t="s">
        <v>270</v>
      </c>
      <c r="C69" s="305"/>
      <c r="D69" s="271" t="s">
        <v>281</v>
      </c>
      <c r="E69" s="5">
        <v>280</v>
      </c>
      <c r="F69" s="4">
        <v>324.8</v>
      </c>
      <c r="G69" s="281" t="s">
        <v>164</v>
      </c>
      <c r="H69" s="282">
        <v>51961</v>
      </c>
      <c r="J69" s="4">
        <v>0</v>
      </c>
      <c r="K69" s="4">
        <v>0</v>
      </c>
      <c r="M69" s="273" t="s">
        <v>282</v>
      </c>
      <c r="N69" s="272" t="s">
        <v>285</v>
      </c>
    </row>
    <row r="70" spans="1:14" ht="4.5" customHeight="1" x14ac:dyDescent="0.4"/>
    <row r="71" spans="1:14" ht="44.25" customHeight="1" x14ac:dyDescent="0.4">
      <c r="A71" s="303" t="s">
        <v>286</v>
      </c>
      <c r="B71" s="463" t="s">
        <v>270</v>
      </c>
      <c r="C71" s="305"/>
      <c r="D71" s="271" t="s">
        <v>281</v>
      </c>
      <c r="E71" s="5">
        <v>80</v>
      </c>
      <c r="F71" s="4" t="s">
        <v>164</v>
      </c>
      <c r="G71" s="281">
        <v>47813</v>
      </c>
      <c r="H71" s="282" t="s">
        <v>164</v>
      </c>
      <c r="J71" s="4" t="s">
        <v>164</v>
      </c>
      <c r="K71" s="4">
        <v>12</v>
      </c>
      <c r="M71" s="273" t="s">
        <v>210</v>
      </c>
      <c r="N71" s="272" t="s">
        <v>287</v>
      </c>
    </row>
    <row r="72" spans="1:14" ht="4.5" customHeight="1" x14ac:dyDescent="0.4"/>
    <row r="73" spans="1:14" ht="44.25" customHeight="1" x14ac:dyDescent="0.4">
      <c r="A73" s="303" t="s">
        <v>208</v>
      </c>
      <c r="B73" s="463" t="s">
        <v>3</v>
      </c>
      <c r="C73" s="305"/>
      <c r="D73" s="271" t="s">
        <v>209</v>
      </c>
      <c r="E73" s="5">
        <v>68.177000000000007</v>
      </c>
      <c r="F73" s="4">
        <v>74.653000000000006</v>
      </c>
      <c r="G73" s="281">
        <v>46295</v>
      </c>
      <c r="H73" s="282">
        <v>46446</v>
      </c>
      <c r="J73" s="4" t="s">
        <v>164</v>
      </c>
      <c r="K73" s="4">
        <v>68.177000000000007</v>
      </c>
      <c r="M73" s="273" t="s">
        <v>210</v>
      </c>
      <c r="N73" s="272" t="s">
        <v>211</v>
      </c>
    </row>
    <row r="74" spans="1:14" ht="44.25" customHeight="1" x14ac:dyDescent="0.4">
      <c r="A74" s="303"/>
      <c r="C74" s="305"/>
      <c r="D74" s="271" t="s">
        <v>390</v>
      </c>
      <c r="E74" s="5">
        <v>69.099999999999994</v>
      </c>
      <c r="F74" s="4">
        <v>75.8</v>
      </c>
      <c r="G74" s="281">
        <v>46295</v>
      </c>
      <c r="H74" s="282">
        <v>46446</v>
      </c>
      <c r="J74" s="4" t="s">
        <v>164</v>
      </c>
      <c r="K74" s="4">
        <v>69.099999999999994</v>
      </c>
      <c r="M74" s="273" t="s">
        <v>383</v>
      </c>
      <c r="N74" s="272" t="s">
        <v>393</v>
      </c>
    </row>
    <row r="75" spans="1:14" ht="4.5" customHeight="1" x14ac:dyDescent="0.4"/>
    <row r="76" spans="1:14" ht="44.25" customHeight="1" x14ac:dyDescent="0.4">
      <c r="A76" s="303" t="s">
        <v>288</v>
      </c>
      <c r="B76" s="463" t="s">
        <v>270</v>
      </c>
      <c r="C76" s="305"/>
      <c r="D76" s="271" t="s">
        <v>209</v>
      </c>
      <c r="E76" s="5">
        <v>10.3</v>
      </c>
      <c r="F76" s="4">
        <v>12.7</v>
      </c>
      <c r="G76" s="281">
        <v>46113</v>
      </c>
      <c r="H76" s="282">
        <v>46113</v>
      </c>
      <c r="J76" s="4">
        <v>0</v>
      </c>
      <c r="K76" s="4">
        <v>0</v>
      </c>
      <c r="M76" s="273" t="s">
        <v>289</v>
      </c>
      <c r="N76" s="272" t="s">
        <v>290</v>
      </c>
    </row>
    <row r="77" spans="1:14" ht="4.5" customHeight="1" x14ac:dyDescent="0.4"/>
    <row r="78" spans="1:14" ht="44.25" customHeight="1" x14ac:dyDescent="0.4">
      <c r="A78" s="303" t="s">
        <v>234</v>
      </c>
      <c r="B78" s="463" t="s">
        <v>3</v>
      </c>
      <c r="C78" s="305"/>
      <c r="D78" s="271" t="s">
        <v>212</v>
      </c>
      <c r="E78" s="5">
        <v>75</v>
      </c>
      <c r="F78" s="4">
        <v>79</v>
      </c>
      <c r="G78" s="281">
        <v>46524</v>
      </c>
      <c r="H78" s="282">
        <v>46692</v>
      </c>
      <c r="J78" s="4">
        <v>90</v>
      </c>
      <c r="K78" s="4">
        <v>75</v>
      </c>
      <c r="M78" s="273" t="s">
        <v>213</v>
      </c>
      <c r="N78" s="272" t="s">
        <v>394</v>
      </c>
    </row>
    <row r="79" spans="1:14" ht="44.25" customHeight="1" x14ac:dyDescent="0.4">
      <c r="A79" s="303"/>
      <c r="C79" s="305"/>
      <c r="D79" s="271" t="s">
        <v>390</v>
      </c>
      <c r="E79" s="5">
        <v>75.099999999999994</v>
      </c>
      <c r="F79" s="4">
        <v>79.8</v>
      </c>
      <c r="G79" s="281">
        <v>46524</v>
      </c>
      <c r="H79" s="282">
        <v>46692</v>
      </c>
      <c r="J79" s="4">
        <v>90</v>
      </c>
      <c r="K79" s="4">
        <v>75.099999999999994</v>
      </c>
      <c r="M79" s="273" t="s">
        <v>383</v>
      </c>
      <c r="N79" s="272" t="s">
        <v>395</v>
      </c>
    </row>
    <row r="80" spans="1:14" ht="4.5" customHeight="1" x14ac:dyDescent="0.4"/>
    <row r="81" spans="1:14" ht="44.25" customHeight="1" x14ac:dyDescent="0.4">
      <c r="A81" s="303" t="s">
        <v>292</v>
      </c>
      <c r="B81" s="463" t="s">
        <v>18</v>
      </c>
      <c r="C81" s="305"/>
      <c r="D81" s="271" t="s">
        <v>293</v>
      </c>
      <c r="E81" s="5">
        <v>140.19999999999999</v>
      </c>
      <c r="F81" s="4">
        <v>157.69999999999999</v>
      </c>
      <c r="G81" s="281">
        <v>47763</v>
      </c>
      <c r="H81" s="282">
        <v>48136</v>
      </c>
      <c r="J81" s="4">
        <v>157.69999999999999</v>
      </c>
      <c r="K81" s="4">
        <v>140.19999999999999</v>
      </c>
      <c r="M81" s="273" t="s">
        <v>294</v>
      </c>
      <c r="N81" s="272" t="s">
        <v>295</v>
      </c>
    </row>
    <row r="82" spans="1:14" ht="4.5" customHeight="1" x14ac:dyDescent="0.4"/>
    <row r="83" spans="1:14" ht="48" customHeight="1" x14ac:dyDescent="0.4">
      <c r="A83" s="303" t="s">
        <v>299</v>
      </c>
      <c r="B83" s="463" t="s">
        <v>3</v>
      </c>
      <c r="C83" s="305"/>
      <c r="D83" s="271" t="s">
        <v>298</v>
      </c>
      <c r="E83" s="5">
        <v>776</v>
      </c>
      <c r="F83" s="4">
        <v>837</v>
      </c>
      <c r="G83" s="281">
        <v>49490</v>
      </c>
      <c r="H83" s="282">
        <v>49795</v>
      </c>
      <c r="J83" s="4">
        <v>382</v>
      </c>
      <c r="K83" s="4">
        <v>186</v>
      </c>
      <c r="M83" s="273" t="s">
        <v>300</v>
      </c>
      <c r="N83" s="272" t="s">
        <v>301</v>
      </c>
    </row>
    <row r="84" spans="1:14" ht="4.5" customHeight="1" x14ac:dyDescent="0.4"/>
    <row r="85" spans="1:14" ht="48" customHeight="1" x14ac:dyDescent="0.4">
      <c r="A85" s="303" t="s">
        <v>119</v>
      </c>
      <c r="B85" s="463" t="s">
        <v>3</v>
      </c>
      <c r="C85" s="305"/>
      <c r="D85" s="271" t="s">
        <v>258</v>
      </c>
      <c r="E85" s="5">
        <v>40.662999999999997</v>
      </c>
      <c r="F85" s="7">
        <v>48.64</v>
      </c>
      <c r="G85" s="281">
        <v>45051</v>
      </c>
      <c r="H85" s="285">
        <v>45138</v>
      </c>
      <c r="J85" s="7">
        <v>48.6</v>
      </c>
      <c r="K85" s="7">
        <v>48.6</v>
      </c>
      <c r="M85" s="273" t="s">
        <v>321</v>
      </c>
      <c r="N85" s="286" t="s">
        <v>334</v>
      </c>
    </row>
    <row r="86" spans="1:14" ht="48" customHeight="1" x14ac:dyDescent="0.4">
      <c r="A86" s="303"/>
      <c r="C86" s="305"/>
      <c r="D86" s="271" t="s">
        <v>258</v>
      </c>
      <c r="E86" s="5">
        <v>40.662999999999997</v>
      </c>
      <c r="F86" s="4">
        <v>48.64</v>
      </c>
      <c r="G86" s="281">
        <v>45051</v>
      </c>
      <c r="H86" s="282">
        <v>45264</v>
      </c>
      <c r="J86" s="4">
        <v>79</v>
      </c>
      <c r="K86" s="4">
        <v>69</v>
      </c>
      <c r="M86" s="273" t="s">
        <v>326</v>
      </c>
      <c r="N86" s="286" t="s">
        <v>330</v>
      </c>
    </row>
    <row r="87" spans="1:14" ht="48" customHeight="1" x14ac:dyDescent="0.4">
      <c r="A87" s="303"/>
      <c r="C87" s="305"/>
      <c r="D87" s="271" t="s">
        <v>323</v>
      </c>
      <c r="E87" s="5">
        <v>69</v>
      </c>
      <c r="F87" s="4">
        <v>79</v>
      </c>
      <c r="G87" s="281">
        <v>46022</v>
      </c>
      <c r="H87" s="282">
        <v>46234</v>
      </c>
      <c r="J87" s="4" t="s">
        <v>324</v>
      </c>
      <c r="K87" s="4" t="s">
        <v>324</v>
      </c>
      <c r="M87" s="273" t="s">
        <v>321</v>
      </c>
      <c r="N87" s="287" t="s">
        <v>335</v>
      </c>
    </row>
    <row r="88" spans="1:14" ht="48" customHeight="1" x14ac:dyDescent="0.4">
      <c r="A88" s="303"/>
      <c r="C88" s="305"/>
      <c r="D88" s="271" t="s">
        <v>382</v>
      </c>
      <c r="E88" s="5">
        <v>69</v>
      </c>
      <c r="F88" s="4">
        <v>79</v>
      </c>
      <c r="G88" s="281">
        <v>46022</v>
      </c>
      <c r="H88" s="282">
        <v>46234</v>
      </c>
      <c r="J88" s="4">
        <v>69</v>
      </c>
      <c r="K88" s="4">
        <v>69</v>
      </c>
      <c r="M88" s="273" t="s">
        <v>383</v>
      </c>
      <c r="N88" s="287" t="s">
        <v>384</v>
      </c>
    </row>
    <row r="89" spans="1:14" ht="4.5" customHeight="1" x14ac:dyDescent="0.4"/>
    <row r="90" spans="1:14" ht="48" customHeight="1" x14ac:dyDescent="0.4">
      <c r="A90" s="303" t="s">
        <v>121</v>
      </c>
      <c r="B90" s="463" t="s">
        <v>3</v>
      </c>
      <c r="C90" s="305"/>
      <c r="D90" s="271" t="s">
        <v>322</v>
      </c>
      <c r="E90" s="5">
        <v>25.838000000000001</v>
      </c>
      <c r="F90" s="4">
        <v>31.94</v>
      </c>
      <c r="G90" s="281">
        <v>45058</v>
      </c>
      <c r="H90" s="282">
        <v>45412</v>
      </c>
      <c r="J90" s="4">
        <v>31.9</v>
      </c>
      <c r="K90" s="4">
        <v>25.8</v>
      </c>
      <c r="M90" s="273" t="s">
        <v>321</v>
      </c>
      <c r="N90" s="286" t="s">
        <v>336</v>
      </c>
    </row>
    <row r="91" spans="1:14" ht="4.5" customHeight="1" x14ac:dyDescent="0.4"/>
    <row r="92" spans="1:14" ht="48" customHeight="1" x14ac:dyDescent="0.4">
      <c r="A92" s="303" t="s">
        <v>307</v>
      </c>
      <c r="B92" s="463" t="s">
        <v>3</v>
      </c>
      <c r="C92" s="305"/>
      <c r="D92" s="271" t="s">
        <v>325</v>
      </c>
      <c r="E92" s="5">
        <v>54</v>
      </c>
      <c r="F92" s="4">
        <v>65</v>
      </c>
      <c r="G92" s="281">
        <v>47297</v>
      </c>
      <c r="H92" s="282">
        <v>47648</v>
      </c>
      <c r="J92" s="4" t="s">
        <v>164</v>
      </c>
      <c r="K92" s="4">
        <v>11</v>
      </c>
      <c r="M92" s="273" t="s">
        <v>326</v>
      </c>
      <c r="N92" s="286" t="s">
        <v>327</v>
      </c>
    </row>
    <row r="93" spans="1:14" ht="4.5" customHeight="1" x14ac:dyDescent="0.4"/>
    <row r="94" spans="1:14" ht="48" customHeight="1" x14ac:dyDescent="0.4">
      <c r="A94" s="303" t="s">
        <v>311</v>
      </c>
      <c r="B94" s="463" t="s">
        <v>3</v>
      </c>
      <c r="C94" s="305"/>
      <c r="D94" s="271" t="s">
        <v>328</v>
      </c>
      <c r="E94" s="5">
        <f>(774.5+34+27.3)-60.4</f>
        <v>775.4</v>
      </c>
      <c r="F94" s="7">
        <f>(855+25+27.3+48)-63.5</f>
        <v>891.8</v>
      </c>
      <c r="G94" s="281" t="s">
        <v>95</v>
      </c>
      <c r="H94" s="285" t="s">
        <v>95</v>
      </c>
      <c r="J94" s="7">
        <v>891.8</v>
      </c>
      <c r="K94" s="7">
        <v>891.8</v>
      </c>
      <c r="M94" s="273" t="s">
        <v>321</v>
      </c>
      <c r="N94" s="286" t="s">
        <v>337</v>
      </c>
    </row>
    <row r="95" spans="1:14" ht="48" customHeight="1" x14ac:dyDescent="0.4">
      <c r="A95" s="303"/>
      <c r="C95" s="305"/>
      <c r="D95" s="271" t="s">
        <v>333</v>
      </c>
      <c r="E95" s="5">
        <v>775.4</v>
      </c>
      <c r="F95" s="7">
        <v>891.8</v>
      </c>
      <c r="G95" s="281" t="s">
        <v>95</v>
      </c>
      <c r="H95" s="285" t="s">
        <v>95</v>
      </c>
      <c r="J95" s="7">
        <v>921.8</v>
      </c>
      <c r="K95" s="7">
        <v>921.8</v>
      </c>
      <c r="M95" s="273" t="s">
        <v>326</v>
      </c>
      <c r="N95" s="286" t="s">
        <v>330</v>
      </c>
    </row>
    <row r="96" spans="1:14" ht="82.5" customHeight="1" x14ac:dyDescent="0.4">
      <c r="D96" s="271" t="s">
        <v>338</v>
      </c>
      <c r="E96" s="5">
        <f>E94+28</f>
        <v>803.4</v>
      </c>
      <c r="F96" s="7">
        <f>F94+38</f>
        <v>929.8</v>
      </c>
      <c r="G96" s="281">
        <v>46022</v>
      </c>
      <c r="H96" s="285">
        <v>46234</v>
      </c>
      <c r="J96" s="7" t="s">
        <v>324</v>
      </c>
      <c r="K96" s="7" t="s">
        <v>324</v>
      </c>
      <c r="M96" s="273" t="s">
        <v>321</v>
      </c>
      <c r="N96" s="287" t="s">
        <v>385</v>
      </c>
    </row>
    <row r="97" spans="1:14" ht="48" customHeight="1" x14ac:dyDescent="0.4">
      <c r="D97" s="271" t="s">
        <v>386</v>
      </c>
      <c r="E97" s="5">
        <v>904</v>
      </c>
      <c r="F97" s="4">
        <v>921.8</v>
      </c>
      <c r="G97" s="281">
        <v>46022</v>
      </c>
      <c r="H97" s="282">
        <v>46234</v>
      </c>
      <c r="J97" s="4">
        <v>921.8</v>
      </c>
      <c r="K97" s="4">
        <v>921.8</v>
      </c>
      <c r="M97" s="273" t="s">
        <v>387</v>
      </c>
      <c r="N97" s="287" t="s">
        <v>388</v>
      </c>
    </row>
    <row r="98" spans="1:14" ht="4.5" customHeight="1" x14ac:dyDescent="0.4"/>
    <row r="99" spans="1:14" ht="48" customHeight="1" x14ac:dyDescent="0.4">
      <c r="A99" s="303" t="s">
        <v>332</v>
      </c>
      <c r="B99" s="463" t="s">
        <v>3</v>
      </c>
      <c r="C99" s="305"/>
      <c r="D99" s="271" t="s">
        <v>303</v>
      </c>
      <c r="E99" s="5">
        <v>130</v>
      </c>
      <c r="F99" s="4">
        <v>200</v>
      </c>
      <c r="G99" s="281" t="s">
        <v>331</v>
      </c>
      <c r="H99" s="282" t="s">
        <v>331</v>
      </c>
      <c r="J99" s="4">
        <v>200</v>
      </c>
      <c r="K99" s="4">
        <v>200</v>
      </c>
      <c r="M99" s="273" t="s">
        <v>326</v>
      </c>
      <c r="N99" s="241"/>
    </row>
  </sheetData>
  <sheetProtection algorithmName="SHA-512" hashValue="0MVZLw3QKmQROHtIdSXslpPILogFsaBJCZXZCmon5MoyIN+khCyLO5u7kNpdeT0Sjv4h9o9s8RxYNaeEHJCi/w==" saltValue="QAN6QhR/ntaURXoA2lTiOw==" spinCount="100000" sheet="1" objects="1" scenarios="1"/>
  <customSheetViews>
    <customSheetView guid="{800416AC-1374-44AC-811C-612C85EF24E6}" scale="85" hiddenRows="1" topLeftCell="A2">
      <selection activeCell="F8" sqref="F8"/>
      <pageMargins left="0.7" right="0.7" top="0.75" bottom="0.75" header="0.3" footer="0.3"/>
    </customSheetView>
    <customSheetView guid="{FBC63E8F-69FE-4648-B709-FA1212EFFB29}" scale="85" hiddenRows="1" topLeftCell="A2">
      <selection activeCell="F8" sqref="F8"/>
      <pageMargins left="0.7" right="0.7" top="0.75" bottom="0.75" header="0.3" footer="0.3"/>
    </customSheetView>
    <customSheetView guid="{C7C13768-4A8D-4CBA-978C-F4A7B5550C00}" scale="85" hiddenRows="1" topLeftCell="A2">
      <selection activeCell="F8" sqref="F8"/>
      <pageMargins left="0.7" right="0.7" top="0.75" bottom="0.75" header="0.3" footer="0.3"/>
    </customSheetView>
    <customSheetView guid="{466708C2-41CE-4656-AB81-E1E49DF5945D}" scale="85" hiddenRows="1" topLeftCell="A2">
      <selection activeCell="F8" sqref="F8"/>
      <pageMargins left="0.7" right="0.7" top="0.75" bottom="0.75" header="0.3" footer="0.3"/>
    </customSheetView>
    <customSheetView guid="{E3A3AE56-8881-4A6F-9299-803C489AD1B4}" scale="85" hiddenRows="1" topLeftCell="A2">
      <selection activeCell="F8" sqref="F8"/>
      <pageMargins left="0.7" right="0.7" top="0.75" bottom="0.75" header="0.3" footer="0.3"/>
    </customSheetView>
    <customSheetView guid="{83044EFE-7F92-4F81-B034-85D9567158C2}" scale="85" hiddenRows="1" topLeftCell="A2">
      <selection activeCell="F8" sqref="F8"/>
      <pageMargins left="0.7" right="0.7" top="0.75" bottom="0.75" header="0.3" footer="0.3"/>
    </customSheetView>
    <customSheetView guid="{E4713981-DD11-40CE-BE52-873D93BDDE05}" scale="85" hiddenRows="1" topLeftCell="A2">
      <selection activeCell="F8" sqref="F8"/>
      <pageMargins left="0.7" right="0.7" top="0.75" bottom="0.75" header="0.3" footer="0.3"/>
    </customSheetView>
    <customSheetView guid="{442F9A23-CA6E-4109-B10C-ACF5FD36B859}" scale="85" hiddenRows="1" topLeftCell="A2">
      <selection activeCell="F8" sqref="F8"/>
      <pageMargins left="0.7" right="0.7" top="0.75" bottom="0.75" header="0.3" footer="0.3"/>
    </customSheetView>
    <customSheetView guid="{B434A8A8-5A4C-48C0-82E7-2458B9D2EEEF}" scale="85" hiddenRows="1" topLeftCell="A2">
      <selection activeCell="F8" sqref="F8"/>
      <pageMargins left="0.7" right="0.7" top="0.75" bottom="0.75" header="0.3" footer="0.3"/>
    </customSheetView>
    <customSheetView guid="{3827E543-57D2-48C8-B786-7077EA079DD2}" scale="85" hiddenRows="1" topLeftCell="A2">
      <selection activeCell="F8" sqref="F8"/>
      <pageMargins left="0.7" right="0.7" top="0.75" bottom="0.75" header="0.3" footer="0.3"/>
    </customSheetView>
    <customSheetView guid="{2EA8DBF7-9763-457C-AA9F-1EEB2F136D1F}" scale="85" hiddenRows="1" topLeftCell="A2">
      <selection activeCell="F8" sqref="F8"/>
      <pageMargins left="0.7" right="0.7" top="0.75" bottom="0.75" header="0.3" footer="0.3"/>
    </customSheetView>
    <customSheetView guid="{70582C04-BB53-4A99-A3C1-673011D9AE1C}" scale="85" hiddenRows="1" topLeftCell="A39">
      <selection activeCell="N34" sqref="N34"/>
      <pageMargins left="0.7" right="0.7" top="0.75" bottom="0.75" header="0.3" footer="0.3"/>
    </customSheetView>
    <customSheetView guid="{37F5A0AB-EB39-4832-9D67-F67D908BF486}" scale="85" hiddenRows="1" topLeftCell="A20">
      <selection activeCell="H38" sqref="H38"/>
      <pageMargins left="0.7" right="0.7" top="0.75" bottom="0.75" header="0.3" footer="0.3"/>
    </customSheetView>
    <customSheetView guid="{78AA4A71-CE17-4C4D-849E-E3E1A44EA907}" scale="85" hiddenRows="1" topLeftCell="A20">
      <selection activeCell="H38" sqref="H38"/>
      <pageMargins left="0.7" right="0.7" top="0.75" bottom="0.75" header="0.3" footer="0.3"/>
    </customSheetView>
    <customSheetView guid="{51DFD3D6-BC25-47B4-B28F-D640534DB3A9}" scale="85" hiddenRows="1" topLeftCell="A20">
      <selection activeCell="H38" sqref="H38"/>
      <pageMargins left="0.7" right="0.7" top="0.75" bottom="0.75" header="0.3" footer="0.3"/>
    </customSheetView>
    <customSheetView guid="{CA7E8063-5145-49E1-8E00-2E1025705A81}" scale="85" hiddenRows="1" topLeftCell="A20">
      <selection activeCell="H38" sqref="H38"/>
      <pageMargins left="0.7" right="0.7" top="0.75" bottom="0.75" header="0.3" footer="0.3"/>
    </customSheetView>
    <customSheetView guid="{75EE3B92-AF4D-4E93-A70E-6ADE60CC674F}" scale="85" hiddenRows="1" topLeftCell="A20">
      <selection activeCell="H38" sqref="H38"/>
      <pageMargins left="0.7" right="0.7" top="0.75" bottom="0.75" header="0.3" footer="0.3"/>
    </customSheetView>
    <customSheetView guid="{29AC9BE3-332A-4738-949C-1F8C0D32BAEE}" scale="85" hiddenRows="1" topLeftCell="A20">
      <selection activeCell="H38" sqref="H38"/>
      <pageMargins left="0.7" right="0.7" top="0.75" bottom="0.75" header="0.3" footer="0.3"/>
    </customSheetView>
    <customSheetView guid="{42B0E8B1-ADFA-49AE-A83B-82D384737703}" scale="85" hiddenRows="1" topLeftCell="A20">
      <selection activeCell="H38" sqref="H38"/>
      <pageMargins left="0.7" right="0.7" top="0.75" bottom="0.75" header="0.3" footer="0.3"/>
    </customSheetView>
    <customSheetView guid="{D59DDBAA-620D-43B7-A6D9-759808D3397A}" scale="85" hiddenRows="1" topLeftCell="A20">
      <selection activeCell="H38" sqref="H38"/>
      <pageMargins left="0.7" right="0.7" top="0.75" bottom="0.75" header="0.3" footer="0.3"/>
    </customSheetView>
    <customSheetView guid="{F4A6298C-1A75-4FA9-A6A4-2BE13CCFE545}" scale="85" hiddenRows="1" topLeftCell="A12">
      <selection activeCell="A2" sqref="A2:A5"/>
      <pageMargins left="0.7" right="0.7" top="0.75" bottom="0.75" header="0.3" footer="0.3"/>
    </customSheetView>
    <customSheetView guid="{9F91FBC4-6A13-42C2-A2D9-42A2AC814E28}" scale="85" hiddenRows="1" topLeftCell="A2">
      <selection activeCell="A2" sqref="A2:A5"/>
      <pageMargins left="0.7" right="0.7" top="0.75" bottom="0.75" header="0.3" footer="0.3"/>
    </customSheetView>
    <customSheetView guid="{DF265C7B-1EEB-47EB-982A-6938E81F7AC2}" scale="85" hiddenRows="1" topLeftCell="A2">
      <selection activeCell="A2" sqref="A2:A5"/>
      <pageMargins left="0.7" right="0.7" top="0.75" bottom="0.75" header="0.3" footer="0.3"/>
    </customSheetView>
    <customSheetView guid="{8263C9D2-452D-46FA-AFA0-452B42DC0298}" scale="85" hiddenRows="1" topLeftCell="A38">
      <selection activeCell="BI66" sqref="BI66"/>
      <pageMargins left="0.7" right="0.7" top="0.75" bottom="0.75" header="0.3" footer="0.3"/>
    </customSheetView>
    <customSheetView guid="{151EB58C-4EFD-4330-8D1A-8AACF5F7C679}" scale="85" hiddenRows="1" topLeftCell="A38">
      <selection activeCell="BI66" sqref="BI66"/>
      <pageMargins left="0.7" right="0.7" top="0.75" bottom="0.75" header="0.3" footer="0.3"/>
    </customSheetView>
    <customSheetView guid="{8CB67476-3FD4-42E0-ACD6-62ACA9412843}" scale="85" hiddenRows="1" topLeftCell="A37">
      <selection activeCell="M41" sqref="M41"/>
      <pageMargins left="0.7" right="0.7" top="0.75" bottom="0.75" header="0.3" footer="0.3"/>
    </customSheetView>
    <customSheetView guid="{51B3083F-A103-41AB-A137-63549C54B838}" scale="85" hiddenRows="1" topLeftCell="A37">
      <selection activeCell="M41" sqref="M41"/>
      <pageMargins left="0.7" right="0.7" top="0.75" bottom="0.75" header="0.3" footer="0.3"/>
    </customSheetView>
    <customSheetView guid="{E06B4FE8-6127-47B2-A6A5-4FAC9EEB4538}" scale="85" hiddenRows="1" topLeftCell="A37">
      <selection activeCell="M41" sqref="M41"/>
      <pageMargins left="0.7" right="0.7" top="0.75" bottom="0.75" header="0.3" footer="0.3"/>
    </customSheetView>
    <customSheetView guid="{593284E7-E32C-4D6C-8C2F-3DEEF9DEE1DF}" scale="85" hiddenRows="1" topLeftCell="A37">
      <selection activeCell="M41" sqref="M41"/>
      <pageMargins left="0.7" right="0.7" top="0.75" bottom="0.75" header="0.3" footer="0.3"/>
    </customSheetView>
    <customSheetView guid="{351EFD38-BF62-4E34-A37F-0EEB3E165043}" scale="85" hiddenRows="1" topLeftCell="A37">
      <selection activeCell="M41" sqref="M41"/>
      <pageMargins left="0.7" right="0.7" top="0.75" bottom="0.75" header="0.3" footer="0.3"/>
    </customSheetView>
    <customSheetView guid="{EB96DBE4-2D64-4388-853C-CB52A0CB79BA}" scale="85" hiddenRows="1" topLeftCell="A37">
      <selection activeCell="M41" sqref="M41"/>
      <pageMargins left="0.7" right="0.7" top="0.75" bottom="0.75" header="0.3" footer="0.3"/>
    </customSheetView>
    <customSheetView guid="{016CEBB2-C827-48F4-95E1-85D8C5129F41}" scale="85" hiddenRows="1" topLeftCell="A106">
      <selection activeCell="A99" sqref="A99"/>
      <pageMargins left="0.7" right="0.7" top="0.75" bottom="0.75" header="0.3" footer="0.3"/>
    </customSheetView>
    <customSheetView guid="{6702457D-A9A8-4F46-8E1C-BC7255F4BA77}" scale="85" hiddenRows="1" topLeftCell="A58">
      <selection activeCell="E73" sqref="E73"/>
      <pageMargins left="0.7" right="0.7" top="0.75" bottom="0.75" header="0.3" footer="0.3"/>
    </customSheetView>
    <customSheetView guid="{D27C51BB-BB54-4F37-8171-98067C39697C}" scale="85" hiddenRows="1" topLeftCell="A92">
      <selection activeCell="F97" sqref="F97"/>
      <pageMargins left="0.7" right="0.7" top="0.75" bottom="0.75" header="0.3" footer="0.3"/>
    </customSheetView>
    <customSheetView guid="{008CCD98-7480-4C51-806A-4B55C801DDC2}" scale="85" hiddenRows="1" topLeftCell="A78">
      <selection activeCell="H90" sqref="H90"/>
      <pageMargins left="0.7" right="0.7" top="0.75" bottom="0.75" header="0.3" footer="0.3"/>
    </customSheetView>
    <customSheetView guid="{4E6F9C2D-76F2-4884-BBF6-E02A7BAE11EF}" scale="85" hiddenRows="1" topLeftCell="A78">
      <selection activeCell="H90" sqref="H90"/>
      <pageMargins left="0.7" right="0.7" top="0.75" bottom="0.75" header="0.3" footer="0.3"/>
    </customSheetView>
    <customSheetView guid="{C39AE06A-FC0A-4D7D-B287-2FA9CA174191}" scale="85" hiddenRows="1" topLeftCell="A37">
      <selection activeCell="M41" sqref="M41"/>
      <pageMargins left="0.7" right="0.7" top="0.75" bottom="0.75" header="0.3" footer="0.3"/>
    </customSheetView>
    <customSheetView guid="{D16D941B-FC89-4FEC-A49B-5FA2532584DE}" scale="85" hiddenRows="1" topLeftCell="A37">
      <selection activeCell="M41" sqref="M41"/>
      <pageMargins left="0.7" right="0.7" top="0.75" bottom="0.75" header="0.3" footer="0.3"/>
    </customSheetView>
    <customSheetView guid="{3BB18945-69B5-4B22-8D55-989F8F233459}" scale="85" hiddenRows="1" topLeftCell="A37">
      <selection activeCell="M41" sqref="M41"/>
      <pageMargins left="0.7" right="0.7" top="0.75" bottom="0.75" header="0.3" footer="0.3"/>
    </customSheetView>
    <customSheetView guid="{B84DA703-8C5B-4100-91A4-8807E303D379}" scale="85" hiddenRows="1" topLeftCell="A37">
      <selection activeCell="M41" sqref="M41"/>
      <pageMargins left="0.7" right="0.7" top="0.75" bottom="0.75" header="0.3" footer="0.3"/>
    </customSheetView>
    <customSheetView guid="{B0A28FD4-D7F6-428C-A7F7-92132DCD74BB}" scale="85" hiddenRows="1" topLeftCell="A37">
      <selection activeCell="M41" sqref="M41"/>
      <pageMargins left="0.7" right="0.7" top="0.75" bottom="0.75" header="0.3" footer="0.3"/>
    </customSheetView>
    <customSheetView guid="{3C97F0B0-2F3C-4E03-96E0-0C4FEC2F24AC}" scale="85" hiddenRows="1" topLeftCell="A37">
      <selection activeCell="M41" sqref="M41"/>
      <pageMargins left="0.7" right="0.7" top="0.75" bottom="0.75" header="0.3" footer="0.3"/>
    </customSheetView>
    <customSheetView guid="{A03C6B09-6B58-4DDE-A3B2-41A27A7049D9}" scale="85" hiddenRows="1" topLeftCell="A37">
      <selection activeCell="M41" sqref="M41"/>
      <pageMargins left="0.7" right="0.7" top="0.75" bottom="0.75" header="0.3" footer="0.3"/>
    </customSheetView>
    <customSheetView guid="{4EBEE699-7DEF-4A50-9CB7-490835CF0B98}" scale="85" hiddenRows="1" topLeftCell="A37">
      <selection activeCell="M41" sqref="M41"/>
      <pageMargins left="0.7" right="0.7" top="0.75" bottom="0.75" header="0.3" footer="0.3"/>
    </customSheetView>
    <customSheetView guid="{451730E2-FFE9-4FCE-B8B5-64952C26C672}" scale="85" hiddenRows="1" topLeftCell="A37">
      <selection activeCell="M41" sqref="M41"/>
      <pageMargins left="0.7" right="0.7" top="0.75" bottom="0.75" header="0.3" footer="0.3"/>
    </customSheetView>
    <customSheetView guid="{9AF6E233-883D-48B4-95AB-42B37199AB9E}" scale="85" hiddenRows="1" topLeftCell="A2">
      <selection activeCell="A2" sqref="A2:A5"/>
      <pageMargins left="0.7" right="0.7" top="0.75" bottom="0.75" header="0.3" footer="0.3"/>
    </customSheetView>
    <customSheetView guid="{1ECD6E30-299B-4354-A416-2DAFF33C7022}" scale="85" hiddenRows="1" topLeftCell="A12">
      <selection activeCell="A2" sqref="A2:A5"/>
      <pageMargins left="0.7" right="0.7" top="0.75" bottom="0.75" header="0.3" footer="0.3"/>
    </customSheetView>
    <customSheetView guid="{97D58294-343B-4B62-A826-0DDDE29B5F0D}" scale="85" hiddenRows="1" topLeftCell="A12">
      <selection activeCell="A2" sqref="A2:A5"/>
      <pageMargins left="0.7" right="0.7" top="0.75" bottom="0.75" header="0.3" footer="0.3"/>
    </customSheetView>
    <customSheetView guid="{BDCD1595-C0B8-4F6C-B01C-3472C895B827}" scale="85" hiddenRows="1" topLeftCell="A20">
      <selection activeCell="H38" sqref="H38"/>
      <pageMargins left="0.7" right="0.7" top="0.75" bottom="0.75" header="0.3" footer="0.3"/>
    </customSheetView>
    <customSheetView guid="{9355C9F4-9C07-4A93-B7F2-69F1D1526716}" scale="85" hiddenRows="1" topLeftCell="A20">
      <selection activeCell="H38" sqref="H38"/>
      <pageMargins left="0.7" right="0.7" top="0.75" bottom="0.75" header="0.3" footer="0.3"/>
    </customSheetView>
    <customSheetView guid="{F5FA2A23-9E46-4C2F-B1EE-B71787F95C57}" scale="85" hiddenRows="1" topLeftCell="A20">
      <selection activeCell="H38" sqref="H38"/>
      <pageMargins left="0.7" right="0.7" top="0.75" bottom="0.75" header="0.3" footer="0.3"/>
    </customSheetView>
    <customSheetView guid="{B95D32C7-1418-4EF6-8936-849885C54A4A}" scale="85" hiddenRows="1" topLeftCell="A20">
      <selection activeCell="H38" sqref="H38"/>
      <pageMargins left="0.7" right="0.7" top="0.75" bottom="0.75" header="0.3" footer="0.3"/>
    </customSheetView>
    <customSheetView guid="{602520CD-F98C-43A6-AA0D-88893E9CB6E8}" scale="85" hiddenRows="1" topLeftCell="A2">
      <selection activeCell="F8" sqref="F8"/>
      <pageMargins left="0.7" right="0.7" top="0.75" bottom="0.75" header="0.3" footer="0.3"/>
    </customSheetView>
    <customSheetView guid="{A8E976B8-D767-4DB4-82BD-ABE90880F33F}" scale="85" hiddenRows="1" topLeftCell="A2">
      <selection activeCell="F8" sqref="F8"/>
      <pageMargins left="0.7" right="0.7" top="0.75" bottom="0.75" header="0.3" footer="0.3"/>
    </customSheetView>
    <customSheetView guid="{D850720D-4A1C-48F2-8E1D-8E09B7414A1A}" scale="85" hiddenRows="1" topLeftCell="A2">
      <selection activeCell="F8" sqref="F8"/>
      <pageMargins left="0.7" right="0.7" top="0.75" bottom="0.75" header="0.3" footer="0.3"/>
    </customSheetView>
    <customSheetView guid="{C57A83F1-F5A3-470B-9579-6A222C54F4E8}" scale="85" hiddenRows="1" topLeftCell="A2">
      <selection activeCell="F8" sqref="F8"/>
      <pageMargins left="0.7" right="0.7" top="0.75" bottom="0.75" header="0.3" footer="0.3"/>
    </customSheetView>
    <customSheetView guid="{2608BE9B-66AC-4D4C-8EE0-E88C94E88140}" scale="85" hiddenRows="1" topLeftCell="A2">
      <selection activeCell="F8" sqref="F8"/>
      <pageMargins left="0.7" right="0.7" top="0.75" bottom="0.75" header="0.3" footer="0.3"/>
    </customSheetView>
    <customSheetView guid="{EDD5A64E-02C0-4DD6-80BA-449123FCDAA2}" scale="85" hiddenRows="1" topLeftCell="A2">
      <selection activeCell="F8" sqref="F8"/>
      <pageMargins left="0.7" right="0.7" top="0.75" bottom="0.75" header="0.3" footer="0.3"/>
    </customSheetView>
    <customSheetView guid="{B8317A9A-0FFD-4A18-80F7-203DB2FC8CA5}" scale="85" hiddenRows="1" topLeftCell="A2">
      <selection activeCell="F8" sqref="F8"/>
      <pageMargins left="0.7" right="0.7" top="0.75" bottom="0.75" header="0.3" footer="0.3"/>
    </customSheetView>
    <customSheetView guid="{7E571F1D-D438-4605-90D6-3F831F76D652}" scale="85" hiddenRows="1" state="hidden" topLeftCell="A2">
      <selection activeCell="F8" sqref="F8"/>
      <pageMargins left="0.7" right="0.7" top="0.75" bottom="0.75" header="0.3" footer="0.3"/>
    </customSheetView>
  </customSheetViews>
  <mergeCells count="14">
    <mergeCell ref="J4:J5"/>
    <mergeCell ref="K4:K5"/>
    <mergeCell ref="M4:M5"/>
    <mergeCell ref="N4:N5"/>
    <mergeCell ref="A2:A5"/>
    <mergeCell ref="B2:B5"/>
    <mergeCell ref="D2:K2"/>
    <mergeCell ref="D3:H3"/>
    <mergeCell ref="J3:K3"/>
    <mergeCell ref="D4:D5"/>
    <mergeCell ref="E4:E5"/>
    <mergeCell ref="F4:F5"/>
    <mergeCell ref="G4:G5"/>
    <mergeCell ref="H4:H5"/>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4EF461-F0AE-421B-9155-F1BEAD57440E}">
  <sheetPr codeName="Sheet13">
    <pageSetUpPr fitToPage="1"/>
  </sheetPr>
  <dimension ref="A1:AI84"/>
  <sheetViews>
    <sheetView zoomScale="106" zoomScaleNormal="40" workbookViewId="0">
      <pane xSplit="1" ySplit="4" topLeftCell="B66" activePane="bottomRight" state="frozen"/>
      <selection activeCell="BI66" sqref="BI66"/>
      <selection pane="topRight" activeCell="BI66" sqref="BI66"/>
      <selection pane="bottomLeft" activeCell="BI66" sqref="BI66"/>
      <selection pane="bottomRight" activeCell="M82" sqref="M82"/>
    </sheetView>
  </sheetViews>
  <sheetFormatPr defaultColWidth="9.3828125" defaultRowHeight="14.6" outlineLevelRow="1" x14ac:dyDescent="0.4"/>
  <cols>
    <col min="1" max="1" width="41.61328125" style="651" customWidth="1"/>
    <col min="2" max="2" width="10.3828125" style="651" customWidth="1"/>
    <col min="3" max="3" width="9.3828125" style="651" customWidth="1"/>
    <col min="4" max="4" width="8.3828125" style="651" customWidth="1"/>
    <col min="5" max="5" width="12.61328125" style="651" customWidth="1"/>
    <col min="6" max="6" width="13.3828125" style="651" customWidth="1"/>
    <col min="7" max="7" width="13" style="651" customWidth="1"/>
    <col min="8" max="8" width="12.61328125" style="651" customWidth="1"/>
    <col min="9" max="9" width="12.3828125" style="651" customWidth="1"/>
    <col min="10" max="10" width="13.53515625" style="651" customWidth="1"/>
    <col min="11" max="11" width="13.3828125" style="651" customWidth="1"/>
    <col min="12" max="14" width="9.3828125" style="651"/>
    <col min="15" max="15" width="13.3828125" style="651" customWidth="1"/>
    <col min="16" max="17" width="12.3828125" style="651" customWidth="1"/>
    <col min="18" max="18" width="12.53515625" style="651" customWidth="1"/>
    <col min="19" max="19" width="12.3828125" style="651" customWidth="1"/>
    <col min="20" max="20" width="12" style="651" customWidth="1"/>
    <col min="21" max="21" width="13.3828125" style="651" customWidth="1"/>
    <col min="22" max="22" width="13.53515625" style="651" customWidth="1"/>
    <col min="23" max="23" width="13.61328125" style="651" customWidth="1"/>
    <col min="24" max="24" width="13.3828125" style="651" customWidth="1"/>
    <col min="25" max="25" width="8.61328125" style="651" customWidth="1"/>
    <col min="26" max="26" width="9" style="651" customWidth="1"/>
    <col min="27" max="27" width="13.53515625" style="651" customWidth="1"/>
    <col min="28" max="28" width="13.3828125" style="651" customWidth="1"/>
    <col min="29" max="29" width="11.3828125" style="651" customWidth="1"/>
    <col min="30" max="30" width="22.61328125" style="498" customWidth="1"/>
    <col min="31" max="31" width="22.61328125" style="496" customWidth="1"/>
    <col min="32" max="32" width="1.61328125" style="496" customWidth="1"/>
    <col min="33" max="34" width="22.61328125" style="585" customWidth="1"/>
    <col min="35" max="16384" width="9.3828125" style="496"/>
  </cols>
  <sheetData>
    <row r="1" spans="1:34" ht="15" customHeight="1" x14ac:dyDescent="0.4">
      <c r="A1" s="307"/>
      <c r="B1" s="770" t="s">
        <v>217</v>
      </c>
      <c r="C1" s="763"/>
      <c r="D1" s="763"/>
      <c r="E1" s="763"/>
      <c r="F1" s="763"/>
      <c r="G1" s="763"/>
      <c r="H1" s="763"/>
      <c r="I1" s="763"/>
      <c r="J1" s="763"/>
      <c r="K1" s="764"/>
      <c r="L1" s="765" t="s">
        <v>69</v>
      </c>
      <c r="M1" s="763"/>
      <c r="N1" s="763"/>
      <c r="O1" s="763"/>
      <c r="P1" s="763"/>
      <c r="Q1" s="763"/>
      <c r="R1" s="763"/>
      <c r="S1" s="763"/>
      <c r="T1" s="763"/>
      <c r="U1" s="763"/>
      <c r="V1" s="763"/>
      <c r="W1" s="763"/>
      <c r="X1" s="763"/>
      <c r="Y1" s="763"/>
      <c r="Z1" s="763"/>
      <c r="AA1" s="763"/>
      <c r="AB1" s="764"/>
      <c r="AC1" s="308"/>
      <c r="AD1" s="760" t="s">
        <v>497</v>
      </c>
      <c r="AE1" s="760"/>
      <c r="AF1" s="760"/>
      <c r="AG1" s="760"/>
      <c r="AH1" s="760"/>
    </row>
    <row r="2" spans="1:34" ht="15" customHeight="1" x14ac:dyDescent="0.4">
      <c r="A2" s="309" t="s">
        <v>216</v>
      </c>
      <c r="B2" s="771" t="s">
        <v>216</v>
      </c>
      <c r="C2" s="772"/>
      <c r="D2" s="773" t="s">
        <v>48</v>
      </c>
      <c r="E2" s="763"/>
      <c r="F2" s="763"/>
      <c r="G2" s="763"/>
      <c r="H2" s="763"/>
      <c r="I2" s="764"/>
      <c r="J2" s="773" t="s">
        <v>30</v>
      </c>
      <c r="K2" s="764"/>
      <c r="L2" s="771" t="s">
        <v>216</v>
      </c>
      <c r="M2" s="772"/>
      <c r="N2" s="771" t="s">
        <v>216</v>
      </c>
      <c r="O2" s="772" t="s">
        <v>216</v>
      </c>
      <c r="P2" s="773" t="s">
        <v>33</v>
      </c>
      <c r="Q2" s="763"/>
      <c r="R2" s="763"/>
      <c r="S2" s="763"/>
      <c r="T2" s="763"/>
      <c r="U2" s="764"/>
      <c r="V2" s="773" t="s">
        <v>218</v>
      </c>
      <c r="W2" s="763"/>
      <c r="X2" s="763"/>
      <c r="Y2" s="763"/>
      <c r="Z2" s="763"/>
      <c r="AA2" s="763"/>
      <c r="AB2" s="764"/>
      <c r="AC2" s="310" t="s">
        <v>216</v>
      </c>
      <c r="AD2" s="760"/>
      <c r="AE2" s="760"/>
      <c r="AF2" s="760"/>
      <c r="AG2" s="760"/>
      <c r="AH2" s="760"/>
    </row>
    <row r="3" spans="1:34" ht="15.75" customHeight="1" x14ac:dyDescent="0.4">
      <c r="A3" s="311" t="s">
        <v>216</v>
      </c>
      <c r="B3" s="781" t="s">
        <v>216</v>
      </c>
      <c r="C3" s="777"/>
      <c r="D3" s="782" t="s">
        <v>216</v>
      </c>
      <c r="E3" s="772"/>
      <c r="F3" s="765" t="s">
        <v>73</v>
      </c>
      <c r="G3" s="764"/>
      <c r="H3" s="765" t="s">
        <v>74</v>
      </c>
      <c r="I3" s="764"/>
      <c r="J3" s="312" t="s">
        <v>216</v>
      </c>
      <c r="K3" s="312" t="s">
        <v>216</v>
      </c>
      <c r="L3" s="766" t="s">
        <v>216</v>
      </c>
      <c r="M3" s="767"/>
      <c r="N3" s="766" t="s">
        <v>216</v>
      </c>
      <c r="O3" s="767" t="s">
        <v>216</v>
      </c>
      <c r="P3" s="762" t="s">
        <v>73</v>
      </c>
      <c r="Q3" s="763"/>
      <c r="R3" s="764"/>
      <c r="S3" s="762" t="s">
        <v>74</v>
      </c>
      <c r="T3" s="763"/>
      <c r="U3" s="764"/>
      <c r="V3" s="652" t="s">
        <v>216</v>
      </c>
      <c r="W3" s="652" t="s">
        <v>216</v>
      </c>
      <c r="X3" s="652" t="s">
        <v>216</v>
      </c>
      <c r="Y3" s="652" t="s">
        <v>216</v>
      </c>
      <c r="Z3" s="652" t="s">
        <v>216</v>
      </c>
      <c r="AA3" s="762" t="s">
        <v>80</v>
      </c>
      <c r="AB3" s="764"/>
      <c r="AC3" s="653" t="s">
        <v>216</v>
      </c>
      <c r="AD3" s="761" t="s">
        <v>499</v>
      </c>
      <c r="AE3" s="761"/>
      <c r="AG3" s="768" t="s">
        <v>498</v>
      </c>
      <c r="AH3" s="768"/>
    </row>
    <row r="4" spans="1:34" ht="50.25" customHeight="1" x14ac:dyDescent="0.4">
      <c r="A4" s="313" t="s">
        <v>219</v>
      </c>
      <c r="B4" s="776" t="s">
        <v>220</v>
      </c>
      <c r="C4" s="777"/>
      <c r="D4" s="774" t="s">
        <v>221</v>
      </c>
      <c r="E4" s="775"/>
      <c r="F4" s="650" t="s">
        <v>222</v>
      </c>
      <c r="G4" s="650" t="s">
        <v>223</v>
      </c>
      <c r="H4" s="314" t="s">
        <v>222</v>
      </c>
      <c r="I4" s="315" t="s">
        <v>223</v>
      </c>
      <c r="J4" s="316" t="s">
        <v>224</v>
      </c>
      <c r="K4" s="316" t="s">
        <v>2</v>
      </c>
      <c r="L4" s="778" t="s">
        <v>68</v>
      </c>
      <c r="M4" s="767"/>
      <c r="N4" s="779" t="s">
        <v>225</v>
      </c>
      <c r="O4" s="780"/>
      <c r="P4" s="650" t="s">
        <v>81</v>
      </c>
      <c r="Q4" s="650" t="s">
        <v>226</v>
      </c>
      <c r="R4" s="650" t="s">
        <v>92</v>
      </c>
      <c r="S4" s="650" t="s">
        <v>81</v>
      </c>
      <c r="T4" s="650" t="s">
        <v>84</v>
      </c>
      <c r="U4" s="650" t="s">
        <v>227</v>
      </c>
      <c r="V4" s="317" t="s">
        <v>228</v>
      </c>
      <c r="W4" s="317" t="s">
        <v>229</v>
      </c>
      <c r="X4" s="317" t="s">
        <v>230</v>
      </c>
      <c r="Y4" s="317" t="s">
        <v>231</v>
      </c>
      <c r="Z4" s="317" t="s">
        <v>232</v>
      </c>
      <c r="AA4" s="650" t="s">
        <v>215</v>
      </c>
      <c r="AB4" s="650" t="s">
        <v>86</v>
      </c>
      <c r="AC4" s="313" t="s">
        <v>70</v>
      </c>
      <c r="AD4" s="604" t="s">
        <v>469</v>
      </c>
      <c r="AE4" s="604" t="s">
        <v>31</v>
      </c>
      <c r="AG4" s="601" t="s">
        <v>469</v>
      </c>
      <c r="AH4" s="601" t="s">
        <v>31</v>
      </c>
    </row>
    <row r="5" spans="1:34" ht="38.25" customHeight="1" x14ac:dyDescent="0.4">
      <c r="A5" s="319" t="s">
        <v>306</v>
      </c>
      <c r="B5" s="341" t="s">
        <v>88</v>
      </c>
      <c r="C5" s="321">
        <v>0</v>
      </c>
      <c r="D5" s="322" t="s">
        <v>235</v>
      </c>
      <c r="E5" s="323">
        <v>43670</v>
      </c>
      <c r="F5" s="324">
        <v>47818000</v>
      </c>
      <c r="G5" s="324">
        <v>51060000</v>
      </c>
      <c r="H5" s="325">
        <v>46058</v>
      </c>
      <c r="I5" s="325">
        <v>46321</v>
      </c>
      <c r="J5" s="324">
        <v>51060000</v>
      </c>
      <c r="K5" s="324">
        <v>47818000</v>
      </c>
      <c r="L5" s="341" t="s">
        <v>88</v>
      </c>
      <c r="M5" s="321">
        <v>0</v>
      </c>
      <c r="N5" s="321" t="str">
        <f>D5</f>
        <v>FBC</v>
      </c>
      <c r="O5" s="327">
        <v>44634</v>
      </c>
      <c r="P5" s="324">
        <v>38593832</v>
      </c>
      <c r="Q5" s="324">
        <v>38416248.740000002</v>
      </c>
      <c r="R5" s="324">
        <v>2114.71</v>
      </c>
      <c r="S5" s="325">
        <v>46058</v>
      </c>
      <c r="T5" s="325">
        <v>46818</v>
      </c>
      <c r="U5" s="328">
        <v>61</v>
      </c>
      <c r="V5" s="324">
        <v>38541337.579999998</v>
      </c>
      <c r="W5" s="324">
        <v>23143713.949000001</v>
      </c>
      <c r="X5" s="324">
        <v>27861414.899999999</v>
      </c>
      <c r="Y5" s="329">
        <v>0.8306725997967892</v>
      </c>
      <c r="Z5" s="330">
        <v>0.60049067837774817</v>
      </c>
      <c r="AA5" s="318">
        <f>IFERROR(V5/P5,"")</f>
        <v>0.99863982358631809</v>
      </c>
      <c r="AB5" s="318">
        <f>IFERROR(W5/P5,"")</f>
        <v>0.59967390512038299</v>
      </c>
      <c r="AC5" s="341" t="s">
        <v>90</v>
      </c>
      <c r="AD5" s="499" t="str">
        <f>$D5&amp;CHAR(10)&amp;TEXT($E5,"(mmm-yy)")</f>
        <v>FBC
(Jul-19)</v>
      </c>
      <c r="AE5" s="584" t="str">
        <f>$N5&amp;CHAR(10)&amp;TEXT($O5,"(mmm-yy)")</f>
        <v>FBC
(Mar-22)</v>
      </c>
      <c r="AG5" s="602" t="s">
        <v>508</v>
      </c>
      <c r="AH5" s="602" t="s">
        <v>389</v>
      </c>
    </row>
    <row r="6" spans="1:34" ht="24.9" outlineLevel="1" collapsed="1" x14ac:dyDescent="0.4">
      <c r="A6" s="319" t="s">
        <v>216</v>
      </c>
      <c r="B6" s="331" t="s">
        <v>216</v>
      </c>
      <c r="C6" s="332" t="str" cm="1">
        <f t="array" ref="C6">IFERROR(_xlfn.SWITCH(C5,-1,"i",0,"g",1,"h"),"")</f>
        <v>g</v>
      </c>
      <c r="D6" s="322" t="s">
        <v>216</v>
      </c>
      <c r="E6" s="322" t="s">
        <v>216</v>
      </c>
      <c r="F6" s="333" t="s">
        <v>216</v>
      </c>
      <c r="G6" s="333" t="s">
        <v>216</v>
      </c>
      <c r="H6" s="333" t="s">
        <v>216</v>
      </c>
      <c r="I6" s="333" t="s">
        <v>216</v>
      </c>
      <c r="J6" s="333" t="s">
        <v>216</v>
      </c>
      <c r="K6" s="333" t="s">
        <v>216</v>
      </c>
      <c r="L6" s="331" t="s">
        <v>216</v>
      </c>
      <c r="M6" s="332" t="str" cm="1">
        <f t="array" ref="M6">IFERROR(_xlfn.SWITCH(M5,-1,"i",0,"g",1,"h"),"")</f>
        <v>g</v>
      </c>
      <c r="N6" s="332"/>
      <c r="O6" s="333" t="s">
        <v>216</v>
      </c>
      <c r="P6" s="333" t="s">
        <v>216</v>
      </c>
      <c r="Q6" s="333" t="s">
        <v>216</v>
      </c>
      <c r="R6" s="333" t="s">
        <v>216</v>
      </c>
      <c r="S6" s="333" t="s">
        <v>216</v>
      </c>
      <c r="T6" s="333" t="s">
        <v>216</v>
      </c>
      <c r="U6" s="333" t="s">
        <v>216</v>
      </c>
      <c r="V6" s="333" t="s">
        <v>216</v>
      </c>
      <c r="W6" s="333" t="s">
        <v>216</v>
      </c>
      <c r="X6" s="333" t="s">
        <v>216</v>
      </c>
      <c r="Y6" s="334" t="s">
        <v>216</v>
      </c>
      <c r="Z6" s="335" t="s">
        <v>216</v>
      </c>
      <c r="AA6" s="333" t="s">
        <v>216</v>
      </c>
      <c r="AB6" s="333" t="s">
        <v>216</v>
      </c>
      <c r="AC6" s="333" t="s">
        <v>216</v>
      </c>
      <c r="AD6" s="499"/>
      <c r="AE6" s="598"/>
      <c r="AG6" s="602"/>
      <c r="AH6" s="602"/>
    </row>
    <row r="7" spans="1:34" x14ac:dyDescent="0.4">
      <c r="A7" s="769"/>
      <c r="B7" s="763"/>
      <c r="C7" s="763"/>
      <c r="D7" s="763"/>
      <c r="E7" s="763"/>
      <c r="F7" s="763"/>
      <c r="G7" s="763"/>
      <c r="H7" s="763"/>
      <c r="I7" s="763"/>
      <c r="J7" s="763"/>
      <c r="K7" s="763"/>
      <c r="L7" s="763"/>
      <c r="M7" s="763"/>
      <c r="N7" s="763"/>
      <c r="O7" s="763"/>
      <c r="P7" s="763"/>
      <c r="Q7" s="763"/>
      <c r="R7" s="763"/>
      <c r="S7" s="763"/>
      <c r="T7" s="763"/>
      <c r="U7" s="763"/>
      <c r="V7" s="763"/>
      <c r="W7" s="763"/>
      <c r="X7" s="763"/>
      <c r="Y7" s="763"/>
      <c r="Z7" s="763"/>
      <c r="AA7" s="763"/>
      <c r="AB7" s="763"/>
      <c r="AC7" s="764"/>
      <c r="AD7" s="499"/>
      <c r="AE7" s="598"/>
      <c r="AG7" s="602"/>
      <c r="AH7" s="602"/>
    </row>
    <row r="8" spans="1:34" ht="8.25" customHeight="1" x14ac:dyDescent="0.4">
      <c r="A8" s="783" t="s">
        <v>216</v>
      </c>
      <c r="B8" s="784"/>
      <c r="C8" s="784"/>
      <c r="D8" s="784"/>
      <c r="E8" s="784"/>
      <c r="F8" s="784"/>
      <c r="G8" s="784"/>
      <c r="H8" s="784"/>
      <c r="I8" s="784"/>
      <c r="J8" s="784"/>
      <c r="K8" s="784"/>
      <c r="L8" s="784"/>
      <c r="M8" s="784"/>
      <c r="N8" s="784"/>
      <c r="O8" s="784"/>
      <c r="P8" s="784"/>
      <c r="Q8" s="784"/>
      <c r="R8" s="784"/>
      <c r="S8" s="784"/>
      <c r="T8" s="784"/>
      <c r="U8" s="784"/>
      <c r="V8" s="784"/>
      <c r="W8" s="784"/>
      <c r="X8" s="784"/>
      <c r="Y8" s="784"/>
      <c r="Z8" s="784"/>
      <c r="AA8" s="784"/>
      <c r="AB8" s="784"/>
      <c r="AC8" s="784"/>
      <c r="AE8" s="498"/>
      <c r="AG8" s="602"/>
      <c r="AH8" s="602"/>
    </row>
    <row r="9" spans="1:34" ht="36.75" customHeight="1" x14ac:dyDescent="0.4">
      <c r="A9" s="319" t="s">
        <v>318</v>
      </c>
      <c r="B9" s="341" t="s">
        <v>88</v>
      </c>
      <c r="C9" s="321">
        <v>0</v>
      </c>
      <c r="D9" s="322" t="s">
        <v>235</v>
      </c>
      <c r="E9" s="323">
        <v>44124</v>
      </c>
      <c r="F9" s="324">
        <v>31614000</v>
      </c>
      <c r="G9" s="324">
        <v>35175000</v>
      </c>
      <c r="H9" s="325">
        <v>45220</v>
      </c>
      <c r="I9" s="325">
        <v>45428</v>
      </c>
      <c r="J9" s="324">
        <v>35175000</v>
      </c>
      <c r="K9" s="324">
        <v>31614000</v>
      </c>
      <c r="L9" s="341" t="s">
        <v>88</v>
      </c>
      <c r="M9" s="321">
        <v>0</v>
      </c>
      <c r="N9" s="321" t="str">
        <f>D9</f>
        <v>FBC</v>
      </c>
      <c r="O9" s="327">
        <v>44287</v>
      </c>
      <c r="P9" s="324">
        <v>31971082</v>
      </c>
      <c r="Q9" s="324">
        <v>26901907.670000002</v>
      </c>
      <c r="R9" s="324">
        <v>23611.52</v>
      </c>
      <c r="S9" s="325">
        <v>45220</v>
      </c>
      <c r="T9" s="325">
        <v>46244</v>
      </c>
      <c r="U9" s="328">
        <v>0</v>
      </c>
      <c r="V9" s="324">
        <v>31971082.649999999</v>
      </c>
      <c r="W9" s="324">
        <v>31803346.3455</v>
      </c>
      <c r="X9" s="324">
        <v>26687217.440000001</v>
      </c>
      <c r="Y9" s="329">
        <v>1.19170709411734</v>
      </c>
      <c r="Z9" s="330">
        <v>0.9947534993939281</v>
      </c>
      <c r="AA9" s="318">
        <f>IFERROR(V9/P9,"")</f>
        <v>1.0000000203308728</v>
      </c>
      <c r="AB9" s="318">
        <f>IFERROR(W9/P9,"")</f>
        <v>0.99475351961813496</v>
      </c>
      <c r="AC9" s="341" t="s">
        <v>91</v>
      </c>
      <c r="AD9" s="584" t="str">
        <f>$D9&amp;CHAR(10)&amp;TEXT($E9,"(mmm-yy)")</f>
        <v>FBC
(Oct-20)</v>
      </c>
      <c r="AE9" s="584" t="str">
        <f>$N9&amp;CHAR(10)&amp;TEXT($O9,"(mmm-yy)")</f>
        <v>FBC
(Apr-21)</v>
      </c>
      <c r="AG9" s="602" t="s">
        <v>509</v>
      </c>
      <c r="AH9" s="602" t="s">
        <v>14</v>
      </c>
    </row>
    <row r="10" spans="1:34" ht="15" customHeight="1" outlineLevel="1" collapsed="1" x14ac:dyDescent="0.4">
      <c r="A10" s="319" t="s">
        <v>216</v>
      </c>
      <c r="B10" s="331" t="s">
        <v>216</v>
      </c>
      <c r="C10" s="332" t="str" cm="1">
        <f t="array" ref="C10">IFERROR(_xlfn.SWITCH(C9,-1,"i",0,"g",1,"h"),"")</f>
        <v>g</v>
      </c>
      <c r="D10" s="322" t="s">
        <v>216</v>
      </c>
      <c r="E10" s="322" t="s">
        <v>216</v>
      </c>
      <c r="F10" s="333" t="s">
        <v>216</v>
      </c>
      <c r="G10" s="333" t="s">
        <v>216</v>
      </c>
      <c r="H10" s="333" t="s">
        <v>216</v>
      </c>
      <c r="I10" s="333" t="s">
        <v>216</v>
      </c>
      <c r="J10" s="333" t="s">
        <v>216</v>
      </c>
      <c r="K10" s="333" t="s">
        <v>216</v>
      </c>
      <c r="L10" s="331" t="s">
        <v>216</v>
      </c>
      <c r="M10" s="332" t="str" cm="1">
        <f t="array" ref="M10">IFERROR(_xlfn.SWITCH(M9,-1,"i",0,"g",1,"h"),"")</f>
        <v>g</v>
      </c>
      <c r="N10" s="332"/>
      <c r="O10" s="333" t="s">
        <v>216</v>
      </c>
      <c r="P10" s="333" t="s">
        <v>216</v>
      </c>
      <c r="Q10" s="333" t="s">
        <v>216</v>
      </c>
      <c r="R10" s="333" t="s">
        <v>216</v>
      </c>
      <c r="S10" s="333" t="s">
        <v>216</v>
      </c>
      <c r="T10" s="333" t="s">
        <v>216</v>
      </c>
      <c r="U10" s="333" t="s">
        <v>216</v>
      </c>
      <c r="V10" s="333" t="s">
        <v>216</v>
      </c>
      <c r="W10" s="333" t="s">
        <v>216</v>
      </c>
      <c r="X10" s="333" t="s">
        <v>216</v>
      </c>
      <c r="Y10" s="335" t="s">
        <v>216</v>
      </c>
      <c r="Z10" s="334" t="s">
        <v>216</v>
      </c>
      <c r="AA10" s="333" t="s">
        <v>216</v>
      </c>
      <c r="AB10" s="333" t="s">
        <v>216</v>
      </c>
      <c r="AC10" s="338" t="s">
        <v>216</v>
      </c>
      <c r="AG10" s="602"/>
      <c r="AH10" s="602"/>
    </row>
    <row r="11" spans="1:34" x14ac:dyDescent="0.4">
      <c r="A11" s="769"/>
      <c r="B11" s="763"/>
      <c r="C11" s="763"/>
      <c r="D11" s="763"/>
      <c r="E11" s="763"/>
      <c r="F11" s="763"/>
      <c r="G11" s="763"/>
      <c r="H11" s="763"/>
      <c r="I11" s="763"/>
      <c r="J11" s="763"/>
      <c r="K11" s="763"/>
      <c r="L11" s="763"/>
      <c r="M11" s="763"/>
      <c r="N11" s="763"/>
      <c r="O11" s="763"/>
      <c r="P11" s="763"/>
      <c r="Q11" s="763"/>
      <c r="R11" s="763"/>
      <c r="S11" s="763"/>
      <c r="T11" s="763"/>
      <c r="U11" s="763"/>
      <c r="V11" s="763"/>
      <c r="W11" s="763"/>
      <c r="X11" s="763"/>
      <c r="Y11" s="763"/>
      <c r="Z11" s="763"/>
      <c r="AA11" s="763"/>
      <c r="AB11" s="763"/>
      <c r="AC11" s="764"/>
      <c r="AG11" s="602"/>
      <c r="AH11" s="602"/>
    </row>
    <row r="12" spans="1:34" ht="8.25" customHeight="1" x14ac:dyDescent="0.4">
      <c r="A12" s="783" t="s">
        <v>216</v>
      </c>
      <c r="B12" s="784"/>
      <c r="C12" s="784"/>
      <c r="D12" s="784"/>
      <c r="E12" s="784"/>
      <c r="F12" s="784"/>
      <c r="G12" s="784"/>
      <c r="H12" s="784"/>
      <c r="I12" s="784"/>
      <c r="J12" s="784"/>
      <c r="K12" s="784"/>
      <c r="L12" s="784"/>
      <c r="M12" s="784"/>
      <c r="N12" s="784"/>
      <c r="O12" s="784"/>
      <c r="P12" s="784"/>
      <c r="Q12" s="784"/>
      <c r="R12" s="784"/>
      <c r="S12" s="784"/>
      <c r="T12" s="784"/>
      <c r="U12" s="784"/>
      <c r="V12" s="784"/>
      <c r="W12" s="784"/>
      <c r="X12" s="784"/>
      <c r="Y12" s="784"/>
      <c r="Z12" s="784"/>
      <c r="AA12" s="784"/>
      <c r="AB12" s="784"/>
      <c r="AC12" s="784"/>
      <c r="AG12" s="602"/>
      <c r="AH12" s="602"/>
    </row>
    <row r="13" spans="1:34" ht="29.15" x14ac:dyDescent="0.4">
      <c r="A13" s="319" t="s">
        <v>364</v>
      </c>
      <c r="B13" s="341" t="s">
        <v>95</v>
      </c>
      <c r="C13" s="321">
        <v>0</v>
      </c>
      <c r="D13" s="322" t="s">
        <v>233</v>
      </c>
      <c r="E13" s="323">
        <v>45108</v>
      </c>
      <c r="F13" s="324">
        <v>30000000</v>
      </c>
      <c r="G13" s="324">
        <v>31039000</v>
      </c>
      <c r="H13" s="325" t="s">
        <v>216</v>
      </c>
      <c r="I13" s="325" t="s">
        <v>216</v>
      </c>
      <c r="J13" s="324">
        <v>0</v>
      </c>
      <c r="K13" s="324">
        <v>3393000</v>
      </c>
      <c r="L13" s="341" t="s">
        <v>91</v>
      </c>
      <c r="M13" s="321">
        <v>1</v>
      </c>
      <c r="N13" s="321" t="str">
        <f>D13</f>
        <v>OBC</v>
      </c>
      <c r="O13" s="327">
        <v>45271</v>
      </c>
      <c r="P13" s="324">
        <v>30826939</v>
      </c>
      <c r="Q13" s="324">
        <v>31203278.149999999</v>
      </c>
      <c r="R13" s="324">
        <v>0</v>
      </c>
      <c r="S13" s="325">
        <v>47204</v>
      </c>
      <c r="T13" s="325">
        <v>47529</v>
      </c>
      <c r="U13" s="328">
        <v>0</v>
      </c>
      <c r="V13" s="324">
        <v>4883199.83</v>
      </c>
      <c r="W13" s="324">
        <v>1834116.7493</v>
      </c>
      <c r="X13" s="324">
        <v>2411885.84</v>
      </c>
      <c r="Y13" s="329">
        <v>0.7604492380534893</v>
      </c>
      <c r="Z13" s="330">
        <v>0.37559731593044393</v>
      </c>
      <c r="AA13" s="318">
        <f>IFERROR(V13/P13,"")</f>
        <v>0.15840689956274934</v>
      </c>
      <c r="AB13" s="318">
        <f>IFERROR(W13/P13,"")</f>
        <v>5.9497206300632058E-2</v>
      </c>
      <c r="AC13" s="341" t="s">
        <v>91</v>
      </c>
      <c r="AD13" s="584" t="str">
        <f>$D13&amp;CHAR(10)&amp;TEXT($E13,"(mmm-yy)")</f>
        <v>OBC
(Jul-23)</v>
      </c>
      <c r="AE13" s="584" t="str">
        <f>$N13&amp;CHAR(10)&amp;TEXT($O13,"(mmm-yy)")</f>
        <v>OBC
(Dec-23)</v>
      </c>
      <c r="AG13" s="602" t="s">
        <v>510</v>
      </c>
      <c r="AH13" s="602" t="s">
        <v>511</v>
      </c>
    </row>
    <row r="14" spans="1:34" ht="17.25" customHeight="1" outlineLevel="1" collapsed="1" x14ac:dyDescent="0.4">
      <c r="A14" s="319" t="s">
        <v>216</v>
      </c>
      <c r="B14" s="331" t="s">
        <v>216</v>
      </c>
      <c r="C14" s="332" t="str" cm="1">
        <f t="array" ref="C14">IFERROR(_xlfn.SWITCH(C13,-1,"i",0,"g",1,"h"),"")</f>
        <v>g</v>
      </c>
      <c r="D14" s="322" t="s">
        <v>216</v>
      </c>
      <c r="E14" s="322" t="s">
        <v>216</v>
      </c>
      <c r="F14" s="333" t="s">
        <v>216</v>
      </c>
      <c r="G14" s="333" t="s">
        <v>216</v>
      </c>
      <c r="H14" s="333" t="s">
        <v>216</v>
      </c>
      <c r="I14" s="333" t="s">
        <v>216</v>
      </c>
      <c r="J14" s="333" t="s">
        <v>216</v>
      </c>
      <c r="K14" s="333" t="s">
        <v>216</v>
      </c>
      <c r="L14" s="331" t="s">
        <v>216</v>
      </c>
      <c r="M14" s="332" t="str" cm="1">
        <f t="array" ref="M14">IFERROR(_xlfn.SWITCH(M13,-1,"i",0,"g",1,"h"),"")</f>
        <v>h</v>
      </c>
      <c r="N14" s="332"/>
      <c r="O14" s="333" t="s">
        <v>216</v>
      </c>
      <c r="P14" s="333" t="s">
        <v>216</v>
      </c>
      <c r="Q14" s="333" t="s">
        <v>216</v>
      </c>
      <c r="R14" s="333" t="s">
        <v>216</v>
      </c>
      <c r="S14" s="333" t="s">
        <v>216</v>
      </c>
      <c r="T14" s="333" t="s">
        <v>216</v>
      </c>
      <c r="U14" s="333" t="s">
        <v>216</v>
      </c>
      <c r="V14" s="333" t="s">
        <v>216</v>
      </c>
      <c r="W14" s="333" t="s">
        <v>216</v>
      </c>
      <c r="X14" s="333" t="s">
        <v>216</v>
      </c>
      <c r="Y14" s="334" t="s">
        <v>216</v>
      </c>
      <c r="Z14" s="335" t="s">
        <v>216</v>
      </c>
      <c r="AA14" s="333" t="s">
        <v>216</v>
      </c>
      <c r="AB14" s="333" t="s">
        <v>216</v>
      </c>
      <c r="AC14" s="338" t="s">
        <v>216</v>
      </c>
      <c r="AG14" s="602"/>
      <c r="AH14" s="602"/>
    </row>
    <row r="15" spans="1:34" x14ac:dyDescent="0.4">
      <c r="A15" s="769"/>
      <c r="B15" s="763"/>
      <c r="C15" s="763"/>
      <c r="D15" s="763"/>
      <c r="E15" s="763"/>
      <c r="F15" s="763"/>
      <c r="G15" s="763"/>
      <c r="H15" s="763"/>
      <c r="I15" s="763"/>
      <c r="J15" s="763"/>
      <c r="K15" s="763"/>
      <c r="L15" s="763"/>
      <c r="M15" s="763"/>
      <c r="N15" s="763"/>
      <c r="O15" s="763"/>
      <c r="P15" s="763"/>
      <c r="Q15" s="763"/>
      <c r="R15" s="763"/>
      <c r="S15" s="763"/>
      <c r="T15" s="763"/>
      <c r="U15" s="763"/>
      <c r="V15" s="763"/>
      <c r="W15" s="763"/>
      <c r="X15" s="763"/>
      <c r="Y15" s="763"/>
      <c r="Z15" s="763"/>
      <c r="AA15" s="763"/>
      <c r="AB15" s="763"/>
      <c r="AC15" s="764"/>
      <c r="AG15" s="602"/>
      <c r="AH15" s="602"/>
    </row>
    <row r="16" spans="1:34" ht="8.25" customHeight="1" x14ac:dyDescent="0.4">
      <c r="A16" s="783" t="s">
        <v>216</v>
      </c>
      <c r="B16" s="784"/>
      <c r="C16" s="784"/>
      <c r="D16" s="784"/>
      <c r="E16" s="784"/>
      <c r="F16" s="784"/>
      <c r="G16" s="784"/>
      <c r="H16" s="784"/>
      <c r="I16" s="784"/>
      <c r="J16" s="784"/>
      <c r="K16" s="784"/>
      <c r="L16" s="784"/>
      <c r="M16" s="784"/>
      <c r="N16" s="784"/>
      <c r="O16" s="784"/>
      <c r="P16" s="784"/>
      <c r="Q16" s="784"/>
      <c r="R16" s="784"/>
      <c r="S16" s="784"/>
      <c r="T16" s="784"/>
      <c r="U16" s="784"/>
      <c r="V16" s="784"/>
      <c r="W16" s="784"/>
      <c r="X16" s="784"/>
      <c r="Y16" s="784"/>
      <c r="Z16" s="784"/>
      <c r="AA16" s="784"/>
      <c r="AB16" s="784"/>
      <c r="AC16" s="784"/>
      <c r="AG16" s="602"/>
      <c r="AH16" s="602"/>
    </row>
    <row r="17" spans="1:34" ht="29.15" x14ac:dyDescent="0.4">
      <c r="A17" s="319" t="s">
        <v>362</v>
      </c>
      <c r="B17" s="341" t="s">
        <v>91</v>
      </c>
      <c r="C17" s="321">
        <v>0</v>
      </c>
      <c r="D17" s="322" t="s">
        <v>468</v>
      </c>
      <c r="E17" s="323">
        <v>45170</v>
      </c>
      <c r="F17" s="324">
        <v>2173096</v>
      </c>
      <c r="G17" s="324">
        <v>0</v>
      </c>
      <c r="H17" s="325">
        <v>46722</v>
      </c>
      <c r="I17" s="325" t="s">
        <v>216</v>
      </c>
      <c r="J17" s="324">
        <v>0</v>
      </c>
      <c r="K17" s="324">
        <v>2173096</v>
      </c>
      <c r="L17" s="341" t="s">
        <v>91</v>
      </c>
      <c r="M17" s="321">
        <v>0</v>
      </c>
      <c r="N17" s="321" t="str">
        <f>D17</f>
        <v>SOC</v>
      </c>
      <c r="O17" s="327">
        <v>45188</v>
      </c>
      <c r="P17" s="324">
        <v>32152519</v>
      </c>
      <c r="Q17" s="324">
        <v>32000670.420000002</v>
      </c>
      <c r="R17" s="324">
        <v>386333.36</v>
      </c>
      <c r="S17" s="325">
        <v>46744</v>
      </c>
      <c r="T17" s="325">
        <v>46744</v>
      </c>
      <c r="U17" s="328">
        <v>0</v>
      </c>
      <c r="V17" s="324">
        <v>2264228.04</v>
      </c>
      <c r="W17" s="324">
        <v>1495549.7694999999</v>
      </c>
      <c r="X17" s="324">
        <v>1324938.6299999999</v>
      </c>
      <c r="Y17" s="330">
        <v>1.1287690883463788</v>
      </c>
      <c r="Z17" s="329">
        <v>0.66051199043538034</v>
      </c>
      <c r="AA17" s="318">
        <f>IFERROR(V17/P17,"")</f>
        <v>7.0421482061794285E-2</v>
      </c>
      <c r="AB17" s="318">
        <f>IFERROR(W17/P17,"")</f>
        <v>4.6514233286045176E-2</v>
      </c>
      <c r="AC17" s="341" t="s">
        <v>91</v>
      </c>
      <c r="AD17" s="584" t="str">
        <f>$D17&amp;CHAR(10)&amp;TEXT($E17,"(mmm-yy)")</f>
        <v>SOC
(Sep-23)</v>
      </c>
      <c r="AE17" s="584" t="str">
        <f>$N17&amp;CHAR(10)&amp;TEXT($O17,"(mmm-yy)")</f>
        <v>SOC
(Sep-23)</v>
      </c>
      <c r="AG17" s="602" t="s">
        <v>539</v>
      </c>
      <c r="AH17" s="602" t="s">
        <v>539</v>
      </c>
    </row>
    <row r="18" spans="1:34" ht="17.25" customHeight="1" outlineLevel="1" collapsed="1" x14ac:dyDescent="0.4">
      <c r="A18" s="319" t="s">
        <v>216</v>
      </c>
      <c r="B18" s="331" t="s">
        <v>216</v>
      </c>
      <c r="C18" s="332" t="str" cm="1">
        <f t="array" ref="C18">IFERROR(_xlfn.SWITCH(C17,-1,"i",0,"g",1,"h"),"")</f>
        <v>g</v>
      </c>
      <c r="D18" s="322" t="s">
        <v>216</v>
      </c>
      <c r="E18" s="322" t="s">
        <v>216</v>
      </c>
      <c r="F18" s="333" t="s">
        <v>216</v>
      </c>
      <c r="G18" s="333" t="s">
        <v>216</v>
      </c>
      <c r="H18" s="333" t="s">
        <v>216</v>
      </c>
      <c r="I18" s="333" t="s">
        <v>216</v>
      </c>
      <c r="J18" s="333" t="s">
        <v>216</v>
      </c>
      <c r="K18" s="333" t="s">
        <v>216</v>
      </c>
      <c r="L18" s="331" t="s">
        <v>216</v>
      </c>
      <c r="M18" s="332" t="str" cm="1">
        <f t="array" ref="M18">IFERROR(_xlfn.SWITCH(M17,-1,"i",0,"g",1,"h"),"")</f>
        <v>g</v>
      </c>
      <c r="N18" s="332"/>
      <c r="O18" s="333" t="s">
        <v>216</v>
      </c>
      <c r="P18" s="333" t="s">
        <v>216</v>
      </c>
      <c r="Q18" s="333" t="s">
        <v>216</v>
      </c>
      <c r="R18" s="333" t="s">
        <v>216</v>
      </c>
      <c r="S18" s="333" t="s">
        <v>216</v>
      </c>
      <c r="T18" s="333" t="s">
        <v>216</v>
      </c>
      <c r="U18" s="333" t="s">
        <v>216</v>
      </c>
      <c r="V18" s="333" t="s">
        <v>216</v>
      </c>
      <c r="W18" s="333" t="s">
        <v>216</v>
      </c>
      <c r="X18" s="333" t="s">
        <v>216</v>
      </c>
      <c r="Y18" s="335" t="s">
        <v>216</v>
      </c>
      <c r="Z18" s="334" t="s">
        <v>216</v>
      </c>
      <c r="AA18" s="333" t="s">
        <v>216</v>
      </c>
      <c r="AB18" s="333" t="s">
        <v>216</v>
      </c>
      <c r="AC18" s="338" t="s">
        <v>216</v>
      </c>
      <c r="AG18" s="602"/>
      <c r="AH18" s="602"/>
    </row>
    <row r="19" spans="1:34" x14ac:dyDescent="0.4">
      <c r="A19" s="769"/>
      <c r="B19" s="763"/>
      <c r="C19" s="763"/>
      <c r="D19" s="763"/>
      <c r="E19" s="763"/>
      <c r="F19" s="763"/>
      <c r="G19" s="763"/>
      <c r="H19" s="763"/>
      <c r="I19" s="763"/>
      <c r="J19" s="763"/>
      <c r="K19" s="763"/>
      <c r="L19" s="763"/>
      <c r="M19" s="763"/>
      <c r="N19" s="763"/>
      <c r="O19" s="763"/>
      <c r="P19" s="763"/>
      <c r="Q19" s="763"/>
      <c r="R19" s="763"/>
      <c r="S19" s="763"/>
      <c r="T19" s="763"/>
      <c r="U19" s="763"/>
      <c r="V19" s="763"/>
      <c r="W19" s="763"/>
      <c r="X19" s="763"/>
      <c r="Y19" s="763"/>
      <c r="Z19" s="763"/>
      <c r="AA19" s="763"/>
      <c r="AB19" s="763"/>
      <c r="AC19" s="764"/>
      <c r="AG19" s="602"/>
      <c r="AH19" s="602"/>
    </row>
    <row r="20" spans="1:34" ht="8.25" customHeight="1" x14ac:dyDescent="0.4">
      <c r="A20" s="783" t="s">
        <v>216</v>
      </c>
      <c r="B20" s="784"/>
      <c r="C20" s="784"/>
      <c r="D20" s="784"/>
      <c r="E20" s="784"/>
      <c r="F20" s="784"/>
      <c r="G20" s="784"/>
      <c r="H20" s="784"/>
      <c r="I20" s="784"/>
      <c r="J20" s="784"/>
      <c r="K20" s="784"/>
      <c r="L20" s="784"/>
      <c r="M20" s="784"/>
      <c r="N20" s="784"/>
      <c r="O20" s="784"/>
      <c r="P20" s="784"/>
      <c r="Q20" s="784"/>
      <c r="R20" s="784"/>
      <c r="S20" s="784"/>
      <c r="T20" s="784"/>
      <c r="U20" s="784"/>
      <c r="V20" s="784"/>
      <c r="W20" s="784"/>
      <c r="X20" s="784"/>
      <c r="Y20" s="784"/>
      <c r="Z20" s="784"/>
      <c r="AA20" s="784"/>
      <c r="AB20" s="784"/>
      <c r="AC20" s="784"/>
      <c r="AG20" s="602"/>
      <c r="AH20" s="602"/>
    </row>
    <row r="21" spans="1:34" ht="29.15" x14ac:dyDescent="0.4">
      <c r="A21" s="319" t="s">
        <v>344</v>
      </c>
      <c r="B21" s="341" t="s">
        <v>91</v>
      </c>
      <c r="C21" s="321">
        <v>0</v>
      </c>
      <c r="D21" s="322" t="s">
        <v>468</v>
      </c>
      <c r="E21" s="323">
        <v>44621</v>
      </c>
      <c r="F21" s="324">
        <v>67607000</v>
      </c>
      <c r="G21" s="324">
        <v>94587000</v>
      </c>
      <c r="H21" s="325" t="s">
        <v>216</v>
      </c>
      <c r="I21" s="325" t="s">
        <v>216</v>
      </c>
      <c r="J21" s="324">
        <v>0</v>
      </c>
      <c r="K21" s="324">
        <v>19209000</v>
      </c>
      <c r="L21" s="341" t="s">
        <v>90</v>
      </c>
      <c r="M21" s="321">
        <v>0</v>
      </c>
      <c r="N21" s="321" t="str">
        <f>D21</f>
        <v>SOC</v>
      </c>
      <c r="O21" s="327">
        <v>44966</v>
      </c>
      <c r="P21" s="324">
        <v>66045682</v>
      </c>
      <c r="Q21" s="324">
        <v>84193985.359999999</v>
      </c>
      <c r="R21" s="324">
        <v>-266733.02</v>
      </c>
      <c r="S21" s="325">
        <v>48760</v>
      </c>
      <c r="T21" s="325">
        <v>49061</v>
      </c>
      <c r="U21" s="328">
        <v>0</v>
      </c>
      <c r="V21" s="324">
        <v>25501870.09</v>
      </c>
      <c r="W21" s="324">
        <v>21477604.003400002</v>
      </c>
      <c r="X21" s="324">
        <v>16377628.43</v>
      </c>
      <c r="Y21" s="339">
        <v>1.3113989058426818</v>
      </c>
      <c r="Z21" s="329">
        <v>0.84219721642382506</v>
      </c>
      <c r="AA21" s="318">
        <f>IFERROR(V21/P21,"")</f>
        <v>0.38612471425459727</v>
      </c>
      <c r="AB21" s="318">
        <f>IFERROR(W21/P21,"")</f>
        <v>0.3251931595376667</v>
      </c>
      <c r="AC21" s="341" t="s">
        <v>90</v>
      </c>
      <c r="AD21" s="584" t="str">
        <f>$D21&amp;CHAR(10)&amp;TEXT($E21,"(mmm-yy)")</f>
        <v>SOC
(Mar-22)</v>
      </c>
      <c r="AE21" s="584" t="str">
        <f>$N21&amp;CHAR(10)&amp;TEXT($O21,"(mmm-yy)")</f>
        <v>SOC
(Feb-23)</v>
      </c>
      <c r="AG21" s="602" t="s">
        <v>512</v>
      </c>
      <c r="AH21" s="602" t="s">
        <v>513</v>
      </c>
    </row>
    <row r="22" spans="1:34" ht="17.25" customHeight="1" outlineLevel="1" collapsed="1" x14ac:dyDescent="0.4">
      <c r="A22" s="319" t="s">
        <v>216</v>
      </c>
      <c r="B22" s="331" t="s">
        <v>216</v>
      </c>
      <c r="C22" s="332" t="str" cm="1">
        <f t="array" ref="C22">IFERROR(_xlfn.SWITCH(C21,-1,"i",0,"g",1,"h"),"")</f>
        <v>g</v>
      </c>
      <c r="D22" s="322" t="s">
        <v>216</v>
      </c>
      <c r="E22" s="322" t="s">
        <v>216</v>
      </c>
      <c r="F22" s="333" t="s">
        <v>216</v>
      </c>
      <c r="G22" s="333" t="s">
        <v>216</v>
      </c>
      <c r="H22" s="333" t="s">
        <v>216</v>
      </c>
      <c r="I22" s="333" t="s">
        <v>216</v>
      </c>
      <c r="J22" s="333" t="s">
        <v>216</v>
      </c>
      <c r="K22" s="333" t="s">
        <v>216</v>
      </c>
      <c r="L22" s="331" t="s">
        <v>216</v>
      </c>
      <c r="M22" s="332" t="str" cm="1">
        <f t="array" ref="M22">IFERROR(_xlfn.SWITCH(M21,-1,"i",0,"g",1,"h"),"")</f>
        <v>g</v>
      </c>
      <c r="N22" s="332"/>
      <c r="O22" s="333" t="s">
        <v>216</v>
      </c>
      <c r="P22" s="333" t="s">
        <v>216</v>
      </c>
      <c r="Q22" s="333" t="s">
        <v>216</v>
      </c>
      <c r="R22" s="333" t="s">
        <v>216</v>
      </c>
      <c r="S22" s="333" t="s">
        <v>216</v>
      </c>
      <c r="T22" s="333" t="s">
        <v>216</v>
      </c>
      <c r="U22" s="333" t="s">
        <v>216</v>
      </c>
      <c r="V22" s="333" t="s">
        <v>216</v>
      </c>
      <c r="W22" s="333" t="s">
        <v>216</v>
      </c>
      <c r="X22" s="333" t="s">
        <v>216</v>
      </c>
      <c r="Y22" s="340" t="s">
        <v>216</v>
      </c>
      <c r="Z22" s="334" t="s">
        <v>216</v>
      </c>
      <c r="AA22" s="333" t="s">
        <v>216</v>
      </c>
      <c r="AB22" s="333" t="s">
        <v>216</v>
      </c>
      <c r="AC22" s="338" t="s">
        <v>216</v>
      </c>
      <c r="AG22" s="602"/>
      <c r="AH22" s="602"/>
    </row>
    <row r="23" spans="1:34" x14ac:dyDescent="0.4">
      <c r="A23" s="769"/>
      <c r="B23" s="763"/>
      <c r="C23" s="763"/>
      <c r="D23" s="763"/>
      <c r="E23" s="763"/>
      <c r="F23" s="763"/>
      <c r="G23" s="763"/>
      <c r="H23" s="763"/>
      <c r="I23" s="763"/>
      <c r="J23" s="763"/>
      <c r="K23" s="763"/>
      <c r="L23" s="763"/>
      <c r="M23" s="763"/>
      <c r="N23" s="763"/>
      <c r="O23" s="763"/>
      <c r="P23" s="763"/>
      <c r="Q23" s="763"/>
      <c r="R23" s="763"/>
      <c r="S23" s="763"/>
      <c r="T23" s="763"/>
      <c r="U23" s="763"/>
      <c r="V23" s="763"/>
      <c r="W23" s="763"/>
      <c r="X23" s="763"/>
      <c r="Y23" s="763"/>
      <c r="Z23" s="763"/>
      <c r="AA23" s="763"/>
      <c r="AB23" s="763"/>
      <c r="AC23" s="764"/>
      <c r="AG23" s="602"/>
      <c r="AH23" s="602"/>
    </row>
    <row r="24" spans="1:34" ht="8.25" customHeight="1" x14ac:dyDescent="0.4">
      <c r="A24" s="783" t="s">
        <v>216</v>
      </c>
      <c r="B24" s="784"/>
      <c r="C24" s="784"/>
      <c r="D24" s="784"/>
      <c r="E24" s="784"/>
      <c r="F24" s="784"/>
      <c r="G24" s="784"/>
      <c r="H24" s="784"/>
      <c r="I24" s="784"/>
      <c r="J24" s="784"/>
      <c r="K24" s="784"/>
      <c r="L24" s="784"/>
      <c r="M24" s="784"/>
      <c r="N24" s="784"/>
      <c r="O24" s="784"/>
      <c r="P24" s="784"/>
      <c r="Q24" s="784"/>
      <c r="R24" s="784"/>
      <c r="S24" s="784"/>
      <c r="T24" s="784"/>
      <c r="U24" s="784"/>
      <c r="V24" s="784"/>
      <c r="W24" s="784"/>
      <c r="X24" s="784"/>
      <c r="Y24" s="784"/>
      <c r="Z24" s="784"/>
      <c r="AA24" s="784"/>
      <c r="AB24" s="784"/>
      <c r="AC24" s="784"/>
      <c r="AG24" s="602"/>
      <c r="AH24" s="602"/>
    </row>
    <row r="25" spans="1:34" ht="29.25" customHeight="1" x14ac:dyDescent="0.4">
      <c r="A25" s="319" t="s">
        <v>348</v>
      </c>
      <c r="B25" s="341" t="s">
        <v>91</v>
      </c>
      <c r="C25" s="321">
        <v>0</v>
      </c>
      <c r="D25" s="322" t="s">
        <v>233</v>
      </c>
      <c r="E25" s="323">
        <v>45681</v>
      </c>
      <c r="F25" s="324">
        <v>28586000</v>
      </c>
      <c r="G25" s="324">
        <v>29889000</v>
      </c>
      <c r="H25" s="325">
        <v>48373</v>
      </c>
      <c r="I25" s="325">
        <v>48373</v>
      </c>
      <c r="J25" s="324">
        <v>0</v>
      </c>
      <c r="K25" s="324">
        <v>3309480</v>
      </c>
      <c r="L25" s="341" t="s">
        <v>91</v>
      </c>
      <c r="M25" s="321">
        <v>0</v>
      </c>
      <c r="N25" s="321" t="str">
        <f>D25</f>
        <v>OBC</v>
      </c>
      <c r="O25" s="327">
        <v>45720</v>
      </c>
      <c r="P25" s="324">
        <v>26545167</v>
      </c>
      <c r="Q25" s="324">
        <v>39734257.829999998</v>
      </c>
      <c r="R25" s="324">
        <v>13520627.050000001</v>
      </c>
      <c r="S25" s="325">
        <v>48374</v>
      </c>
      <c r="T25" s="325">
        <v>48410</v>
      </c>
      <c r="U25" s="328">
        <v>0</v>
      </c>
      <c r="V25" s="324">
        <v>3032540.08</v>
      </c>
      <c r="W25" s="324">
        <v>3015697.1866000001</v>
      </c>
      <c r="X25" s="324">
        <v>3015225.92</v>
      </c>
      <c r="Y25" s="329">
        <v>1.0001562956184722</v>
      </c>
      <c r="Z25" s="329">
        <v>0.99444594532778607</v>
      </c>
      <c r="AA25" s="318">
        <f>IFERROR(V25/P25,"")</f>
        <v>0.1142407610394766</v>
      </c>
      <c r="AB25" s="318">
        <f>IFERROR(W25/P25,"")</f>
        <v>0.11360626160686803</v>
      </c>
      <c r="AC25" s="341" t="s">
        <v>90</v>
      </c>
      <c r="AD25" s="584" t="str">
        <f>$D25&amp;CHAR(10)&amp;TEXT($E25,"(mmm-yy)")</f>
        <v>OBC
(Jan-25)</v>
      </c>
      <c r="AE25" s="584" t="str">
        <f>$N25&amp;CHAR(10)&amp;TEXT($O25,"(mmm-yy)")</f>
        <v>OBC
(Mar-25)</v>
      </c>
      <c r="AG25" s="602" t="s">
        <v>540</v>
      </c>
      <c r="AH25" s="602" t="s">
        <v>514</v>
      </c>
    </row>
    <row r="26" spans="1:34" ht="17.25" customHeight="1" outlineLevel="1" collapsed="1" x14ac:dyDescent="0.4">
      <c r="A26" s="319" t="s">
        <v>216</v>
      </c>
      <c r="B26" s="331" t="s">
        <v>216</v>
      </c>
      <c r="C26" s="332" t="str" cm="1">
        <f t="array" ref="C26">IFERROR(_xlfn.SWITCH(C25,-1,"i",0,"g",1,"h"),"")</f>
        <v>g</v>
      </c>
      <c r="D26" s="322" t="s">
        <v>216</v>
      </c>
      <c r="E26" s="322" t="s">
        <v>216</v>
      </c>
      <c r="F26" s="333" t="s">
        <v>216</v>
      </c>
      <c r="G26" s="333" t="s">
        <v>216</v>
      </c>
      <c r="H26" s="333" t="s">
        <v>216</v>
      </c>
      <c r="I26" s="333" t="s">
        <v>216</v>
      </c>
      <c r="J26" s="333" t="s">
        <v>216</v>
      </c>
      <c r="K26" s="333" t="s">
        <v>216</v>
      </c>
      <c r="L26" s="331" t="s">
        <v>216</v>
      </c>
      <c r="M26" s="332" t="str" cm="1">
        <f t="array" ref="M26">IFERROR(_xlfn.SWITCH(M25,-1,"i",0,"g",1,"h"),"")</f>
        <v>g</v>
      </c>
      <c r="N26" s="332"/>
      <c r="O26" s="333" t="s">
        <v>216</v>
      </c>
      <c r="P26" s="333" t="s">
        <v>216</v>
      </c>
      <c r="Q26" s="333" t="s">
        <v>216</v>
      </c>
      <c r="R26" s="333" t="s">
        <v>216</v>
      </c>
      <c r="S26" s="333" t="s">
        <v>216</v>
      </c>
      <c r="T26" s="333" t="s">
        <v>216</v>
      </c>
      <c r="U26" s="333" t="s">
        <v>216</v>
      </c>
      <c r="V26" s="333" t="s">
        <v>216</v>
      </c>
      <c r="W26" s="333" t="s">
        <v>216</v>
      </c>
      <c r="X26" s="333" t="s">
        <v>216</v>
      </c>
      <c r="Y26" s="334" t="s">
        <v>216</v>
      </c>
      <c r="Z26" s="334" t="s">
        <v>216</v>
      </c>
      <c r="AA26" s="333" t="s">
        <v>216</v>
      </c>
      <c r="AB26" s="333" t="s">
        <v>216</v>
      </c>
      <c r="AC26" s="338" t="s">
        <v>216</v>
      </c>
      <c r="AG26" s="602"/>
      <c r="AH26" s="602"/>
    </row>
    <row r="27" spans="1:34" x14ac:dyDescent="0.4">
      <c r="A27" s="769"/>
      <c r="B27" s="763"/>
      <c r="C27" s="763"/>
      <c r="D27" s="763"/>
      <c r="E27" s="763"/>
      <c r="F27" s="763"/>
      <c r="G27" s="763"/>
      <c r="H27" s="763"/>
      <c r="I27" s="763"/>
      <c r="J27" s="763"/>
      <c r="K27" s="763"/>
      <c r="L27" s="763"/>
      <c r="M27" s="763"/>
      <c r="N27" s="763"/>
      <c r="O27" s="763"/>
      <c r="P27" s="763"/>
      <c r="Q27" s="763"/>
      <c r="R27" s="763"/>
      <c r="S27" s="763"/>
      <c r="T27" s="763"/>
      <c r="U27" s="763"/>
      <c r="V27" s="763"/>
      <c r="W27" s="763"/>
      <c r="X27" s="763"/>
      <c r="Y27" s="763"/>
      <c r="Z27" s="763"/>
      <c r="AA27" s="763"/>
      <c r="AB27" s="763"/>
      <c r="AC27" s="764"/>
      <c r="AG27" s="602"/>
      <c r="AH27" s="602"/>
    </row>
    <row r="28" spans="1:34" ht="8.25" customHeight="1" x14ac:dyDescent="0.4">
      <c r="A28" s="783" t="s">
        <v>216</v>
      </c>
      <c r="B28" s="784"/>
      <c r="C28" s="784"/>
      <c r="D28" s="784"/>
      <c r="E28" s="784"/>
      <c r="F28" s="784"/>
      <c r="G28" s="784"/>
      <c r="H28" s="784"/>
      <c r="I28" s="784"/>
      <c r="J28" s="784"/>
      <c r="K28" s="784"/>
      <c r="L28" s="784"/>
      <c r="M28" s="784"/>
      <c r="N28" s="784"/>
      <c r="O28" s="784"/>
      <c r="P28" s="784"/>
      <c r="Q28" s="784"/>
      <c r="R28" s="784"/>
      <c r="S28" s="784"/>
      <c r="T28" s="784"/>
      <c r="U28" s="784"/>
      <c r="V28" s="784"/>
      <c r="W28" s="784"/>
      <c r="X28" s="784"/>
      <c r="Y28" s="784"/>
      <c r="Z28" s="784"/>
      <c r="AA28" s="784"/>
      <c r="AB28" s="784"/>
      <c r="AC28" s="784"/>
      <c r="AG28" s="602"/>
      <c r="AH28" s="602"/>
    </row>
    <row r="29" spans="1:34" ht="29.15" x14ac:dyDescent="0.4">
      <c r="A29" s="319" t="s">
        <v>109</v>
      </c>
      <c r="B29" s="341" t="s">
        <v>95</v>
      </c>
      <c r="C29" s="321">
        <v>0</v>
      </c>
      <c r="D29" s="322" t="s">
        <v>95</v>
      </c>
      <c r="E29" s="323" t="s">
        <v>216</v>
      </c>
      <c r="F29" s="324">
        <v>46400000</v>
      </c>
      <c r="G29" s="324">
        <v>0</v>
      </c>
      <c r="H29" s="325">
        <v>46812</v>
      </c>
      <c r="I29" s="325" t="s">
        <v>216</v>
      </c>
      <c r="J29" s="324">
        <v>0</v>
      </c>
      <c r="K29" s="324">
        <v>46400000</v>
      </c>
      <c r="L29" s="341" t="s">
        <v>95</v>
      </c>
      <c r="M29" s="321">
        <v>0</v>
      </c>
      <c r="N29" s="321" t="str">
        <f>D29</f>
        <v>N/A</v>
      </c>
      <c r="O29" s="327">
        <v>45163</v>
      </c>
      <c r="P29" s="324">
        <v>142429940</v>
      </c>
      <c r="Q29" s="324">
        <v>157941010.38</v>
      </c>
      <c r="R29" s="324">
        <v>-164312.94</v>
      </c>
      <c r="S29" s="325">
        <v>46951</v>
      </c>
      <c r="T29" s="325">
        <v>46951</v>
      </c>
      <c r="U29" s="328">
        <v>0</v>
      </c>
      <c r="V29" s="324">
        <v>29903684.629999999</v>
      </c>
      <c r="W29" s="324">
        <v>18198192.644400001</v>
      </c>
      <c r="X29" s="324">
        <v>26057377.559999999</v>
      </c>
      <c r="Y29" s="329">
        <v>0.69838926048857541</v>
      </c>
      <c r="Z29" s="329">
        <v>0.60856021154474038</v>
      </c>
      <c r="AA29" s="318">
        <f>IFERROR(V29/P29,"")</f>
        <v>0.20995364198004998</v>
      </c>
      <c r="AB29" s="318">
        <f>IFERROR(W29/P29,"")</f>
        <v>0.1277694327779679</v>
      </c>
      <c r="AC29" s="341" t="s">
        <v>91</v>
      </c>
      <c r="AD29" s="584" t="str">
        <f>$D29&amp;CHAR(10)&amp;TEXT($E29,"(mmm-yy)")</f>
        <v xml:space="preserve">N/A
</v>
      </c>
      <c r="AE29" s="584" t="str">
        <f>$N29&amp;CHAR(10)&amp;TEXT($O29,"(mmm-yy)")</f>
        <v>N/A
(Aug-23)</v>
      </c>
      <c r="AG29" s="602" t="s">
        <v>541</v>
      </c>
      <c r="AH29" s="602" t="s">
        <v>542</v>
      </c>
    </row>
    <row r="30" spans="1:34" ht="17.25" customHeight="1" outlineLevel="1" collapsed="1" x14ac:dyDescent="0.4">
      <c r="A30" s="319" t="s">
        <v>216</v>
      </c>
      <c r="B30" s="331" t="s">
        <v>216</v>
      </c>
      <c r="C30" s="332" t="str" cm="1">
        <f t="array" ref="C30">IFERROR(_xlfn.SWITCH(C29,-1,"i",0,"g",1,"h"),"")</f>
        <v>g</v>
      </c>
      <c r="D30" s="322" t="s">
        <v>216</v>
      </c>
      <c r="E30" s="322" t="s">
        <v>216</v>
      </c>
      <c r="F30" s="333" t="s">
        <v>216</v>
      </c>
      <c r="G30" s="333" t="s">
        <v>216</v>
      </c>
      <c r="H30" s="333" t="s">
        <v>216</v>
      </c>
      <c r="I30" s="333" t="s">
        <v>216</v>
      </c>
      <c r="J30" s="333" t="s">
        <v>216</v>
      </c>
      <c r="K30" s="333" t="s">
        <v>216</v>
      </c>
      <c r="L30" s="331" t="s">
        <v>216</v>
      </c>
      <c r="M30" s="332" t="str" cm="1">
        <f t="array" ref="M30">IFERROR(_xlfn.SWITCH(M29,-1,"i",0,"g",1,"h"),"")</f>
        <v>g</v>
      </c>
      <c r="N30" s="332"/>
      <c r="O30" s="333" t="s">
        <v>216</v>
      </c>
      <c r="P30" s="333" t="s">
        <v>216</v>
      </c>
      <c r="Q30" s="333" t="s">
        <v>216</v>
      </c>
      <c r="R30" s="333" t="s">
        <v>216</v>
      </c>
      <c r="S30" s="333" t="s">
        <v>216</v>
      </c>
      <c r="T30" s="333" t="s">
        <v>216</v>
      </c>
      <c r="U30" s="333" t="s">
        <v>216</v>
      </c>
      <c r="V30" s="333" t="s">
        <v>216</v>
      </c>
      <c r="W30" s="333" t="s">
        <v>216</v>
      </c>
      <c r="X30" s="333" t="s">
        <v>216</v>
      </c>
      <c r="Y30" s="334" t="s">
        <v>216</v>
      </c>
      <c r="Z30" s="334" t="s">
        <v>216</v>
      </c>
      <c r="AA30" s="333" t="s">
        <v>216</v>
      </c>
      <c r="AB30" s="333" t="s">
        <v>216</v>
      </c>
      <c r="AC30" s="338" t="s">
        <v>216</v>
      </c>
      <c r="AG30" s="602"/>
      <c r="AH30" s="602"/>
    </row>
    <row r="31" spans="1:34" x14ac:dyDescent="0.4">
      <c r="A31" s="769"/>
      <c r="B31" s="763"/>
      <c r="C31" s="763"/>
      <c r="D31" s="763"/>
      <c r="E31" s="763"/>
      <c r="F31" s="763"/>
      <c r="G31" s="763"/>
      <c r="H31" s="763"/>
      <c r="I31" s="763"/>
      <c r="J31" s="763"/>
      <c r="K31" s="763"/>
      <c r="L31" s="763"/>
      <c r="M31" s="763"/>
      <c r="N31" s="763"/>
      <c r="O31" s="763"/>
      <c r="P31" s="763"/>
      <c r="Q31" s="763"/>
      <c r="R31" s="763"/>
      <c r="S31" s="763"/>
      <c r="T31" s="763"/>
      <c r="U31" s="763"/>
      <c r="V31" s="763"/>
      <c r="W31" s="763"/>
      <c r="X31" s="763"/>
      <c r="Y31" s="763"/>
      <c r="Z31" s="763"/>
      <c r="AA31" s="763"/>
      <c r="AB31" s="763"/>
      <c r="AC31" s="764"/>
      <c r="AG31" s="602"/>
      <c r="AH31" s="602"/>
    </row>
    <row r="32" spans="1:34" ht="8.25" customHeight="1" x14ac:dyDescent="0.4">
      <c r="A32" s="783" t="s">
        <v>216</v>
      </c>
      <c r="B32" s="784"/>
      <c r="C32" s="784"/>
      <c r="D32" s="784"/>
      <c r="E32" s="784"/>
      <c r="F32" s="784"/>
      <c r="G32" s="784"/>
      <c r="H32" s="784"/>
      <c r="I32" s="784"/>
      <c r="J32" s="784"/>
      <c r="K32" s="784"/>
      <c r="L32" s="784"/>
      <c r="M32" s="784"/>
      <c r="N32" s="784"/>
      <c r="O32" s="784"/>
      <c r="P32" s="784"/>
      <c r="Q32" s="784"/>
      <c r="R32" s="784"/>
      <c r="S32" s="784"/>
      <c r="T32" s="784"/>
      <c r="U32" s="784"/>
      <c r="V32" s="784"/>
      <c r="W32" s="784"/>
      <c r="X32" s="784"/>
      <c r="Y32" s="784"/>
      <c r="Z32" s="784"/>
      <c r="AA32" s="784"/>
      <c r="AB32" s="784"/>
      <c r="AC32" s="784"/>
      <c r="AG32" s="602"/>
      <c r="AH32" s="602"/>
    </row>
    <row r="33" spans="1:34" ht="29.25" customHeight="1" x14ac:dyDescent="0.4">
      <c r="A33" s="319" t="s">
        <v>373</v>
      </c>
      <c r="B33" s="341" t="s">
        <v>90</v>
      </c>
      <c r="C33" s="321">
        <v>0</v>
      </c>
      <c r="D33" s="322" t="s">
        <v>235</v>
      </c>
      <c r="E33" s="323">
        <v>44935</v>
      </c>
      <c r="F33" s="324">
        <v>27608000</v>
      </c>
      <c r="G33" s="324">
        <v>28241000</v>
      </c>
      <c r="H33" s="325">
        <v>46053</v>
      </c>
      <c r="I33" s="325">
        <v>46203</v>
      </c>
      <c r="J33" s="324">
        <v>0</v>
      </c>
      <c r="K33" s="324">
        <v>28241000</v>
      </c>
      <c r="L33" s="341" t="s">
        <v>90</v>
      </c>
      <c r="M33" s="321">
        <v>0</v>
      </c>
      <c r="N33" s="321" t="str">
        <f>D33</f>
        <v>FBC</v>
      </c>
      <c r="O33" s="327">
        <v>45015</v>
      </c>
      <c r="P33" s="324">
        <v>18788383</v>
      </c>
      <c r="Q33" s="324">
        <v>28070365.289999999</v>
      </c>
      <c r="R33" s="324">
        <v>24120.6</v>
      </c>
      <c r="S33" s="325">
        <v>46043</v>
      </c>
      <c r="T33" s="325">
        <v>46469</v>
      </c>
      <c r="U33" s="328">
        <v>0</v>
      </c>
      <c r="V33" s="324">
        <v>26770140.609999999</v>
      </c>
      <c r="W33" s="324">
        <v>26108118.8928</v>
      </c>
      <c r="X33" s="324">
        <v>27674313.579999998</v>
      </c>
      <c r="Y33" s="329">
        <v>0.9434061956885581</v>
      </c>
      <c r="Z33" s="329">
        <v>0.97527014419368785</v>
      </c>
      <c r="AA33" s="318">
        <f>IFERROR(V33/P33,"")</f>
        <v>1.4248240846484765</v>
      </c>
      <c r="AB33" s="318">
        <f>IFERROR(W33/P33,"")</f>
        <v>1.3895883904857591</v>
      </c>
      <c r="AC33" s="341" t="s">
        <v>91</v>
      </c>
      <c r="AD33" s="584" t="str">
        <f>$D33&amp;CHAR(10)&amp;TEXT($E33,"(mmm-yy)")</f>
        <v>FBC
(Jan-23)</v>
      </c>
      <c r="AE33" s="584" t="str">
        <f>$N33&amp;CHAR(10)&amp;TEXT($O33,"(mmm-yy)")</f>
        <v>FBC
(Mar-23)</v>
      </c>
      <c r="AG33" s="602" t="s">
        <v>209</v>
      </c>
      <c r="AH33" s="602" t="s">
        <v>515</v>
      </c>
    </row>
    <row r="34" spans="1:34" ht="17.25" customHeight="1" outlineLevel="1" collapsed="1" x14ac:dyDescent="0.4">
      <c r="A34" s="319" t="s">
        <v>216</v>
      </c>
      <c r="B34" s="331" t="s">
        <v>216</v>
      </c>
      <c r="C34" s="332" t="str" cm="1">
        <f t="array" ref="C34">IFERROR(_xlfn.SWITCH(C33,-1,"i",0,"g",1,"h"),"")</f>
        <v>g</v>
      </c>
      <c r="D34" s="322" t="s">
        <v>216</v>
      </c>
      <c r="E34" s="322" t="s">
        <v>216</v>
      </c>
      <c r="F34" s="333" t="s">
        <v>216</v>
      </c>
      <c r="G34" s="333" t="s">
        <v>216</v>
      </c>
      <c r="H34" s="333" t="s">
        <v>216</v>
      </c>
      <c r="I34" s="333" t="s">
        <v>216</v>
      </c>
      <c r="J34" s="333" t="s">
        <v>216</v>
      </c>
      <c r="K34" s="333" t="s">
        <v>216</v>
      </c>
      <c r="L34" s="331" t="s">
        <v>216</v>
      </c>
      <c r="M34" s="332" t="str" cm="1">
        <f t="array" ref="M34">IFERROR(_xlfn.SWITCH(M33,-1,"i",0,"g",1,"h"),"")</f>
        <v>g</v>
      </c>
      <c r="N34" s="332"/>
      <c r="O34" s="333" t="s">
        <v>216</v>
      </c>
      <c r="P34" s="333" t="s">
        <v>216</v>
      </c>
      <c r="Q34" s="333" t="s">
        <v>216</v>
      </c>
      <c r="R34" s="333" t="s">
        <v>216</v>
      </c>
      <c r="S34" s="333" t="s">
        <v>216</v>
      </c>
      <c r="T34" s="333" t="s">
        <v>216</v>
      </c>
      <c r="U34" s="333" t="s">
        <v>216</v>
      </c>
      <c r="V34" s="333" t="s">
        <v>216</v>
      </c>
      <c r="W34" s="333" t="s">
        <v>216</v>
      </c>
      <c r="X34" s="333" t="s">
        <v>216</v>
      </c>
      <c r="Y34" s="334" t="s">
        <v>216</v>
      </c>
      <c r="Z34" s="334" t="s">
        <v>216</v>
      </c>
      <c r="AA34" s="333" t="s">
        <v>216</v>
      </c>
      <c r="AB34" s="333" t="s">
        <v>216</v>
      </c>
      <c r="AC34" s="338" t="s">
        <v>216</v>
      </c>
      <c r="AG34" s="602"/>
      <c r="AH34" s="602"/>
    </row>
    <row r="35" spans="1:34" x14ac:dyDescent="0.4">
      <c r="A35" s="769"/>
      <c r="B35" s="763"/>
      <c r="C35" s="763"/>
      <c r="D35" s="763"/>
      <c r="E35" s="763"/>
      <c r="F35" s="763"/>
      <c r="G35" s="763"/>
      <c r="H35" s="763"/>
      <c r="I35" s="763"/>
      <c r="J35" s="763"/>
      <c r="K35" s="763"/>
      <c r="L35" s="763"/>
      <c r="M35" s="763"/>
      <c r="N35" s="763"/>
      <c r="O35" s="763"/>
      <c r="P35" s="763"/>
      <c r="Q35" s="763"/>
      <c r="R35" s="763"/>
      <c r="S35" s="763"/>
      <c r="T35" s="763"/>
      <c r="U35" s="763"/>
      <c r="V35" s="763"/>
      <c r="W35" s="763"/>
      <c r="X35" s="763"/>
      <c r="Y35" s="763"/>
      <c r="Z35" s="763"/>
      <c r="AA35" s="763"/>
      <c r="AB35" s="763"/>
      <c r="AC35" s="764"/>
      <c r="AG35" s="602"/>
      <c r="AH35" s="602"/>
    </row>
    <row r="36" spans="1:34" ht="8.25" customHeight="1" x14ac:dyDescent="0.4">
      <c r="A36" s="783" t="s">
        <v>216</v>
      </c>
      <c r="B36" s="784"/>
      <c r="C36" s="784"/>
      <c r="D36" s="784"/>
      <c r="E36" s="784"/>
      <c r="F36" s="784"/>
      <c r="G36" s="784"/>
      <c r="H36" s="784"/>
      <c r="I36" s="784"/>
      <c r="J36" s="784"/>
      <c r="K36" s="784"/>
      <c r="L36" s="784"/>
      <c r="M36" s="784"/>
      <c r="N36" s="784"/>
      <c r="O36" s="784"/>
      <c r="P36" s="784"/>
      <c r="Q36" s="784"/>
      <c r="R36" s="784"/>
      <c r="S36" s="784"/>
      <c r="T36" s="784"/>
      <c r="U36" s="784"/>
      <c r="V36" s="784"/>
      <c r="W36" s="784"/>
      <c r="X36" s="784"/>
      <c r="Y36" s="784"/>
      <c r="Z36" s="784"/>
      <c r="AA36" s="784"/>
      <c r="AB36" s="784"/>
      <c r="AC36" s="784"/>
      <c r="AG36" s="602"/>
      <c r="AH36" s="602"/>
    </row>
    <row r="37" spans="1:34" ht="29.15" x14ac:dyDescent="0.4">
      <c r="A37" s="319" t="s">
        <v>317</v>
      </c>
      <c r="B37" s="341" t="s">
        <v>90</v>
      </c>
      <c r="C37" s="321">
        <v>0</v>
      </c>
      <c r="D37" s="322" t="s">
        <v>235</v>
      </c>
      <c r="E37" s="323">
        <v>44561</v>
      </c>
      <c r="F37" s="324">
        <v>20366653</v>
      </c>
      <c r="G37" s="324">
        <v>21841460</v>
      </c>
      <c r="H37" s="325">
        <v>46234</v>
      </c>
      <c r="I37" s="325">
        <v>46477</v>
      </c>
      <c r="J37" s="324">
        <v>0</v>
      </c>
      <c r="K37" s="324">
        <v>20366653</v>
      </c>
      <c r="L37" s="341" t="s">
        <v>90</v>
      </c>
      <c r="M37" s="321">
        <v>0</v>
      </c>
      <c r="N37" s="321" t="str">
        <f>D37</f>
        <v>FBC</v>
      </c>
      <c r="O37" s="327">
        <v>44651</v>
      </c>
      <c r="P37" s="324">
        <v>19192466</v>
      </c>
      <c r="Q37" s="324">
        <v>20468821.050000001</v>
      </c>
      <c r="R37" s="324">
        <v>-16845.080000000002</v>
      </c>
      <c r="S37" s="325">
        <v>46230</v>
      </c>
      <c r="T37" s="325">
        <v>47018</v>
      </c>
      <c r="U37" s="328">
        <v>0</v>
      </c>
      <c r="V37" s="324">
        <v>18458137.359999999</v>
      </c>
      <c r="W37" s="324">
        <v>14173705.3575</v>
      </c>
      <c r="X37" s="324">
        <v>16500456.5</v>
      </c>
      <c r="Y37" s="329">
        <v>0.85898868055559552</v>
      </c>
      <c r="Z37" s="329">
        <v>0.76788383795514237</v>
      </c>
      <c r="AA37" s="318">
        <f>IFERROR(V37/P37,"")</f>
        <v>0.96173870309318243</v>
      </c>
      <c r="AB37" s="318">
        <f>IFERROR(W37/P37,"")</f>
        <v>0.73850360644119417</v>
      </c>
      <c r="AC37" s="341" t="s">
        <v>90</v>
      </c>
      <c r="AD37" s="584" t="str">
        <f>$D37&amp;CHAR(10)&amp;TEXT($E37,"(mmm-yy)")</f>
        <v>FBC
(Dec-21)</v>
      </c>
      <c r="AE37" s="584" t="str">
        <f>$N37&amp;CHAR(10)&amp;TEXT($O37,"(mmm-yy)")</f>
        <v>FBC
(Mar-22)</v>
      </c>
      <c r="AG37" s="602" t="s">
        <v>16</v>
      </c>
      <c r="AH37" s="602" t="s">
        <v>389</v>
      </c>
    </row>
    <row r="38" spans="1:34" ht="17.25" customHeight="1" outlineLevel="1" collapsed="1" x14ac:dyDescent="0.4">
      <c r="A38" s="319" t="s">
        <v>216</v>
      </c>
      <c r="B38" s="331" t="s">
        <v>216</v>
      </c>
      <c r="C38" s="332" t="str" cm="1">
        <f t="array" ref="C38">IFERROR(_xlfn.SWITCH(C37,-1,"i",0,"g",1,"h"),"")</f>
        <v>g</v>
      </c>
      <c r="D38" s="322" t="s">
        <v>216</v>
      </c>
      <c r="E38" s="322" t="s">
        <v>216</v>
      </c>
      <c r="F38" s="333" t="s">
        <v>216</v>
      </c>
      <c r="G38" s="333" t="s">
        <v>216</v>
      </c>
      <c r="H38" s="333" t="s">
        <v>216</v>
      </c>
      <c r="I38" s="333" t="s">
        <v>216</v>
      </c>
      <c r="J38" s="333" t="s">
        <v>216</v>
      </c>
      <c r="K38" s="333" t="s">
        <v>216</v>
      </c>
      <c r="L38" s="331" t="s">
        <v>216</v>
      </c>
      <c r="M38" s="332" t="str" cm="1">
        <f t="array" ref="M38">IFERROR(_xlfn.SWITCH(M37,-1,"i",0,"g",1,"h"),"")</f>
        <v>g</v>
      </c>
      <c r="N38" s="332"/>
      <c r="O38" s="333" t="s">
        <v>216</v>
      </c>
      <c r="P38" s="333" t="s">
        <v>216</v>
      </c>
      <c r="Q38" s="333" t="s">
        <v>216</v>
      </c>
      <c r="R38" s="333" t="s">
        <v>216</v>
      </c>
      <c r="S38" s="333" t="s">
        <v>216</v>
      </c>
      <c r="T38" s="333" t="s">
        <v>216</v>
      </c>
      <c r="U38" s="333" t="s">
        <v>216</v>
      </c>
      <c r="V38" s="333" t="s">
        <v>216</v>
      </c>
      <c r="W38" s="333" t="s">
        <v>216</v>
      </c>
      <c r="X38" s="333" t="s">
        <v>216</v>
      </c>
      <c r="Y38" s="334" t="s">
        <v>216</v>
      </c>
      <c r="Z38" s="334" t="s">
        <v>216</v>
      </c>
      <c r="AA38" s="333" t="s">
        <v>216</v>
      </c>
      <c r="AB38" s="333" t="s">
        <v>216</v>
      </c>
      <c r="AC38" s="338" t="s">
        <v>216</v>
      </c>
      <c r="AG38" s="602"/>
      <c r="AH38" s="602"/>
    </row>
    <row r="39" spans="1:34" x14ac:dyDescent="0.4">
      <c r="A39" s="769"/>
      <c r="B39" s="763"/>
      <c r="C39" s="763"/>
      <c r="D39" s="763"/>
      <c r="E39" s="763"/>
      <c r="F39" s="763"/>
      <c r="G39" s="763"/>
      <c r="H39" s="763"/>
      <c r="I39" s="763"/>
      <c r="J39" s="763"/>
      <c r="K39" s="763"/>
      <c r="L39" s="763"/>
      <c r="M39" s="763"/>
      <c r="N39" s="763"/>
      <c r="O39" s="763"/>
      <c r="P39" s="763"/>
      <c r="Q39" s="763"/>
      <c r="R39" s="763"/>
      <c r="S39" s="763"/>
      <c r="T39" s="763"/>
      <c r="U39" s="763"/>
      <c r="V39" s="763"/>
      <c r="W39" s="763"/>
      <c r="X39" s="763"/>
      <c r="Y39" s="763"/>
      <c r="Z39" s="763"/>
      <c r="AA39" s="763"/>
      <c r="AB39" s="763"/>
      <c r="AC39" s="764"/>
      <c r="AG39" s="602"/>
      <c r="AH39" s="602"/>
    </row>
    <row r="40" spans="1:34" ht="8.25" customHeight="1" x14ac:dyDescent="0.4">
      <c r="A40" s="783" t="s">
        <v>216</v>
      </c>
      <c r="B40" s="784"/>
      <c r="C40" s="784"/>
      <c r="D40" s="784"/>
      <c r="E40" s="784"/>
      <c r="F40" s="784"/>
      <c r="G40" s="784"/>
      <c r="H40" s="784"/>
      <c r="I40" s="784"/>
      <c r="J40" s="784"/>
      <c r="K40" s="784"/>
      <c r="L40" s="784"/>
      <c r="M40" s="784"/>
      <c r="N40" s="784"/>
      <c r="O40" s="784"/>
      <c r="P40" s="784"/>
      <c r="Q40" s="784"/>
      <c r="R40" s="784"/>
      <c r="S40" s="784"/>
      <c r="T40" s="784"/>
      <c r="U40" s="784"/>
      <c r="V40" s="784"/>
      <c r="W40" s="784"/>
      <c r="X40" s="784"/>
      <c r="Y40" s="784"/>
      <c r="Z40" s="784"/>
      <c r="AA40" s="784"/>
      <c r="AB40" s="784"/>
      <c r="AC40" s="784"/>
      <c r="AG40" s="602"/>
      <c r="AH40" s="602"/>
    </row>
    <row r="41" spans="1:34" ht="29.15" x14ac:dyDescent="0.4">
      <c r="A41" s="319" t="s">
        <v>316</v>
      </c>
      <c r="B41" s="341" t="s">
        <v>91</v>
      </c>
      <c r="C41" s="321">
        <v>0</v>
      </c>
      <c r="D41" s="322" t="s">
        <v>235</v>
      </c>
      <c r="E41" s="323">
        <v>44958</v>
      </c>
      <c r="F41" s="324">
        <v>105000000</v>
      </c>
      <c r="G41" s="324">
        <v>105500000</v>
      </c>
      <c r="H41" s="325">
        <v>45747</v>
      </c>
      <c r="I41" s="325">
        <v>47361</v>
      </c>
      <c r="J41" s="324">
        <v>0</v>
      </c>
      <c r="K41" s="324">
        <v>105500000</v>
      </c>
      <c r="L41" s="341" t="s">
        <v>90</v>
      </c>
      <c r="M41" s="321">
        <v>0</v>
      </c>
      <c r="N41" s="321" t="str">
        <f>D41</f>
        <v>FBC</v>
      </c>
      <c r="O41" s="327">
        <v>44865</v>
      </c>
      <c r="P41" s="324">
        <v>103818153</v>
      </c>
      <c r="Q41" s="324">
        <v>101980659.56</v>
      </c>
      <c r="R41" s="324">
        <v>31826.7</v>
      </c>
      <c r="S41" s="325">
        <v>45747</v>
      </c>
      <c r="T41" s="325">
        <v>46660</v>
      </c>
      <c r="U41" s="328">
        <v>0</v>
      </c>
      <c r="V41" s="324">
        <v>103818152.61</v>
      </c>
      <c r="W41" s="324">
        <v>92238614.192599997</v>
      </c>
      <c r="X41" s="324">
        <v>100602701.53</v>
      </c>
      <c r="Y41" s="329">
        <v>0.91686021140390739</v>
      </c>
      <c r="Z41" s="329">
        <v>0.88846325882045574</v>
      </c>
      <c r="AA41" s="318">
        <f>IFERROR(V41/P41,"")</f>
        <v>0.9999999962434315</v>
      </c>
      <c r="AB41" s="318">
        <f>IFERROR(W41/P41,"")</f>
        <v>0.88846325548288263</v>
      </c>
      <c r="AC41" s="341" t="s">
        <v>91</v>
      </c>
      <c r="AD41" s="584" t="str">
        <f>$D41&amp;CHAR(10)&amp;TEXT($E41,"(mmm-yy)")</f>
        <v>FBC
(Feb-23)</v>
      </c>
      <c r="AE41" s="584" t="str">
        <f>$N41&amp;CHAR(10)&amp;TEXT($O41,"(mmm-yy)")</f>
        <v>FBC
(Oct-22)</v>
      </c>
      <c r="AG41" s="602" t="s">
        <v>516</v>
      </c>
      <c r="AH41" s="602" t="s">
        <v>517</v>
      </c>
    </row>
    <row r="42" spans="1:34" ht="17.25" customHeight="1" outlineLevel="1" collapsed="1" x14ac:dyDescent="0.4">
      <c r="A42" s="319" t="s">
        <v>216</v>
      </c>
      <c r="B42" s="331" t="s">
        <v>216</v>
      </c>
      <c r="C42" s="332" t="str" cm="1">
        <f t="array" ref="C42">IFERROR(_xlfn.SWITCH(C41,-1,"i",0,"g",1,"h"),"")</f>
        <v>g</v>
      </c>
      <c r="D42" s="322" t="s">
        <v>216</v>
      </c>
      <c r="E42" s="322" t="s">
        <v>216</v>
      </c>
      <c r="F42" s="333" t="s">
        <v>216</v>
      </c>
      <c r="G42" s="333" t="s">
        <v>216</v>
      </c>
      <c r="H42" s="333" t="s">
        <v>216</v>
      </c>
      <c r="I42" s="333" t="s">
        <v>216</v>
      </c>
      <c r="J42" s="333" t="s">
        <v>216</v>
      </c>
      <c r="K42" s="333" t="s">
        <v>216</v>
      </c>
      <c r="L42" s="331" t="s">
        <v>216</v>
      </c>
      <c r="M42" s="332" t="str" cm="1">
        <f t="array" ref="M42">IFERROR(_xlfn.SWITCH(M41,-1,"i",0,"g",1,"h"),"")</f>
        <v>g</v>
      </c>
      <c r="N42" s="332"/>
      <c r="O42" s="333" t="s">
        <v>216</v>
      </c>
      <c r="P42" s="333" t="s">
        <v>216</v>
      </c>
      <c r="Q42" s="333" t="s">
        <v>216</v>
      </c>
      <c r="R42" s="333" t="s">
        <v>216</v>
      </c>
      <c r="S42" s="333" t="s">
        <v>216</v>
      </c>
      <c r="T42" s="333" t="s">
        <v>216</v>
      </c>
      <c r="U42" s="333" t="s">
        <v>216</v>
      </c>
      <c r="V42" s="333" t="s">
        <v>216</v>
      </c>
      <c r="W42" s="333" t="s">
        <v>216</v>
      </c>
      <c r="X42" s="333" t="s">
        <v>216</v>
      </c>
      <c r="Y42" s="334" t="s">
        <v>216</v>
      </c>
      <c r="Z42" s="334" t="s">
        <v>216</v>
      </c>
      <c r="AA42" s="333" t="s">
        <v>216</v>
      </c>
      <c r="AB42" s="333" t="s">
        <v>216</v>
      </c>
      <c r="AC42" s="338" t="s">
        <v>216</v>
      </c>
      <c r="AG42" s="602"/>
      <c r="AH42" s="602"/>
    </row>
    <row r="43" spans="1:34" x14ac:dyDescent="0.4">
      <c r="A43" s="785"/>
      <c r="B43" s="786"/>
      <c r="C43" s="786"/>
      <c r="D43" s="786"/>
      <c r="E43" s="786"/>
      <c r="F43" s="786"/>
      <c r="G43" s="786"/>
      <c r="H43" s="786"/>
      <c r="I43" s="786"/>
      <c r="J43" s="786"/>
      <c r="K43" s="786"/>
      <c r="L43" s="786"/>
      <c r="M43" s="786"/>
      <c r="N43" s="786"/>
      <c r="O43" s="786"/>
      <c r="P43" s="786"/>
      <c r="Q43" s="786"/>
      <c r="R43" s="786"/>
      <c r="S43" s="786"/>
      <c r="T43" s="786"/>
      <c r="U43" s="786"/>
      <c r="V43" s="786"/>
      <c r="W43" s="786"/>
      <c r="X43" s="786"/>
      <c r="Y43" s="786"/>
      <c r="Z43" s="786"/>
      <c r="AA43" s="786"/>
      <c r="AB43" s="786"/>
      <c r="AC43" s="787"/>
      <c r="AG43" s="602"/>
      <c r="AH43" s="602"/>
    </row>
    <row r="44" spans="1:34" ht="8.25" customHeight="1" x14ac:dyDescent="0.4">
      <c r="A44" s="786" t="s">
        <v>216</v>
      </c>
      <c r="B44" s="786"/>
      <c r="C44" s="786"/>
      <c r="D44" s="786"/>
      <c r="E44" s="786"/>
      <c r="F44" s="786"/>
      <c r="G44" s="786"/>
      <c r="H44" s="786"/>
      <c r="I44" s="786"/>
      <c r="J44" s="786"/>
      <c r="K44" s="786"/>
      <c r="L44" s="786"/>
      <c r="M44" s="786"/>
      <c r="N44" s="786"/>
      <c r="O44" s="786"/>
      <c r="P44" s="786"/>
      <c r="Q44" s="786"/>
      <c r="R44" s="786"/>
      <c r="S44" s="786"/>
      <c r="T44" s="786"/>
      <c r="U44" s="786"/>
      <c r="V44" s="786"/>
      <c r="W44" s="786"/>
      <c r="X44" s="786"/>
      <c r="Y44" s="786"/>
      <c r="Z44" s="786"/>
      <c r="AA44" s="786"/>
      <c r="AB44" s="786"/>
      <c r="AC44" s="786"/>
      <c r="AG44" s="602"/>
      <c r="AH44" s="602"/>
    </row>
    <row r="45" spans="1:34" ht="29.15" x14ac:dyDescent="0.4">
      <c r="A45" s="319" t="s">
        <v>346</v>
      </c>
      <c r="B45" s="341" t="s">
        <v>91</v>
      </c>
      <c r="C45" s="321">
        <v>1</v>
      </c>
      <c r="D45" s="322" t="s">
        <v>233</v>
      </c>
      <c r="E45" s="323">
        <v>44252</v>
      </c>
      <c r="F45" s="324">
        <v>30216000</v>
      </c>
      <c r="G45" s="324">
        <v>31312000</v>
      </c>
      <c r="H45" s="325">
        <v>46660</v>
      </c>
      <c r="I45" s="325">
        <v>46782</v>
      </c>
      <c r="J45" s="324">
        <v>0</v>
      </c>
      <c r="K45" s="324">
        <v>13911625</v>
      </c>
      <c r="L45" s="341" t="s">
        <v>91</v>
      </c>
      <c r="M45" s="321">
        <v>1</v>
      </c>
      <c r="N45" s="321" t="str">
        <f>D45</f>
        <v>OBC</v>
      </c>
      <c r="O45" s="327">
        <v>44439</v>
      </c>
      <c r="P45" s="324">
        <v>36101355</v>
      </c>
      <c r="Q45" s="324">
        <v>38276981.479999997</v>
      </c>
      <c r="R45" s="324">
        <v>-0.02</v>
      </c>
      <c r="S45" s="325">
        <v>47367</v>
      </c>
      <c r="T45" s="325">
        <v>47367</v>
      </c>
      <c r="U45" s="328">
        <v>27</v>
      </c>
      <c r="V45" s="324">
        <v>14964969.800000001</v>
      </c>
      <c r="W45" s="324">
        <v>14964969.6328</v>
      </c>
      <c r="X45" s="324">
        <v>10956863.42</v>
      </c>
      <c r="Y45" s="329">
        <v>1.3658078100602993</v>
      </c>
      <c r="Z45" s="329">
        <v>0.99999998882724106</v>
      </c>
      <c r="AA45" s="318">
        <f>IFERROR(V45/P45,"")</f>
        <v>0.41452654062430622</v>
      </c>
      <c r="AB45" s="318">
        <f>IFERROR(W45/P45,"")</f>
        <v>0.41452653599290107</v>
      </c>
      <c r="AC45" s="341" t="s">
        <v>91</v>
      </c>
      <c r="AD45" s="584" t="str">
        <f>$D45&amp;CHAR(10)&amp;TEXT($E45,"(mmm-yy)")</f>
        <v>OBC
(Feb-21)</v>
      </c>
      <c r="AE45" s="584" t="str">
        <f>$N45&amp;CHAR(10)&amp;TEXT($O45,"(mmm-yy)")</f>
        <v>OBC
(Aug-21)</v>
      </c>
      <c r="AG45" s="602" t="s">
        <v>518</v>
      </c>
      <c r="AH45" s="602" t="s">
        <v>519</v>
      </c>
    </row>
    <row r="46" spans="1:34" ht="17.25" customHeight="1" outlineLevel="1" collapsed="1" x14ac:dyDescent="0.4">
      <c r="A46" s="319" t="s">
        <v>216</v>
      </c>
      <c r="B46" s="331" t="s">
        <v>216</v>
      </c>
      <c r="C46" s="332" t="str" cm="1">
        <f t="array" ref="C46">IFERROR(_xlfn.SWITCH(C45,-1,"i",0,"g",1,"h"),"")</f>
        <v>h</v>
      </c>
      <c r="D46" s="322" t="s">
        <v>216</v>
      </c>
      <c r="E46" s="322" t="s">
        <v>216</v>
      </c>
      <c r="F46" s="333" t="s">
        <v>216</v>
      </c>
      <c r="G46" s="333" t="s">
        <v>216</v>
      </c>
      <c r="H46" s="333" t="s">
        <v>216</v>
      </c>
      <c r="I46" s="333" t="s">
        <v>216</v>
      </c>
      <c r="J46" s="333" t="s">
        <v>216</v>
      </c>
      <c r="K46" s="333" t="s">
        <v>216</v>
      </c>
      <c r="L46" s="331" t="s">
        <v>216</v>
      </c>
      <c r="M46" s="332" t="str" cm="1">
        <f t="array" ref="M46">IFERROR(_xlfn.SWITCH(M45,-1,"i",0,"g",1,"h"),"")</f>
        <v>h</v>
      </c>
      <c r="N46" s="332"/>
      <c r="O46" s="333" t="s">
        <v>216</v>
      </c>
      <c r="P46" s="333" t="s">
        <v>216</v>
      </c>
      <c r="Q46" s="333" t="s">
        <v>216</v>
      </c>
      <c r="R46" s="333" t="s">
        <v>216</v>
      </c>
      <c r="S46" s="333" t="s">
        <v>216</v>
      </c>
      <c r="T46" s="333" t="s">
        <v>216</v>
      </c>
      <c r="U46" s="333" t="s">
        <v>216</v>
      </c>
      <c r="V46" s="333" t="s">
        <v>216</v>
      </c>
      <c r="W46" s="333" t="s">
        <v>216</v>
      </c>
      <c r="X46" s="333" t="s">
        <v>216</v>
      </c>
      <c r="Y46" s="334" t="s">
        <v>216</v>
      </c>
      <c r="Z46" s="334" t="s">
        <v>216</v>
      </c>
      <c r="AA46" s="333" t="s">
        <v>216</v>
      </c>
      <c r="AB46" s="333" t="s">
        <v>216</v>
      </c>
      <c r="AC46" s="338" t="s">
        <v>216</v>
      </c>
      <c r="AG46" s="602"/>
      <c r="AH46" s="602"/>
    </row>
    <row r="47" spans="1:34" x14ac:dyDescent="0.4">
      <c r="A47" s="769"/>
      <c r="B47" s="763"/>
      <c r="C47" s="763"/>
      <c r="D47" s="763"/>
      <c r="E47" s="763"/>
      <c r="F47" s="763"/>
      <c r="G47" s="763"/>
      <c r="H47" s="763"/>
      <c r="I47" s="763"/>
      <c r="J47" s="763"/>
      <c r="K47" s="763"/>
      <c r="L47" s="763"/>
      <c r="M47" s="763"/>
      <c r="N47" s="763"/>
      <c r="O47" s="763"/>
      <c r="P47" s="763"/>
      <c r="Q47" s="763"/>
      <c r="R47" s="763"/>
      <c r="S47" s="763"/>
      <c r="T47" s="763"/>
      <c r="U47" s="763"/>
      <c r="V47" s="763"/>
      <c r="W47" s="763"/>
      <c r="X47" s="763"/>
      <c r="Y47" s="763"/>
      <c r="Z47" s="763"/>
      <c r="AA47" s="763"/>
      <c r="AB47" s="763"/>
      <c r="AC47" s="764"/>
      <c r="AG47" s="602"/>
      <c r="AH47" s="602"/>
    </row>
    <row r="48" spans="1:34" ht="8.25" customHeight="1" x14ac:dyDescent="0.4">
      <c r="A48" s="783" t="s">
        <v>216</v>
      </c>
      <c r="B48" s="784"/>
      <c r="C48" s="784"/>
      <c r="D48" s="784"/>
      <c r="E48" s="784"/>
      <c r="F48" s="784"/>
      <c r="G48" s="784"/>
      <c r="H48" s="784"/>
      <c r="I48" s="784"/>
      <c r="J48" s="784"/>
      <c r="K48" s="784"/>
      <c r="L48" s="784"/>
      <c r="M48" s="784"/>
      <c r="N48" s="784"/>
      <c r="O48" s="784"/>
      <c r="P48" s="784"/>
      <c r="Q48" s="784"/>
      <c r="R48" s="784"/>
      <c r="S48" s="784"/>
      <c r="T48" s="784"/>
      <c r="U48" s="784"/>
      <c r="V48" s="784"/>
      <c r="W48" s="784"/>
      <c r="X48" s="784"/>
      <c r="Y48" s="784"/>
      <c r="Z48" s="784"/>
      <c r="AA48" s="784"/>
      <c r="AB48" s="784"/>
      <c r="AC48" s="784"/>
      <c r="AG48" s="602"/>
      <c r="AH48" s="602"/>
    </row>
    <row r="49" spans="1:34" ht="29.15" x14ac:dyDescent="0.4">
      <c r="A49" s="319" t="s">
        <v>342</v>
      </c>
      <c r="B49" s="341" t="s">
        <v>91</v>
      </c>
      <c r="C49" s="321">
        <v>0</v>
      </c>
      <c r="D49" s="322" t="s">
        <v>468</v>
      </c>
      <c r="E49" s="323">
        <v>45352</v>
      </c>
      <c r="F49" s="324">
        <v>81716690</v>
      </c>
      <c r="G49" s="324">
        <v>164379642</v>
      </c>
      <c r="H49" s="325">
        <v>48549</v>
      </c>
      <c r="I49" s="325">
        <v>49310</v>
      </c>
      <c r="J49" s="324">
        <v>0</v>
      </c>
      <c r="K49" s="324">
        <v>11961000</v>
      </c>
      <c r="L49" s="341" t="s">
        <v>91</v>
      </c>
      <c r="M49" s="321">
        <v>1</v>
      </c>
      <c r="N49" s="321" t="str">
        <f>D49</f>
        <v>SOC</v>
      </c>
      <c r="O49" s="327">
        <v>45329</v>
      </c>
      <c r="P49" s="324">
        <v>84328299</v>
      </c>
      <c r="Q49" s="324">
        <v>82916699.319999993</v>
      </c>
      <c r="R49" s="324">
        <v>-999.92</v>
      </c>
      <c r="S49" s="325">
        <v>48234</v>
      </c>
      <c r="T49" s="325">
        <v>48110</v>
      </c>
      <c r="U49" s="328">
        <v>0</v>
      </c>
      <c r="V49" s="324">
        <v>9190449.0999999996</v>
      </c>
      <c r="W49" s="324">
        <v>7466411.7472000001</v>
      </c>
      <c r="X49" s="324">
        <v>5971451.2999999998</v>
      </c>
      <c r="Y49" s="329">
        <v>1.2503512751079457</v>
      </c>
      <c r="Z49" s="329">
        <v>0.81240989052428347</v>
      </c>
      <c r="AA49" s="318">
        <f>IFERROR(V49/P49,"")</f>
        <v>0.10898416319295139</v>
      </c>
      <c r="AB49" s="318">
        <f>IFERROR(W49/P49,"")</f>
        <v>8.8539812088466299E-2</v>
      </c>
      <c r="AC49" s="341" t="s">
        <v>91</v>
      </c>
      <c r="AD49" s="584" t="str">
        <f>$D49&amp;CHAR(10)&amp;TEXT($E49,"(mmm-yy)")</f>
        <v>SOC
(Mar-24)</v>
      </c>
      <c r="AE49" s="584" t="str">
        <f>$N49&amp;CHAR(10)&amp;TEXT($O49,"(mmm-yy)")</f>
        <v>SOC
(Feb-24)</v>
      </c>
      <c r="AG49" s="602" t="s">
        <v>543</v>
      </c>
      <c r="AH49" s="602" t="s">
        <v>527</v>
      </c>
    </row>
    <row r="50" spans="1:34" ht="17.25" customHeight="1" outlineLevel="1" collapsed="1" x14ac:dyDescent="0.4">
      <c r="A50" s="319" t="s">
        <v>216</v>
      </c>
      <c r="B50" s="331" t="s">
        <v>216</v>
      </c>
      <c r="C50" s="332" t="str" cm="1">
        <f t="array" ref="C50">IFERROR(_xlfn.SWITCH(C49,-1,"i",0,"g",1,"h"),"")</f>
        <v>g</v>
      </c>
      <c r="D50" s="322" t="s">
        <v>216</v>
      </c>
      <c r="E50" s="322" t="s">
        <v>216</v>
      </c>
      <c r="F50" s="333" t="s">
        <v>216</v>
      </c>
      <c r="G50" s="333" t="s">
        <v>216</v>
      </c>
      <c r="H50" s="333" t="s">
        <v>216</v>
      </c>
      <c r="I50" s="333" t="s">
        <v>216</v>
      </c>
      <c r="J50" s="333" t="s">
        <v>216</v>
      </c>
      <c r="K50" s="333" t="s">
        <v>216</v>
      </c>
      <c r="L50" s="331" t="s">
        <v>216</v>
      </c>
      <c r="M50" s="332" t="str" cm="1">
        <f t="array" ref="M50">IFERROR(_xlfn.SWITCH(M49,-1,"i",0,"g",1,"h"),"")</f>
        <v>h</v>
      </c>
      <c r="N50" s="332"/>
      <c r="O50" s="333" t="s">
        <v>216</v>
      </c>
      <c r="P50" s="333" t="s">
        <v>216</v>
      </c>
      <c r="Q50" s="333" t="s">
        <v>216</v>
      </c>
      <c r="R50" s="333" t="s">
        <v>216</v>
      </c>
      <c r="S50" s="333" t="s">
        <v>216</v>
      </c>
      <c r="T50" s="333" t="s">
        <v>216</v>
      </c>
      <c r="U50" s="333" t="s">
        <v>216</v>
      </c>
      <c r="V50" s="333" t="s">
        <v>216</v>
      </c>
      <c r="W50" s="333" t="s">
        <v>216</v>
      </c>
      <c r="X50" s="333" t="s">
        <v>216</v>
      </c>
      <c r="Y50" s="334" t="s">
        <v>216</v>
      </c>
      <c r="Z50" s="334" t="s">
        <v>216</v>
      </c>
      <c r="AA50" s="333" t="s">
        <v>216</v>
      </c>
      <c r="AB50" s="333" t="s">
        <v>216</v>
      </c>
      <c r="AC50" s="338" t="s">
        <v>216</v>
      </c>
      <c r="AG50" s="602"/>
      <c r="AH50" s="602"/>
    </row>
    <row r="51" spans="1:34" x14ac:dyDescent="0.4">
      <c r="A51" s="769"/>
      <c r="B51" s="763"/>
      <c r="C51" s="763"/>
      <c r="D51" s="763"/>
      <c r="E51" s="763"/>
      <c r="F51" s="763"/>
      <c r="G51" s="763"/>
      <c r="H51" s="763"/>
      <c r="I51" s="763"/>
      <c r="J51" s="763"/>
      <c r="K51" s="763"/>
      <c r="L51" s="763"/>
      <c r="M51" s="763"/>
      <c r="N51" s="763"/>
      <c r="O51" s="763"/>
      <c r="P51" s="763"/>
      <c r="Q51" s="763"/>
      <c r="R51" s="763"/>
      <c r="S51" s="763"/>
      <c r="T51" s="763"/>
      <c r="U51" s="763"/>
      <c r="V51" s="763"/>
      <c r="W51" s="763"/>
      <c r="X51" s="763"/>
      <c r="Y51" s="763"/>
      <c r="Z51" s="763"/>
      <c r="AA51" s="763"/>
      <c r="AB51" s="763"/>
      <c r="AC51" s="764"/>
      <c r="AG51" s="602"/>
      <c r="AH51" s="602"/>
    </row>
    <row r="52" spans="1:34" ht="8.25" customHeight="1" x14ac:dyDescent="0.4">
      <c r="A52" s="783" t="s">
        <v>216</v>
      </c>
      <c r="B52" s="784"/>
      <c r="C52" s="784"/>
      <c r="D52" s="784"/>
      <c r="E52" s="784"/>
      <c r="F52" s="784"/>
      <c r="G52" s="784"/>
      <c r="H52" s="784"/>
      <c r="I52" s="784"/>
      <c r="J52" s="784"/>
      <c r="K52" s="784"/>
      <c r="L52" s="784"/>
      <c r="M52" s="784"/>
      <c r="N52" s="784"/>
      <c r="O52" s="784"/>
      <c r="P52" s="784"/>
      <c r="Q52" s="784"/>
      <c r="R52" s="784"/>
      <c r="S52" s="784"/>
      <c r="T52" s="784"/>
      <c r="U52" s="784"/>
      <c r="V52" s="784"/>
      <c r="W52" s="784"/>
      <c r="X52" s="784"/>
      <c r="Y52" s="784"/>
      <c r="Z52" s="784"/>
      <c r="AA52" s="784"/>
      <c r="AB52" s="784"/>
      <c r="AC52" s="784"/>
      <c r="AG52" s="602"/>
      <c r="AH52" s="602"/>
    </row>
    <row r="53" spans="1:34" ht="29.25" customHeight="1" x14ac:dyDescent="0.4">
      <c r="A53" s="319" t="s">
        <v>105</v>
      </c>
      <c r="B53" s="341" t="s">
        <v>91</v>
      </c>
      <c r="C53" s="321">
        <v>0</v>
      </c>
      <c r="D53" s="322" t="s">
        <v>235</v>
      </c>
      <c r="E53" s="323">
        <v>42614</v>
      </c>
      <c r="F53" s="324">
        <v>0</v>
      </c>
      <c r="G53" s="324">
        <v>0</v>
      </c>
      <c r="H53" s="325" t="s">
        <v>216</v>
      </c>
      <c r="I53" s="325" t="s">
        <v>216</v>
      </c>
      <c r="J53" s="324">
        <v>36278000</v>
      </c>
      <c r="K53" s="324">
        <v>36278000</v>
      </c>
      <c r="L53" s="341" t="s">
        <v>91</v>
      </c>
      <c r="M53" s="321">
        <v>0</v>
      </c>
      <c r="N53" s="321" t="str">
        <f>D53</f>
        <v>FBC</v>
      </c>
      <c r="O53" s="327">
        <v>45017</v>
      </c>
      <c r="P53" s="324">
        <v>74471369</v>
      </c>
      <c r="Q53" s="324">
        <v>36171780.210000001</v>
      </c>
      <c r="R53" s="324">
        <v>6135.17</v>
      </c>
      <c r="S53" s="325">
        <v>55152</v>
      </c>
      <c r="T53" s="325">
        <v>46010</v>
      </c>
      <c r="U53" s="328">
        <v>0</v>
      </c>
      <c r="V53" s="324">
        <v>34112975.030000001</v>
      </c>
      <c r="W53" s="324">
        <v>34112974.677900001</v>
      </c>
      <c r="X53" s="324">
        <v>36171780.210000001</v>
      </c>
      <c r="Y53" s="329">
        <v>0.94308254887795584</v>
      </c>
      <c r="Z53" s="329">
        <v>0.99999998967841419</v>
      </c>
      <c r="AA53" s="318">
        <f>IFERROR(V53/P53,"")</f>
        <v>0.45806832193456792</v>
      </c>
      <c r="AB53" s="318">
        <f>IFERROR(W53/P53,"")</f>
        <v>0.45806831720657643</v>
      </c>
      <c r="AC53" s="341" t="s">
        <v>91</v>
      </c>
      <c r="AD53" s="584" t="str">
        <f>$D53&amp;CHAR(10)&amp;TEXT($E53,"(mmm-yy)")</f>
        <v>FBC
(Sep-16)</v>
      </c>
      <c r="AE53" s="584" t="str">
        <f>$N53&amp;CHAR(10)&amp;TEXT($O53,"(mmm-yy)")</f>
        <v>FBC
(Apr-23)</v>
      </c>
      <c r="AG53" s="602" t="s">
        <v>520</v>
      </c>
      <c r="AH53" s="602" t="s">
        <v>212</v>
      </c>
    </row>
    <row r="54" spans="1:34" ht="17.25" customHeight="1" outlineLevel="1" collapsed="1" x14ac:dyDescent="0.4">
      <c r="A54" s="319" t="s">
        <v>216</v>
      </c>
      <c r="B54" s="331" t="s">
        <v>216</v>
      </c>
      <c r="C54" s="332" t="str" cm="1">
        <f t="array" ref="C54">IFERROR(_xlfn.SWITCH(C53,-1,"i",0,"g",1,"h"),"")</f>
        <v>g</v>
      </c>
      <c r="D54" s="322" t="s">
        <v>216</v>
      </c>
      <c r="E54" s="322" t="s">
        <v>216</v>
      </c>
      <c r="F54" s="333" t="s">
        <v>216</v>
      </c>
      <c r="G54" s="333" t="s">
        <v>216</v>
      </c>
      <c r="H54" s="333" t="s">
        <v>216</v>
      </c>
      <c r="I54" s="333" t="s">
        <v>216</v>
      </c>
      <c r="J54" s="333" t="s">
        <v>216</v>
      </c>
      <c r="K54" s="333" t="s">
        <v>216</v>
      </c>
      <c r="L54" s="331" t="s">
        <v>216</v>
      </c>
      <c r="M54" s="332" t="str" cm="1">
        <f t="array" ref="M54">IFERROR(_xlfn.SWITCH(M53,-1,"i",0,"g",1,"h"),"")</f>
        <v>g</v>
      </c>
      <c r="N54" s="332"/>
      <c r="O54" s="333" t="s">
        <v>216</v>
      </c>
      <c r="P54" s="333" t="s">
        <v>216</v>
      </c>
      <c r="Q54" s="333" t="s">
        <v>216</v>
      </c>
      <c r="R54" s="333" t="s">
        <v>216</v>
      </c>
      <c r="S54" s="333" t="s">
        <v>216</v>
      </c>
      <c r="T54" s="333" t="s">
        <v>216</v>
      </c>
      <c r="U54" s="333" t="s">
        <v>216</v>
      </c>
      <c r="V54" s="333" t="s">
        <v>216</v>
      </c>
      <c r="W54" s="333" t="s">
        <v>216</v>
      </c>
      <c r="X54" s="333" t="s">
        <v>216</v>
      </c>
      <c r="Y54" s="334" t="s">
        <v>216</v>
      </c>
      <c r="Z54" s="334" t="s">
        <v>216</v>
      </c>
      <c r="AA54" s="333" t="s">
        <v>216</v>
      </c>
      <c r="AB54" s="333" t="s">
        <v>216</v>
      </c>
      <c r="AC54" s="338" t="s">
        <v>216</v>
      </c>
      <c r="AG54" s="602"/>
      <c r="AH54" s="602"/>
    </row>
    <row r="55" spans="1:34" x14ac:dyDescent="0.4">
      <c r="A55" s="769"/>
      <c r="B55" s="763"/>
      <c r="C55" s="763"/>
      <c r="D55" s="763"/>
      <c r="E55" s="763"/>
      <c r="F55" s="763"/>
      <c r="G55" s="763"/>
      <c r="H55" s="763"/>
      <c r="I55" s="763"/>
      <c r="J55" s="763"/>
      <c r="K55" s="763"/>
      <c r="L55" s="763"/>
      <c r="M55" s="763"/>
      <c r="N55" s="763"/>
      <c r="O55" s="763"/>
      <c r="P55" s="763"/>
      <c r="Q55" s="763"/>
      <c r="R55" s="763"/>
      <c r="S55" s="763"/>
      <c r="T55" s="763"/>
      <c r="U55" s="763"/>
      <c r="V55" s="763"/>
      <c r="W55" s="763"/>
      <c r="X55" s="763"/>
      <c r="Y55" s="763"/>
      <c r="Z55" s="763"/>
      <c r="AA55" s="763"/>
      <c r="AB55" s="763"/>
      <c r="AC55" s="764"/>
      <c r="AG55" s="602"/>
      <c r="AH55" s="602"/>
    </row>
    <row r="56" spans="1:34" ht="8.25" customHeight="1" x14ac:dyDescent="0.4">
      <c r="A56" s="783" t="s">
        <v>216</v>
      </c>
      <c r="B56" s="784"/>
      <c r="C56" s="784"/>
      <c r="D56" s="784"/>
      <c r="E56" s="784"/>
      <c r="F56" s="784"/>
      <c r="G56" s="784"/>
      <c r="H56" s="784"/>
      <c r="I56" s="784"/>
      <c r="J56" s="784"/>
      <c r="K56" s="784"/>
      <c r="L56" s="784"/>
      <c r="M56" s="784"/>
      <c r="N56" s="784"/>
      <c r="O56" s="784"/>
      <c r="P56" s="784"/>
      <c r="Q56" s="784"/>
      <c r="R56" s="784"/>
      <c r="S56" s="784"/>
      <c r="T56" s="784"/>
      <c r="U56" s="784"/>
      <c r="V56" s="784"/>
      <c r="W56" s="784"/>
      <c r="X56" s="784"/>
      <c r="Y56" s="784"/>
      <c r="Z56" s="784"/>
      <c r="AA56" s="784"/>
      <c r="AB56" s="784"/>
      <c r="AC56" s="784"/>
      <c r="AG56" s="602"/>
      <c r="AH56" s="602"/>
    </row>
    <row r="57" spans="1:34" ht="29.15" x14ac:dyDescent="0.4">
      <c r="A57" s="319" t="s">
        <v>291</v>
      </c>
      <c r="B57" s="341" t="s">
        <v>95</v>
      </c>
      <c r="C57" s="321">
        <v>0</v>
      </c>
      <c r="D57" s="322" t="s">
        <v>95</v>
      </c>
      <c r="E57" s="323">
        <v>45371</v>
      </c>
      <c r="F57" s="324">
        <v>87000000</v>
      </c>
      <c r="G57" s="324">
        <v>91000000</v>
      </c>
      <c r="H57" s="325" t="s">
        <v>216</v>
      </c>
      <c r="I57" s="325">
        <v>47361</v>
      </c>
      <c r="J57" s="324">
        <v>0</v>
      </c>
      <c r="K57" s="324">
        <v>53000000</v>
      </c>
      <c r="L57" s="341" t="s">
        <v>91</v>
      </c>
      <c r="M57" s="321">
        <v>0</v>
      </c>
      <c r="N57" s="321" t="str">
        <f>D57</f>
        <v>N/A</v>
      </c>
      <c r="O57" s="327">
        <v>45730</v>
      </c>
      <c r="P57" s="324">
        <v>919618256</v>
      </c>
      <c r="Q57" s="324">
        <v>920056456.25</v>
      </c>
      <c r="R57" s="324">
        <v>0</v>
      </c>
      <c r="S57" s="325">
        <v>50724</v>
      </c>
      <c r="T57" s="325">
        <v>50724</v>
      </c>
      <c r="U57" s="328">
        <v>0</v>
      </c>
      <c r="V57" s="324">
        <v>36213924.549999997</v>
      </c>
      <c r="W57" s="324">
        <v>38522021.146399997</v>
      </c>
      <c r="X57" s="324">
        <v>18315673</v>
      </c>
      <c r="Y57" s="329">
        <v>2.1032271730555574</v>
      </c>
      <c r="Z57" s="329">
        <v>1.0637350584086309</v>
      </c>
      <c r="AA57" s="318">
        <f>IFERROR(V57/P57,"")</f>
        <v>3.9379301480504753E-2</v>
      </c>
      <c r="AB57" s="318">
        <f>IFERROR(W57/P57,"")</f>
        <v>4.1889143560455804E-2</v>
      </c>
      <c r="AC57" s="341" t="s">
        <v>91</v>
      </c>
      <c r="AD57" s="584" t="str">
        <f>$D57&amp;CHAR(10)&amp;TEXT($E57,"(mmm-yy)")</f>
        <v>N/A
(Mar-24)</v>
      </c>
      <c r="AE57" s="584" t="str">
        <f>$N57&amp;CHAR(10)&amp;TEXT($O57,"(mmm-yy)")</f>
        <v>N/A
(Mar-25)</v>
      </c>
      <c r="AG57" s="602" t="s">
        <v>521</v>
      </c>
      <c r="AH57" s="602" t="s">
        <v>522</v>
      </c>
    </row>
    <row r="58" spans="1:34" ht="17.25" customHeight="1" outlineLevel="1" collapsed="1" x14ac:dyDescent="0.4">
      <c r="A58" s="319" t="s">
        <v>216</v>
      </c>
      <c r="B58" s="331" t="s">
        <v>216</v>
      </c>
      <c r="C58" s="332" t="str" cm="1">
        <f t="array" ref="C58">IFERROR(_xlfn.SWITCH(C57,-1,"i",0,"g",1,"h"),"")</f>
        <v>g</v>
      </c>
      <c r="D58" s="322" t="s">
        <v>216</v>
      </c>
      <c r="E58" s="322" t="s">
        <v>216</v>
      </c>
      <c r="F58" s="333" t="s">
        <v>216</v>
      </c>
      <c r="G58" s="333" t="s">
        <v>216</v>
      </c>
      <c r="H58" s="333" t="s">
        <v>216</v>
      </c>
      <c r="I58" s="333" t="s">
        <v>216</v>
      </c>
      <c r="J58" s="333" t="s">
        <v>216</v>
      </c>
      <c r="K58" s="333" t="s">
        <v>216</v>
      </c>
      <c r="L58" s="331" t="s">
        <v>216</v>
      </c>
      <c r="M58" s="332" t="str" cm="1">
        <f t="array" ref="M58">IFERROR(_xlfn.SWITCH(M57,-1,"i",0,"g",1,"h"),"")</f>
        <v>g</v>
      </c>
      <c r="N58" s="332"/>
      <c r="O58" s="333" t="s">
        <v>216</v>
      </c>
      <c r="P58" s="333" t="s">
        <v>216</v>
      </c>
      <c r="Q58" s="333" t="s">
        <v>216</v>
      </c>
      <c r="R58" s="333" t="s">
        <v>216</v>
      </c>
      <c r="S58" s="333" t="s">
        <v>216</v>
      </c>
      <c r="T58" s="333" t="s">
        <v>216</v>
      </c>
      <c r="U58" s="333" t="s">
        <v>216</v>
      </c>
      <c r="V58" s="333" t="s">
        <v>216</v>
      </c>
      <c r="W58" s="333" t="s">
        <v>216</v>
      </c>
      <c r="X58" s="333" t="s">
        <v>216</v>
      </c>
      <c r="Y58" s="334" t="s">
        <v>216</v>
      </c>
      <c r="Z58" s="334" t="s">
        <v>216</v>
      </c>
      <c r="AA58" s="333" t="s">
        <v>216</v>
      </c>
      <c r="AB58" s="333" t="s">
        <v>216</v>
      </c>
      <c r="AC58" s="338" t="s">
        <v>216</v>
      </c>
      <c r="AG58" s="602"/>
      <c r="AH58" s="602"/>
    </row>
    <row r="59" spans="1:34" x14ac:dyDescent="0.4">
      <c r="A59" s="769"/>
      <c r="B59" s="763"/>
      <c r="C59" s="763"/>
      <c r="D59" s="763"/>
      <c r="E59" s="763"/>
      <c r="F59" s="763"/>
      <c r="G59" s="763"/>
      <c r="H59" s="763"/>
      <c r="I59" s="763"/>
      <c r="J59" s="763"/>
      <c r="K59" s="763"/>
      <c r="L59" s="763"/>
      <c r="M59" s="763"/>
      <c r="N59" s="763"/>
      <c r="O59" s="763"/>
      <c r="P59" s="763"/>
      <c r="Q59" s="763"/>
      <c r="R59" s="763"/>
      <c r="S59" s="763"/>
      <c r="T59" s="763"/>
      <c r="U59" s="763"/>
      <c r="V59" s="763"/>
      <c r="W59" s="763"/>
      <c r="X59" s="763"/>
      <c r="Y59" s="763"/>
      <c r="Z59" s="763"/>
      <c r="AA59" s="763"/>
      <c r="AB59" s="763"/>
      <c r="AC59" s="764"/>
      <c r="AG59" s="602"/>
      <c r="AH59" s="602"/>
    </row>
    <row r="60" spans="1:34" ht="8.25" customHeight="1" x14ac:dyDescent="0.4">
      <c r="A60" s="783" t="s">
        <v>216</v>
      </c>
      <c r="B60" s="784"/>
      <c r="C60" s="784"/>
      <c r="D60" s="784"/>
      <c r="E60" s="784"/>
      <c r="F60" s="784"/>
      <c r="G60" s="784"/>
      <c r="H60" s="784"/>
      <c r="I60" s="784"/>
      <c r="J60" s="784"/>
      <c r="K60" s="784"/>
      <c r="L60" s="784"/>
      <c r="M60" s="784"/>
      <c r="N60" s="784"/>
      <c r="O60" s="784"/>
      <c r="P60" s="784"/>
      <c r="Q60" s="784"/>
      <c r="R60" s="784"/>
      <c r="S60" s="784"/>
      <c r="T60" s="784"/>
      <c r="U60" s="784"/>
      <c r="V60" s="784"/>
      <c r="W60" s="784"/>
      <c r="X60" s="784"/>
      <c r="Y60" s="784"/>
      <c r="Z60" s="784"/>
      <c r="AA60" s="784"/>
      <c r="AB60" s="784"/>
      <c r="AC60" s="784"/>
      <c r="AG60" s="602"/>
      <c r="AH60" s="602"/>
    </row>
    <row r="61" spans="1:34" ht="29.25" customHeight="1" x14ac:dyDescent="0.4">
      <c r="A61" s="319" t="s">
        <v>340</v>
      </c>
      <c r="B61" s="341" t="s">
        <v>90</v>
      </c>
      <c r="C61" s="321">
        <v>0</v>
      </c>
      <c r="D61" s="322" t="s">
        <v>468</v>
      </c>
      <c r="E61" s="323">
        <v>44440</v>
      </c>
      <c r="F61" s="324">
        <v>38100000</v>
      </c>
      <c r="G61" s="324">
        <v>0</v>
      </c>
      <c r="H61" s="325" t="s">
        <v>216</v>
      </c>
      <c r="I61" s="325" t="s">
        <v>216</v>
      </c>
      <c r="J61" s="324">
        <v>0</v>
      </c>
      <c r="K61" s="324">
        <v>38100000</v>
      </c>
      <c r="L61" s="341" t="s">
        <v>90</v>
      </c>
      <c r="M61" s="321">
        <v>0</v>
      </c>
      <c r="N61" s="321" t="str">
        <f>D61</f>
        <v>SOC</v>
      </c>
      <c r="O61" s="327">
        <v>44985</v>
      </c>
      <c r="P61" s="324">
        <v>340000000</v>
      </c>
      <c r="Q61" s="324">
        <v>341043348.95999998</v>
      </c>
      <c r="R61" s="324">
        <v>27732.63</v>
      </c>
      <c r="S61" s="325">
        <v>48746</v>
      </c>
      <c r="T61" s="325">
        <v>48850</v>
      </c>
      <c r="U61" s="328">
        <v>0</v>
      </c>
      <c r="V61" s="324">
        <v>30313655.670000002</v>
      </c>
      <c r="W61" s="324">
        <v>26779048.107299998</v>
      </c>
      <c r="X61" s="324">
        <v>26590552.899999999</v>
      </c>
      <c r="Y61" s="329">
        <v>1.0070888036066372</v>
      </c>
      <c r="Z61" s="329">
        <v>0.88339883512637396</v>
      </c>
      <c r="AA61" s="318">
        <f>IFERROR(V61/P61,"")</f>
        <v>8.9157810794117651E-2</v>
      </c>
      <c r="AB61" s="318">
        <f>IFERROR(W61/P61,"")</f>
        <v>7.876190619794117E-2</v>
      </c>
      <c r="AC61" s="341" t="s">
        <v>90</v>
      </c>
      <c r="AD61" s="584" t="str">
        <f>$D61&amp;CHAR(10)&amp;TEXT($E61,"(mmm-yy)")</f>
        <v>SOC
(Sep-21)</v>
      </c>
      <c r="AE61" s="584" t="str">
        <f>$N61&amp;CHAR(10)&amp;TEXT($O61,"(mmm-yy)")</f>
        <v>SOC
(Feb-23)</v>
      </c>
      <c r="AG61" s="602" t="s">
        <v>523</v>
      </c>
      <c r="AH61" s="602" t="s">
        <v>513</v>
      </c>
    </row>
    <row r="62" spans="1:34" ht="21.75" customHeight="1" outlineLevel="1" collapsed="1" x14ac:dyDescent="0.4">
      <c r="A62" s="319" t="s">
        <v>216</v>
      </c>
      <c r="B62" s="331" t="s">
        <v>216</v>
      </c>
      <c r="C62" s="332" t="str" cm="1">
        <f t="array" ref="C62">IFERROR(_xlfn.SWITCH(C61,-1,"i",0,"g",1,"h"),"")</f>
        <v>g</v>
      </c>
      <c r="D62" s="322" t="s">
        <v>216</v>
      </c>
      <c r="E62" s="322" t="s">
        <v>216</v>
      </c>
      <c r="F62" s="333" t="s">
        <v>216</v>
      </c>
      <c r="G62" s="333" t="s">
        <v>216</v>
      </c>
      <c r="H62" s="333" t="s">
        <v>216</v>
      </c>
      <c r="I62" s="333" t="s">
        <v>216</v>
      </c>
      <c r="J62" s="333" t="s">
        <v>216</v>
      </c>
      <c r="K62" s="333" t="s">
        <v>216</v>
      </c>
      <c r="L62" s="331" t="s">
        <v>216</v>
      </c>
      <c r="M62" s="332" t="str" cm="1">
        <f t="array" ref="M62">IFERROR(_xlfn.SWITCH(M61,-1,"i",0,"g",1,"h"),"")</f>
        <v>g</v>
      </c>
      <c r="N62" s="332"/>
      <c r="O62" s="333" t="s">
        <v>216</v>
      </c>
      <c r="P62" s="333" t="s">
        <v>216</v>
      </c>
      <c r="Q62" s="333" t="s">
        <v>216</v>
      </c>
      <c r="R62" s="333" t="s">
        <v>216</v>
      </c>
      <c r="S62" s="333" t="s">
        <v>216</v>
      </c>
      <c r="T62" s="333" t="s">
        <v>216</v>
      </c>
      <c r="U62" s="333" t="s">
        <v>216</v>
      </c>
      <c r="V62" s="333" t="s">
        <v>216</v>
      </c>
      <c r="W62" s="333" t="s">
        <v>216</v>
      </c>
      <c r="X62" s="333" t="s">
        <v>216</v>
      </c>
      <c r="Y62" s="334" t="s">
        <v>216</v>
      </c>
      <c r="Z62" s="334" t="s">
        <v>216</v>
      </c>
      <c r="AA62" s="333" t="s">
        <v>216</v>
      </c>
      <c r="AB62" s="333" t="s">
        <v>216</v>
      </c>
      <c r="AC62" s="338" t="s">
        <v>216</v>
      </c>
      <c r="AG62" s="602"/>
      <c r="AH62" s="602"/>
    </row>
    <row r="63" spans="1:34" x14ac:dyDescent="0.4">
      <c r="A63" s="769"/>
      <c r="B63" s="763"/>
      <c r="C63" s="763"/>
      <c r="D63" s="763"/>
      <c r="E63" s="763"/>
      <c r="F63" s="763"/>
      <c r="G63" s="763"/>
      <c r="H63" s="763"/>
      <c r="I63" s="763"/>
      <c r="J63" s="763"/>
      <c r="K63" s="763"/>
      <c r="L63" s="763"/>
      <c r="M63" s="763"/>
      <c r="N63" s="763"/>
      <c r="O63" s="763"/>
      <c r="P63" s="763"/>
      <c r="Q63" s="763"/>
      <c r="R63" s="763"/>
      <c r="S63" s="763"/>
      <c r="T63" s="763"/>
      <c r="U63" s="763"/>
      <c r="V63" s="763"/>
      <c r="W63" s="763"/>
      <c r="X63" s="763"/>
      <c r="Y63" s="763"/>
      <c r="Z63" s="763"/>
      <c r="AA63" s="763"/>
      <c r="AB63" s="763"/>
      <c r="AC63" s="764"/>
      <c r="AG63" s="602"/>
      <c r="AH63" s="602"/>
    </row>
    <row r="64" spans="1:34" ht="8.25" customHeight="1" x14ac:dyDescent="0.4">
      <c r="A64" s="783" t="s">
        <v>216</v>
      </c>
      <c r="B64" s="784"/>
      <c r="C64" s="784"/>
      <c r="D64" s="784"/>
      <c r="E64" s="784"/>
      <c r="F64" s="784"/>
      <c r="G64" s="784"/>
      <c r="H64" s="784"/>
      <c r="I64" s="784"/>
      <c r="J64" s="784"/>
      <c r="K64" s="784"/>
      <c r="L64" s="784"/>
      <c r="M64" s="784"/>
      <c r="N64" s="784"/>
      <c r="O64" s="784"/>
      <c r="P64" s="784"/>
      <c r="Q64" s="784"/>
      <c r="R64" s="784"/>
      <c r="S64" s="784"/>
      <c r="T64" s="784"/>
      <c r="U64" s="784"/>
      <c r="V64" s="784"/>
      <c r="W64" s="784"/>
      <c r="X64" s="784"/>
      <c r="Y64" s="784"/>
      <c r="Z64" s="784"/>
      <c r="AA64" s="784"/>
      <c r="AB64" s="784"/>
      <c r="AC64" s="784"/>
      <c r="AG64" s="602"/>
      <c r="AH64" s="602"/>
    </row>
    <row r="65" spans="1:35" ht="29.15" x14ac:dyDescent="0.6">
      <c r="A65" s="319" t="s">
        <v>358</v>
      </c>
      <c r="B65" s="341" t="s">
        <v>91</v>
      </c>
      <c r="C65" s="321">
        <v>0</v>
      </c>
      <c r="D65" s="322" t="s">
        <v>468</v>
      </c>
      <c r="E65" s="323">
        <v>45239</v>
      </c>
      <c r="F65" s="324">
        <v>44848309</v>
      </c>
      <c r="G65" s="324">
        <v>45887309</v>
      </c>
      <c r="H65" s="325">
        <v>47543</v>
      </c>
      <c r="I65" s="325" t="s">
        <v>216</v>
      </c>
      <c r="J65" s="324">
        <v>0</v>
      </c>
      <c r="K65" s="324">
        <v>3087102</v>
      </c>
      <c r="L65" s="341" t="s">
        <v>91</v>
      </c>
      <c r="M65" s="321">
        <v>0</v>
      </c>
      <c r="N65" s="321" t="str">
        <f>D65</f>
        <v>SOC</v>
      </c>
      <c r="O65" s="327">
        <v>45306</v>
      </c>
      <c r="P65" s="324">
        <v>42841254</v>
      </c>
      <c r="Q65" s="324">
        <v>42416380.079999998</v>
      </c>
      <c r="R65" s="324">
        <v>-1110.2</v>
      </c>
      <c r="S65" s="325">
        <v>47416</v>
      </c>
      <c r="T65" s="325">
        <v>47416</v>
      </c>
      <c r="U65" s="328">
        <v>0</v>
      </c>
      <c r="V65" s="324">
        <v>3251915.3</v>
      </c>
      <c r="W65" s="324">
        <v>2445819.6068000002</v>
      </c>
      <c r="X65" s="324">
        <v>2200526.92</v>
      </c>
      <c r="Y65" s="329">
        <v>1.1114699777451484</v>
      </c>
      <c r="Z65" s="329">
        <v>0.75211663932329353</v>
      </c>
      <c r="AA65" s="318">
        <f>IFERROR(V65/P65,"")</f>
        <v>7.5906165118322627E-2</v>
      </c>
      <c r="AB65" s="318">
        <f>IFERROR(W65/P65,"")</f>
        <v>5.7090289812711838E-2</v>
      </c>
      <c r="AC65" s="341" t="s">
        <v>91</v>
      </c>
      <c r="AD65" s="584" t="str">
        <f>$D65&amp;CHAR(10)&amp;TEXT($E65,"(mmm-yy)")</f>
        <v>SOC
(Nov-23)</v>
      </c>
      <c r="AE65" s="584" t="str">
        <f>$N65&amp;CHAR(10)&amp;TEXT($O65,"(mmm-yy)")</f>
        <v>SOC
(Jan-24)</v>
      </c>
      <c r="AG65" s="602" t="s">
        <v>544</v>
      </c>
      <c r="AH65" s="602" t="s">
        <v>545</v>
      </c>
      <c r="AI65" s="628"/>
    </row>
    <row r="66" spans="1:35" ht="17.25" customHeight="1" outlineLevel="1" collapsed="1" x14ac:dyDescent="0.4">
      <c r="A66" s="319" t="s">
        <v>216</v>
      </c>
      <c r="B66" s="331" t="s">
        <v>216</v>
      </c>
      <c r="C66" s="332" t="str" cm="1">
        <f t="array" ref="C66">IFERROR(_xlfn.SWITCH(C65,-1,"i",0,"g",1,"h"),"")</f>
        <v>g</v>
      </c>
      <c r="D66" s="322" t="s">
        <v>216</v>
      </c>
      <c r="E66" s="322" t="s">
        <v>216</v>
      </c>
      <c r="F66" s="333" t="s">
        <v>216</v>
      </c>
      <c r="G66" s="333" t="s">
        <v>216</v>
      </c>
      <c r="H66" s="333" t="s">
        <v>216</v>
      </c>
      <c r="I66" s="333" t="s">
        <v>216</v>
      </c>
      <c r="J66" s="333" t="s">
        <v>216</v>
      </c>
      <c r="K66" s="333" t="s">
        <v>216</v>
      </c>
      <c r="L66" s="331" t="s">
        <v>216</v>
      </c>
      <c r="M66" s="332" t="str" cm="1">
        <f t="array" ref="M66">IFERROR(_xlfn.SWITCH(M65,-1,"i",0,"g",1,"h"),"")</f>
        <v>g</v>
      </c>
      <c r="N66" s="332"/>
      <c r="O66" s="333" t="s">
        <v>216</v>
      </c>
      <c r="P66" s="333" t="s">
        <v>216</v>
      </c>
      <c r="Q66" s="333" t="s">
        <v>216</v>
      </c>
      <c r="R66" s="333" t="s">
        <v>216</v>
      </c>
      <c r="S66" s="333" t="s">
        <v>216</v>
      </c>
      <c r="T66" s="333" t="s">
        <v>216</v>
      </c>
      <c r="U66" s="333" t="s">
        <v>216</v>
      </c>
      <c r="V66" s="333" t="s">
        <v>216</v>
      </c>
      <c r="W66" s="333" t="s">
        <v>216</v>
      </c>
      <c r="X66" s="333" t="s">
        <v>216</v>
      </c>
      <c r="Y66" s="334" t="s">
        <v>216</v>
      </c>
      <c r="Z66" s="334" t="s">
        <v>216</v>
      </c>
      <c r="AA66" s="333" t="s">
        <v>216</v>
      </c>
      <c r="AB66" s="333" t="s">
        <v>216</v>
      </c>
      <c r="AC66" s="338" t="s">
        <v>216</v>
      </c>
      <c r="AG66" s="602"/>
      <c r="AH66" s="602"/>
    </row>
    <row r="67" spans="1:35" x14ac:dyDescent="0.4">
      <c r="A67" s="769"/>
      <c r="B67" s="763"/>
      <c r="C67" s="763"/>
      <c r="D67" s="763"/>
      <c r="E67" s="763"/>
      <c r="F67" s="763"/>
      <c r="G67" s="763"/>
      <c r="H67" s="763"/>
      <c r="I67" s="763"/>
      <c r="J67" s="763"/>
      <c r="K67" s="763"/>
      <c r="L67" s="763"/>
      <c r="M67" s="763"/>
      <c r="N67" s="763"/>
      <c r="O67" s="763"/>
      <c r="P67" s="763"/>
      <c r="Q67" s="763"/>
      <c r="R67" s="763"/>
      <c r="S67" s="763"/>
      <c r="T67" s="763"/>
      <c r="U67" s="763"/>
      <c r="V67" s="763"/>
      <c r="W67" s="763"/>
      <c r="X67" s="763"/>
      <c r="Y67" s="763"/>
      <c r="Z67" s="763"/>
      <c r="AA67" s="763"/>
      <c r="AB67" s="763"/>
      <c r="AC67" s="764"/>
      <c r="AG67" s="602"/>
      <c r="AH67" s="602"/>
    </row>
    <row r="68" spans="1:35" ht="8.25" customHeight="1" x14ac:dyDescent="0.4">
      <c r="A68" s="783" t="s">
        <v>216</v>
      </c>
      <c r="B68" s="784"/>
      <c r="C68" s="784"/>
      <c r="D68" s="784"/>
      <c r="E68" s="784"/>
      <c r="F68" s="784"/>
      <c r="G68" s="784"/>
      <c r="H68" s="784"/>
      <c r="I68" s="784"/>
      <c r="J68" s="784"/>
      <c r="K68" s="784"/>
      <c r="L68" s="784"/>
      <c r="M68" s="784"/>
      <c r="N68" s="784"/>
      <c r="O68" s="784"/>
      <c r="P68" s="784"/>
      <c r="Q68" s="784"/>
      <c r="R68" s="784"/>
      <c r="S68" s="784"/>
      <c r="T68" s="784"/>
      <c r="U68" s="784"/>
      <c r="V68" s="784"/>
      <c r="W68" s="784"/>
      <c r="X68" s="784"/>
      <c r="Y68" s="784"/>
      <c r="Z68" s="784"/>
      <c r="AA68" s="784"/>
      <c r="AB68" s="784"/>
      <c r="AC68" s="784"/>
      <c r="AG68" s="602"/>
      <c r="AH68" s="602"/>
    </row>
    <row r="69" spans="1:35" ht="29.15" x14ac:dyDescent="0.4">
      <c r="A69" s="319" t="s">
        <v>360</v>
      </c>
      <c r="B69" s="341" t="s">
        <v>91</v>
      </c>
      <c r="C69" s="321">
        <v>0</v>
      </c>
      <c r="D69" s="322" t="s">
        <v>468</v>
      </c>
      <c r="E69" s="323">
        <v>45170</v>
      </c>
      <c r="F69" s="324">
        <v>44000000</v>
      </c>
      <c r="G69" s="324">
        <v>45039000</v>
      </c>
      <c r="H69" s="325">
        <v>47119</v>
      </c>
      <c r="I69" s="325" t="s">
        <v>216</v>
      </c>
      <c r="J69" s="324">
        <v>0</v>
      </c>
      <c r="K69" s="324">
        <v>2601000</v>
      </c>
      <c r="L69" s="341" t="s">
        <v>91</v>
      </c>
      <c r="M69" s="321">
        <v>0</v>
      </c>
      <c r="N69" s="321" t="str">
        <f>D69</f>
        <v>SOC</v>
      </c>
      <c r="O69" s="327">
        <v>45306</v>
      </c>
      <c r="P69" s="324">
        <v>42754873</v>
      </c>
      <c r="Q69" s="324">
        <v>42264071.770000003</v>
      </c>
      <c r="R69" s="324">
        <v>442.86</v>
      </c>
      <c r="S69" s="325">
        <v>47129</v>
      </c>
      <c r="T69" s="325">
        <v>47129</v>
      </c>
      <c r="U69" s="328">
        <v>0</v>
      </c>
      <c r="V69" s="324">
        <v>3944448.66</v>
      </c>
      <c r="W69" s="324">
        <v>2171649.3372999998</v>
      </c>
      <c r="X69" s="324">
        <v>2397716.41</v>
      </c>
      <c r="Y69" s="329">
        <v>0.90571567523283536</v>
      </c>
      <c r="Z69" s="329">
        <v>0.55055839852153132</v>
      </c>
      <c r="AA69" s="318">
        <f>IFERROR(V69/P69,"")</f>
        <v>9.2257288660406028E-2</v>
      </c>
      <c r="AB69" s="318">
        <f>IFERROR(W69/P69,"")</f>
        <v>5.0793025096811766E-2</v>
      </c>
      <c r="AC69" s="341" t="s">
        <v>91</v>
      </c>
      <c r="AD69" s="584" t="str">
        <f>$D69&amp;CHAR(10)&amp;TEXT($E69,"(mmm-yy)")</f>
        <v>SOC
(Sep-23)</v>
      </c>
      <c r="AE69" s="584" t="str">
        <f>$N69&amp;CHAR(10)&amp;TEXT($O69,"(mmm-yy)")</f>
        <v>SOC
(Jan-24)</v>
      </c>
      <c r="AG69" s="602" t="s">
        <v>539</v>
      </c>
      <c r="AH69" s="602" t="s">
        <v>545</v>
      </c>
    </row>
    <row r="70" spans="1:35" ht="17.25" customHeight="1" outlineLevel="1" collapsed="1" x14ac:dyDescent="0.4">
      <c r="A70" s="319" t="s">
        <v>216</v>
      </c>
      <c r="B70" s="331" t="s">
        <v>216</v>
      </c>
      <c r="C70" s="332" t="str" cm="1">
        <f t="array" ref="C70">IFERROR(_xlfn.SWITCH(C69,-1,"i",0,"g",1,"h"),"")</f>
        <v>g</v>
      </c>
      <c r="D70" s="322" t="s">
        <v>216</v>
      </c>
      <c r="E70" s="322" t="s">
        <v>216</v>
      </c>
      <c r="F70" s="333" t="s">
        <v>216</v>
      </c>
      <c r="G70" s="333" t="s">
        <v>216</v>
      </c>
      <c r="H70" s="333" t="s">
        <v>216</v>
      </c>
      <c r="I70" s="333" t="s">
        <v>216</v>
      </c>
      <c r="J70" s="333" t="s">
        <v>216</v>
      </c>
      <c r="K70" s="333" t="s">
        <v>216</v>
      </c>
      <c r="L70" s="331" t="s">
        <v>216</v>
      </c>
      <c r="M70" s="332" t="str" cm="1">
        <f t="array" ref="M70">IFERROR(_xlfn.SWITCH(M69,-1,"i",0,"g",1,"h"),"")</f>
        <v>g</v>
      </c>
      <c r="N70" s="332"/>
      <c r="O70" s="333" t="s">
        <v>216</v>
      </c>
      <c r="P70" s="333" t="s">
        <v>216</v>
      </c>
      <c r="Q70" s="333" t="s">
        <v>216</v>
      </c>
      <c r="R70" s="333" t="s">
        <v>216</v>
      </c>
      <c r="S70" s="333" t="s">
        <v>216</v>
      </c>
      <c r="T70" s="333" t="s">
        <v>216</v>
      </c>
      <c r="U70" s="333" t="s">
        <v>216</v>
      </c>
      <c r="V70" s="333" t="s">
        <v>216</v>
      </c>
      <c r="W70" s="333" t="s">
        <v>216</v>
      </c>
      <c r="X70" s="333" t="s">
        <v>216</v>
      </c>
      <c r="Y70" s="334" t="s">
        <v>216</v>
      </c>
      <c r="Z70" s="334" t="s">
        <v>216</v>
      </c>
      <c r="AA70" s="333" t="s">
        <v>216</v>
      </c>
      <c r="AB70" s="333" t="s">
        <v>216</v>
      </c>
      <c r="AC70" s="338" t="s">
        <v>216</v>
      </c>
      <c r="AG70" s="602"/>
      <c r="AH70" s="602"/>
    </row>
    <row r="71" spans="1:35" x14ac:dyDescent="0.4">
      <c r="A71" s="769"/>
      <c r="B71" s="763"/>
      <c r="C71" s="763"/>
      <c r="D71" s="763"/>
      <c r="E71" s="763"/>
      <c r="F71" s="763"/>
      <c r="G71" s="763"/>
      <c r="H71" s="763"/>
      <c r="I71" s="763"/>
      <c r="J71" s="763"/>
      <c r="K71" s="763"/>
      <c r="L71" s="763"/>
      <c r="M71" s="763"/>
      <c r="N71" s="763"/>
      <c r="O71" s="763"/>
      <c r="P71" s="763"/>
      <c r="Q71" s="763"/>
      <c r="R71" s="763"/>
      <c r="S71" s="763"/>
      <c r="T71" s="763"/>
      <c r="U71" s="763"/>
      <c r="V71" s="763"/>
      <c r="W71" s="763"/>
      <c r="X71" s="763"/>
      <c r="Y71" s="763"/>
      <c r="Z71" s="763"/>
      <c r="AA71" s="763"/>
      <c r="AB71" s="763"/>
      <c r="AC71" s="764"/>
      <c r="AG71" s="602"/>
      <c r="AH71" s="602"/>
    </row>
    <row r="72" spans="1:35" ht="8.25" customHeight="1" x14ac:dyDescent="0.4">
      <c r="A72" s="783" t="s">
        <v>216</v>
      </c>
      <c r="B72" s="784"/>
      <c r="C72" s="784"/>
      <c r="D72" s="784"/>
      <c r="E72" s="784"/>
      <c r="F72" s="784"/>
      <c r="G72" s="784"/>
      <c r="H72" s="784"/>
      <c r="I72" s="784"/>
      <c r="J72" s="784"/>
      <c r="K72" s="784"/>
      <c r="L72" s="784"/>
      <c r="M72" s="784"/>
      <c r="N72" s="784"/>
      <c r="O72" s="784"/>
      <c r="P72" s="784"/>
      <c r="Q72" s="784"/>
      <c r="R72" s="784"/>
      <c r="S72" s="784"/>
      <c r="T72" s="784"/>
      <c r="U72" s="784"/>
      <c r="V72" s="784"/>
      <c r="W72" s="784"/>
      <c r="X72" s="784"/>
      <c r="Y72" s="784"/>
      <c r="Z72" s="784"/>
      <c r="AA72" s="784"/>
      <c r="AB72" s="784"/>
      <c r="AC72" s="784"/>
      <c r="AG72" s="602"/>
      <c r="AH72" s="602"/>
    </row>
    <row r="73" spans="1:35" ht="29.25" customHeight="1" x14ac:dyDescent="0.4">
      <c r="A73" s="319" t="s">
        <v>374</v>
      </c>
      <c r="B73" s="341" t="s">
        <v>91</v>
      </c>
      <c r="C73" s="321">
        <v>0</v>
      </c>
      <c r="D73" s="322" t="s">
        <v>235</v>
      </c>
      <c r="E73" s="323">
        <v>42404</v>
      </c>
      <c r="F73" s="324">
        <v>64272000</v>
      </c>
      <c r="G73" s="324">
        <v>66533000</v>
      </c>
      <c r="H73" s="325">
        <v>44530</v>
      </c>
      <c r="I73" s="325" t="s">
        <v>216</v>
      </c>
      <c r="J73" s="324">
        <v>60457000</v>
      </c>
      <c r="K73" s="324">
        <v>58957000</v>
      </c>
      <c r="L73" s="341" t="s">
        <v>91</v>
      </c>
      <c r="M73" s="321">
        <v>0</v>
      </c>
      <c r="N73" s="321" t="str">
        <f>D73</f>
        <v>FBC</v>
      </c>
      <c r="O73" s="327">
        <v>42080</v>
      </c>
      <c r="P73" s="324">
        <v>64421715</v>
      </c>
      <c r="Q73" s="324">
        <v>58647950.659999996</v>
      </c>
      <c r="R73" s="324">
        <v>15215.75</v>
      </c>
      <c r="S73" s="325">
        <v>44054</v>
      </c>
      <c r="T73" s="325">
        <v>46007</v>
      </c>
      <c r="U73" s="328">
        <v>42</v>
      </c>
      <c r="V73" s="324">
        <v>64421715.439999998</v>
      </c>
      <c r="W73" s="324">
        <v>64352225.929499999</v>
      </c>
      <c r="X73" s="324">
        <v>58591612.240000002</v>
      </c>
      <c r="Y73" s="329">
        <v>1.0983180607132581</v>
      </c>
      <c r="Z73" s="329">
        <v>0.99892133405598738</v>
      </c>
      <c r="AA73" s="318">
        <f>IFERROR(V73/P73,"")</f>
        <v>1.000000006829995</v>
      </c>
      <c r="AB73" s="318">
        <f>IFERROR(W73/P73,"")</f>
        <v>0.99892134087861517</v>
      </c>
      <c r="AC73" s="341" t="s">
        <v>91</v>
      </c>
      <c r="AD73" s="584" t="str">
        <f>$D73&amp;CHAR(10)&amp;TEXT($E73,"(mmm-yy)")</f>
        <v>FBC
(Feb-16)</v>
      </c>
      <c r="AE73" s="584" t="str">
        <f>$N73&amp;CHAR(10)&amp;TEXT($O73,"(mmm-yy)")</f>
        <v>FBC
(Mar-15)</v>
      </c>
      <c r="AG73" s="602" t="s">
        <v>524</v>
      </c>
      <c r="AH73" s="602" t="s">
        <v>525</v>
      </c>
    </row>
    <row r="74" spans="1:35" ht="17.25" customHeight="1" outlineLevel="1" collapsed="1" x14ac:dyDescent="0.4">
      <c r="A74" s="319" t="s">
        <v>216</v>
      </c>
      <c r="B74" s="331" t="s">
        <v>216</v>
      </c>
      <c r="C74" s="332" t="str" cm="1">
        <f t="array" ref="C74">IFERROR(_xlfn.SWITCH(C73,-1,"i",0,"g",1,"h"),"")</f>
        <v>g</v>
      </c>
      <c r="D74" s="322" t="s">
        <v>216</v>
      </c>
      <c r="E74" s="322" t="s">
        <v>216</v>
      </c>
      <c r="F74" s="333" t="s">
        <v>216</v>
      </c>
      <c r="G74" s="333" t="s">
        <v>216</v>
      </c>
      <c r="H74" s="333" t="s">
        <v>216</v>
      </c>
      <c r="I74" s="333" t="s">
        <v>216</v>
      </c>
      <c r="J74" s="333" t="s">
        <v>216</v>
      </c>
      <c r="K74" s="333" t="s">
        <v>216</v>
      </c>
      <c r="L74" s="331" t="s">
        <v>216</v>
      </c>
      <c r="M74" s="332" t="str" cm="1">
        <f t="array" ref="M74">IFERROR(_xlfn.SWITCH(M73,-1,"i",0,"g",1,"h"),"")</f>
        <v>g</v>
      </c>
      <c r="N74" s="332"/>
      <c r="O74" s="333" t="s">
        <v>216</v>
      </c>
      <c r="P74" s="333" t="s">
        <v>216</v>
      </c>
      <c r="Q74" s="333" t="s">
        <v>216</v>
      </c>
      <c r="R74" s="333" t="s">
        <v>216</v>
      </c>
      <c r="S74" s="333" t="s">
        <v>216</v>
      </c>
      <c r="T74" s="333" t="s">
        <v>216</v>
      </c>
      <c r="U74" s="333" t="s">
        <v>216</v>
      </c>
      <c r="V74" s="333" t="s">
        <v>216</v>
      </c>
      <c r="W74" s="333" t="s">
        <v>216</v>
      </c>
      <c r="X74" s="333" t="s">
        <v>216</v>
      </c>
      <c r="Y74" s="334" t="s">
        <v>216</v>
      </c>
      <c r="Z74" s="334" t="s">
        <v>216</v>
      </c>
      <c r="AA74" s="333" t="s">
        <v>216</v>
      </c>
      <c r="AB74" s="333" t="s">
        <v>216</v>
      </c>
      <c r="AC74" s="338" t="s">
        <v>216</v>
      </c>
      <c r="AG74" s="602"/>
      <c r="AH74" s="602"/>
    </row>
    <row r="75" spans="1:35" ht="17.25" customHeight="1" x14ac:dyDescent="0.4">
      <c r="A75" s="319"/>
      <c r="B75" s="658"/>
      <c r="C75" s="659"/>
      <c r="D75" s="660"/>
      <c r="E75" s="660"/>
      <c r="F75" s="661"/>
      <c r="G75" s="661"/>
      <c r="H75" s="661"/>
      <c r="I75" s="661"/>
      <c r="J75" s="661"/>
      <c r="K75" s="661"/>
      <c r="L75" s="658"/>
      <c r="M75" s="659"/>
      <c r="N75" s="659"/>
      <c r="O75" s="661"/>
      <c r="P75" s="661"/>
      <c r="Q75" s="661"/>
      <c r="R75" s="661"/>
      <c r="S75" s="661"/>
      <c r="T75" s="661"/>
      <c r="U75" s="661"/>
      <c r="V75" s="661"/>
      <c r="W75" s="661"/>
      <c r="X75" s="661"/>
      <c r="Y75" s="662"/>
      <c r="Z75" s="662"/>
      <c r="AA75" s="661"/>
      <c r="AB75" s="661"/>
      <c r="AC75" s="663"/>
      <c r="AG75" s="602"/>
      <c r="AH75" s="602"/>
    </row>
    <row r="76" spans="1:35" ht="8.25" customHeight="1" x14ac:dyDescent="0.4">
      <c r="A76" s="783"/>
      <c r="B76" s="784"/>
      <c r="C76" s="784"/>
      <c r="D76" s="784"/>
      <c r="E76" s="784"/>
      <c r="F76" s="784"/>
      <c r="G76" s="784"/>
      <c r="H76" s="784"/>
      <c r="I76" s="784"/>
      <c r="J76" s="784"/>
      <c r="K76" s="784"/>
      <c r="L76" s="784"/>
      <c r="M76" s="784"/>
      <c r="N76" s="784"/>
      <c r="O76" s="784"/>
      <c r="P76" s="784"/>
      <c r="Q76" s="784"/>
      <c r="R76" s="784"/>
      <c r="S76" s="784"/>
      <c r="T76" s="784"/>
      <c r="U76" s="784"/>
      <c r="V76" s="784"/>
      <c r="W76" s="784"/>
      <c r="X76" s="784"/>
      <c r="Y76" s="784"/>
      <c r="Z76" s="784"/>
      <c r="AA76" s="784"/>
      <c r="AB76" s="784"/>
      <c r="AC76" s="784"/>
      <c r="AG76" s="602"/>
      <c r="AH76" s="602"/>
    </row>
    <row r="77" spans="1:35" s="603" customFormat="1" ht="29.25" customHeight="1" x14ac:dyDescent="0.4">
      <c r="A77" s="319" t="s">
        <v>329</v>
      </c>
      <c r="B77" s="341" t="s">
        <v>88</v>
      </c>
      <c r="C77" s="321">
        <v>0</v>
      </c>
      <c r="D77" s="322" t="s">
        <v>95</v>
      </c>
      <c r="E77" s="323">
        <v>42125</v>
      </c>
      <c r="F77" s="324">
        <v>0</v>
      </c>
      <c r="G77" s="324">
        <v>0</v>
      </c>
      <c r="H77" s="325" t="s">
        <v>216</v>
      </c>
      <c r="I77" s="325" t="s">
        <v>216</v>
      </c>
      <c r="J77" s="324">
        <v>0</v>
      </c>
      <c r="K77" s="324">
        <v>11867767</v>
      </c>
      <c r="L77" s="341" t="s">
        <v>88</v>
      </c>
      <c r="M77" s="321">
        <v>0</v>
      </c>
      <c r="N77" s="321" t="str">
        <f>D77</f>
        <v>N/A</v>
      </c>
      <c r="O77" s="327">
        <v>43332</v>
      </c>
      <c r="P77" s="324">
        <v>20914989</v>
      </c>
      <c r="Q77" s="324">
        <v>23356290.93</v>
      </c>
      <c r="R77" s="324">
        <v>60754.03</v>
      </c>
      <c r="S77" s="325">
        <v>46356</v>
      </c>
      <c r="T77" s="325">
        <v>48183</v>
      </c>
      <c r="U77" s="328">
        <v>0</v>
      </c>
      <c r="V77" s="324">
        <v>20062174.420000002</v>
      </c>
      <c r="W77" s="324">
        <v>7721834.1090000002</v>
      </c>
      <c r="X77" s="324">
        <v>8982138.75</v>
      </c>
      <c r="Y77" s="329">
        <v>0.85968768952717411</v>
      </c>
      <c r="Z77" s="329">
        <v>0.38489517374059395</v>
      </c>
      <c r="AA77" s="318">
        <f>IFERROR(V77/P77,"")</f>
        <v>0.95922471773712148</v>
      </c>
      <c r="AB77" s="318">
        <f>IFERROR(W77/P77,"")</f>
        <v>0.36920096438970157</v>
      </c>
      <c r="AC77" s="341" t="s">
        <v>91</v>
      </c>
      <c r="AD77" s="626" t="str">
        <f>$D77&amp;CHAR(10)&amp;TEXT($E77,"(mmm-yy)")</f>
        <v>N/A
(May-15)</v>
      </c>
      <c r="AE77" s="626" t="str">
        <f>$N77&amp;CHAR(10)&amp;TEXT($O77,"(mmm-yy)")</f>
        <v>N/A
(Aug-18)</v>
      </c>
      <c r="AG77" s="602" t="s">
        <v>546</v>
      </c>
      <c r="AH77" s="602" t="s">
        <v>547</v>
      </c>
    </row>
    <row r="78" spans="1:35" ht="17.25" customHeight="1" outlineLevel="1" collapsed="1" x14ac:dyDescent="0.4">
      <c r="A78" s="319" t="s">
        <v>216</v>
      </c>
      <c r="B78" s="331" t="s">
        <v>216</v>
      </c>
      <c r="C78" s="332" t="str" cm="1">
        <f t="array" ref="C78">IFERROR(_xlfn.SWITCH(C77,-1,"i",0,"g",1,"h"),"")</f>
        <v>g</v>
      </c>
      <c r="D78" s="322" t="s">
        <v>216</v>
      </c>
      <c r="E78" s="322" t="s">
        <v>216</v>
      </c>
      <c r="F78" s="333" t="s">
        <v>216</v>
      </c>
      <c r="G78" s="333" t="s">
        <v>216</v>
      </c>
      <c r="H78" s="333" t="s">
        <v>216</v>
      </c>
      <c r="I78" s="333" t="s">
        <v>216</v>
      </c>
      <c r="J78" s="333" t="s">
        <v>216</v>
      </c>
      <c r="K78" s="333" t="s">
        <v>216</v>
      </c>
      <c r="L78" s="331" t="s">
        <v>216</v>
      </c>
      <c r="M78" s="332" t="str" cm="1">
        <f t="array" ref="M78">IFERROR(_xlfn.SWITCH(M77,-1,"i",0,"g",1,"h"),"")</f>
        <v>g</v>
      </c>
      <c r="N78" s="332"/>
      <c r="O78" s="333" t="s">
        <v>216</v>
      </c>
      <c r="P78" s="333" t="s">
        <v>216</v>
      </c>
      <c r="Q78" s="333" t="s">
        <v>216</v>
      </c>
      <c r="R78" s="333" t="s">
        <v>216</v>
      </c>
      <c r="S78" s="333" t="s">
        <v>216</v>
      </c>
      <c r="T78" s="333" t="s">
        <v>216</v>
      </c>
      <c r="U78" s="333" t="s">
        <v>216</v>
      </c>
      <c r="V78" s="333" t="s">
        <v>216</v>
      </c>
      <c r="W78" s="333" t="s">
        <v>216</v>
      </c>
      <c r="X78" s="333" t="s">
        <v>216</v>
      </c>
      <c r="Y78" s="334" t="s">
        <v>216</v>
      </c>
      <c r="Z78" s="334" t="s">
        <v>216</v>
      </c>
      <c r="AA78" s="333" t="s">
        <v>216</v>
      </c>
      <c r="AB78" s="333" t="s">
        <v>216</v>
      </c>
      <c r="AC78" s="338" t="s">
        <v>216</v>
      </c>
      <c r="AG78" s="602"/>
      <c r="AH78" s="602"/>
    </row>
    <row r="79" spans="1:35" ht="24.9" x14ac:dyDescent="0.4">
      <c r="A79" s="319"/>
      <c r="B79" s="658"/>
      <c r="C79" s="659"/>
      <c r="D79" s="660"/>
      <c r="E79" s="660"/>
      <c r="F79" s="661"/>
      <c r="G79" s="661"/>
      <c r="H79" s="661"/>
      <c r="I79" s="661"/>
      <c r="J79" s="661"/>
      <c r="K79" s="661"/>
      <c r="L79" s="658"/>
      <c r="M79" s="659"/>
      <c r="N79" s="659"/>
      <c r="O79" s="661"/>
      <c r="P79" s="661"/>
      <c r="Q79" s="661"/>
      <c r="R79" s="661"/>
      <c r="S79" s="661"/>
      <c r="T79" s="661"/>
      <c r="U79" s="661"/>
      <c r="V79" s="661"/>
      <c r="W79" s="661"/>
      <c r="X79" s="661"/>
      <c r="Y79" s="662"/>
      <c r="Z79" s="662"/>
      <c r="AA79" s="661"/>
      <c r="AB79" s="661"/>
      <c r="AC79" s="663"/>
      <c r="AG79" s="602"/>
      <c r="AH79" s="602"/>
    </row>
    <row r="80" spans="1:35" ht="8.25" customHeight="1" x14ac:dyDescent="0.4">
      <c r="A80" s="783"/>
      <c r="B80" s="784"/>
      <c r="C80" s="784"/>
      <c r="D80" s="784"/>
      <c r="E80" s="784"/>
      <c r="F80" s="784"/>
      <c r="G80" s="784"/>
      <c r="H80" s="784"/>
      <c r="I80" s="784"/>
      <c r="J80" s="784"/>
      <c r="K80" s="784"/>
      <c r="L80" s="784"/>
      <c r="M80" s="784"/>
      <c r="N80" s="784"/>
      <c r="O80" s="784"/>
      <c r="P80" s="784"/>
      <c r="Q80" s="784"/>
      <c r="R80" s="784"/>
      <c r="S80" s="784"/>
      <c r="T80" s="784"/>
      <c r="U80" s="784"/>
      <c r="V80" s="784"/>
      <c r="W80" s="784"/>
      <c r="X80" s="784"/>
      <c r="Y80" s="784"/>
      <c r="Z80" s="784"/>
      <c r="AA80" s="784"/>
      <c r="AB80" s="784"/>
      <c r="AC80" s="784"/>
      <c r="AG80" s="602"/>
      <c r="AH80" s="602"/>
    </row>
    <row r="81" spans="1:34" ht="29.25" customHeight="1" x14ac:dyDescent="0.4">
      <c r="A81" s="319" t="s">
        <v>354</v>
      </c>
      <c r="B81" s="341" t="s">
        <v>90</v>
      </c>
      <c r="C81" s="321">
        <v>0</v>
      </c>
      <c r="D81" s="322" t="s">
        <v>468</v>
      </c>
      <c r="E81" s="323">
        <v>45394</v>
      </c>
      <c r="F81" s="324">
        <v>16000000</v>
      </c>
      <c r="G81" s="324">
        <v>17000000</v>
      </c>
      <c r="H81" s="325">
        <v>48519</v>
      </c>
      <c r="I81" s="325" t="s">
        <v>216</v>
      </c>
      <c r="J81" s="324">
        <v>0</v>
      </c>
      <c r="K81" s="324">
        <v>16000000</v>
      </c>
      <c r="L81" s="341" t="s">
        <v>90</v>
      </c>
      <c r="M81" s="321">
        <v>-1</v>
      </c>
      <c r="N81" s="321" t="str">
        <f>D81</f>
        <v>SOC</v>
      </c>
      <c r="O81" s="327">
        <v>45330</v>
      </c>
      <c r="P81" s="324">
        <v>155655666</v>
      </c>
      <c r="Q81" s="324">
        <v>159012255.55000001</v>
      </c>
      <c r="R81" s="324">
        <v>29847.95</v>
      </c>
      <c r="S81" s="325">
        <v>48530</v>
      </c>
      <c r="T81" s="325">
        <v>48530</v>
      </c>
      <c r="U81" s="328">
        <v>0</v>
      </c>
      <c r="V81" s="324">
        <v>9856582.3599999994</v>
      </c>
      <c r="W81" s="324">
        <v>7060881.2070000004</v>
      </c>
      <c r="X81" s="324">
        <v>10352647.6</v>
      </c>
      <c r="Y81" s="329">
        <v>0.6820362751456932</v>
      </c>
      <c r="Z81" s="329">
        <v>0.71636201566726421</v>
      </c>
      <c r="AA81" s="318">
        <f>IFERROR(V81/P81,"")</f>
        <v>6.3322991146367899E-2</v>
      </c>
      <c r="AB81" s="318">
        <f>IFERROR(W81/P81,"")</f>
        <v>4.5362185575692444E-2</v>
      </c>
      <c r="AC81" s="341" t="s">
        <v>90</v>
      </c>
      <c r="AD81" s="584" t="str">
        <f>$D81&amp;CHAR(10)&amp;TEXT($E81,"(mmm-yy)")</f>
        <v>SOC
(Apr-24)</v>
      </c>
      <c r="AE81" s="584" t="str">
        <f>$N81&amp;CHAR(10)&amp;TEXT($O81,"(mmm-yy)")</f>
        <v>SOC
(Feb-24)</v>
      </c>
      <c r="AG81" s="602" t="s">
        <v>526</v>
      </c>
      <c r="AH81" s="602" t="s">
        <v>527</v>
      </c>
    </row>
    <row r="82" spans="1:34" ht="25.5" customHeight="1" outlineLevel="1" collapsed="1" x14ac:dyDescent="0.4">
      <c r="A82" s="319" t="s">
        <v>216</v>
      </c>
      <c r="B82" s="331" t="s">
        <v>216</v>
      </c>
      <c r="C82" s="332" t="str" cm="1">
        <f t="array" ref="C82">IFERROR(_xlfn.SWITCH(C81,-1,"i",0,"g",1,"h"),"")</f>
        <v>g</v>
      </c>
      <c r="D82" s="322" t="s">
        <v>216</v>
      </c>
      <c r="E82" s="322" t="s">
        <v>216</v>
      </c>
      <c r="F82" s="333" t="s">
        <v>216</v>
      </c>
      <c r="G82" s="333" t="s">
        <v>216</v>
      </c>
      <c r="H82" s="333" t="s">
        <v>216</v>
      </c>
      <c r="I82" s="333" t="s">
        <v>216</v>
      </c>
      <c r="J82" s="333" t="s">
        <v>216</v>
      </c>
      <c r="K82" s="333" t="s">
        <v>216</v>
      </c>
      <c r="L82" s="331" t="s">
        <v>216</v>
      </c>
      <c r="M82" s="332" t="str" cm="1">
        <f t="array" ref="M82">IFERROR(_xlfn.SWITCH(M81,-1,"i",0,"g",1,"h"),"")</f>
        <v>i</v>
      </c>
      <c r="N82" s="332"/>
      <c r="O82" s="333" t="s">
        <v>216</v>
      </c>
      <c r="P82" s="333" t="s">
        <v>216</v>
      </c>
      <c r="Q82" s="333" t="s">
        <v>216</v>
      </c>
      <c r="R82" s="333" t="s">
        <v>216</v>
      </c>
      <c r="S82" s="333" t="s">
        <v>216</v>
      </c>
      <c r="T82" s="333" t="s">
        <v>216</v>
      </c>
      <c r="U82" s="333" t="s">
        <v>216</v>
      </c>
      <c r="V82" s="333" t="s">
        <v>216</v>
      </c>
      <c r="W82" s="333" t="s">
        <v>216</v>
      </c>
      <c r="X82" s="333" t="s">
        <v>216</v>
      </c>
      <c r="Y82" s="334" t="s">
        <v>216</v>
      </c>
      <c r="Z82" s="334" t="s">
        <v>216</v>
      </c>
      <c r="AA82" s="333" t="s">
        <v>216</v>
      </c>
      <c r="AB82" s="333" t="s">
        <v>216</v>
      </c>
      <c r="AC82" s="338" t="s">
        <v>216</v>
      </c>
      <c r="AG82" s="602"/>
      <c r="AH82" s="602"/>
    </row>
    <row r="83" spans="1:34" ht="24.9" x14ac:dyDescent="0.4">
      <c r="A83" s="319"/>
      <c r="B83" s="658"/>
      <c r="C83" s="659"/>
      <c r="D83" s="660"/>
      <c r="E83" s="660"/>
      <c r="F83" s="661"/>
      <c r="G83" s="661"/>
      <c r="H83" s="661"/>
      <c r="I83" s="661"/>
      <c r="J83" s="661"/>
      <c r="K83" s="661"/>
      <c r="L83" s="658"/>
      <c r="M83" s="659"/>
      <c r="N83" s="659"/>
      <c r="O83" s="661"/>
      <c r="P83" s="661"/>
      <c r="Q83" s="661"/>
      <c r="R83" s="661"/>
      <c r="S83" s="661"/>
      <c r="T83" s="661"/>
      <c r="U83" s="661"/>
      <c r="V83" s="661"/>
      <c r="W83" s="661"/>
      <c r="X83" s="661"/>
      <c r="Y83" s="662"/>
      <c r="Z83" s="662"/>
      <c r="AA83" s="661"/>
      <c r="AB83" s="661"/>
      <c r="AC83" s="663"/>
      <c r="AG83" s="602"/>
      <c r="AH83" s="602"/>
    </row>
    <row r="84" spans="1:34" ht="8.25" customHeight="1" x14ac:dyDescent="0.4">
      <c r="A84" s="783"/>
      <c r="B84" s="783"/>
      <c r="C84" s="783"/>
      <c r="D84" s="783"/>
      <c r="E84" s="783"/>
      <c r="F84" s="783"/>
      <c r="G84" s="783"/>
      <c r="H84" s="783"/>
      <c r="I84" s="783"/>
      <c r="J84" s="783"/>
      <c r="K84" s="783"/>
      <c r="L84" s="783"/>
      <c r="M84" s="783"/>
      <c r="N84" s="783"/>
      <c r="O84" s="783"/>
      <c r="P84" s="783"/>
      <c r="Q84" s="783"/>
      <c r="R84" s="783"/>
      <c r="S84" s="783"/>
      <c r="T84" s="783"/>
      <c r="U84" s="783"/>
      <c r="V84" s="783"/>
      <c r="W84" s="783"/>
      <c r="X84" s="783"/>
      <c r="Y84" s="783"/>
      <c r="Z84" s="783"/>
      <c r="AA84" s="783"/>
      <c r="AB84" s="783"/>
      <c r="AC84" s="783"/>
      <c r="AG84" s="602"/>
      <c r="AH84" s="602"/>
    </row>
  </sheetData>
  <sheetProtection algorithmName="SHA-512" hashValue="h2wPPeSAl3zwlwaU1x52MQxSX8jxuIFswE11ZcKdInjCzKNx3A141op3yu8KX+ACjaVh+hT90rmnsxw9F6EKsA==" saltValue="XgAgN5gVEm3QFd9lVnC2aQ==" spinCount="100000" sheet="1" objects="1" scenarios="1"/>
  <customSheetViews>
    <customSheetView guid="{800416AC-1374-44AC-811C-612C85EF24E6}" scale="40" fitToPage="1">
      <pane xSplit="1" ySplit="4" topLeftCell="J5" activePane="bottomRight" state="frozen"/>
      <selection pane="bottomRight" activeCell="U73" sqref="U73"/>
      <pageMargins left="0.7" right="0.7" top="0.75" bottom="0.75" header="0.3" footer="0.3"/>
      <pageSetup paperSize="8" scale="30" fitToHeight="0" orientation="landscape" horizontalDpi="1200" verticalDpi="1200" r:id="rId1"/>
    </customSheetView>
    <customSheetView guid="{FBC63E8F-69FE-4648-B709-FA1212EFFB29}" scale="40" fitToPage="1">
      <pane xSplit="1" ySplit="4" topLeftCell="J5" activePane="bottomRight" state="frozen"/>
      <selection pane="bottomRight" activeCell="U73" sqref="U73"/>
      <pageMargins left="0.7" right="0.7" top="0.75" bottom="0.75" header="0.3" footer="0.3"/>
      <pageSetup paperSize="8" scale="30" fitToHeight="0" orientation="landscape" horizontalDpi="1200" verticalDpi="1200" r:id="rId2"/>
    </customSheetView>
    <customSheetView guid="{C7C13768-4A8D-4CBA-978C-F4A7B5550C00}" fitToPage="1" hiddenColumns="1">
      <pane xSplit="1" ySplit="4" topLeftCell="B52" activePane="bottomRight" state="frozen"/>
      <selection pane="bottomRight" activeCell="A71" sqref="A71:AC71"/>
      <pageMargins left="0.7" right="0.7" top="0.75" bottom="0.75" header="0.3" footer="0.3"/>
      <pageSetup paperSize="8" scale="30" fitToHeight="0" orientation="landscape" horizontalDpi="1200" verticalDpi="1200" r:id="rId3"/>
    </customSheetView>
    <customSheetView guid="{466708C2-41CE-4656-AB81-E1E49DF5945D}" scale="70" fitToPage="1">
      <pane xSplit="1" ySplit="4" topLeftCell="B5" activePane="bottomRight" state="frozen"/>
      <selection pane="bottomRight" activeCell="A4" sqref="A4"/>
      <pageMargins left="0.7" right="0.7" top="0.75" bottom="0.75" header="0.3" footer="0.3"/>
      <pageSetup paperSize="8" scale="30" fitToHeight="0" orientation="landscape" horizontalDpi="1200" verticalDpi="1200" r:id="rId4"/>
    </customSheetView>
    <customSheetView guid="{E3A3AE56-8881-4A6F-9299-803C489AD1B4}" scale="40" fitToPage="1">
      <pane xSplit="1" ySplit="4" topLeftCell="M18" activePane="bottomRight" state="frozen"/>
      <selection pane="bottomRight" activeCell="AI11" sqref="AI11"/>
      <pageMargins left="0.7" right="0.7" top="0.75" bottom="0.75" header="0.3" footer="0.3"/>
      <pageSetup paperSize="8" scale="30" fitToHeight="0" orientation="landscape" horizontalDpi="1200" verticalDpi="1200" r:id="rId5"/>
    </customSheetView>
    <customSheetView guid="{83044EFE-7F92-4F81-B034-85D9567158C2}" scale="40" fitToPage="1">
      <pane xSplit="1" ySplit="4" topLeftCell="M18" activePane="bottomRight" state="frozen"/>
      <selection pane="bottomRight" activeCell="AI11" sqref="AI11"/>
      <pageMargins left="0.7" right="0.7" top="0.75" bottom="0.75" header="0.3" footer="0.3"/>
      <pageSetup paperSize="8" scale="30" fitToHeight="0" orientation="landscape" horizontalDpi="1200" verticalDpi="1200" r:id="rId6"/>
    </customSheetView>
    <customSheetView guid="{E4713981-DD11-40CE-BE52-873D93BDDE05}" scale="40" fitToPage="1">
      <pane xSplit="1" ySplit="4" topLeftCell="M18" activePane="bottomRight" state="frozen"/>
      <selection pane="bottomRight" activeCell="AI11" sqref="AI11"/>
      <pageMargins left="0.7" right="0.7" top="0.75" bottom="0.75" header="0.3" footer="0.3"/>
      <pageSetup paperSize="8" scale="30" fitToHeight="0" orientation="landscape" horizontalDpi="1200" verticalDpi="1200" r:id="rId7"/>
    </customSheetView>
    <customSheetView guid="{442F9A23-CA6E-4109-B10C-ACF5FD36B859}" scale="40" fitToPage="1">
      <pane xSplit="1" ySplit="4" topLeftCell="M18" activePane="bottomRight" state="frozen"/>
      <selection pane="bottomRight" activeCell="AI11" sqref="AI11"/>
      <pageMargins left="0.7" right="0.7" top="0.75" bottom="0.75" header="0.3" footer="0.3"/>
      <pageSetup paperSize="8" scale="30" fitToHeight="0" orientation="landscape" horizontalDpi="1200" verticalDpi="1200" r:id="rId8"/>
    </customSheetView>
    <customSheetView guid="{B434A8A8-5A4C-48C0-82E7-2458B9D2EEEF}" scale="70" fitToPage="1">
      <pane xSplit="1" ySplit="4" topLeftCell="K5" activePane="bottomRight" state="frozen"/>
      <selection pane="bottomRight" activeCell="O9" sqref="O9"/>
      <pageMargins left="0.7" right="0.7" top="0.75" bottom="0.75" header="0.3" footer="0.3"/>
      <pageSetup paperSize="8" scale="30" fitToHeight="0" orientation="landscape" horizontalDpi="1200" verticalDpi="1200" r:id="rId9"/>
    </customSheetView>
    <customSheetView guid="{3827E543-57D2-48C8-B786-7077EA079DD2}" scale="70" fitToPage="1">
      <pane xSplit="1" ySplit="4" topLeftCell="K5" activePane="bottomRight" state="frozen"/>
      <selection pane="bottomRight" activeCell="O9" sqref="O9"/>
      <pageMargins left="0.7" right="0.7" top="0.75" bottom="0.75" header="0.3" footer="0.3"/>
      <pageSetup paperSize="8" scale="30" fitToHeight="0" orientation="landscape" horizontalDpi="1200" verticalDpi="1200" r:id="rId10"/>
    </customSheetView>
    <customSheetView guid="{2EA8DBF7-9763-457C-AA9F-1EEB2F136D1F}" scale="70" fitToPage="1">
      <pane xSplit="1" ySplit="4" topLeftCell="K5" activePane="bottomRight" state="frozen"/>
      <selection pane="bottomRight" activeCell="O9" sqref="O9"/>
      <pageMargins left="0.7" right="0.7" top="0.75" bottom="0.75" header="0.3" footer="0.3"/>
      <pageSetup paperSize="8" scale="30" fitToHeight="0" orientation="landscape" horizontalDpi="1200" verticalDpi="1200" r:id="rId11"/>
    </customSheetView>
    <customSheetView guid="{70582C04-BB53-4A99-A3C1-673011D9AE1C}" scale="70" fitToPage="1">
      <pane xSplit="1" ySplit="4" topLeftCell="B33" activePane="bottomRight" state="frozen"/>
      <selection pane="bottomRight" activeCell="M50" sqref="M50"/>
      <pageMargins left="0.7" right="0.7" top="0.75" bottom="0.75" header="0.3" footer="0.3"/>
      <pageSetup paperSize="8" scale="30" fitToHeight="0" orientation="landscape" horizontalDpi="1200" verticalDpi="1200" r:id="rId12"/>
    </customSheetView>
    <customSheetView guid="{37F5A0AB-EB39-4832-9D67-F67D908BF486}" scale="70" fitToPage="1">
      <pane xSplit="1" ySplit="4" topLeftCell="B53" activePane="bottomRight" state="frozen"/>
      <selection pane="bottomRight" activeCell="H87" sqref="H87"/>
      <pageMargins left="0.7" right="0.7" top="0.75" bottom="0.75" header="0.3" footer="0.3"/>
      <pageSetup paperSize="8" scale="30" fitToHeight="0" orientation="landscape" horizontalDpi="1200" verticalDpi="1200" r:id="rId13"/>
    </customSheetView>
    <customSheetView guid="{78AA4A71-CE17-4C4D-849E-E3E1A44EA907}" scale="70" fitToPage="1">
      <pane xSplit="1" ySplit="4" topLeftCell="K37" activePane="bottomRight" state="frozen"/>
      <selection pane="bottomRight" activeCell="A55" sqref="A55:AC55"/>
      <pageMargins left="0.7" right="0.7" top="0.75" bottom="0.75" header="0.3" footer="0.3"/>
      <pageSetup paperSize="8" scale="30" fitToHeight="0" orientation="landscape" horizontalDpi="1200" verticalDpi="1200" r:id="rId14"/>
    </customSheetView>
    <customSheetView guid="{51DFD3D6-BC25-47B4-B28F-D640534DB3A9}" scale="70" fitToPage="1">
      <pane xSplit="1" ySplit="4" topLeftCell="K37" activePane="bottomRight" state="frozen"/>
      <selection pane="bottomRight" activeCell="A55" sqref="A55:AC55"/>
      <pageMargins left="0.7" right="0.7" top="0.75" bottom="0.75" header="0.3" footer="0.3"/>
      <pageSetup paperSize="8" scale="30" fitToHeight="0" orientation="landscape" horizontalDpi="1200" verticalDpi="1200" r:id="rId15"/>
    </customSheetView>
    <customSheetView guid="{CA7E8063-5145-49E1-8E00-2E1025705A81}" scale="70" fitToPage="1">
      <pane xSplit="1" ySplit="4" topLeftCell="B5" activePane="bottomRight" state="frozen"/>
      <selection pane="bottomRight" activeCell="W17" sqref="W17"/>
      <pageMargins left="0.7" right="0.7" top="0.75" bottom="0.75" header="0.3" footer="0.3"/>
      <pageSetup paperSize="8" scale="30" fitToHeight="0" orientation="landscape" horizontalDpi="1200" verticalDpi="1200" r:id="rId16"/>
    </customSheetView>
    <customSheetView guid="{75EE3B92-AF4D-4E93-A70E-6ADE60CC674F}" scale="70" fitToPage="1">
      <pane xSplit="0.66770186335403725" ySplit="3.3714285714285714" topLeftCell="B5" activePane="bottomRight" state="frozen"/>
      <selection pane="bottomRight" activeCell="W17" sqref="W17"/>
      <pageMargins left="0.7" right="0.7" top="0.75" bottom="0.75" header="0.3" footer="0.3"/>
      <pageSetup paperSize="8" scale="30" fitToHeight="0" orientation="landscape" horizontalDpi="1200" verticalDpi="1200" r:id="rId17"/>
    </customSheetView>
    <customSheetView guid="{29AC9BE3-332A-4738-949C-1F8C0D32BAEE}" scale="70" fitToPage="1">
      <pane xSplit="1" ySplit="4" topLeftCell="B5" activePane="bottomRight" state="frozen"/>
      <selection pane="bottomRight" activeCell="I25" sqref="I25"/>
      <pageMargins left="0.7" right="0.7" top="0.75" bottom="0.75" header="0.3" footer="0.3"/>
      <pageSetup paperSize="8" scale="30" fitToHeight="0" orientation="landscape" horizontalDpi="1200" verticalDpi="1200" r:id="rId18"/>
    </customSheetView>
    <customSheetView guid="{42B0E8B1-ADFA-49AE-A83B-82D384737703}" scale="77" fitToPage="1">
      <pane xSplit="1" ySplit="4" topLeftCell="B5" activePane="bottomRight" state="frozen"/>
      <selection pane="bottomRight" activeCell="A27" sqref="A27:AC27"/>
      <pageMargins left="0.7" right="0.7" top="0.75" bottom="0.75" header="0.3" footer="0.3"/>
      <pageSetup paperSize="8" scale="30" fitToHeight="0" orientation="landscape" horizontalDpi="1200" verticalDpi="1200" r:id="rId19"/>
    </customSheetView>
    <customSheetView guid="{D59DDBAA-620D-43B7-A6D9-759808D3397A}" scale="77" fitToPage="1">
      <pane xSplit="1" ySplit="4" topLeftCell="B5" activePane="bottomRight" state="frozen"/>
      <selection pane="bottomRight" activeCell="A27" sqref="A27:AC27"/>
      <pageMargins left="0.7" right="0.7" top="0.75" bottom="0.75" header="0.3" footer="0.3"/>
      <pageSetup paperSize="8" scale="30" fitToHeight="0" orientation="landscape" horizontalDpi="1200" verticalDpi="1200" r:id="rId20"/>
    </customSheetView>
    <customSheetView guid="{F4A6298C-1A75-4FA9-A6A4-2BE13CCFE545}" scale="85" fitToPage="1">
      <pane xSplit="1" ySplit="4" topLeftCell="I49" activePane="bottomRight" state="frozen"/>
      <selection pane="bottomRight" activeCell="R73" sqref="R73"/>
      <pageMargins left="0.7" right="0.7" top="0.75" bottom="0.75" header="0.3" footer="0.3"/>
      <pageSetup paperSize="8" scale="30" fitToHeight="0" orientation="landscape" horizontalDpi="1200" verticalDpi="1200" r:id="rId21"/>
    </customSheetView>
    <customSheetView guid="{9F91FBC4-6A13-42C2-A2D9-42A2AC814E28}" scale="74" fitToPage="1">
      <pane xSplit="1" ySplit="4" topLeftCell="M59" activePane="bottomRight" state="frozen"/>
      <selection pane="bottomRight" activeCell="U85" sqref="U85"/>
      <pageMargins left="0.7" right="0.7" top="0.75" bottom="0.75" header="0.3" footer="0.3"/>
      <pageSetup paperSize="8" scale="30" fitToHeight="0" orientation="landscape" horizontalDpi="1200" verticalDpi="1200" r:id="rId22"/>
    </customSheetView>
    <customSheetView guid="{DF265C7B-1EEB-47EB-982A-6938E81F7AC2}" scale="55" fitToPage="1">
      <pane xSplit="1" ySplit="4" topLeftCell="F87" activePane="bottomRight" state="frozen"/>
      <selection pane="bottomRight" activeCell="A99" sqref="A99:AC99"/>
      <pageMargins left="0.7" right="0.7" top="0.75" bottom="0.75" header="0.3" footer="0.3"/>
      <pageSetup paperSize="8" scale="30" fitToHeight="0" orientation="landscape" horizontalDpi="1200" verticalDpi="1200" r:id="rId23"/>
    </customSheetView>
    <customSheetView guid="{8263C9D2-452D-46FA-AFA0-452B42DC0298}" scale="70" fitToPage="1">
      <pane xSplit="1" ySplit="4" topLeftCell="B5" activePane="bottomRight" state="frozen"/>
      <selection pane="bottomRight" activeCell="C13" sqref="C13"/>
      <pageMargins left="0.7" right="0.7" top="0.75" bottom="0.75" header="0.3" footer="0.3"/>
      <pageSetup paperSize="8" scale="30" fitToHeight="0" orientation="landscape" horizontalDpi="1200" verticalDpi="1200" r:id="rId24"/>
    </customSheetView>
    <customSheetView guid="{151EB58C-4EFD-4330-8D1A-8AACF5F7C679}" scale="70" fitToPage="1">
      <pane xSplit="1" ySplit="4" topLeftCell="B5" activePane="bottomRight" state="frozen"/>
      <selection pane="bottomRight" activeCell="C13" sqref="C13"/>
      <pageMargins left="0.7" right="0.7" top="0.75" bottom="0.75" header="0.3" footer="0.3"/>
      <pageSetup paperSize="8" scale="30" fitToHeight="0" orientation="landscape" horizontalDpi="1200" verticalDpi="1200" r:id="rId25"/>
    </customSheetView>
    <customSheetView guid="{8CB67476-3FD4-42E0-ACD6-62ACA9412843}" scale="90" fitToPage="1" topLeftCell="A3">
      <pane ySplit="2" topLeftCell="A69" activePane="bottomLeft" state="frozen"/>
      <selection pane="bottomLeft" activeCell="F102" sqref="F102"/>
      <pageMargins left="0.7" right="0.7" top="0.75" bottom="0.75" header="0.3" footer="0.3"/>
      <pageSetup paperSize="8" scale="49" fitToHeight="0" orientation="landscape" horizontalDpi="1200" verticalDpi="1200" r:id="rId26"/>
    </customSheetView>
    <customSheetView guid="{51B3083F-A103-41AB-A137-63549C54B838}" scale="80" fitToPage="1" topLeftCell="Q3">
      <pane ySplit="2" topLeftCell="A27" activePane="bottomLeft" state="frozen"/>
      <selection pane="bottomLeft" activeCell="E5" sqref="E5"/>
      <pageMargins left="0.7" right="0.7" top="0.75" bottom="0.75" header="0.3" footer="0.3"/>
      <pageSetup paperSize="8" scale="49" fitToHeight="0" orientation="landscape" horizontalDpi="1200" verticalDpi="1200" r:id="rId27"/>
    </customSheetView>
    <customSheetView guid="{E06B4FE8-6127-47B2-A6A5-4FAC9EEB4538}" scale="115" fitToPage="1" topLeftCell="H3">
      <pane ySplit="2.3289473684210527" topLeftCell="A15" activePane="bottomLeft" state="frozen"/>
      <selection pane="bottomLeft" activeCell="S21" sqref="S21"/>
      <pageMargins left="0.7" right="0.7" top="0.75" bottom="0.75" header="0.3" footer="0.3"/>
      <pageSetup paperSize="8" scale="49" fitToHeight="0" orientation="landscape" horizontalDpi="1200" verticalDpi="1200" r:id="rId28"/>
    </customSheetView>
    <customSheetView guid="{593284E7-E32C-4D6C-8C2F-3DEEF9DEE1DF}" scale="115" fitToPage="1" topLeftCell="H3">
      <pane ySplit="2" topLeftCell="A15" activePane="bottomLeft" state="frozen"/>
      <selection pane="bottomLeft" activeCell="S21" sqref="S21"/>
      <pageMargins left="0.7" right="0.7" top="0.75" bottom="0.75" header="0.3" footer="0.3"/>
      <pageSetup paperSize="8" scale="49" fitToHeight="0" orientation="landscape" horizontalDpi="1200" verticalDpi="1200" r:id="rId29"/>
    </customSheetView>
    <customSheetView guid="{351EFD38-BF62-4E34-A37F-0EEB3E165043}" scale="70" fitToPage="1" topLeftCell="A3">
      <pane ySplit="2" topLeftCell="A95" activePane="bottomLeft" state="frozen"/>
      <selection pane="bottomLeft" activeCell="R101" sqref="R101"/>
      <pageMargins left="0.7" right="0.7" top="0.75" bottom="0.75" header="0.3" footer="0.3"/>
      <pageSetup paperSize="8" scale="49" fitToHeight="0" orientation="landscape" horizontalDpi="1200" verticalDpi="1200" r:id="rId30"/>
    </customSheetView>
    <customSheetView guid="{EB96DBE4-2D64-4388-853C-CB52A0CB79BA}" scale="77" fitToPage="1" topLeftCell="A3">
      <pane ySplit="2" topLeftCell="A67" activePane="bottomLeft" state="frozen"/>
      <selection pane="bottomLeft" activeCell="Q95" sqref="Q95"/>
      <pageMargins left="0.7" right="0.7" top="0.75" bottom="0.75" header="0.3" footer="0.3"/>
      <pageSetup paperSize="8" scale="49" fitToHeight="0" orientation="landscape" horizontalDpi="1200" verticalDpi="1200" r:id="rId31"/>
    </customSheetView>
    <customSheetView guid="{016CEBB2-C827-48F4-95E1-85D8C5129F41}" scale="70" fitToPage="1" topLeftCell="N3">
      <pane ySplit="2" topLeftCell="A74" activePane="bottomLeft" state="frozen"/>
      <selection pane="bottomLeft" activeCell="H9" sqref="H9"/>
      <pageMargins left="0.7" right="0.7" top="0.75" bottom="0.75" header="0.3" footer="0.3"/>
      <pageSetup paperSize="8" scale="49" fitToHeight="0" orientation="landscape" horizontalDpi="1200" verticalDpi="1200" r:id="rId32"/>
    </customSheetView>
    <customSheetView guid="{6702457D-A9A8-4F46-8E1C-BC7255F4BA77}" scale="85" topLeftCell="A3">
      <pane ySplit="2" topLeftCell="A55" activePane="bottomLeft" state="frozen"/>
      <selection pane="bottomLeft" activeCell="A3" sqref="A1:XFD1048576"/>
      <pageMargins left="0.7" right="0.7" top="0.75" bottom="0.75" header="0.3" footer="0.3"/>
    </customSheetView>
    <customSheetView guid="{D27C51BB-BB54-4F37-8171-98067C39697C}" scale="55" fitToPage="1" topLeftCell="A3">
      <pane ySplit="2" topLeftCell="A51" activePane="bottomLeft" state="frozen"/>
      <selection pane="bottomLeft" activeCell="K77" sqref="K77"/>
      <pageMargins left="0.7" right="0.7" top="0.75" bottom="0.75" header="0.3" footer="0.3"/>
      <pageSetup paperSize="8" scale="52" fitToHeight="0" orientation="landscape" horizontalDpi="1200" verticalDpi="1200" r:id="rId33"/>
    </customSheetView>
    <customSheetView guid="{008CCD98-7480-4C51-806A-4B55C801DDC2}" scale="70" fitToPage="1" topLeftCell="A3">
      <pane ySplit="2.6521739130434785" topLeftCell="A41" activePane="bottomLeft" state="frozen"/>
      <selection pane="bottomLeft" activeCell="A96" sqref="A96:AB96"/>
      <pageMargins left="0.7" right="0.7" top="0.75" bottom="0.75" header="0.3" footer="0.3"/>
      <pageSetup paperSize="8" scale="32" fitToHeight="0" orientation="landscape" horizontalDpi="1200" verticalDpi="1200" r:id="rId34"/>
    </customSheetView>
    <customSheetView guid="{4E6F9C2D-76F2-4884-BBF6-E02A7BAE11EF}" scale="70" fitToPage="1" topLeftCell="A3">
      <pane ySplit="2" topLeftCell="A5" activePane="bottomLeft" state="frozen"/>
      <selection pane="bottomLeft" activeCell="A76" sqref="A76:AB76"/>
      <pageMargins left="0.7" right="0.7" top="0.75" bottom="0.75" header="0.3" footer="0.3"/>
      <pageSetup paperSize="8" scale="49" fitToHeight="0" orientation="landscape" horizontalDpi="1200" verticalDpi="1200" r:id="rId35"/>
    </customSheetView>
    <customSheetView guid="{C39AE06A-FC0A-4D7D-B287-2FA9CA174191}" scale="90" fitToPage="1" topLeftCell="A3">
      <pane ySplit="2" topLeftCell="A9" activePane="bottomLeft" state="frozen"/>
      <selection pane="bottomLeft" activeCell="R11" sqref="R11"/>
      <pageMargins left="0.7" right="0.7" top="0.75" bottom="0.75" header="0.3" footer="0.3"/>
      <pageSetup paperSize="8" scale="49" fitToHeight="0" orientation="landscape" horizontalDpi="1200" verticalDpi="1200" r:id="rId36"/>
    </customSheetView>
    <customSheetView guid="{D16D941B-FC89-4FEC-A49B-5FA2532584DE}" scale="70" fitToPage="1" topLeftCell="A3">
      <pane ySplit="2" topLeftCell="A67" activePane="bottomLeft" state="frozen"/>
      <selection pane="bottomLeft" activeCell="C97" sqref="C97"/>
      <pageMargins left="0.7" right="0.7" top="0.75" bottom="0.75" header="0.3" footer="0.3"/>
      <pageSetup paperSize="8" scale="49" fitToHeight="0" orientation="landscape" horizontalDpi="1200" verticalDpi="1200" r:id="rId37"/>
    </customSheetView>
    <customSheetView guid="{3BB18945-69B5-4B22-8D55-989F8F233459}" scale="115" fitToPage="1" topLeftCell="H3">
      <pane ySplit="2" topLeftCell="A15" activePane="bottomLeft" state="frozen"/>
      <selection pane="bottomLeft" activeCell="S21" sqref="S21"/>
      <pageMargins left="0.7" right="0.7" top="0.75" bottom="0.75" header="0.3" footer="0.3"/>
      <pageSetup paperSize="8" scale="49" fitToHeight="0" orientation="landscape" horizontalDpi="1200" verticalDpi="1200" r:id="rId38"/>
    </customSheetView>
    <customSheetView guid="{B84DA703-8C5B-4100-91A4-8807E303D379}" scale="80" fitToPage="1" topLeftCell="A3">
      <pane ySplit="2" topLeftCell="A5" activePane="bottomLeft" state="frozen"/>
      <selection pane="bottomLeft" activeCell="AD51" sqref="AD51"/>
      <pageMargins left="0.7" right="0.7" top="0.75" bottom="0.75" header="0.3" footer="0.3"/>
      <pageSetup paperSize="8" scale="49" fitToHeight="0" orientation="landscape" horizontalDpi="1200" verticalDpi="1200" r:id="rId39"/>
    </customSheetView>
    <customSheetView guid="{B0A28FD4-D7F6-428C-A7F7-92132DCD74BB}" scale="80" fitToPage="1" topLeftCell="A3">
      <pane ySplit="2" topLeftCell="A30" activePane="bottomLeft" state="frozen"/>
      <selection pane="bottomLeft" activeCell="A63" sqref="A63:AC63"/>
      <pageMargins left="0.7" right="0.7" top="0.75" bottom="0.75" header="0.3" footer="0.3"/>
      <pageSetup paperSize="8" scale="49" fitToHeight="0" orientation="landscape" horizontalDpi="1200" verticalDpi="1200" r:id="rId40"/>
    </customSheetView>
    <customSheetView guid="{3C97F0B0-2F3C-4E03-96E0-0C4FEC2F24AC}" scale="80" fitToPage="1" topLeftCell="A3">
      <pane ySplit="2" topLeftCell="A30" activePane="bottomLeft" state="frozen"/>
      <selection pane="bottomLeft" activeCell="A63" sqref="A63:AC63"/>
      <pageMargins left="0.7" right="0.7" top="0.75" bottom="0.75" header="0.3" footer="0.3"/>
      <pageSetup paperSize="8" scale="49" fitToHeight="0" orientation="landscape" horizontalDpi="1200" verticalDpi="1200" r:id="rId41"/>
    </customSheetView>
    <customSheetView guid="{A03C6B09-6B58-4DDE-A3B2-41A27A7049D9}" scale="90" fitToPage="1" topLeftCell="A3">
      <pane ySplit="2" topLeftCell="A69" activePane="bottomLeft" state="frozen"/>
      <selection pane="bottomLeft" activeCell="F102" sqref="F102"/>
      <pageMargins left="0.7" right="0.7" top="0.75" bottom="0.75" header="0.3" footer="0.3"/>
      <pageSetup paperSize="8" scale="49" fitToHeight="0" orientation="landscape" horizontalDpi="1200" verticalDpi="1200" r:id="rId42"/>
    </customSheetView>
    <customSheetView guid="{4EBEE699-7DEF-4A50-9CB7-490835CF0B98}" scale="90" fitToPage="1" topLeftCell="A3">
      <pane ySplit="2" topLeftCell="A5" activePane="bottomLeft" state="frozen"/>
      <selection pane="bottomLeft" activeCell="A3" sqref="A1:AC1048576"/>
      <pageMargins left="0.7" right="0.7" top="0.75" bottom="0.75" header="0.3" footer="0.3"/>
      <pageSetup paperSize="8" scale="49" fitToHeight="0" orientation="landscape" horizontalDpi="1200" verticalDpi="1200" r:id="rId43"/>
    </customSheetView>
    <customSheetView guid="{451730E2-FFE9-4FCE-B8B5-64952C26C672}" scale="90" fitToPage="1" topLeftCell="A3">
      <pane ySplit="2" topLeftCell="A83" activePane="bottomLeft" state="frozen"/>
      <selection pane="bottomLeft" activeCell="A103" sqref="A103:AC103"/>
      <pageMargins left="0.7" right="0.7" top="0.75" bottom="0.75" header="0.3" footer="0.3"/>
      <pageSetup paperSize="8" scale="49" fitToHeight="0" orientation="landscape" horizontalDpi="1200" verticalDpi="1200" r:id="rId44"/>
    </customSheetView>
    <customSheetView guid="{9AF6E233-883D-48B4-95AB-42B37199AB9E}" scale="90" fitToPage="1">
      <pane xSplit="1" ySplit="4" topLeftCell="B59" activePane="bottomRight" state="frozen"/>
      <selection pane="bottomRight" activeCell="U89" sqref="U89"/>
      <pageMargins left="0.7" right="0.7" top="0.75" bottom="0.75" header="0.3" footer="0.3"/>
      <pageSetup paperSize="8" scale="30" fitToHeight="0" orientation="landscape" horizontalDpi="1200" verticalDpi="1200" r:id="rId45"/>
    </customSheetView>
    <customSheetView guid="{1ECD6E30-299B-4354-A416-2DAFF33C7022}" scale="85" fitToPage="1">
      <pane xSplit="1" ySplit="4" topLeftCell="I49" activePane="bottomRight" state="frozen"/>
      <selection pane="bottomRight" activeCell="R73" sqref="R73"/>
      <pageMargins left="0.7" right="0.7" top="0.75" bottom="0.75" header="0.3" footer="0.3"/>
      <pageSetup paperSize="8" scale="30" fitToHeight="0" orientation="landscape" horizontalDpi="1200" verticalDpi="1200" r:id="rId46"/>
    </customSheetView>
    <customSheetView guid="{97D58294-343B-4B62-A826-0DDDE29B5F0D}" scale="85" fitToPage="1">
      <pane xSplit="1" ySplit="4" topLeftCell="I49" activePane="bottomRight" state="frozen"/>
      <selection pane="bottomRight" activeCell="R73" sqref="R73"/>
      <pageMargins left="0.7" right="0.7" top="0.75" bottom="0.75" header="0.3" footer="0.3"/>
      <pageSetup paperSize="8" scale="30" fitToHeight="0" orientation="landscape" horizontalDpi="1200" verticalDpi="1200" r:id="rId47"/>
    </customSheetView>
    <customSheetView guid="{BDCD1595-C0B8-4F6C-B01C-3472C895B827}" scale="70" fitToPage="1">
      <pane xSplit="1" ySplit="4" topLeftCell="B5" activePane="bottomRight" state="frozen"/>
      <selection pane="bottomRight" activeCell="F10" sqref="F10"/>
      <pageMargins left="0.7" right="0.7" top="0.75" bottom="0.75" header="0.3" footer="0.3"/>
      <pageSetup paperSize="8" scale="30" fitToHeight="0" orientation="landscape" horizontalDpi="1200" verticalDpi="1200" r:id="rId48"/>
    </customSheetView>
    <customSheetView guid="{9355C9F4-9C07-4A93-B7F2-69F1D1526716}" scale="70" fitToPage="1">
      <pane xSplit="1" ySplit="4" topLeftCell="B5" activePane="bottomRight" state="frozen"/>
      <selection pane="bottomRight" activeCell="I25" sqref="I25"/>
      <pageMargins left="0.7" right="0.7" top="0.75" bottom="0.75" header="0.3" footer="0.3"/>
      <pageSetup paperSize="8" scale="30" fitToHeight="0" orientation="landscape" horizontalDpi="1200" verticalDpi="1200" r:id="rId49"/>
    </customSheetView>
    <customSheetView guid="{F5FA2A23-9E46-4C2F-B1EE-B71787F95C57}" scale="70" fitToPage="1">
      <pane xSplit="1" ySplit="4" topLeftCell="B41" activePane="bottomRight" state="frozen"/>
      <selection pane="bottomRight" activeCell="A59" sqref="A59:AC59"/>
      <pageMargins left="0.7" right="0.7" top="0.75" bottom="0.75" header="0.3" footer="0.3"/>
      <pageSetup paperSize="8" scale="30" fitToHeight="0" orientation="landscape" horizontalDpi="1200" verticalDpi="1200" r:id="rId50"/>
    </customSheetView>
    <customSheetView guid="{B95D32C7-1418-4EF6-8936-849885C54A4A}" scale="70" fitToPage="1">
      <pane xSplit="1" ySplit="4" topLeftCell="B5" activePane="bottomRight" state="frozen"/>
      <selection pane="bottomRight" activeCell="A5" sqref="A5:AC84"/>
      <pageMargins left="0.7" right="0.7" top="0.75" bottom="0.75" header="0.3" footer="0.3"/>
      <pageSetup paperSize="8" scale="30" fitToHeight="0" orientation="landscape" horizontalDpi="1200" verticalDpi="1200" r:id="rId51"/>
    </customSheetView>
    <customSheetView guid="{602520CD-F98C-43A6-AA0D-88893E9CB6E8}" scale="70" fitToPage="1">
      <pane xSplit="1" ySplit="4" topLeftCell="K5" activePane="bottomRight" state="frozen"/>
      <selection pane="bottomRight" activeCell="O9" sqref="O9"/>
      <pageMargins left="0.7" right="0.7" top="0.75" bottom="0.75" header="0.3" footer="0.3"/>
      <pageSetup paperSize="8" scale="30" fitToHeight="0" orientation="landscape" horizontalDpi="1200" verticalDpi="1200" r:id="rId52"/>
    </customSheetView>
    <customSheetView guid="{A8E976B8-D767-4DB4-82BD-ABE90880F33F}" scale="70" fitToPage="1">
      <pane xSplit="1" ySplit="4" topLeftCell="K5" activePane="bottomRight" state="frozen"/>
      <selection pane="bottomRight" activeCell="O9" sqref="O9"/>
      <pageMargins left="0.7" right="0.7" top="0.75" bottom="0.75" header="0.3" footer="0.3"/>
      <pageSetup paperSize="8" scale="30" fitToHeight="0" orientation="landscape" horizontalDpi="1200" verticalDpi="1200" r:id="rId53"/>
    </customSheetView>
    <customSheetView guid="{D850720D-4A1C-48F2-8E1D-8E09B7414A1A}" scale="70" fitToPage="1">
      <pane xSplit="1" ySplit="4" topLeftCell="K5" activePane="bottomRight" state="frozen"/>
      <selection pane="bottomRight" activeCell="O9" sqref="O9"/>
      <pageMargins left="0.7" right="0.7" top="0.75" bottom="0.75" header="0.3" footer="0.3"/>
      <pageSetup paperSize="8" scale="30" fitToHeight="0" orientation="landscape" horizontalDpi="1200" verticalDpi="1200" r:id="rId54"/>
    </customSheetView>
    <customSheetView guid="{C57A83F1-F5A3-470B-9579-6A222C54F4E8}" scale="70" fitToPage="1">
      <pane xSplit="1" ySplit="4" topLeftCell="K5" activePane="bottomRight" state="frozen"/>
      <selection pane="bottomRight" activeCell="O9" sqref="O9"/>
      <pageMargins left="0.7" right="0.7" top="0.75" bottom="0.75" header="0.3" footer="0.3"/>
      <pageSetup paperSize="8" scale="30" fitToHeight="0" orientation="landscape" horizontalDpi="1200" verticalDpi="1200" r:id="rId55"/>
    </customSheetView>
    <customSheetView guid="{2608BE9B-66AC-4D4C-8EE0-E88C94E88140}" scale="40" fitToPage="1">
      <pane xSplit="1.25" ySplit="4.5" topLeftCell="M18" activePane="bottomRight" state="frozen"/>
      <selection pane="bottomRight" activeCell="AI11" sqref="AI11"/>
      <pageMargins left="0.7" right="0.7" top="0.75" bottom="0.75" header="0.3" footer="0.3"/>
      <pageSetup paperSize="8" scale="30" fitToHeight="0" orientation="landscape" horizontalDpi="1200" verticalDpi="1200" r:id="rId56"/>
    </customSheetView>
    <customSheetView guid="{EDD5A64E-02C0-4DD6-80BA-449123FCDAA2}" scale="40" fitToPage="1">
      <pane xSplit="1" ySplit="4" topLeftCell="M18" activePane="bottomRight" state="frozen"/>
      <selection pane="bottomRight" activeCell="AI11" sqref="AI11"/>
      <pageMargins left="0.7" right="0.7" top="0.75" bottom="0.75" header="0.3" footer="0.3"/>
      <pageSetup paperSize="8" scale="30" fitToHeight="0" orientation="landscape" horizontalDpi="1200" verticalDpi="1200" r:id="rId57"/>
    </customSheetView>
    <customSheetView guid="{B8317A9A-0FFD-4A18-80F7-203DB2FC8CA5}" scale="40" fitToPage="1">
      <pane xSplit="1.5" ySplit="4.9259259259259256" topLeftCell="O5" activePane="bottomRight" state="frozen"/>
      <selection pane="bottomRight" activeCell="AG5" sqref="AG5"/>
      <pageMargins left="0.7" right="0.7" top="0.75" bottom="0.75" header="0.3" footer="0.3"/>
      <pageSetup paperSize="8" scale="30" fitToHeight="0" orientation="landscape" horizontalDpi="1200" verticalDpi="1200" r:id="rId58"/>
    </customSheetView>
    <customSheetView guid="{7E571F1D-D438-4605-90D6-3F831F76D652}" scale="40" fitToPage="1">
      <pane xSplit="1" ySplit="4" topLeftCell="J5" activePane="bottomRight" state="frozen"/>
      <selection pane="bottomRight" activeCell="T22" sqref="T22"/>
      <pageMargins left="0.7" right="0.7" top="0.75" bottom="0.75" header="0.3" footer="0.3"/>
      <pageSetup paperSize="8" scale="30" fitToHeight="0" orientation="landscape" horizontalDpi="1200" verticalDpi="1200" r:id="rId59"/>
    </customSheetView>
  </customSheetViews>
  <mergeCells count="62">
    <mergeCell ref="A80:AC80"/>
    <mergeCell ref="A84:AC84"/>
    <mergeCell ref="A68:AC68"/>
    <mergeCell ref="A71:AC71"/>
    <mergeCell ref="A72:AC72"/>
    <mergeCell ref="A76:AC76"/>
    <mergeCell ref="A59:AC59"/>
    <mergeCell ref="A63:AC63"/>
    <mergeCell ref="A64:AC64"/>
    <mergeCell ref="A67:AC67"/>
    <mergeCell ref="A48:AC48"/>
    <mergeCell ref="A51:AC51"/>
    <mergeCell ref="A52:AC52"/>
    <mergeCell ref="A55:AC55"/>
    <mergeCell ref="A56:AC56"/>
    <mergeCell ref="A60:AC60"/>
    <mergeCell ref="A39:AC39"/>
    <mergeCell ref="A40:AC40"/>
    <mergeCell ref="A43:AC43"/>
    <mergeCell ref="A44:AC44"/>
    <mergeCell ref="A47:AC47"/>
    <mergeCell ref="A28:AC28"/>
    <mergeCell ref="A31:AC31"/>
    <mergeCell ref="A32:AC32"/>
    <mergeCell ref="A35:AC35"/>
    <mergeCell ref="A36:AC36"/>
    <mergeCell ref="A19:AC19"/>
    <mergeCell ref="A20:AC20"/>
    <mergeCell ref="A23:AC23"/>
    <mergeCell ref="A24:AC24"/>
    <mergeCell ref="A27:AC27"/>
    <mergeCell ref="A8:AC8"/>
    <mergeCell ref="A11:AC11"/>
    <mergeCell ref="A12:AC12"/>
    <mergeCell ref="A15:AC15"/>
    <mergeCell ref="A16:AC16"/>
    <mergeCell ref="A7:AC7"/>
    <mergeCell ref="B1:K1"/>
    <mergeCell ref="B2:C2"/>
    <mergeCell ref="D2:I2"/>
    <mergeCell ref="J2:K2"/>
    <mergeCell ref="L2:M2"/>
    <mergeCell ref="L1:AB1"/>
    <mergeCell ref="N2:O2"/>
    <mergeCell ref="P2:U2"/>
    <mergeCell ref="V2:AB2"/>
    <mergeCell ref="D4:E4"/>
    <mergeCell ref="B4:C4"/>
    <mergeCell ref="L4:M4"/>
    <mergeCell ref="N4:O4"/>
    <mergeCell ref="B3:C3"/>
    <mergeCell ref="D3:E3"/>
    <mergeCell ref="F3:G3"/>
    <mergeCell ref="H3:I3"/>
    <mergeCell ref="L3:M3"/>
    <mergeCell ref="N3:O3"/>
    <mergeCell ref="AG3:AH3"/>
    <mergeCell ref="AD1:AH2"/>
    <mergeCell ref="AD3:AE3"/>
    <mergeCell ref="P3:R3"/>
    <mergeCell ref="S3:U3"/>
    <mergeCell ref="AA3:AB3"/>
  </mergeCells>
  <conditionalFormatting sqref="B5">
    <cfRule type="cellIs" dxfId="927" priority="168" operator="equal">
      <formula>"A"</formula>
    </cfRule>
    <cfRule type="cellIs" dxfId="926" priority="167" operator="equal">
      <formula>"R"</formula>
    </cfRule>
    <cfRule type="cellIs" dxfId="925" priority="166" operator="equal">
      <formula>"G"</formula>
    </cfRule>
  </conditionalFormatting>
  <conditionalFormatting sqref="B9">
    <cfRule type="cellIs" dxfId="924" priority="163" operator="equal">
      <formula>"G"</formula>
    </cfRule>
    <cfRule type="cellIs" dxfId="923" priority="165" operator="equal">
      <formula>"A"</formula>
    </cfRule>
    <cfRule type="cellIs" dxfId="922" priority="164" operator="equal">
      <formula>"R"</formula>
    </cfRule>
  </conditionalFormatting>
  <conditionalFormatting sqref="B13">
    <cfRule type="cellIs" dxfId="921" priority="224" operator="equal">
      <formula>"A"</formula>
    </cfRule>
    <cfRule type="cellIs" dxfId="920" priority="223" operator="equal">
      <formula>"R"</formula>
    </cfRule>
    <cfRule type="cellIs" dxfId="919" priority="222" operator="equal">
      <formula>"G"</formula>
    </cfRule>
  </conditionalFormatting>
  <conditionalFormatting sqref="B17">
    <cfRule type="cellIs" dxfId="918" priority="162" operator="equal">
      <formula>"A"</formula>
    </cfRule>
    <cfRule type="cellIs" dxfId="917" priority="161" operator="equal">
      <formula>"R"</formula>
    </cfRule>
    <cfRule type="cellIs" dxfId="916" priority="160" operator="equal">
      <formula>"G"</formula>
    </cfRule>
  </conditionalFormatting>
  <conditionalFormatting sqref="B21">
    <cfRule type="cellIs" dxfId="915" priority="159" operator="equal">
      <formula>"A"</formula>
    </cfRule>
    <cfRule type="cellIs" dxfId="914" priority="158" operator="equal">
      <formula>"R"</formula>
    </cfRule>
    <cfRule type="cellIs" dxfId="913" priority="157" operator="equal">
      <formula>"G"</formula>
    </cfRule>
  </conditionalFormatting>
  <conditionalFormatting sqref="B25">
    <cfRule type="cellIs" dxfId="912" priority="156" operator="equal">
      <formula>"A"</formula>
    </cfRule>
    <cfRule type="cellIs" dxfId="911" priority="155" operator="equal">
      <formula>"R"</formula>
    </cfRule>
    <cfRule type="cellIs" dxfId="910" priority="154" operator="equal">
      <formula>"G"</formula>
    </cfRule>
  </conditionalFormatting>
  <conditionalFormatting sqref="B29">
    <cfRule type="cellIs" dxfId="909" priority="172" operator="equal">
      <formula>"G"</formula>
    </cfRule>
    <cfRule type="cellIs" dxfId="908" priority="174" operator="equal">
      <formula>"A"</formula>
    </cfRule>
    <cfRule type="cellIs" dxfId="907" priority="173" operator="equal">
      <formula>"R"</formula>
    </cfRule>
  </conditionalFormatting>
  <conditionalFormatting sqref="B33">
    <cfRule type="cellIs" dxfId="906" priority="151" operator="equal">
      <formula>"G"</formula>
    </cfRule>
    <cfRule type="cellIs" dxfId="905" priority="153" operator="equal">
      <formula>"A"</formula>
    </cfRule>
    <cfRule type="cellIs" dxfId="904" priority="152" operator="equal">
      <formula>"R"</formula>
    </cfRule>
  </conditionalFormatting>
  <conditionalFormatting sqref="B37">
    <cfRule type="cellIs" dxfId="903" priority="150" operator="equal">
      <formula>"A"</formula>
    </cfRule>
    <cfRule type="cellIs" dxfId="902" priority="149" operator="equal">
      <formula>"R"</formula>
    </cfRule>
    <cfRule type="cellIs" dxfId="901" priority="148" operator="equal">
      <formula>"G"</formula>
    </cfRule>
  </conditionalFormatting>
  <conditionalFormatting sqref="B41">
    <cfRule type="cellIs" dxfId="900" priority="147" operator="equal">
      <formula>"A"</formula>
    </cfRule>
    <cfRule type="cellIs" dxfId="899" priority="146" operator="equal">
      <formula>"R"</formula>
    </cfRule>
    <cfRule type="cellIs" dxfId="898" priority="145" operator="equal">
      <formula>"G"</formula>
    </cfRule>
  </conditionalFormatting>
  <conditionalFormatting sqref="B45">
    <cfRule type="cellIs" dxfId="897" priority="144" operator="equal">
      <formula>"A"</formula>
    </cfRule>
    <cfRule type="cellIs" dxfId="896" priority="143" operator="equal">
      <formula>"R"</formula>
    </cfRule>
    <cfRule type="cellIs" dxfId="895" priority="142" operator="equal">
      <formula>"G"</formula>
    </cfRule>
  </conditionalFormatting>
  <conditionalFormatting sqref="B49">
    <cfRule type="cellIs" dxfId="894" priority="139" operator="equal">
      <formula>"G"</formula>
    </cfRule>
    <cfRule type="cellIs" dxfId="893" priority="141" operator="equal">
      <formula>"A"</formula>
    </cfRule>
    <cfRule type="cellIs" dxfId="892" priority="140" operator="equal">
      <formula>"R"</formula>
    </cfRule>
  </conditionalFormatting>
  <conditionalFormatting sqref="B53">
    <cfRule type="cellIs" dxfId="891" priority="137" operator="equal">
      <formula>"R"</formula>
    </cfRule>
    <cfRule type="cellIs" dxfId="890" priority="138" operator="equal">
      <formula>"A"</formula>
    </cfRule>
    <cfRule type="cellIs" dxfId="889" priority="136" operator="equal">
      <formula>"G"</formula>
    </cfRule>
  </conditionalFormatting>
  <conditionalFormatting sqref="B57">
    <cfRule type="cellIs" dxfId="888" priority="171" operator="equal">
      <formula>"A"</formula>
    </cfRule>
    <cfRule type="cellIs" dxfId="887" priority="170" operator="equal">
      <formula>"R"</formula>
    </cfRule>
    <cfRule type="cellIs" dxfId="886" priority="169" operator="equal">
      <formula>"G"</formula>
    </cfRule>
  </conditionalFormatting>
  <conditionalFormatting sqref="B61">
    <cfRule type="cellIs" dxfId="885" priority="135" operator="equal">
      <formula>"A"</formula>
    </cfRule>
    <cfRule type="cellIs" dxfId="884" priority="134" operator="equal">
      <formula>"R"</formula>
    </cfRule>
    <cfRule type="cellIs" dxfId="883" priority="133" operator="equal">
      <formula>"G"</formula>
    </cfRule>
  </conditionalFormatting>
  <conditionalFormatting sqref="B65">
    <cfRule type="cellIs" dxfId="882" priority="132" operator="equal">
      <formula>"A"</formula>
    </cfRule>
    <cfRule type="cellIs" dxfId="881" priority="131" operator="equal">
      <formula>"R"</formula>
    </cfRule>
    <cfRule type="cellIs" dxfId="880" priority="130" operator="equal">
      <formula>"G"</formula>
    </cfRule>
  </conditionalFormatting>
  <conditionalFormatting sqref="B69">
    <cfRule type="cellIs" dxfId="879" priority="129" operator="equal">
      <formula>"A"</formula>
    </cfRule>
    <cfRule type="cellIs" dxfId="878" priority="128" operator="equal">
      <formula>"R"</formula>
    </cfRule>
    <cfRule type="cellIs" dxfId="877" priority="127" operator="equal">
      <formula>"G"</formula>
    </cfRule>
  </conditionalFormatting>
  <conditionalFormatting sqref="B73">
    <cfRule type="cellIs" dxfId="876" priority="126" operator="equal">
      <formula>"A"</formula>
    </cfRule>
    <cfRule type="cellIs" dxfId="875" priority="125" operator="equal">
      <formula>"R"</formula>
    </cfRule>
    <cfRule type="cellIs" dxfId="874" priority="124" operator="equal">
      <formula>"G"</formula>
    </cfRule>
  </conditionalFormatting>
  <conditionalFormatting sqref="B77">
    <cfRule type="cellIs" dxfId="873" priority="123" operator="equal">
      <formula>"A"</formula>
    </cfRule>
    <cfRule type="cellIs" dxfId="872" priority="122" operator="equal">
      <formula>"R"</formula>
    </cfRule>
    <cfRule type="cellIs" dxfId="871" priority="121" operator="equal">
      <formula>"G"</formula>
    </cfRule>
  </conditionalFormatting>
  <conditionalFormatting sqref="B81">
    <cfRule type="cellIs" dxfId="870" priority="119" operator="equal">
      <formula>"R"</formula>
    </cfRule>
    <cfRule type="cellIs" dxfId="869" priority="118" operator="equal">
      <formula>"G"</formula>
    </cfRule>
    <cfRule type="cellIs" dxfId="868" priority="120" operator="equal">
      <formula>"A"</formula>
    </cfRule>
  </conditionalFormatting>
  <conditionalFormatting sqref="L5">
    <cfRule type="cellIs" dxfId="867" priority="116" operator="equal">
      <formula>"R"</formula>
    </cfRule>
    <cfRule type="cellIs" dxfId="866" priority="115" operator="equal">
      <formula>"G"</formula>
    </cfRule>
    <cfRule type="cellIs" dxfId="865" priority="117" operator="equal">
      <formula>"A"</formula>
    </cfRule>
  </conditionalFormatting>
  <conditionalFormatting sqref="L9">
    <cfRule type="cellIs" dxfId="864" priority="113" operator="equal">
      <formula>"R"</formula>
    </cfRule>
    <cfRule type="cellIs" dxfId="863" priority="112" operator="equal">
      <formula>"G"</formula>
    </cfRule>
    <cfRule type="cellIs" dxfId="862" priority="114" operator="equal">
      <formula>"A"</formula>
    </cfRule>
  </conditionalFormatting>
  <conditionalFormatting sqref="L13">
    <cfRule type="cellIs" dxfId="861" priority="109" operator="equal">
      <formula>"G"</formula>
    </cfRule>
    <cfRule type="cellIs" dxfId="860" priority="110" operator="equal">
      <formula>"R"</formula>
    </cfRule>
    <cfRule type="cellIs" dxfId="859" priority="111" operator="equal">
      <formula>"A"</formula>
    </cfRule>
  </conditionalFormatting>
  <conditionalFormatting sqref="L17">
    <cfRule type="cellIs" dxfId="858" priority="106" operator="equal">
      <formula>"G"</formula>
    </cfRule>
    <cfRule type="cellIs" dxfId="857" priority="108" operator="equal">
      <formula>"A"</formula>
    </cfRule>
    <cfRule type="cellIs" dxfId="856" priority="107" operator="equal">
      <formula>"R"</formula>
    </cfRule>
  </conditionalFormatting>
  <conditionalFormatting sqref="L21">
    <cfRule type="cellIs" dxfId="855" priority="105" operator="equal">
      <formula>"A"</formula>
    </cfRule>
    <cfRule type="cellIs" dxfId="854" priority="104" operator="equal">
      <formula>"R"</formula>
    </cfRule>
    <cfRule type="cellIs" dxfId="853" priority="103" operator="equal">
      <formula>"G"</formula>
    </cfRule>
  </conditionalFormatting>
  <conditionalFormatting sqref="L25">
    <cfRule type="cellIs" dxfId="852" priority="100" operator="equal">
      <formula>"G"</formula>
    </cfRule>
    <cfRule type="cellIs" dxfId="851" priority="101" operator="equal">
      <formula>"R"</formula>
    </cfRule>
    <cfRule type="cellIs" dxfId="850" priority="102" operator="equal">
      <formula>"A"</formula>
    </cfRule>
  </conditionalFormatting>
  <conditionalFormatting sqref="L29">
    <cfRule type="cellIs" dxfId="849" priority="183" operator="equal">
      <formula>"A"</formula>
    </cfRule>
    <cfRule type="cellIs" dxfId="848" priority="181" operator="equal">
      <formula>"G"</formula>
    </cfRule>
    <cfRule type="cellIs" dxfId="847" priority="182" operator="equal">
      <formula>"R"</formula>
    </cfRule>
  </conditionalFormatting>
  <conditionalFormatting sqref="L33">
    <cfRule type="cellIs" dxfId="846" priority="97" operator="equal">
      <formula>"G"</formula>
    </cfRule>
    <cfRule type="cellIs" dxfId="845" priority="99" operator="equal">
      <formula>"A"</formula>
    </cfRule>
    <cfRule type="cellIs" dxfId="844" priority="98" operator="equal">
      <formula>"R"</formula>
    </cfRule>
  </conditionalFormatting>
  <conditionalFormatting sqref="L37">
    <cfRule type="cellIs" dxfId="843" priority="95" operator="equal">
      <formula>"R"</formula>
    </cfRule>
    <cfRule type="cellIs" dxfId="842" priority="96" operator="equal">
      <formula>"A"</formula>
    </cfRule>
    <cfRule type="cellIs" dxfId="841" priority="94" operator="equal">
      <formula>"G"</formula>
    </cfRule>
  </conditionalFormatting>
  <conditionalFormatting sqref="L41">
    <cfRule type="cellIs" dxfId="840" priority="91" operator="equal">
      <formula>"G"</formula>
    </cfRule>
    <cfRule type="cellIs" dxfId="839" priority="92" operator="equal">
      <formula>"R"</formula>
    </cfRule>
    <cfRule type="cellIs" dxfId="838" priority="93" operator="equal">
      <formula>"A"</formula>
    </cfRule>
  </conditionalFormatting>
  <conditionalFormatting sqref="L45">
    <cfRule type="cellIs" dxfId="837" priority="90" operator="equal">
      <formula>"A"</formula>
    </cfRule>
    <cfRule type="cellIs" dxfId="836" priority="89" operator="equal">
      <formula>"R"</formula>
    </cfRule>
    <cfRule type="cellIs" dxfId="835" priority="88" operator="equal">
      <formula>"G"</formula>
    </cfRule>
  </conditionalFormatting>
  <conditionalFormatting sqref="L49">
    <cfRule type="cellIs" dxfId="834" priority="86" operator="equal">
      <formula>"R"</formula>
    </cfRule>
    <cfRule type="cellIs" dxfId="833" priority="85" operator="equal">
      <formula>"G"</formula>
    </cfRule>
    <cfRule type="cellIs" dxfId="832" priority="87" operator="equal">
      <formula>"A"</formula>
    </cfRule>
  </conditionalFormatting>
  <conditionalFormatting sqref="L53">
    <cfRule type="cellIs" dxfId="831" priority="82" operator="equal">
      <formula>"G"</formula>
    </cfRule>
    <cfRule type="cellIs" dxfId="830" priority="84" operator="equal">
      <formula>"A"</formula>
    </cfRule>
    <cfRule type="cellIs" dxfId="829" priority="83" operator="equal">
      <formula>"R"</formula>
    </cfRule>
  </conditionalFormatting>
  <conditionalFormatting sqref="L57">
    <cfRule type="cellIs" dxfId="828" priority="80" operator="equal">
      <formula>"R"</formula>
    </cfRule>
    <cfRule type="cellIs" dxfId="827" priority="81" operator="equal">
      <formula>"A"</formula>
    </cfRule>
    <cfRule type="cellIs" dxfId="826" priority="79" operator="equal">
      <formula>"G"</formula>
    </cfRule>
  </conditionalFormatting>
  <conditionalFormatting sqref="L61">
    <cfRule type="cellIs" dxfId="825" priority="76" operator="equal">
      <formula>"G"</formula>
    </cfRule>
    <cfRule type="cellIs" dxfId="824" priority="77" operator="equal">
      <formula>"R"</formula>
    </cfRule>
    <cfRule type="cellIs" dxfId="823" priority="78" operator="equal">
      <formula>"A"</formula>
    </cfRule>
  </conditionalFormatting>
  <conditionalFormatting sqref="L65">
    <cfRule type="cellIs" dxfId="822" priority="74" operator="equal">
      <formula>"R"</formula>
    </cfRule>
    <cfRule type="cellIs" dxfId="821" priority="73" operator="equal">
      <formula>"G"</formula>
    </cfRule>
    <cfRule type="cellIs" dxfId="820" priority="75" operator="equal">
      <formula>"A"</formula>
    </cfRule>
  </conditionalFormatting>
  <conditionalFormatting sqref="L69">
    <cfRule type="cellIs" dxfId="819" priority="70" operator="equal">
      <formula>"G"</formula>
    </cfRule>
    <cfRule type="cellIs" dxfId="818" priority="71" operator="equal">
      <formula>"R"</formula>
    </cfRule>
    <cfRule type="cellIs" dxfId="817" priority="72" operator="equal">
      <formula>"A"</formula>
    </cfRule>
  </conditionalFormatting>
  <conditionalFormatting sqref="L73">
    <cfRule type="cellIs" dxfId="816" priority="67" operator="equal">
      <formula>"G"</formula>
    </cfRule>
    <cfRule type="cellIs" dxfId="815" priority="68" operator="equal">
      <formula>"R"</formula>
    </cfRule>
    <cfRule type="cellIs" dxfId="814" priority="69" operator="equal">
      <formula>"A"</formula>
    </cfRule>
  </conditionalFormatting>
  <conditionalFormatting sqref="L77">
    <cfRule type="cellIs" dxfId="813" priority="65" operator="equal">
      <formula>"R"</formula>
    </cfRule>
    <cfRule type="cellIs" dxfId="812" priority="66" operator="equal">
      <formula>"A"</formula>
    </cfRule>
    <cfRule type="cellIs" dxfId="811" priority="64" operator="equal">
      <formula>"G"</formula>
    </cfRule>
  </conditionalFormatting>
  <conditionalFormatting sqref="L81">
    <cfRule type="cellIs" dxfId="810" priority="61" operator="equal">
      <formula>"G"</formula>
    </cfRule>
    <cfRule type="cellIs" dxfId="809" priority="63" operator="equal">
      <formula>"A"</formula>
    </cfRule>
    <cfRule type="cellIs" dxfId="808" priority="62" operator="equal">
      <formula>"R"</formula>
    </cfRule>
  </conditionalFormatting>
  <conditionalFormatting sqref="Y5:Z5 Y9:Z9 Y13:Z13 Y17:Z17 Y21:Z21 Y25:Z25">
    <cfRule type="cellIs" dxfId="807" priority="219" operator="between">
      <formula>0</formula>
      <formula>0.95</formula>
    </cfRule>
    <cfRule type="cellIs" dxfId="806" priority="220" operator="between">
      <formula>1</formula>
      <formula>0.95</formula>
    </cfRule>
    <cfRule type="cellIs" dxfId="805" priority="221" operator="greaterThanOrEqual">
      <formula>1</formula>
    </cfRule>
  </conditionalFormatting>
  <conditionalFormatting sqref="Y29:Z29">
    <cfRule type="cellIs" dxfId="804" priority="204" operator="between">
      <formula>0</formula>
      <formula>0.95</formula>
    </cfRule>
    <cfRule type="cellIs" dxfId="803" priority="205" operator="between">
      <formula>1</formula>
      <formula>0.95</formula>
    </cfRule>
    <cfRule type="cellIs" dxfId="802" priority="206" operator="greaterThanOrEqual">
      <formula>1</formula>
    </cfRule>
  </conditionalFormatting>
  <conditionalFormatting sqref="Y33:Z33">
    <cfRule type="cellIs" dxfId="801" priority="201" operator="between">
      <formula>0</formula>
      <formula>0.95</formula>
    </cfRule>
    <cfRule type="cellIs" dxfId="800" priority="202" operator="between">
      <formula>1</formula>
      <formula>0.95</formula>
    </cfRule>
    <cfRule type="cellIs" dxfId="799" priority="203" operator="greaterThanOrEqual">
      <formula>1</formula>
    </cfRule>
  </conditionalFormatting>
  <conditionalFormatting sqref="Y37:Z37">
    <cfRule type="cellIs" dxfId="798" priority="198" operator="between">
      <formula>0</formula>
      <formula>0.95</formula>
    </cfRule>
    <cfRule type="cellIs" dxfId="797" priority="199" operator="between">
      <formula>1</formula>
      <formula>0.95</formula>
    </cfRule>
    <cfRule type="cellIs" dxfId="796" priority="200" operator="greaterThanOrEqual">
      <formula>1</formula>
    </cfRule>
  </conditionalFormatting>
  <conditionalFormatting sqref="Y41:Z41">
    <cfRule type="cellIs" dxfId="795" priority="225" operator="between">
      <formula>1</formula>
      <formula>0.95</formula>
    </cfRule>
    <cfRule type="cellIs" dxfId="794" priority="184" operator="between">
      <formula>0</formula>
      <formula>0.95</formula>
    </cfRule>
    <cfRule type="cellIs" dxfId="793" priority="185" operator="greaterThanOrEqual">
      <formula>1</formula>
    </cfRule>
  </conditionalFormatting>
  <conditionalFormatting sqref="Y45:Z45">
    <cfRule type="cellIs" dxfId="792" priority="197" operator="greaterThanOrEqual">
      <formula>1</formula>
    </cfRule>
    <cfRule type="cellIs" dxfId="791" priority="196" operator="between">
      <formula>1</formula>
      <formula>0.95</formula>
    </cfRule>
    <cfRule type="cellIs" dxfId="790" priority="195" operator="between">
      <formula>0</formula>
      <formula>0.95</formula>
    </cfRule>
  </conditionalFormatting>
  <conditionalFormatting sqref="Y49:Z49">
    <cfRule type="cellIs" dxfId="789" priority="192" operator="between">
      <formula>0</formula>
      <formula>0.95</formula>
    </cfRule>
    <cfRule type="cellIs" dxfId="788" priority="194" operator="greaterThanOrEqual">
      <formula>1</formula>
    </cfRule>
    <cfRule type="cellIs" dxfId="787" priority="193" operator="between">
      <formula>1</formula>
      <formula>0.95</formula>
    </cfRule>
  </conditionalFormatting>
  <conditionalFormatting sqref="Y53:Z53">
    <cfRule type="cellIs" dxfId="786" priority="191" operator="greaterThanOrEqual">
      <formula>1</formula>
    </cfRule>
    <cfRule type="cellIs" dxfId="785" priority="190" operator="between">
      <formula>1</formula>
      <formula>0.95</formula>
    </cfRule>
    <cfRule type="cellIs" dxfId="784" priority="189" operator="between">
      <formula>0</formula>
      <formula>0.95</formula>
    </cfRule>
  </conditionalFormatting>
  <conditionalFormatting sqref="Y57:Z57">
    <cfRule type="cellIs" dxfId="783" priority="218" operator="greaterThanOrEqual">
      <formula>1</formula>
    </cfRule>
    <cfRule type="cellIs" dxfId="782" priority="217" operator="between">
      <formula>1</formula>
      <formula>0.95</formula>
    </cfRule>
    <cfRule type="cellIs" dxfId="781" priority="216" operator="between">
      <formula>0</formula>
      <formula>0.95</formula>
    </cfRule>
  </conditionalFormatting>
  <conditionalFormatting sqref="Y61:Z61">
    <cfRule type="cellIs" dxfId="780" priority="214" operator="between">
      <formula>1</formula>
      <formula>0.95</formula>
    </cfRule>
    <cfRule type="cellIs" dxfId="779" priority="215" operator="greaterThanOrEqual">
      <formula>1</formula>
    </cfRule>
    <cfRule type="cellIs" dxfId="778" priority="213" operator="between">
      <formula>0</formula>
      <formula>0.95</formula>
    </cfRule>
  </conditionalFormatting>
  <conditionalFormatting sqref="Y65:Z65">
    <cfRule type="cellIs" dxfId="777" priority="212" operator="greaterThanOrEqual">
      <formula>1</formula>
    </cfRule>
    <cfRule type="cellIs" dxfId="776" priority="211" operator="between">
      <formula>1</formula>
      <formula>0.95</formula>
    </cfRule>
    <cfRule type="cellIs" dxfId="775" priority="210" operator="between">
      <formula>0</formula>
      <formula>0.95</formula>
    </cfRule>
  </conditionalFormatting>
  <conditionalFormatting sqref="Y69:Z69">
    <cfRule type="cellIs" dxfId="774" priority="209" operator="greaterThanOrEqual">
      <formula>1</formula>
    </cfRule>
    <cfRule type="cellIs" dxfId="773" priority="208" operator="between">
      <formula>1</formula>
      <formula>0.95</formula>
    </cfRule>
    <cfRule type="cellIs" dxfId="772" priority="207" operator="between">
      <formula>0</formula>
      <formula>0.95</formula>
    </cfRule>
  </conditionalFormatting>
  <conditionalFormatting sqref="Y73:Z73">
    <cfRule type="cellIs" dxfId="771" priority="188" operator="greaterThanOrEqual">
      <formula>1</formula>
    </cfRule>
    <cfRule type="cellIs" dxfId="770" priority="187" operator="between">
      <formula>1</formula>
      <formula>0.95</formula>
    </cfRule>
    <cfRule type="cellIs" dxfId="769" priority="186" operator="between">
      <formula>0</formula>
      <formula>0.95</formula>
    </cfRule>
  </conditionalFormatting>
  <conditionalFormatting sqref="Y77:Z77">
    <cfRule type="cellIs" dxfId="768" priority="179" operator="between">
      <formula>1</formula>
      <formula>0.95</formula>
    </cfRule>
    <cfRule type="cellIs" dxfId="767" priority="180" operator="greaterThanOrEqual">
      <formula>1</formula>
    </cfRule>
    <cfRule type="cellIs" dxfId="766" priority="178" operator="between">
      <formula>0</formula>
      <formula>0.95</formula>
    </cfRule>
  </conditionalFormatting>
  <conditionalFormatting sqref="Y81:Z81">
    <cfRule type="cellIs" dxfId="765" priority="175" operator="between">
      <formula>0</formula>
      <formula>0.95</formula>
    </cfRule>
    <cfRule type="cellIs" dxfId="764" priority="176" operator="between">
      <formula>1</formula>
      <formula>0.95</formula>
    </cfRule>
    <cfRule type="cellIs" dxfId="763" priority="177" operator="greaterThanOrEqual">
      <formula>1</formula>
    </cfRule>
  </conditionalFormatting>
  <conditionalFormatting sqref="AC5">
    <cfRule type="cellIs" dxfId="762" priority="3" operator="equal">
      <formula>"A"</formula>
    </cfRule>
    <cfRule type="cellIs" dxfId="761" priority="2" operator="equal">
      <formula>"R"</formula>
    </cfRule>
    <cfRule type="cellIs" dxfId="760" priority="1" operator="equal">
      <formula>"G"</formula>
    </cfRule>
  </conditionalFormatting>
  <conditionalFormatting sqref="AC9">
    <cfRule type="cellIs" dxfId="759" priority="4" operator="equal">
      <formula>"G"</formula>
    </cfRule>
    <cfRule type="cellIs" dxfId="758" priority="5" operator="equal">
      <formula>"R"</formula>
    </cfRule>
    <cfRule type="cellIs" dxfId="757" priority="6" operator="equal">
      <formula>"A"</formula>
    </cfRule>
  </conditionalFormatting>
  <conditionalFormatting sqref="AC13">
    <cfRule type="cellIs" dxfId="756" priority="8" operator="equal">
      <formula>"R"</formula>
    </cfRule>
    <cfRule type="cellIs" dxfId="755" priority="9" operator="equal">
      <formula>"A"</formula>
    </cfRule>
    <cfRule type="cellIs" dxfId="754" priority="7" operator="equal">
      <formula>"G"</formula>
    </cfRule>
  </conditionalFormatting>
  <conditionalFormatting sqref="AC17">
    <cfRule type="cellIs" dxfId="753" priority="10" operator="equal">
      <formula>"G"</formula>
    </cfRule>
    <cfRule type="cellIs" dxfId="752" priority="11" operator="equal">
      <formula>"R"</formula>
    </cfRule>
    <cfRule type="cellIs" dxfId="751" priority="12" operator="equal">
      <formula>"A"</formula>
    </cfRule>
  </conditionalFormatting>
  <conditionalFormatting sqref="AC21">
    <cfRule type="cellIs" dxfId="750" priority="15" operator="equal">
      <formula>"A"</formula>
    </cfRule>
    <cfRule type="cellIs" dxfId="749" priority="14" operator="equal">
      <formula>"R"</formula>
    </cfRule>
    <cfRule type="cellIs" dxfId="748" priority="13" operator="equal">
      <formula>"G"</formula>
    </cfRule>
  </conditionalFormatting>
  <conditionalFormatting sqref="AC25">
    <cfRule type="cellIs" dxfId="747" priority="18" operator="equal">
      <formula>"A"</formula>
    </cfRule>
    <cfRule type="cellIs" dxfId="746" priority="17" operator="equal">
      <formula>"R"</formula>
    </cfRule>
    <cfRule type="cellIs" dxfId="745" priority="16" operator="equal">
      <formula>"G"</formula>
    </cfRule>
  </conditionalFormatting>
  <conditionalFormatting sqref="AC29">
    <cfRule type="cellIs" dxfId="744" priority="21" operator="equal">
      <formula>"A"</formula>
    </cfRule>
    <cfRule type="cellIs" dxfId="743" priority="20" operator="equal">
      <formula>"R"</formula>
    </cfRule>
    <cfRule type="cellIs" dxfId="742" priority="19" operator="equal">
      <formula>"G"</formula>
    </cfRule>
  </conditionalFormatting>
  <conditionalFormatting sqref="AC33">
    <cfRule type="cellIs" dxfId="741" priority="22" operator="equal">
      <formula>"G"</formula>
    </cfRule>
    <cfRule type="cellIs" dxfId="740" priority="23" operator="equal">
      <formula>"R"</formula>
    </cfRule>
    <cfRule type="cellIs" dxfId="739" priority="24" operator="equal">
      <formula>"A"</formula>
    </cfRule>
  </conditionalFormatting>
  <conditionalFormatting sqref="AC37">
    <cfRule type="cellIs" dxfId="738" priority="26" operator="equal">
      <formula>"R"</formula>
    </cfRule>
    <cfRule type="cellIs" dxfId="737" priority="27" operator="equal">
      <formula>"A"</formula>
    </cfRule>
    <cfRule type="cellIs" dxfId="736" priority="25" operator="equal">
      <formula>"G"</formula>
    </cfRule>
  </conditionalFormatting>
  <conditionalFormatting sqref="AC41">
    <cfRule type="cellIs" dxfId="735" priority="28" operator="equal">
      <formula>"G"</formula>
    </cfRule>
    <cfRule type="cellIs" dxfId="734" priority="29" operator="equal">
      <formula>"R"</formula>
    </cfRule>
    <cfRule type="cellIs" dxfId="733" priority="30" operator="equal">
      <formula>"A"</formula>
    </cfRule>
  </conditionalFormatting>
  <conditionalFormatting sqref="AC45">
    <cfRule type="cellIs" dxfId="732" priority="32" operator="equal">
      <formula>"R"</formula>
    </cfRule>
    <cfRule type="cellIs" dxfId="731" priority="33" operator="equal">
      <formula>"A"</formula>
    </cfRule>
    <cfRule type="cellIs" dxfId="730" priority="31" operator="equal">
      <formula>"G"</formula>
    </cfRule>
  </conditionalFormatting>
  <conditionalFormatting sqref="AC49">
    <cfRule type="cellIs" dxfId="729" priority="36" operator="equal">
      <formula>"A"</formula>
    </cfRule>
    <cfRule type="cellIs" dxfId="728" priority="34" operator="equal">
      <formula>"G"</formula>
    </cfRule>
    <cfRule type="cellIs" dxfId="727" priority="35" operator="equal">
      <formula>"R"</formula>
    </cfRule>
  </conditionalFormatting>
  <conditionalFormatting sqref="AC53">
    <cfRule type="cellIs" dxfId="726" priority="37" operator="equal">
      <formula>"G"</formula>
    </cfRule>
    <cfRule type="cellIs" dxfId="725" priority="38" operator="equal">
      <formula>"R"</formula>
    </cfRule>
    <cfRule type="cellIs" dxfId="724" priority="39" operator="equal">
      <formula>"A"</formula>
    </cfRule>
  </conditionalFormatting>
  <conditionalFormatting sqref="AC57">
    <cfRule type="cellIs" dxfId="723" priority="42" operator="equal">
      <formula>"A"</formula>
    </cfRule>
    <cfRule type="cellIs" dxfId="722" priority="41" operator="equal">
      <formula>"R"</formula>
    </cfRule>
    <cfRule type="cellIs" dxfId="721" priority="40" operator="equal">
      <formula>"G"</formula>
    </cfRule>
  </conditionalFormatting>
  <conditionalFormatting sqref="AC61">
    <cfRule type="cellIs" dxfId="720" priority="45" operator="equal">
      <formula>"A"</formula>
    </cfRule>
    <cfRule type="cellIs" dxfId="719" priority="44" operator="equal">
      <formula>"R"</formula>
    </cfRule>
    <cfRule type="cellIs" dxfId="718" priority="43" operator="equal">
      <formula>"G"</formula>
    </cfRule>
  </conditionalFormatting>
  <conditionalFormatting sqref="AC65">
    <cfRule type="cellIs" dxfId="717" priority="47" operator="equal">
      <formula>"R"</formula>
    </cfRule>
    <cfRule type="cellIs" dxfId="716" priority="46" operator="equal">
      <formula>"G"</formula>
    </cfRule>
    <cfRule type="cellIs" dxfId="715" priority="48" operator="equal">
      <formula>"A"</formula>
    </cfRule>
  </conditionalFormatting>
  <conditionalFormatting sqref="AC69">
    <cfRule type="cellIs" dxfId="714" priority="51" operator="equal">
      <formula>"A"</formula>
    </cfRule>
    <cfRule type="cellIs" dxfId="713" priority="50" operator="equal">
      <formula>"R"</formula>
    </cfRule>
    <cfRule type="cellIs" dxfId="712" priority="49" operator="equal">
      <formula>"G"</formula>
    </cfRule>
  </conditionalFormatting>
  <conditionalFormatting sqref="AC73">
    <cfRule type="cellIs" dxfId="711" priority="53" operator="equal">
      <formula>"R"</formula>
    </cfRule>
    <cfRule type="cellIs" dxfId="710" priority="52" operator="equal">
      <formula>"G"</formula>
    </cfRule>
    <cfRule type="cellIs" dxfId="709" priority="54" operator="equal">
      <formula>"A"</formula>
    </cfRule>
  </conditionalFormatting>
  <conditionalFormatting sqref="AC77">
    <cfRule type="cellIs" dxfId="708" priority="55" operator="equal">
      <formula>"G"</formula>
    </cfRule>
    <cfRule type="cellIs" dxfId="707" priority="56" operator="equal">
      <formula>"R"</formula>
    </cfRule>
    <cfRule type="cellIs" dxfId="706" priority="57" operator="equal">
      <formula>"A"</formula>
    </cfRule>
  </conditionalFormatting>
  <conditionalFormatting sqref="AC81">
    <cfRule type="cellIs" dxfId="705" priority="58" operator="equal">
      <formula>"G"</formula>
    </cfRule>
    <cfRule type="cellIs" dxfId="704" priority="60" operator="equal">
      <formula>"A"</formula>
    </cfRule>
    <cfRule type="cellIs" dxfId="703" priority="59" operator="equal">
      <formula>"R"</formula>
    </cfRule>
  </conditionalFormatting>
  <pageMargins left="0.7" right="0.7" top="0.75" bottom="0.75" header="0.3" footer="0.3"/>
  <pageSetup paperSize="8" scale="30" fitToHeight="0" orientation="landscape" horizontalDpi="1200" verticalDpi="1200" r:id="rId6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3ABEDE-150D-4B46-A619-F992DEB121F6}">
  <sheetPr codeName="Sheet7"/>
  <dimension ref="A1:AB54"/>
  <sheetViews>
    <sheetView zoomScale="57" zoomScaleNormal="57" workbookViewId="0">
      <pane xSplit="1" ySplit="5" topLeftCell="B6" activePane="bottomRight" state="frozen"/>
      <selection pane="topRight" activeCell="B1" sqref="B1"/>
      <selection pane="bottomLeft" activeCell="A6" sqref="A6"/>
      <selection pane="bottomRight" activeCell="B6" sqref="B6"/>
    </sheetView>
  </sheetViews>
  <sheetFormatPr defaultColWidth="9.3828125" defaultRowHeight="14.6" outlineLevelRow="1" x14ac:dyDescent="0.4"/>
  <cols>
    <col min="1" max="1" width="41.53515625" style="223" customWidth="1"/>
    <col min="2" max="2" width="10.3828125" style="223" customWidth="1"/>
    <col min="3" max="3" width="9.3828125" style="223" customWidth="1"/>
    <col min="4" max="4" width="13.53515625" style="223" customWidth="1"/>
    <col min="5" max="5" width="12.53515625" style="223" customWidth="1"/>
    <col min="6" max="6" width="13.3828125" style="223" customWidth="1"/>
    <col min="7" max="7" width="13" style="223" customWidth="1"/>
    <col min="8" max="8" width="12.53515625" style="223" customWidth="1"/>
    <col min="9" max="9" width="12.3828125" style="223" customWidth="1"/>
    <col min="10" max="10" width="13.53515625" style="223" customWidth="1"/>
    <col min="11" max="11" width="13.3828125" style="223" customWidth="1"/>
    <col min="12" max="13" width="9.3828125" style="223"/>
    <col min="14" max="14" width="13.3828125" style="223" customWidth="1"/>
    <col min="15" max="16" width="12.3828125" style="223" customWidth="1"/>
    <col min="17" max="17" width="12.53515625" style="223" customWidth="1"/>
    <col min="18" max="18" width="12.3828125" style="223" customWidth="1"/>
    <col min="19" max="19" width="12" style="223" customWidth="1"/>
    <col min="20" max="20" width="13.3828125" style="223" customWidth="1"/>
    <col min="21" max="22" width="13.53515625" style="223" customWidth="1"/>
    <col min="23" max="23" width="13.3828125" style="223" customWidth="1"/>
    <col min="24" max="24" width="8.53515625" style="223" customWidth="1"/>
    <col min="25" max="25" width="9" style="223" customWidth="1"/>
    <col min="26" max="26" width="13.53515625" style="223" customWidth="1"/>
    <col min="27" max="27" width="13.3828125" style="223" customWidth="1"/>
    <col min="28" max="28" width="11.3828125" style="223" customWidth="1"/>
    <col min="29" max="16384" width="9.3828125" style="223"/>
  </cols>
  <sheetData>
    <row r="1" spans="1:28" ht="1.5" customHeight="1" x14ac:dyDescent="0.4"/>
    <row r="2" spans="1:28" x14ac:dyDescent="0.4">
      <c r="A2" s="99" t="s">
        <v>216</v>
      </c>
      <c r="B2" s="770" t="s">
        <v>217</v>
      </c>
      <c r="C2" s="763"/>
      <c r="D2" s="763"/>
      <c r="E2" s="763"/>
      <c r="F2" s="763"/>
      <c r="G2" s="763"/>
      <c r="H2" s="763"/>
      <c r="I2" s="763"/>
      <c r="J2" s="763"/>
      <c r="K2" s="764"/>
      <c r="L2" s="765" t="s">
        <v>69</v>
      </c>
      <c r="M2" s="763"/>
      <c r="N2" s="763"/>
      <c r="O2" s="763"/>
      <c r="P2" s="763"/>
      <c r="Q2" s="763"/>
      <c r="R2" s="763"/>
      <c r="S2" s="763"/>
      <c r="T2" s="763"/>
      <c r="U2" s="763"/>
      <c r="V2" s="763"/>
      <c r="W2" s="763"/>
      <c r="X2" s="763"/>
      <c r="Y2" s="763"/>
      <c r="Z2" s="763"/>
      <c r="AA2" s="764"/>
      <c r="AB2" s="100" t="s">
        <v>216</v>
      </c>
    </row>
    <row r="3" spans="1:28" x14ac:dyDescent="0.4">
      <c r="A3" s="101" t="s">
        <v>216</v>
      </c>
      <c r="B3" s="771" t="s">
        <v>216</v>
      </c>
      <c r="C3" s="772"/>
      <c r="D3" s="773" t="s">
        <v>48</v>
      </c>
      <c r="E3" s="763"/>
      <c r="F3" s="763"/>
      <c r="G3" s="763"/>
      <c r="H3" s="763"/>
      <c r="I3" s="764"/>
      <c r="J3" s="773" t="s">
        <v>30</v>
      </c>
      <c r="K3" s="764"/>
      <c r="L3" s="771" t="s">
        <v>216</v>
      </c>
      <c r="M3" s="772"/>
      <c r="N3" s="227" t="s">
        <v>216</v>
      </c>
      <c r="O3" s="773" t="s">
        <v>33</v>
      </c>
      <c r="P3" s="763"/>
      <c r="Q3" s="763"/>
      <c r="R3" s="763"/>
      <c r="S3" s="763"/>
      <c r="T3" s="764"/>
      <c r="U3" s="773" t="s">
        <v>308</v>
      </c>
      <c r="V3" s="763"/>
      <c r="W3" s="763"/>
      <c r="X3" s="763"/>
      <c r="Y3" s="763"/>
      <c r="Z3" s="763"/>
      <c r="AA3" s="764"/>
      <c r="AB3" s="102" t="s">
        <v>216</v>
      </c>
    </row>
    <row r="4" spans="1:28" ht="15.45" x14ac:dyDescent="0.4">
      <c r="A4" s="103" t="s">
        <v>216</v>
      </c>
      <c r="B4" s="781" t="s">
        <v>216</v>
      </c>
      <c r="C4" s="777"/>
      <c r="D4" s="782" t="s">
        <v>216</v>
      </c>
      <c r="E4" s="772"/>
      <c r="F4" s="765" t="s">
        <v>73</v>
      </c>
      <c r="G4" s="764"/>
      <c r="H4" s="765" t="s">
        <v>74</v>
      </c>
      <c r="I4" s="764"/>
      <c r="J4" s="104" t="s">
        <v>216</v>
      </c>
      <c r="K4" s="104" t="s">
        <v>216</v>
      </c>
      <c r="L4" s="766" t="s">
        <v>216</v>
      </c>
      <c r="M4" s="767"/>
      <c r="N4" s="226" t="s">
        <v>216</v>
      </c>
      <c r="O4" s="762" t="s">
        <v>73</v>
      </c>
      <c r="P4" s="763"/>
      <c r="Q4" s="764"/>
      <c r="R4" s="762" t="s">
        <v>74</v>
      </c>
      <c r="S4" s="763"/>
      <c r="T4" s="764"/>
      <c r="U4" s="224" t="s">
        <v>216</v>
      </c>
      <c r="V4" s="224" t="s">
        <v>216</v>
      </c>
      <c r="W4" s="224" t="s">
        <v>216</v>
      </c>
      <c r="X4" s="224" t="s">
        <v>216</v>
      </c>
      <c r="Y4" s="224" t="s">
        <v>216</v>
      </c>
      <c r="Z4" s="762" t="s">
        <v>80</v>
      </c>
      <c r="AA4" s="764"/>
      <c r="AB4" s="226" t="s">
        <v>216</v>
      </c>
    </row>
    <row r="5" spans="1:28" ht="49.75" x14ac:dyDescent="0.4">
      <c r="A5" s="105" t="s">
        <v>219</v>
      </c>
      <c r="B5" s="776" t="s">
        <v>220</v>
      </c>
      <c r="C5" s="777"/>
      <c r="D5" s="774" t="s">
        <v>221</v>
      </c>
      <c r="E5" s="775"/>
      <c r="F5" s="225" t="s">
        <v>222</v>
      </c>
      <c r="G5" s="225" t="s">
        <v>223</v>
      </c>
      <c r="H5" s="106" t="s">
        <v>222</v>
      </c>
      <c r="I5" s="107" t="s">
        <v>223</v>
      </c>
      <c r="J5" s="108" t="s">
        <v>224</v>
      </c>
      <c r="K5" s="108" t="s">
        <v>2</v>
      </c>
      <c r="L5" s="778" t="s">
        <v>68</v>
      </c>
      <c r="M5" s="767"/>
      <c r="N5" s="108" t="s">
        <v>225</v>
      </c>
      <c r="O5" s="225" t="s">
        <v>81</v>
      </c>
      <c r="P5" s="225" t="s">
        <v>226</v>
      </c>
      <c r="Q5" s="225" t="s">
        <v>92</v>
      </c>
      <c r="R5" s="225" t="s">
        <v>81</v>
      </c>
      <c r="S5" s="225" t="s">
        <v>84</v>
      </c>
      <c r="T5" s="225" t="s">
        <v>227</v>
      </c>
      <c r="U5" s="109" t="s">
        <v>309</v>
      </c>
      <c r="V5" s="109" t="s">
        <v>229</v>
      </c>
      <c r="W5" s="109" t="s">
        <v>230</v>
      </c>
      <c r="X5" s="109" t="s">
        <v>231</v>
      </c>
      <c r="Y5" s="109" t="s">
        <v>232</v>
      </c>
      <c r="Z5" s="225" t="s">
        <v>215</v>
      </c>
      <c r="AA5" s="225" t="s">
        <v>86</v>
      </c>
      <c r="AB5" s="105" t="s">
        <v>70</v>
      </c>
    </row>
    <row r="6" spans="1:28" collapsed="1" x14ac:dyDescent="0.4">
      <c r="A6" s="110" t="s">
        <v>96</v>
      </c>
      <c r="B6" s="111" t="s">
        <v>91</v>
      </c>
      <c r="C6" s="183">
        <v>0</v>
      </c>
      <c r="D6" s="112" t="s">
        <v>233</v>
      </c>
      <c r="E6" s="113">
        <v>45190</v>
      </c>
      <c r="F6" s="184">
        <v>775876000</v>
      </c>
      <c r="G6" s="184">
        <v>837100000</v>
      </c>
      <c r="H6" s="114">
        <v>49490</v>
      </c>
      <c r="I6" s="114">
        <v>49795</v>
      </c>
      <c r="J6" s="184">
        <v>382000000</v>
      </c>
      <c r="K6" s="184">
        <v>186000000</v>
      </c>
      <c r="L6" s="185" t="s">
        <v>91</v>
      </c>
      <c r="M6" s="183">
        <v>0</v>
      </c>
      <c r="N6" s="116">
        <v>44986</v>
      </c>
      <c r="O6" s="184">
        <v>726536178</v>
      </c>
      <c r="P6" s="184">
        <v>724537371.42999995</v>
      </c>
      <c r="Q6" s="184">
        <v>18881.09</v>
      </c>
      <c r="R6" s="114">
        <v>49490</v>
      </c>
      <c r="S6" s="114">
        <v>49490</v>
      </c>
      <c r="T6" s="117">
        <v>0</v>
      </c>
      <c r="U6" s="184">
        <v>38721429.810000002</v>
      </c>
      <c r="V6" s="184">
        <v>29346741.592500001</v>
      </c>
      <c r="W6" s="184">
        <v>26775957.27</v>
      </c>
      <c r="X6" s="118">
        <v>1.0960109211624836</v>
      </c>
      <c r="Y6" s="119">
        <v>0.75789405857427972</v>
      </c>
      <c r="Z6" s="120">
        <f>U6/O6</f>
        <v>5.3295941733544343E-2</v>
      </c>
      <c r="AA6" s="120">
        <f>V6/O6</f>
        <v>4.0392677585974257E-2</v>
      </c>
      <c r="AB6" s="111" t="s">
        <v>90</v>
      </c>
    </row>
    <row r="7" spans="1:28" ht="17.25" hidden="1" customHeight="1" outlineLevel="1" collapsed="1" x14ac:dyDescent="0.4">
      <c r="A7" s="110" t="s">
        <v>216</v>
      </c>
      <c r="B7" s="186" t="s">
        <v>216</v>
      </c>
      <c r="C7" s="187" t="str" cm="1">
        <f t="array" ref="C7">_xlfn.SWITCH(C6,-1,"i",0,"g",1,"h")</f>
        <v>g</v>
      </c>
      <c r="D7" s="112" t="s">
        <v>216</v>
      </c>
      <c r="E7" s="112" t="s">
        <v>216</v>
      </c>
      <c r="F7" s="115" t="s">
        <v>216</v>
      </c>
      <c r="G7" s="115" t="s">
        <v>216</v>
      </c>
      <c r="H7" s="115" t="s">
        <v>216</v>
      </c>
      <c r="I7" s="115" t="s">
        <v>216</v>
      </c>
      <c r="J7" s="115" t="s">
        <v>216</v>
      </c>
      <c r="K7" s="115" t="s">
        <v>216</v>
      </c>
      <c r="L7" s="186" t="s">
        <v>216</v>
      </c>
      <c r="M7" s="187" t="str" cm="1">
        <f t="array" ref="M7">_xlfn.SWITCH(M6,-1,"i",0,"g",1,"h")</f>
        <v>g</v>
      </c>
      <c r="N7" s="115" t="s">
        <v>216</v>
      </c>
      <c r="O7" s="115" t="s">
        <v>216</v>
      </c>
      <c r="P7" s="115" t="s">
        <v>216</v>
      </c>
      <c r="Q7" s="115" t="s">
        <v>216</v>
      </c>
      <c r="R7" s="115" t="s">
        <v>216</v>
      </c>
      <c r="S7" s="115" t="s">
        <v>216</v>
      </c>
      <c r="T7" s="115" t="s">
        <v>216</v>
      </c>
      <c r="U7" s="115" t="s">
        <v>216</v>
      </c>
      <c r="V7" s="115" t="s">
        <v>216</v>
      </c>
      <c r="W7" s="115" t="s">
        <v>216</v>
      </c>
      <c r="X7" s="188" t="s">
        <v>216</v>
      </c>
      <c r="Y7" s="189" t="s">
        <v>216</v>
      </c>
      <c r="Z7" s="115" t="s">
        <v>216</v>
      </c>
      <c r="AA7" s="115" t="s">
        <v>216</v>
      </c>
      <c r="AB7" s="115" t="s">
        <v>216</v>
      </c>
    </row>
    <row r="8" spans="1:28" ht="17.25" customHeight="1" collapsed="1" x14ac:dyDescent="0.4">
      <c r="A8" s="769"/>
      <c r="B8" s="763"/>
      <c r="C8" s="763"/>
      <c r="D8" s="763"/>
      <c r="E8" s="763"/>
      <c r="F8" s="763"/>
      <c r="G8" s="763"/>
      <c r="H8" s="763"/>
      <c r="I8" s="763"/>
      <c r="J8" s="763"/>
      <c r="K8" s="763"/>
      <c r="L8" s="763"/>
      <c r="M8" s="763"/>
      <c r="N8" s="763"/>
      <c r="O8" s="763"/>
      <c r="P8" s="763"/>
      <c r="Q8" s="763"/>
      <c r="R8" s="763"/>
      <c r="S8" s="763"/>
      <c r="T8" s="763"/>
      <c r="U8" s="763"/>
      <c r="V8" s="763"/>
      <c r="W8" s="763"/>
      <c r="X8" s="763"/>
      <c r="Y8" s="763"/>
      <c r="Z8" s="763"/>
      <c r="AA8" s="763"/>
      <c r="AB8" s="764"/>
    </row>
    <row r="9" spans="1:28" ht="8.25" customHeight="1" x14ac:dyDescent="0.4">
      <c r="A9" s="783" t="s">
        <v>216</v>
      </c>
      <c r="B9" s="784"/>
      <c r="C9" s="784"/>
      <c r="D9" s="784"/>
      <c r="E9" s="784"/>
      <c r="F9" s="784"/>
      <c r="G9" s="784"/>
      <c r="H9" s="784"/>
      <c r="I9" s="784"/>
      <c r="J9" s="784"/>
      <c r="K9" s="784"/>
      <c r="L9" s="784"/>
      <c r="M9" s="784"/>
      <c r="N9" s="784"/>
      <c r="O9" s="784"/>
      <c r="P9" s="784"/>
      <c r="Q9" s="784"/>
      <c r="R9" s="784"/>
      <c r="S9" s="784"/>
      <c r="T9" s="784"/>
      <c r="U9" s="784"/>
      <c r="V9" s="784"/>
      <c r="W9" s="784"/>
      <c r="X9" s="784"/>
      <c r="Y9" s="784"/>
      <c r="Z9" s="784"/>
      <c r="AA9" s="784"/>
      <c r="AB9" s="784"/>
    </row>
    <row r="10" spans="1:28" collapsed="1" x14ac:dyDescent="0.4">
      <c r="A10" s="110" t="s">
        <v>98</v>
      </c>
      <c r="B10" s="111" t="s">
        <v>91</v>
      </c>
      <c r="C10" s="183">
        <v>0</v>
      </c>
      <c r="D10" s="112" t="s">
        <v>235</v>
      </c>
      <c r="E10" s="113">
        <v>44743</v>
      </c>
      <c r="F10" s="184">
        <v>1316000000</v>
      </c>
      <c r="G10" s="184">
        <v>1512000000</v>
      </c>
      <c r="H10" s="114">
        <v>46332</v>
      </c>
      <c r="I10" s="114">
        <v>46847</v>
      </c>
      <c r="J10" s="184">
        <v>1512000000</v>
      </c>
      <c r="K10" s="184">
        <v>1333000000</v>
      </c>
      <c r="L10" s="193" t="s">
        <v>90</v>
      </c>
      <c r="M10" s="183">
        <v>0</v>
      </c>
      <c r="N10" s="116">
        <v>45212</v>
      </c>
      <c r="O10" s="184">
        <v>1311587599</v>
      </c>
      <c r="P10" s="184">
        <v>1378499000.9100001</v>
      </c>
      <c r="Q10" s="184">
        <v>0.08</v>
      </c>
      <c r="R10" s="114">
        <v>46332</v>
      </c>
      <c r="S10" s="114">
        <v>46427</v>
      </c>
      <c r="T10" s="117">
        <v>0</v>
      </c>
      <c r="U10" s="184">
        <v>1024950261.27</v>
      </c>
      <c r="V10" s="184">
        <v>994859091.33449996</v>
      </c>
      <c r="W10" s="184">
        <v>1065805919.98</v>
      </c>
      <c r="X10" s="119">
        <v>0.93343363241327149</v>
      </c>
      <c r="Y10" s="118">
        <v>0.97064133639205619</v>
      </c>
      <c r="Z10" s="120">
        <f>U10/O10</f>
        <v>0.78145772501315025</v>
      </c>
      <c r="AA10" s="120">
        <f>V10/O10</f>
        <v>0.75851517054066009</v>
      </c>
      <c r="AB10" s="190" t="s">
        <v>90</v>
      </c>
    </row>
    <row r="11" spans="1:28" ht="24.9" hidden="1" outlineLevel="1" collapsed="1" x14ac:dyDescent="0.4">
      <c r="A11" s="110" t="s">
        <v>216</v>
      </c>
      <c r="B11" s="186" t="s">
        <v>216</v>
      </c>
      <c r="C11" s="187" t="str" cm="1">
        <f t="array" ref="C11">_xlfn.SWITCH(C10,-1,"i",0,"g",1,"h")</f>
        <v>g</v>
      </c>
      <c r="D11" s="112" t="s">
        <v>216</v>
      </c>
      <c r="E11" s="112" t="s">
        <v>216</v>
      </c>
      <c r="F11" s="115" t="s">
        <v>216</v>
      </c>
      <c r="G11" s="115" t="s">
        <v>216</v>
      </c>
      <c r="H11" s="115" t="s">
        <v>216</v>
      </c>
      <c r="I11" s="115" t="s">
        <v>216</v>
      </c>
      <c r="J11" s="115" t="s">
        <v>216</v>
      </c>
      <c r="K11" s="115" t="s">
        <v>216</v>
      </c>
      <c r="L11" s="186" t="s">
        <v>216</v>
      </c>
      <c r="M11" s="187" t="str" cm="1">
        <f t="array" ref="M11">_xlfn.SWITCH(M10,-1,"i",0,"g",1,"h")</f>
        <v>g</v>
      </c>
      <c r="N11" s="115" t="s">
        <v>216</v>
      </c>
      <c r="O11" s="115" t="s">
        <v>216</v>
      </c>
      <c r="P11" s="115" t="s">
        <v>216</v>
      </c>
      <c r="Q11" s="115" t="s">
        <v>216</v>
      </c>
      <c r="R11" s="115" t="s">
        <v>216</v>
      </c>
      <c r="S11" s="115" t="s">
        <v>216</v>
      </c>
      <c r="T11" s="115" t="s">
        <v>216</v>
      </c>
      <c r="U11" s="115" t="s">
        <v>216</v>
      </c>
      <c r="V11" s="115" t="s">
        <v>216</v>
      </c>
      <c r="W11" s="115" t="s">
        <v>216</v>
      </c>
      <c r="X11" s="189" t="s">
        <v>216</v>
      </c>
      <c r="Y11" s="188" t="s">
        <v>216</v>
      </c>
      <c r="Z11" s="115" t="s">
        <v>216</v>
      </c>
      <c r="AA11" s="115" t="s">
        <v>216</v>
      </c>
      <c r="AB11" s="191" t="s">
        <v>216</v>
      </c>
    </row>
    <row r="12" spans="1:28" ht="17.25" customHeight="1" collapsed="1" x14ac:dyDescent="0.4">
      <c r="A12" s="769"/>
      <c r="B12" s="763"/>
      <c r="C12" s="763"/>
      <c r="D12" s="763"/>
      <c r="E12" s="763"/>
      <c r="F12" s="763"/>
      <c r="G12" s="763"/>
      <c r="H12" s="763"/>
      <c r="I12" s="763"/>
      <c r="J12" s="763"/>
      <c r="K12" s="763"/>
      <c r="L12" s="763"/>
      <c r="M12" s="763"/>
      <c r="N12" s="763"/>
      <c r="O12" s="763"/>
      <c r="P12" s="763"/>
      <c r="Q12" s="763"/>
      <c r="R12" s="763"/>
      <c r="S12" s="763"/>
      <c r="T12" s="763"/>
      <c r="U12" s="763"/>
      <c r="V12" s="763"/>
      <c r="W12" s="763"/>
      <c r="X12" s="763"/>
      <c r="Y12" s="763"/>
      <c r="Z12" s="763"/>
      <c r="AA12" s="763"/>
      <c r="AB12" s="764"/>
    </row>
    <row r="13" spans="1:28" ht="8.25" customHeight="1" x14ac:dyDescent="0.4">
      <c r="A13" s="783" t="s">
        <v>216</v>
      </c>
      <c r="B13" s="784"/>
      <c r="C13" s="784"/>
      <c r="D13" s="784"/>
      <c r="E13" s="784"/>
      <c r="F13" s="784"/>
      <c r="G13" s="784"/>
      <c r="H13" s="784"/>
      <c r="I13" s="784"/>
      <c r="J13" s="784"/>
      <c r="K13" s="784"/>
      <c r="L13" s="784"/>
      <c r="M13" s="784"/>
      <c r="N13" s="784"/>
      <c r="O13" s="784"/>
      <c r="P13" s="784"/>
      <c r="Q13" s="784"/>
      <c r="R13" s="784"/>
      <c r="S13" s="784"/>
      <c r="T13" s="784"/>
      <c r="U13" s="784"/>
      <c r="V13" s="784"/>
      <c r="W13" s="784"/>
      <c r="X13" s="784"/>
      <c r="Y13" s="784"/>
      <c r="Z13" s="784"/>
      <c r="AA13" s="784"/>
      <c r="AB13" s="784"/>
    </row>
    <row r="14" spans="1:28" ht="29.15" collapsed="1" x14ac:dyDescent="0.4">
      <c r="A14" s="110" t="s">
        <v>101</v>
      </c>
      <c r="B14" s="185" t="s">
        <v>90</v>
      </c>
      <c r="C14" s="183">
        <v>0</v>
      </c>
      <c r="D14" s="112" t="s">
        <v>235</v>
      </c>
      <c r="E14" s="113">
        <v>44075</v>
      </c>
      <c r="F14" s="184">
        <v>458900000</v>
      </c>
      <c r="G14" s="184">
        <v>466400000</v>
      </c>
      <c r="H14" s="114">
        <v>45244</v>
      </c>
      <c r="I14" s="114">
        <v>45361</v>
      </c>
      <c r="J14" s="184">
        <v>466400000</v>
      </c>
      <c r="K14" s="184">
        <v>458900000</v>
      </c>
      <c r="L14" s="185" t="s">
        <v>90</v>
      </c>
      <c r="M14" s="183">
        <v>0</v>
      </c>
      <c r="N14" s="116">
        <v>44286</v>
      </c>
      <c r="O14" s="184">
        <v>419953637</v>
      </c>
      <c r="P14" s="184">
        <v>458886277.74000001</v>
      </c>
      <c r="Q14" s="184">
        <v>57548.78</v>
      </c>
      <c r="R14" s="114">
        <v>45050</v>
      </c>
      <c r="S14" s="114">
        <v>45463</v>
      </c>
      <c r="T14" s="117">
        <v>-6</v>
      </c>
      <c r="U14" s="184">
        <v>419953637.50999999</v>
      </c>
      <c r="V14" s="184">
        <v>417747869.70289999</v>
      </c>
      <c r="W14" s="184">
        <v>457544456.99000001</v>
      </c>
      <c r="X14" s="118">
        <v>0.91302137600156785</v>
      </c>
      <c r="Y14" s="119">
        <v>0.99474759209093055</v>
      </c>
      <c r="Z14" s="120">
        <f>U14/O14</f>
        <v>1.0000000012144197</v>
      </c>
      <c r="AA14" s="120">
        <f>V14/O14</f>
        <v>0.99474759329897167</v>
      </c>
      <c r="AB14" s="185" t="s">
        <v>90</v>
      </c>
    </row>
    <row r="15" spans="1:28" ht="17.25" hidden="1" customHeight="1" outlineLevel="1" collapsed="1" x14ac:dyDescent="0.4">
      <c r="A15" s="110" t="s">
        <v>216</v>
      </c>
      <c r="B15" s="186" t="s">
        <v>216</v>
      </c>
      <c r="C15" s="187" t="str" cm="1">
        <f t="array" ref="C15">_xlfn.SWITCH(C14,-1,"i",0,"g",1,"h")</f>
        <v>g</v>
      </c>
      <c r="D15" s="112" t="s">
        <v>216</v>
      </c>
      <c r="E15" s="112" t="s">
        <v>216</v>
      </c>
      <c r="F15" s="115" t="s">
        <v>216</v>
      </c>
      <c r="G15" s="115" t="s">
        <v>216</v>
      </c>
      <c r="H15" s="115" t="s">
        <v>216</v>
      </c>
      <c r="I15" s="115" t="s">
        <v>216</v>
      </c>
      <c r="J15" s="115" t="s">
        <v>216</v>
      </c>
      <c r="K15" s="115" t="s">
        <v>216</v>
      </c>
      <c r="L15" s="186" t="s">
        <v>216</v>
      </c>
      <c r="M15" s="187" t="str" cm="1">
        <f t="array" ref="M15">_xlfn.SWITCH(M14,-1,"i",0,"g",1,"h")</f>
        <v>g</v>
      </c>
      <c r="N15" s="115" t="s">
        <v>216</v>
      </c>
      <c r="O15" s="115" t="s">
        <v>216</v>
      </c>
      <c r="P15" s="115" t="s">
        <v>216</v>
      </c>
      <c r="Q15" s="115" t="s">
        <v>216</v>
      </c>
      <c r="R15" s="115" t="s">
        <v>216</v>
      </c>
      <c r="S15" s="115" t="s">
        <v>216</v>
      </c>
      <c r="T15" s="115" t="s">
        <v>216</v>
      </c>
      <c r="U15" s="115" t="s">
        <v>216</v>
      </c>
      <c r="V15" s="115" t="s">
        <v>216</v>
      </c>
      <c r="W15" s="115" t="s">
        <v>216</v>
      </c>
      <c r="X15" s="188" t="s">
        <v>216</v>
      </c>
      <c r="Y15" s="189" t="s">
        <v>216</v>
      </c>
      <c r="Z15" s="115" t="s">
        <v>216</v>
      </c>
      <c r="AA15" s="115" t="s">
        <v>216</v>
      </c>
      <c r="AB15" s="191" t="s">
        <v>216</v>
      </c>
    </row>
    <row r="16" spans="1:28" ht="17.25" customHeight="1" collapsed="1" x14ac:dyDescent="0.4">
      <c r="A16" s="769"/>
      <c r="B16" s="763"/>
      <c r="C16" s="763"/>
      <c r="D16" s="763"/>
      <c r="E16" s="763"/>
      <c r="F16" s="763"/>
      <c r="G16" s="763"/>
      <c r="H16" s="763"/>
      <c r="I16" s="763"/>
      <c r="J16" s="763"/>
      <c r="K16" s="763"/>
      <c r="L16" s="763"/>
      <c r="M16" s="763"/>
      <c r="N16" s="763"/>
      <c r="O16" s="763"/>
      <c r="P16" s="763"/>
      <c r="Q16" s="763"/>
      <c r="R16" s="763"/>
      <c r="S16" s="763"/>
      <c r="T16" s="763"/>
      <c r="U16" s="763"/>
      <c r="V16" s="763"/>
      <c r="W16" s="763"/>
      <c r="X16" s="763"/>
      <c r="Y16" s="763"/>
      <c r="Z16" s="763"/>
      <c r="AA16" s="763"/>
      <c r="AB16" s="764"/>
    </row>
    <row r="17" spans="1:28" ht="8.25" customHeight="1" x14ac:dyDescent="0.4">
      <c r="A17" s="783" t="s">
        <v>216</v>
      </c>
      <c r="B17" s="784"/>
      <c r="C17" s="784"/>
      <c r="D17" s="784"/>
      <c r="E17" s="784"/>
      <c r="F17" s="784"/>
      <c r="G17" s="784"/>
      <c r="H17" s="784"/>
      <c r="I17" s="784"/>
      <c r="J17" s="784"/>
      <c r="K17" s="784"/>
      <c r="L17" s="784"/>
      <c r="M17" s="784"/>
      <c r="N17" s="784"/>
      <c r="O17" s="784"/>
      <c r="P17" s="784"/>
      <c r="Q17" s="784"/>
      <c r="R17" s="784"/>
      <c r="S17" s="784"/>
      <c r="T17" s="784"/>
      <c r="U17" s="784"/>
      <c r="V17" s="784"/>
      <c r="W17" s="784"/>
      <c r="X17" s="784"/>
      <c r="Y17" s="784"/>
      <c r="Z17" s="784"/>
      <c r="AA17" s="784"/>
      <c r="AB17" s="784"/>
    </row>
    <row r="18" spans="1:28" collapsed="1" x14ac:dyDescent="0.4">
      <c r="A18" s="110" t="s">
        <v>13</v>
      </c>
      <c r="B18" s="190" t="s">
        <v>90</v>
      </c>
      <c r="C18" s="183">
        <v>0</v>
      </c>
      <c r="D18" s="112" t="s">
        <v>235</v>
      </c>
      <c r="E18" s="113">
        <v>44287</v>
      </c>
      <c r="F18" s="184">
        <v>116570000</v>
      </c>
      <c r="G18" s="184">
        <v>122604000</v>
      </c>
      <c r="H18" s="114">
        <v>46874</v>
      </c>
      <c r="I18" s="114">
        <v>47239</v>
      </c>
      <c r="J18" s="184">
        <v>139600000</v>
      </c>
      <c r="K18" s="184">
        <v>116569000</v>
      </c>
      <c r="L18" s="193" t="s">
        <v>88</v>
      </c>
      <c r="M18" s="183">
        <v>0</v>
      </c>
      <c r="N18" s="116">
        <v>44634</v>
      </c>
      <c r="O18" s="184">
        <v>120280352</v>
      </c>
      <c r="P18" s="184">
        <v>131430791.23999999</v>
      </c>
      <c r="Q18" s="184">
        <v>-146.81</v>
      </c>
      <c r="R18" s="114">
        <v>46892</v>
      </c>
      <c r="S18" s="114">
        <v>47907</v>
      </c>
      <c r="T18" s="117">
        <v>0</v>
      </c>
      <c r="U18" s="184">
        <v>89109551.069999993</v>
      </c>
      <c r="V18" s="184">
        <v>82546439.180899993</v>
      </c>
      <c r="W18" s="184">
        <v>85806101.599999994</v>
      </c>
      <c r="X18" s="118">
        <v>0.96201129805086028</v>
      </c>
      <c r="Y18" s="119">
        <v>0.92634782904534729</v>
      </c>
      <c r="Z18" s="120">
        <f>U18/O18</f>
        <v>0.74084877195903109</v>
      </c>
      <c r="AA18" s="120">
        <f>V18/O18</f>
        <v>0.68628365155516002</v>
      </c>
      <c r="AB18" s="193" t="s">
        <v>91</v>
      </c>
    </row>
    <row r="19" spans="1:28" ht="17.25" hidden="1" customHeight="1" outlineLevel="1" collapsed="1" x14ac:dyDescent="0.4">
      <c r="A19" s="110" t="s">
        <v>216</v>
      </c>
      <c r="B19" s="186" t="s">
        <v>216</v>
      </c>
      <c r="C19" s="187" t="str" cm="1">
        <f t="array" ref="C19">_xlfn.SWITCH(C18,-1,"i",0,"g",1,"h")</f>
        <v>g</v>
      </c>
      <c r="D19" s="112"/>
      <c r="E19" s="112" t="s">
        <v>216</v>
      </c>
      <c r="F19" s="115" t="s">
        <v>216</v>
      </c>
      <c r="G19" s="115" t="s">
        <v>216</v>
      </c>
      <c r="H19" s="115" t="s">
        <v>216</v>
      </c>
      <c r="I19" s="115" t="s">
        <v>216</v>
      </c>
      <c r="J19" s="115" t="s">
        <v>216</v>
      </c>
      <c r="K19" s="115" t="s">
        <v>216</v>
      </c>
      <c r="L19" s="186" t="s">
        <v>216</v>
      </c>
      <c r="M19" s="187" t="str" cm="1">
        <f t="array" ref="M19">_xlfn.SWITCH(M18,-1,"i",0,"g",1,"h")</f>
        <v>g</v>
      </c>
      <c r="N19" s="115" t="s">
        <v>216</v>
      </c>
      <c r="O19" s="115" t="s">
        <v>216</v>
      </c>
      <c r="P19" s="115" t="s">
        <v>216</v>
      </c>
      <c r="Q19" s="115" t="s">
        <v>216</v>
      </c>
      <c r="R19" s="115" t="s">
        <v>216</v>
      </c>
      <c r="S19" s="115" t="s">
        <v>216</v>
      </c>
      <c r="T19" s="115" t="s">
        <v>216</v>
      </c>
      <c r="U19" s="115" t="s">
        <v>216</v>
      </c>
      <c r="V19" s="115" t="s">
        <v>216</v>
      </c>
      <c r="W19" s="115" t="s">
        <v>216</v>
      </c>
      <c r="X19" s="188" t="s">
        <v>216</v>
      </c>
      <c r="Y19" s="189" t="s">
        <v>216</v>
      </c>
      <c r="Z19" s="115" t="s">
        <v>216</v>
      </c>
      <c r="AA19" s="115" t="s">
        <v>216</v>
      </c>
      <c r="AB19" s="115" t="s">
        <v>216</v>
      </c>
    </row>
    <row r="20" spans="1:28" ht="17.25" customHeight="1" collapsed="1" x14ac:dyDescent="0.4">
      <c r="A20" s="769"/>
      <c r="B20" s="763"/>
      <c r="C20" s="763"/>
      <c r="D20" s="763"/>
      <c r="E20" s="763"/>
      <c r="F20" s="763"/>
      <c r="G20" s="763"/>
      <c r="H20" s="763"/>
      <c r="I20" s="763"/>
      <c r="J20" s="763"/>
      <c r="K20" s="763"/>
      <c r="L20" s="763"/>
      <c r="M20" s="763"/>
      <c r="N20" s="763"/>
      <c r="O20" s="763"/>
      <c r="P20" s="763"/>
      <c r="Q20" s="763"/>
      <c r="R20" s="763"/>
      <c r="S20" s="763"/>
      <c r="T20" s="763"/>
      <c r="U20" s="763"/>
      <c r="V20" s="763"/>
      <c r="W20" s="763"/>
      <c r="X20" s="763"/>
      <c r="Y20" s="763"/>
      <c r="Z20" s="763"/>
      <c r="AA20" s="763"/>
      <c r="AB20" s="764"/>
    </row>
    <row r="21" spans="1:28" ht="8.25" customHeight="1" x14ac:dyDescent="0.4">
      <c r="A21" s="783" t="s">
        <v>216</v>
      </c>
      <c r="B21" s="784"/>
      <c r="C21" s="784"/>
      <c r="D21" s="784"/>
      <c r="E21" s="784"/>
      <c r="F21" s="784"/>
      <c r="G21" s="784"/>
      <c r="H21" s="784"/>
      <c r="I21" s="784"/>
      <c r="J21" s="784"/>
      <c r="K21" s="784"/>
      <c r="L21" s="784"/>
      <c r="M21" s="784"/>
      <c r="N21" s="784"/>
      <c r="O21" s="784"/>
      <c r="P21" s="784"/>
      <c r="Q21" s="784"/>
      <c r="R21" s="784"/>
      <c r="S21" s="784"/>
      <c r="T21" s="784"/>
      <c r="U21" s="784"/>
      <c r="V21" s="784"/>
      <c r="W21" s="784"/>
      <c r="X21" s="784"/>
      <c r="Y21" s="784"/>
      <c r="Z21" s="784"/>
      <c r="AA21" s="784"/>
      <c r="AB21" s="784"/>
    </row>
    <row r="22" spans="1:28" collapsed="1" x14ac:dyDescent="0.4">
      <c r="A22" s="110" t="s">
        <v>115</v>
      </c>
      <c r="B22" s="111" t="s">
        <v>91</v>
      </c>
      <c r="C22" s="183">
        <v>0</v>
      </c>
      <c r="D22" s="112" t="s">
        <v>235</v>
      </c>
      <c r="E22" s="113">
        <v>45057</v>
      </c>
      <c r="F22" s="184">
        <v>379164000</v>
      </c>
      <c r="G22" s="184">
        <v>403001000</v>
      </c>
      <c r="H22" s="114">
        <v>47364</v>
      </c>
      <c r="I22" s="114">
        <v>47690</v>
      </c>
      <c r="J22" s="184">
        <v>403001000</v>
      </c>
      <c r="K22" s="184">
        <v>379164000</v>
      </c>
      <c r="L22" s="185" t="s">
        <v>91</v>
      </c>
      <c r="M22" s="183">
        <v>0</v>
      </c>
      <c r="N22" s="116">
        <v>44936</v>
      </c>
      <c r="O22" s="184">
        <v>425343022</v>
      </c>
      <c r="P22" s="184">
        <v>371717419.10000002</v>
      </c>
      <c r="Q22" s="184">
        <v>1914.86</v>
      </c>
      <c r="R22" s="114">
        <v>47364</v>
      </c>
      <c r="S22" s="114">
        <v>47364</v>
      </c>
      <c r="T22" s="117">
        <v>0</v>
      </c>
      <c r="U22" s="184">
        <v>241998932.63</v>
      </c>
      <c r="V22" s="184">
        <v>203822323.5456</v>
      </c>
      <c r="W22" s="184">
        <v>191013993.41999999</v>
      </c>
      <c r="X22" s="119">
        <v>1.067054407356623</v>
      </c>
      <c r="Y22" s="118">
        <v>0.84224472120804994</v>
      </c>
      <c r="Z22" s="120">
        <f>U22/O22</f>
        <v>0.56895004763943202</v>
      </c>
      <c r="AA22" s="120">
        <f>V22/O22</f>
        <v>0.47919517425538016</v>
      </c>
      <c r="AB22" s="190" t="s">
        <v>90</v>
      </c>
    </row>
    <row r="23" spans="1:28" ht="17.25" hidden="1" customHeight="1" outlineLevel="1" collapsed="1" x14ac:dyDescent="0.4">
      <c r="A23" s="110" t="s">
        <v>216</v>
      </c>
      <c r="B23" s="186" t="s">
        <v>216</v>
      </c>
      <c r="C23" s="187" t="str" cm="1">
        <f t="array" ref="C23">_xlfn.SWITCH(C22,-1,"i",0,"g",1,"h")</f>
        <v>g</v>
      </c>
      <c r="D23" s="112" t="s">
        <v>216</v>
      </c>
      <c r="E23" s="112" t="s">
        <v>216</v>
      </c>
      <c r="F23" s="115" t="s">
        <v>216</v>
      </c>
      <c r="G23" s="115" t="s">
        <v>216</v>
      </c>
      <c r="H23" s="115" t="s">
        <v>216</v>
      </c>
      <c r="I23" s="115" t="s">
        <v>216</v>
      </c>
      <c r="J23" s="115" t="s">
        <v>216</v>
      </c>
      <c r="K23" s="115" t="s">
        <v>216</v>
      </c>
      <c r="L23" s="186" t="s">
        <v>216</v>
      </c>
      <c r="M23" s="187" t="str" cm="1">
        <f t="array" ref="M23">_xlfn.SWITCH(M22,-1,"i",0,"g",1,"h")</f>
        <v>g</v>
      </c>
      <c r="N23" s="115" t="s">
        <v>216</v>
      </c>
      <c r="O23" s="115" t="s">
        <v>216</v>
      </c>
      <c r="P23" s="115" t="s">
        <v>216</v>
      </c>
      <c r="Q23" s="115" t="s">
        <v>216</v>
      </c>
      <c r="R23" s="115" t="s">
        <v>216</v>
      </c>
      <c r="S23" s="115" t="s">
        <v>216</v>
      </c>
      <c r="T23" s="115" t="s">
        <v>216</v>
      </c>
      <c r="U23" s="115" t="s">
        <v>216</v>
      </c>
      <c r="V23" s="115" t="s">
        <v>216</v>
      </c>
      <c r="W23" s="115" t="s">
        <v>216</v>
      </c>
      <c r="X23" s="189" t="s">
        <v>216</v>
      </c>
      <c r="Y23" s="188" t="s">
        <v>216</v>
      </c>
      <c r="Z23" s="115" t="s">
        <v>216</v>
      </c>
      <c r="AA23" s="115" t="s">
        <v>216</v>
      </c>
      <c r="AB23" s="191" t="s">
        <v>216</v>
      </c>
    </row>
    <row r="24" spans="1:28" ht="17.25" customHeight="1" collapsed="1" x14ac:dyDescent="0.4">
      <c r="A24" s="769"/>
      <c r="B24" s="763"/>
      <c r="C24" s="763"/>
      <c r="D24" s="763"/>
      <c r="E24" s="763"/>
      <c r="F24" s="763"/>
      <c r="G24" s="763"/>
      <c r="H24" s="763"/>
      <c r="I24" s="763"/>
      <c r="J24" s="763"/>
      <c r="K24" s="763"/>
      <c r="L24" s="763"/>
      <c r="M24" s="763"/>
      <c r="N24" s="763"/>
      <c r="O24" s="763"/>
      <c r="P24" s="763"/>
      <c r="Q24" s="763"/>
      <c r="R24" s="763"/>
      <c r="S24" s="763"/>
      <c r="T24" s="763"/>
      <c r="U24" s="763"/>
      <c r="V24" s="763"/>
      <c r="W24" s="763"/>
      <c r="X24" s="763"/>
      <c r="Y24" s="763"/>
      <c r="Z24" s="763"/>
      <c r="AA24" s="763"/>
      <c r="AB24" s="764"/>
    </row>
    <row r="25" spans="1:28" ht="8.25" customHeight="1" x14ac:dyDescent="0.4">
      <c r="A25" s="783" t="s">
        <v>216</v>
      </c>
      <c r="B25" s="784"/>
      <c r="C25" s="784"/>
      <c r="D25" s="784"/>
      <c r="E25" s="784"/>
      <c r="F25" s="784"/>
      <c r="G25" s="784"/>
      <c r="H25" s="784"/>
      <c r="I25" s="784"/>
      <c r="J25" s="784"/>
      <c r="K25" s="784"/>
      <c r="L25" s="784"/>
      <c r="M25" s="784"/>
      <c r="N25" s="784"/>
      <c r="O25" s="784"/>
      <c r="P25" s="784"/>
      <c r="Q25" s="784"/>
      <c r="R25" s="784"/>
      <c r="S25" s="784"/>
      <c r="T25" s="784"/>
      <c r="U25" s="784"/>
      <c r="V25" s="784"/>
      <c r="W25" s="784"/>
      <c r="X25" s="784"/>
      <c r="Y25" s="784"/>
      <c r="Z25" s="784"/>
      <c r="AA25" s="784"/>
      <c r="AB25" s="784"/>
    </row>
    <row r="26" spans="1:28" collapsed="1" x14ac:dyDescent="0.4">
      <c r="A26" s="110" t="s">
        <v>236</v>
      </c>
      <c r="B26" s="190" t="s">
        <v>91</v>
      </c>
      <c r="C26" s="183">
        <v>0</v>
      </c>
      <c r="D26" s="112" t="s">
        <v>235</v>
      </c>
      <c r="E26" s="113">
        <v>44951</v>
      </c>
      <c r="F26" s="184">
        <v>68177000</v>
      </c>
      <c r="G26" s="184">
        <v>74653000</v>
      </c>
      <c r="H26" s="114">
        <v>46295</v>
      </c>
      <c r="I26" s="114">
        <v>46446</v>
      </c>
      <c r="J26" s="184">
        <v>74653000</v>
      </c>
      <c r="K26" s="184">
        <v>68177000</v>
      </c>
      <c r="L26" s="190" t="s">
        <v>91</v>
      </c>
      <c r="M26" s="183">
        <v>0</v>
      </c>
      <c r="N26" s="116">
        <v>45016</v>
      </c>
      <c r="O26" s="184">
        <v>65296265</v>
      </c>
      <c r="P26" s="184">
        <v>63231341.469999999</v>
      </c>
      <c r="Q26" s="184">
        <v>3502615.05</v>
      </c>
      <c r="R26" s="114">
        <v>46277</v>
      </c>
      <c r="S26" s="114">
        <v>46277</v>
      </c>
      <c r="T26" s="117">
        <v>0</v>
      </c>
      <c r="U26" s="184">
        <v>13034453.289999999</v>
      </c>
      <c r="V26" s="184">
        <v>6400337.5988999996</v>
      </c>
      <c r="W26" s="184">
        <v>7503939.4100000001</v>
      </c>
      <c r="X26" s="121">
        <v>0.85293034087811215</v>
      </c>
      <c r="Y26" s="118">
        <v>0.49103230158570005</v>
      </c>
      <c r="Z26" s="120">
        <f>U26/O26</f>
        <v>0.1996201971123463</v>
      </c>
      <c r="AA26" s="120">
        <f>V26/O26</f>
        <v>9.8019964831066522E-2</v>
      </c>
      <c r="AB26" s="190" t="s">
        <v>91</v>
      </c>
    </row>
    <row r="27" spans="1:28" ht="17.25" hidden="1" customHeight="1" outlineLevel="1" collapsed="1" x14ac:dyDescent="0.4">
      <c r="A27" s="110" t="s">
        <v>216</v>
      </c>
      <c r="B27" s="186" t="s">
        <v>216</v>
      </c>
      <c r="C27" s="187" t="str" cm="1">
        <f t="array" ref="C27">_xlfn.SWITCH(C26,-1,"i",0,"g",1,"h")</f>
        <v>g</v>
      </c>
      <c r="D27" s="112" t="s">
        <v>216</v>
      </c>
      <c r="E27" s="112" t="s">
        <v>216</v>
      </c>
      <c r="F27" s="115" t="s">
        <v>216</v>
      </c>
      <c r="G27" s="115" t="s">
        <v>216</v>
      </c>
      <c r="H27" s="115" t="s">
        <v>216</v>
      </c>
      <c r="I27" s="115" t="s">
        <v>216</v>
      </c>
      <c r="J27" s="115" t="s">
        <v>216</v>
      </c>
      <c r="K27" s="115" t="s">
        <v>216</v>
      </c>
      <c r="L27" s="186" t="s">
        <v>216</v>
      </c>
      <c r="M27" s="187" t="str" cm="1">
        <f t="array" ref="M27">_xlfn.SWITCH(M26,-1,"i",0,"g",1,"h")</f>
        <v>g</v>
      </c>
      <c r="N27" s="115" t="s">
        <v>216</v>
      </c>
      <c r="O27" s="115" t="s">
        <v>216</v>
      </c>
      <c r="P27" s="115" t="s">
        <v>216</v>
      </c>
      <c r="Q27" s="115" t="s">
        <v>216</v>
      </c>
      <c r="R27" s="115" t="s">
        <v>216</v>
      </c>
      <c r="S27" s="115" t="s">
        <v>216</v>
      </c>
      <c r="T27" s="115" t="s">
        <v>216</v>
      </c>
      <c r="U27" s="115" t="s">
        <v>216</v>
      </c>
      <c r="V27" s="115" t="s">
        <v>216</v>
      </c>
      <c r="W27" s="115" t="s">
        <v>216</v>
      </c>
      <c r="X27" s="194" t="s">
        <v>216</v>
      </c>
      <c r="Y27" s="188" t="s">
        <v>216</v>
      </c>
      <c r="Z27" s="115" t="s">
        <v>216</v>
      </c>
      <c r="AA27" s="115" t="s">
        <v>216</v>
      </c>
      <c r="AB27" s="191" t="s">
        <v>216</v>
      </c>
    </row>
    <row r="28" spans="1:28" ht="17.25" customHeight="1" collapsed="1" x14ac:dyDescent="0.4">
      <c r="A28" s="769"/>
      <c r="B28" s="763"/>
      <c r="C28" s="763"/>
      <c r="D28" s="763"/>
      <c r="E28" s="763"/>
      <c r="F28" s="763"/>
      <c r="G28" s="763"/>
      <c r="H28" s="763"/>
      <c r="I28" s="763"/>
      <c r="J28" s="763"/>
      <c r="K28" s="763"/>
      <c r="L28" s="763"/>
      <c r="M28" s="763"/>
      <c r="N28" s="763"/>
      <c r="O28" s="763"/>
      <c r="P28" s="763"/>
      <c r="Q28" s="763"/>
      <c r="R28" s="763"/>
      <c r="S28" s="763"/>
      <c r="T28" s="763"/>
      <c r="U28" s="763"/>
      <c r="V28" s="763"/>
      <c r="W28" s="763"/>
      <c r="X28" s="763"/>
      <c r="Y28" s="763"/>
      <c r="Z28" s="763"/>
      <c r="AA28" s="763"/>
      <c r="AB28" s="764"/>
    </row>
    <row r="29" spans="1:28" ht="8.25" customHeight="1" x14ac:dyDescent="0.4">
      <c r="A29" s="783" t="s">
        <v>216</v>
      </c>
      <c r="B29" s="784"/>
      <c r="C29" s="784"/>
      <c r="D29" s="784"/>
      <c r="E29" s="784"/>
      <c r="F29" s="784"/>
      <c r="G29" s="784"/>
      <c r="H29" s="784"/>
      <c r="I29" s="784"/>
      <c r="J29" s="784"/>
      <c r="K29" s="784"/>
      <c r="L29" s="784"/>
      <c r="M29" s="784"/>
      <c r="N29" s="784"/>
      <c r="O29" s="784"/>
      <c r="P29" s="784"/>
      <c r="Q29" s="784"/>
      <c r="R29" s="784"/>
      <c r="S29" s="784"/>
      <c r="T29" s="784"/>
      <c r="U29" s="784"/>
      <c r="V29" s="784"/>
      <c r="W29" s="784"/>
      <c r="X29" s="784"/>
      <c r="Y29" s="784"/>
      <c r="Z29" s="784"/>
      <c r="AA29" s="784"/>
      <c r="AB29" s="784"/>
    </row>
    <row r="30" spans="1:28" collapsed="1" x14ac:dyDescent="0.4">
      <c r="A30" s="110" t="s">
        <v>234</v>
      </c>
      <c r="B30" s="190" t="s">
        <v>90</v>
      </c>
      <c r="C30" s="183">
        <v>-1</v>
      </c>
      <c r="D30" s="112" t="s">
        <v>235</v>
      </c>
      <c r="E30" s="113">
        <v>45042</v>
      </c>
      <c r="F30" s="184">
        <v>74574097</v>
      </c>
      <c r="G30" s="184">
        <v>79109866</v>
      </c>
      <c r="H30" s="114">
        <v>46524</v>
      </c>
      <c r="I30" s="114">
        <v>46692</v>
      </c>
      <c r="J30" s="184">
        <v>89548993</v>
      </c>
      <c r="K30" s="184">
        <v>74574097</v>
      </c>
      <c r="L30" s="185" t="s">
        <v>90</v>
      </c>
      <c r="M30" s="183">
        <v>0</v>
      </c>
      <c r="N30" s="116">
        <v>45201</v>
      </c>
      <c r="O30" s="184">
        <v>52783908</v>
      </c>
      <c r="P30" s="184">
        <v>71742163.310000002</v>
      </c>
      <c r="Q30" s="184">
        <v>1803149.68</v>
      </c>
      <c r="R30" s="114">
        <v>46524</v>
      </c>
      <c r="S30" s="114">
        <v>46708</v>
      </c>
      <c r="T30" s="117">
        <v>-100</v>
      </c>
      <c r="U30" s="184">
        <v>36518053.649999999</v>
      </c>
      <c r="V30" s="184">
        <v>33652411.304499999</v>
      </c>
      <c r="W30" s="184">
        <v>50699360.490000002</v>
      </c>
      <c r="X30" s="118">
        <v>0.66376401949167863</v>
      </c>
      <c r="Y30" s="118">
        <v>0.92152806463988535</v>
      </c>
      <c r="Z30" s="120">
        <f>U30/O30</f>
        <v>0.69184065814149265</v>
      </c>
      <c r="AA30" s="120">
        <f>V30/O30</f>
        <v>0.63755058273631426</v>
      </c>
      <c r="AB30" s="190" t="s">
        <v>90</v>
      </c>
    </row>
    <row r="31" spans="1:28" ht="17.25" hidden="1" customHeight="1" outlineLevel="1" collapsed="1" x14ac:dyDescent="0.4">
      <c r="A31" s="110" t="s">
        <v>216</v>
      </c>
      <c r="B31" s="186" t="s">
        <v>216</v>
      </c>
      <c r="C31" s="187" t="str" cm="1">
        <f t="array" ref="C31">_xlfn.SWITCH(C30,-1,"i",0,"g",1,"h")</f>
        <v>i</v>
      </c>
      <c r="D31" s="112" t="s">
        <v>216</v>
      </c>
      <c r="E31" s="112" t="s">
        <v>216</v>
      </c>
      <c r="F31" s="115" t="s">
        <v>216</v>
      </c>
      <c r="G31" s="115" t="s">
        <v>216</v>
      </c>
      <c r="H31" s="115" t="s">
        <v>216</v>
      </c>
      <c r="I31" s="115" t="s">
        <v>216</v>
      </c>
      <c r="J31" s="115" t="s">
        <v>216</v>
      </c>
      <c r="K31" s="115" t="s">
        <v>216</v>
      </c>
      <c r="L31" s="186" t="s">
        <v>216</v>
      </c>
      <c r="M31" s="187" t="str" cm="1">
        <f t="array" ref="M31">_xlfn.SWITCH(M30,-1,"i",0,"g",1,"h")</f>
        <v>g</v>
      </c>
      <c r="N31" s="115" t="s">
        <v>216</v>
      </c>
      <c r="O31" s="115" t="s">
        <v>216</v>
      </c>
      <c r="P31" s="115" t="s">
        <v>216</v>
      </c>
      <c r="Q31" s="115" t="s">
        <v>216</v>
      </c>
      <c r="R31" s="115" t="s">
        <v>216</v>
      </c>
      <c r="S31" s="115" t="s">
        <v>216</v>
      </c>
      <c r="T31" s="115" t="s">
        <v>216</v>
      </c>
      <c r="U31" s="115" t="s">
        <v>216</v>
      </c>
      <c r="V31" s="115" t="s">
        <v>216</v>
      </c>
      <c r="W31" s="115" t="s">
        <v>216</v>
      </c>
      <c r="X31" s="188" t="s">
        <v>216</v>
      </c>
      <c r="Y31" s="188" t="s">
        <v>216</v>
      </c>
      <c r="Z31" s="115" t="s">
        <v>216</v>
      </c>
      <c r="AA31" s="115" t="s">
        <v>216</v>
      </c>
      <c r="AB31" s="191" t="s">
        <v>216</v>
      </c>
    </row>
    <row r="32" spans="1:28" ht="17.25" customHeight="1" collapsed="1" x14ac:dyDescent="0.4">
      <c r="A32" s="769"/>
      <c r="B32" s="763"/>
      <c r="C32" s="763"/>
      <c r="D32" s="763"/>
      <c r="E32" s="763"/>
      <c r="F32" s="763"/>
      <c r="G32" s="763"/>
      <c r="H32" s="763"/>
      <c r="I32" s="763"/>
      <c r="J32" s="763"/>
      <c r="K32" s="763"/>
      <c r="L32" s="763"/>
      <c r="M32" s="763"/>
      <c r="N32" s="763"/>
      <c r="O32" s="763"/>
      <c r="P32" s="763"/>
      <c r="Q32" s="763"/>
      <c r="R32" s="763"/>
      <c r="S32" s="763"/>
      <c r="T32" s="763"/>
      <c r="U32" s="763"/>
      <c r="V32" s="763"/>
      <c r="W32" s="763"/>
      <c r="X32" s="763"/>
      <c r="Y32" s="763"/>
      <c r="Z32" s="763"/>
      <c r="AA32" s="763"/>
      <c r="AB32" s="764"/>
    </row>
    <row r="33" spans="1:28" ht="8.25" customHeight="1" x14ac:dyDescent="0.4">
      <c r="A33" s="783" t="s">
        <v>216</v>
      </c>
      <c r="B33" s="784"/>
      <c r="C33" s="784"/>
      <c r="D33" s="784"/>
      <c r="E33" s="784"/>
      <c r="F33" s="784"/>
      <c r="G33" s="784"/>
      <c r="H33" s="784"/>
      <c r="I33" s="784"/>
      <c r="J33" s="784"/>
      <c r="K33" s="784"/>
      <c r="L33" s="784"/>
      <c r="M33" s="784"/>
      <c r="N33" s="784"/>
      <c r="O33" s="784"/>
      <c r="P33" s="784"/>
      <c r="Q33" s="784"/>
      <c r="R33" s="784"/>
      <c r="S33" s="784"/>
      <c r="T33" s="784"/>
      <c r="U33" s="784"/>
      <c r="V33" s="784"/>
      <c r="W33" s="784"/>
      <c r="X33" s="784"/>
      <c r="Y33" s="784"/>
      <c r="Z33" s="784"/>
      <c r="AA33" s="784"/>
      <c r="AB33" s="784"/>
    </row>
    <row r="34" spans="1:28" collapsed="1" x14ac:dyDescent="0.4">
      <c r="A34" s="110" t="s">
        <v>103</v>
      </c>
      <c r="B34" s="111" t="s">
        <v>90</v>
      </c>
      <c r="C34" s="183">
        <v>0</v>
      </c>
      <c r="D34" s="112" t="s">
        <v>235</v>
      </c>
      <c r="E34" s="113">
        <v>44256</v>
      </c>
      <c r="F34" s="184">
        <v>70654000</v>
      </c>
      <c r="G34" s="184">
        <v>76710000</v>
      </c>
      <c r="H34" s="114">
        <v>45292</v>
      </c>
      <c r="I34" s="114">
        <v>45444</v>
      </c>
      <c r="J34" s="184">
        <v>0</v>
      </c>
      <c r="K34" s="184">
        <v>70654000</v>
      </c>
      <c r="L34" s="193" t="s">
        <v>90</v>
      </c>
      <c r="M34" s="183">
        <v>0</v>
      </c>
      <c r="N34" s="116">
        <v>44286</v>
      </c>
      <c r="O34" s="184">
        <v>69363865</v>
      </c>
      <c r="P34" s="184">
        <v>68461797.420000002</v>
      </c>
      <c r="Q34" s="184">
        <v>162026.09</v>
      </c>
      <c r="R34" s="114">
        <v>45295</v>
      </c>
      <c r="S34" s="114">
        <v>45602</v>
      </c>
      <c r="T34" s="117">
        <v>0</v>
      </c>
      <c r="U34" s="184">
        <v>69282150.989999995</v>
      </c>
      <c r="V34" s="184">
        <v>65070405.020300001</v>
      </c>
      <c r="W34" s="184">
        <v>66340742.310000002</v>
      </c>
      <c r="X34" s="118">
        <v>0.98085132536256658</v>
      </c>
      <c r="Y34" s="119">
        <v>0.93920878740748226</v>
      </c>
      <c r="Z34" s="120">
        <f>U34/O34</f>
        <v>0.99882195131427576</v>
      </c>
      <c r="AA34" s="120">
        <f>V34/O34</f>
        <v>0.93810235372985629</v>
      </c>
      <c r="AB34" s="193" t="s">
        <v>91</v>
      </c>
    </row>
    <row r="35" spans="1:28" ht="17.25" hidden="1" customHeight="1" outlineLevel="1" collapsed="1" x14ac:dyDescent="0.4">
      <c r="A35" s="110" t="s">
        <v>216</v>
      </c>
      <c r="B35" s="186" t="s">
        <v>216</v>
      </c>
      <c r="C35" s="187" t="str" cm="1">
        <f t="array" ref="C35">_xlfn.SWITCH(C34,-1,"i",0,"g",1,"h")</f>
        <v>g</v>
      </c>
      <c r="D35" s="112" t="s">
        <v>216</v>
      </c>
      <c r="E35" s="112" t="s">
        <v>216</v>
      </c>
      <c r="F35" s="115" t="s">
        <v>216</v>
      </c>
      <c r="G35" s="115" t="s">
        <v>216</v>
      </c>
      <c r="H35" s="115" t="s">
        <v>216</v>
      </c>
      <c r="I35" s="115" t="s">
        <v>216</v>
      </c>
      <c r="J35" s="115" t="s">
        <v>216</v>
      </c>
      <c r="K35" s="115" t="s">
        <v>216</v>
      </c>
      <c r="L35" s="186" t="s">
        <v>216</v>
      </c>
      <c r="M35" s="187" t="str" cm="1">
        <f t="array" ref="M35">_xlfn.SWITCH(M34,-1,"i",0,"g",1,"h")</f>
        <v>g</v>
      </c>
      <c r="N35" s="115" t="s">
        <v>216</v>
      </c>
      <c r="O35" s="115" t="s">
        <v>216</v>
      </c>
      <c r="P35" s="115" t="s">
        <v>216</v>
      </c>
      <c r="Q35" s="115" t="s">
        <v>216</v>
      </c>
      <c r="R35" s="115" t="s">
        <v>216</v>
      </c>
      <c r="S35" s="115" t="s">
        <v>216</v>
      </c>
      <c r="T35" s="115" t="s">
        <v>216</v>
      </c>
      <c r="U35" s="115" t="s">
        <v>216</v>
      </c>
      <c r="V35" s="115" t="s">
        <v>216</v>
      </c>
      <c r="W35" s="115" t="s">
        <v>216</v>
      </c>
      <c r="X35" s="188" t="s">
        <v>216</v>
      </c>
      <c r="Y35" s="189" t="s">
        <v>216</v>
      </c>
      <c r="Z35" s="115" t="s">
        <v>216</v>
      </c>
      <c r="AA35" s="115" t="s">
        <v>216</v>
      </c>
      <c r="AB35" s="115" t="s">
        <v>216</v>
      </c>
    </row>
    <row r="36" spans="1:28" ht="17.25" customHeight="1" collapsed="1" x14ac:dyDescent="0.4">
      <c r="A36" s="769"/>
      <c r="B36" s="763"/>
      <c r="C36" s="763"/>
      <c r="D36" s="763"/>
      <c r="E36" s="763"/>
      <c r="F36" s="763"/>
      <c r="G36" s="763"/>
      <c r="H36" s="763"/>
      <c r="I36" s="763"/>
      <c r="J36" s="763"/>
      <c r="K36" s="763"/>
      <c r="L36" s="763"/>
      <c r="M36" s="763"/>
      <c r="N36" s="763"/>
      <c r="O36" s="763"/>
      <c r="P36" s="763"/>
      <c r="Q36" s="763"/>
      <c r="R36" s="763"/>
      <c r="S36" s="763"/>
      <c r="T36" s="763"/>
      <c r="U36" s="763"/>
      <c r="V36" s="763"/>
      <c r="W36" s="763"/>
      <c r="X36" s="763"/>
      <c r="Y36" s="763"/>
      <c r="Z36" s="763"/>
      <c r="AA36" s="763"/>
      <c r="AB36" s="764"/>
    </row>
    <row r="37" spans="1:28" ht="8.25" customHeight="1" x14ac:dyDescent="0.4">
      <c r="A37" s="783" t="s">
        <v>216</v>
      </c>
      <c r="B37" s="784"/>
      <c r="C37" s="784"/>
      <c r="D37" s="784"/>
      <c r="E37" s="784"/>
      <c r="F37" s="784"/>
      <c r="G37" s="784"/>
      <c r="H37" s="784"/>
      <c r="I37" s="784"/>
      <c r="J37" s="784"/>
      <c r="K37" s="784"/>
      <c r="L37" s="784"/>
      <c r="M37" s="784"/>
      <c r="N37" s="784"/>
      <c r="O37" s="784"/>
      <c r="P37" s="784"/>
      <c r="Q37" s="784"/>
      <c r="R37" s="784"/>
      <c r="S37" s="784"/>
      <c r="T37" s="784"/>
      <c r="U37" s="784"/>
      <c r="V37" s="784"/>
      <c r="W37" s="784"/>
      <c r="X37" s="784"/>
      <c r="Y37" s="784"/>
      <c r="Z37" s="784"/>
      <c r="AA37" s="784"/>
      <c r="AB37" s="784"/>
    </row>
    <row r="38" spans="1:28" collapsed="1" x14ac:dyDescent="0.4">
      <c r="A38" s="110" t="s">
        <v>117</v>
      </c>
      <c r="B38" s="185" t="s">
        <v>88</v>
      </c>
      <c r="C38" s="183">
        <v>0</v>
      </c>
      <c r="D38" s="112" t="s">
        <v>233</v>
      </c>
      <c r="E38" s="113">
        <v>43833</v>
      </c>
      <c r="F38" s="184">
        <v>704620000</v>
      </c>
      <c r="G38" s="184">
        <v>902620000</v>
      </c>
      <c r="H38" s="114">
        <v>47209</v>
      </c>
      <c r="I38" s="114">
        <v>47423</v>
      </c>
      <c r="J38" s="184">
        <v>384623000</v>
      </c>
      <c r="K38" s="184">
        <v>351623000</v>
      </c>
      <c r="L38" s="185" t="s">
        <v>88</v>
      </c>
      <c r="M38" s="183">
        <v>0</v>
      </c>
      <c r="N38" s="116">
        <v>43617</v>
      </c>
      <c r="O38" s="184">
        <v>735280132</v>
      </c>
      <c r="P38" s="184">
        <v>1299999335.6500001</v>
      </c>
      <c r="Q38" s="184">
        <v>112412.52</v>
      </c>
      <c r="R38" s="114">
        <v>46944</v>
      </c>
      <c r="S38" s="114">
        <v>48516</v>
      </c>
      <c r="T38" s="117">
        <v>0</v>
      </c>
      <c r="U38" s="184">
        <v>335680537.64999998</v>
      </c>
      <c r="V38" s="184">
        <v>154511326.05930001</v>
      </c>
      <c r="W38" s="184">
        <v>230162084.38</v>
      </c>
      <c r="X38" s="118">
        <v>0.67131528842170285</v>
      </c>
      <c r="Y38" s="118">
        <v>0.46029277461537693</v>
      </c>
      <c r="Z38" s="120">
        <f>U38/O38</f>
        <v>0.45653421470390004</v>
      </c>
      <c r="AA38" s="120">
        <f>V38/O38</f>
        <v>0.2101394003929104</v>
      </c>
      <c r="AB38" s="185" t="s">
        <v>90</v>
      </c>
    </row>
    <row r="39" spans="1:28" ht="17.25" hidden="1" customHeight="1" outlineLevel="1" collapsed="1" x14ac:dyDescent="0.4">
      <c r="A39" s="110" t="s">
        <v>216</v>
      </c>
      <c r="B39" s="186" t="s">
        <v>216</v>
      </c>
      <c r="C39" s="187" t="str" cm="1">
        <f t="array" ref="C39">_xlfn.SWITCH(C38,-1,"i",0,"g",1,"h")</f>
        <v>g</v>
      </c>
      <c r="D39" s="112" t="s">
        <v>216</v>
      </c>
      <c r="E39" s="112" t="s">
        <v>216</v>
      </c>
      <c r="F39" s="115" t="s">
        <v>216</v>
      </c>
      <c r="G39" s="115" t="s">
        <v>216</v>
      </c>
      <c r="H39" s="115" t="s">
        <v>216</v>
      </c>
      <c r="I39" s="115" t="s">
        <v>216</v>
      </c>
      <c r="J39" s="115" t="s">
        <v>216</v>
      </c>
      <c r="K39" s="115" t="s">
        <v>216</v>
      </c>
      <c r="L39" s="186" t="s">
        <v>216</v>
      </c>
      <c r="M39" s="187" t="str" cm="1">
        <f t="array" ref="M39">_xlfn.SWITCH(M38,-1,"i",0,"g",1,"h")</f>
        <v>g</v>
      </c>
      <c r="N39" s="115" t="s">
        <v>216</v>
      </c>
      <c r="O39" s="115" t="s">
        <v>216</v>
      </c>
      <c r="P39" s="115" t="s">
        <v>216</v>
      </c>
      <c r="Q39" s="115" t="s">
        <v>216</v>
      </c>
      <c r="R39" s="115" t="s">
        <v>216</v>
      </c>
      <c r="S39" s="115" t="s">
        <v>216</v>
      </c>
      <c r="T39" s="115" t="s">
        <v>216</v>
      </c>
      <c r="U39" s="115" t="s">
        <v>216</v>
      </c>
      <c r="V39" s="115" t="s">
        <v>216</v>
      </c>
      <c r="W39" s="115" t="s">
        <v>216</v>
      </c>
      <c r="X39" s="188" t="s">
        <v>216</v>
      </c>
      <c r="Y39" s="188" t="s">
        <v>216</v>
      </c>
      <c r="Z39" s="115" t="s">
        <v>216</v>
      </c>
      <c r="AA39" s="115" t="s">
        <v>216</v>
      </c>
      <c r="AB39" s="191" t="s">
        <v>216</v>
      </c>
    </row>
    <row r="40" spans="1:28" ht="17.25" customHeight="1" collapsed="1" x14ac:dyDescent="0.4">
      <c r="A40" s="769"/>
      <c r="B40" s="763"/>
      <c r="C40" s="763"/>
      <c r="D40" s="763"/>
      <c r="E40" s="763"/>
      <c r="F40" s="763"/>
      <c r="G40" s="763"/>
      <c r="H40" s="763"/>
      <c r="I40" s="763"/>
      <c r="J40" s="763"/>
      <c r="K40" s="763"/>
      <c r="L40" s="763"/>
      <c r="M40" s="763"/>
      <c r="N40" s="763"/>
      <c r="O40" s="763"/>
      <c r="P40" s="763"/>
      <c r="Q40" s="763"/>
      <c r="R40" s="763"/>
      <c r="S40" s="763"/>
      <c r="T40" s="763"/>
      <c r="U40" s="763"/>
      <c r="V40" s="763"/>
      <c r="W40" s="763"/>
      <c r="X40" s="763"/>
      <c r="Y40" s="763"/>
      <c r="Z40" s="763"/>
      <c r="AA40" s="763"/>
      <c r="AB40" s="764"/>
    </row>
    <row r="41" spans="1:28" ht="8.25" customHeight="1" x14ac:dyDescent="0.4">
      <c r="A41" s="783" t="s">
        <v>216</v>
      </c>
      <c r="B41" s="784"/>
      <c r="C41" s="784"/>
      <c r="D41" s="784"/>
      <c r="E41" s="784"/>
      <c r="F41" s="784"/>
      <c r="G41" s="784"/>
      <c r="H41" s="784"/>
      <c r="I41" s="784"/>
      <c r="J41" s="784"/>
      <c r="K41" s="784"/>
      <c r="L41" s="784"/>
      <c r="M41" s="784"/>
      <c r="N41" s="784"/>
      <c r="O41" s="784"/>
      <c r="P41" s="784"/>
      <c r="Q41" s="784"/>
      <c r="R41" s="784"/>
      <c r="S41" s="784"/>
      <c r="T41" s="784"/>
      <c r="U41" s="784"/>
      <c r="V41" s="784"/>
      <c r="W41" s="784"/>
      <c r="X41" s="784"/>
      <c r="Y41" s="784"/>
      <c r="Z41" s="784"/>
      <c r="AA41" s="784"/>
      <c r="AB41" s="784"/>
    </row>
    <row r="42" spans="1:28" collapsed="1" x14ac:dyDescent="0.4">
      <c r="A42" s="110" t="s">
        <v>5</v>
      </c>
      <c r="B42" s="190" t="s">
        <v>90</v>
      </c>
      <c r="C42" s="183">
        <v>0</v>
      </c>
      <c r="D42" s="112" t="s">
        <v>235</v>
      </c>
      <c r="E42" s="113">
        <v>43892</v>
      </c>
      <c r="F42" s="184">
        <v>305915000</v>
      </c>
      <c r="G42" s="184">
        <v>315347000</v>
      </c>
      <c r="H42" s="114">
        <v>45392</v>
      </c>
      <c r="I42" s="114">
        <v>45627</v>
      </c>
      <c r="J42" s="184">
        <v>315347000</v>
      </c>
      <c r="K42" s="184">
        <v>305931037</v>
      </c>
      <c r="L42" s="190" t="s">
        <v>88</v>
      </c>
      <c r="M42" s="183">
        <v>0</v>
      </c>
      <c r="N42" s="116">
        <v>43891</v>
      </c>
      <c r="O42" s="184">
        <v>289576955</v>
      </c>
      <c r="P42" s="184">
        <v>307306372.06999999</v>
      </c>
      <c r="Q42" s="184">
        <v>81639.05</v>
      </c>
      <c r="R42" s="114">
        <v>45392</v>
      </c>
      <c r="S42" s="114">
        <v>45698</v>
      </c>
      <c r="T42" s="117">
        <v>0</v>
      </c>
      <c r="U42" s="184">
        <v>284284157.37</v>
      </c>
      <c r="V42" s="184">
        <v>279870880.13200003</v>
      </c>
      <c r="W42" s="184">
        <v>297522080.26999998</v>
      </c>
      <c r="X42" s="121">
        <v>0.94067263807115886</v>
      </c>
      <c r="Y42" s="118">
        <v>0.98447582419355129</v>
      </c>
      <c r="Z42" s="120">
        <f>U42/O42</f>
        <v>0.98172231063759896</v>
      </c>
      <c r="AA42" s="120">
        <f>V42/O42</f>
        <v>0.96648188089414788</v>
      </c>
      <c r="AB42" s="193" t="s">
        <v>90</v>
      </c>
    </row>
    <row r="43" spans="1:28" ht="17.25" hidden="1" customHeight="1" outlineLevel="1" collapsed="1" x14ac:dyDescent="0.4">
      <c r="A43" s="110" t="s">
        <v>216</v>
      </c>
      <c r="B43" s="186" t="s">
        <v>216</v>
      </c>
      <c r="C43" s="187" t="str" cm="1">
        <f t="array" ref="C43">_xlfn.SWITCH(C42,-1,"i",0,"g",1,"h")</f>
        <v>g</v>
      </c>
      <c r="D43" s="112" t="s">
        <v>216</v>
      </c>
      <c r="E43" s="112" t="s">
        <v>216</v>
      </c>
      <c r="F43" s="115" t="s">
        <v>216</v>
      </c>
      <c r="G43" s="115" t="s">
        <v>216</v>
      </c>
      <c r="H43" s="115" t="s">
        <v>216</v>
      </c>
      <c r="I43" s="115" t="s">
        <v>216</v>
      </c>
      <c r="J43" s="115" t="s">
        <v>216</v>
      </c>
      <c r="K43" s="115" t="s">
        <v>216</v>
      </c>
      <c r="L43" s="186" t="s">
        <v>216</v>
      </c>
      <c r="M43" s="187" t="str" cm="1">
        <f t="array" ref="M43">_xlfn.SWITCH(M42,-1,"i",0,"g",1,"h")</f>
        <v>g</v>
      </c>
      <c r="N43" s="115" t="s">
        <v>216</v>
      </c>
      <c r="O43" s="115" t="s">
        <v>216</v>
      </c>
      <c r="P43" s="115" t="s">
        <v>216</v>
      </c>
      <c r="Q43" s="115" t="s">
        <v>216</v>
      </c>
      <c r="R43" s="115" t="s">
        <v>216</v>
      </c>
      <c r="S43" s="115" t="s">
        <v>216</v>
      </c>
      <c r="T43" s="115" t="s">
        <v>216</v>
      </c>
      <c r="U43" s="115" t="s">
        <v>216</v>
      </c>
      <c r="V43" s="115" t="s">
        <v>216</v>
      </c>
      <c r="W43" s="115" t="s">
        <v>216</v>
      </c>
      <c r="X43" s="194" t="s">
        <v>216</v>
      </c>
      <c r="Y43" s="188" t="s">
        <v>216</v>
      </c>
      <c r="Z43" s="115" t="s">
        <v>216</v>
      </c>
      <c r="AA43" s="115" t="s">
        <v>216</v>
      </c>
      <c r="AB43" s="115" t="s">
        <v>216</v>
      </c>
    </row>
    <row r="44" spans="1:28" ht="17.25" customHeight="1" collapsed="1" x14ac:dyDescent="0.4">
      <c r="A44" s="769"/>
      <c r="B44" s="763"/>
      <c r="C44" s="763"/>
      <c r="D44" s="763"/>
      <c r="E44" s="763"/>
      <c r="F44" s="763"/>
      <c r="G44" s="763"/>
      <c r="H44" s="763"/>
      <c r="I44" s="763"/>
      <c r="J44" s="763"/>
      <c r="K44" s="763"/>
      <c r="L44" s="763"/>
      <c r="M44" s="763"/>
      <c r="N44" s="763"/>
      <c r="O44" s="763"/>
      <c r="P44" s="763"/>
      <c r="Q44" s="763"/>
      <c r="R44" s="763"/>
      <c r="S44" s="763"/>
      <c r="T44" s="763"/>
      <c r="U44" s="763"/>
      <c r="V44" s="763"/>
      <c r="W44" s="763"/>
      <c r="X44" s="763"/>
      <c r="Y44" s="763"/>
      <c r="Z44" s="763"/>
      <c r="AA44" s="763"/>
      <c r="AB44" s="764"/>
    </row>
    <row r="45" spans="1:28" ht="8.25" customHeight="1" x14ac:dyDescent="0.4">
      <c r="A45" s="783" t="s">
        <v>216</v>
      </c>
      <c r="B45" s="784"/>
      <c r="C45" s="784"/>
      <c r="D45" s="784"/>
      <c r="E45" s="784"/>
      <c r="F45" s="784"/>
      <c r="G45" s="784"/>
      <c r="H45" s="784"/>
      <c r="I45" s="784"/>
      <c r="J45" s="784"/>
      <c r="K45" s="784"/>
      <c r="L45" s="784"/>
      <c r="M45" s="784"/>
      <c r="N45" s="784"/>
      <c r="O45" s="784"/>
      <c r="P45" s="784"/>
      <c r="Q45" s="784"/>
      <c r="R45" s="784"/>
      <c r="S45" s="784"/>
      <c r="T45" s="784"/>
      <c r="U45" s="784"/>
      <c r="V45" s="784"/>
      <c r="W45" s="784"/>
      <c r="X45" s="784"/>
      <c r="Y45" s="784"/>
      <c r="Z45" s="784"/>
      <c r="AA45" s="784"/>
      <c r="AB45" s="784"/>
    </row>
    <row r="46" spans="1:28" ht="29.15" collapsed="1" x14ac:dyDescent="0.4">
      <c r="A46" s="110" t="s">
        <v>111</v>
      </c>
      <c r="B46" s="190" t="s">
        <v>91</v>
      </c>
      <c r="C46" s="183">
        <v>0</v>
      </c>
      <c r="D46" s="112" t="s">
        <v>235</v>
      </c>
      <c r="E46" s="113">
        <v>44378</v>
      </c>
      <c r="F46" s="184">
        <v>1335430000</v>
      </c>
      <c r="G46" s="184">
        <v>1672870000</v>
      </c>
      <c r="H46" s="114">
        <v>47400</v>
      </c>
      <c r="I46" s="114">
        <v>48274</v>
      </c>
      <c r="J46" s="184">
        <v>1672870000</v>
      </c>
      <c r="K46" s="184">
        <v>1335430000</v>
      </c>
      <c r="L46" s="190" t="s">
        <v>91</v>
      </c>
      <c r="M46" s="183">
        <v>0</v>
      </c>
      <c r="N46" s="116">
        <v>44256</v>
      </c>
      <c r="O46" s="184">
        <v>1432740435</v>
      </c>
      <c r="P46" s="184">
        <v>1432428688.02</v>
      </c>
      <c r="Q46" s="184">
        <v>-9.75</v>
      </c>
      <c r="R46" s="114">
        <v>47400</v>
      </c>
      <c r="S46" s="114">
        <v>47400</v>
      </c>
      <c r="T46" s="117">
        <v>0</v>
      </c>
      <c r="U46" s="184">
        <v>701740458.03999996</v>
      </c>
      <c r="V46" s="184">
        <v>641432875.63030005</v>
      </c>
      <c r="W46" s="184">
        <v>607236629.83000004</v>
      </c>
      <c r="X46" s="121">
        <v>1.0563145306466006</v>
      </c>
      <c r="Y46" s="118">
        <v>0.91405998938960653</v>
      </c>
      <c r="Z46" s="120">
        <f>U46/O46</f>
        <v>0.48978896728073423</v>
      </c>
      <c r="AA46" s="120">
        <f>V46/O46</f>
        <v>0.44769649823577434</v>
      </c>
      <c r="AB46" s="190" t="s">
        <v>90</v>
      </c>
    </row>
    <row r="47" spans="1:28" ht="17.25" hidden="1" customHeight="1" outlineLevel="1" collapsed="1" x14ac:dyDescent="0.4">
      <c r="A47" s="110" t="s">
        <v>216</v>
      </c>
      <c r="B47" s="186" t="s">
        <v>216</v>
      </c>
      <c r="C47" s="187" t="str" cm="1">
        <f t="array" ref="C47">_xlfn.SWITCH(C46,-1,"i",0,"g",1,"h")</f>
        <v>g</v>
      </c>
      <c r="D47" s="112" t="s">
        <v>216</v>
      </c>
      <c r="E47" s="112" t="s">
        <v>216</v>
      </c>
      <c r="F47" s="115" t="s">
        <v>216</v>
      </c>
      <c r="G47" s="115" t="s">
        <v>216</v>
      </c>
      <c r="H47" s="115" t="s">
        <v>216</v>
      </c>
      <c r="I47" s="115" t="s">
        <v>216</v>
      </c>
      <c r="J47" s="115" t="s">
        <v>216</v>
      </c>
      <c r="K47" s="115" t="s">
        <v>216</v>
      </c>
      <c r="L47" s="186" t="s">
        <v>216</v>
      </c>
      <c r="M47" s="187" t="str" cm="1">
        <f t="array" ref="M47">_xlfn.SWITCH(M46,-1,"i",0,"g",1,"h")</f>
        <v>g</v>
      </c>
      <c r="N47" s="115" t="s">
        <v>216</v>
      </c>
      <c r="O47" s="115" t="s">
        <v>216</v>
      </c>
      <c r="P47" s="115" t="s">
        <v>216</v>
      </c>
      <c r="Q47" s="115" t="s">
        <v>216</v>
      </c>
      <c r="R47" s="115" t="s">
        <v>216</v>
      </c>
      <c r="S47" s="115" t="s">
        <v>216</v>
      </c>
      <c r="T47" s="115" t="s">
        <v>216</v>
      </c>
      <c r="U47" s="115" t="s">
        <v>216</v>
      </c>
      <c r="V47" s="115" t="s">
        <v>216</v>
      </c>
      <c r="W47" s="115" t="s">
        <v>216</v>
      </c>
      <c r="X47" s="194" t="s">
        <v>216</v>
      </c>
      <c r="Y47" s="188" t="s">
        <v>216</v>
      </c>
      <c r="Z47" s="115" t="s">
        <v>216</v>
      </c>
      <c r="AA47" s="115" t="s">
        <v>216</v>
      </c>
      <c r="AB47" s="191" t="s">
        <v>216</v>
      </c>
    </row>
    <row r="48" spans="1:28" ht="17.25" customHeight="1" collapsed="1" x14ac:dyDescent="0.4">
      <c r="A48" s="769"/>
      <c r="B48" s="763"/>
      <c r="C48" s="763"/>
      <c r="D48" s="763"/>
      <c r="E48" s="763"/>
      <c r="F48" s="763"/>
      <c r="G48" s="763"/>
      <c r="H48" s="763"/>
      <c r="I48" s="763"/>
      <c r="J48" s="763"/>
      <c r="K48" s="763"/>
      <c r="L48" s="763"/>
      <c r="M48" s="763"/>
      <c r="N48" s="763"/>
      <c r="O48" s="763"/>
      <c r="P48" s="763"/>
      <c r="Q48" s="763"/>
      <c r="R48" s="763"/>
      <c r="S48" s="763"/>
      <c r="T48" s="763"/>
      <c r="U48" s="763"/>
      <c r="V48" s="763"/>
      <c r="W48" s="763"/>
      <c r="X48" s="763"/>
      <c r="Y48" s="763"/>
      <c r="Z48" s="763"/>
      <c r="AA48" s="763"/>
      <c r="AB48" s="764"/>
    </row>
    <row r="49" spans="1:28" collapsed="1" x14ac:dyDescent="0.4">
      <c r="A49" s="110" t="s">
        <v>7</v>
      </c>
      <c r="B49" s="190" t="s">
        <v>91</v>
      </c>
      <c r="C49" s="183">
        <v>1</v>
      </c>
      <c r="D49" s="112" t="s">
        <v>235</v>
      </c>
      <c r="E49" s="113">
        <v>42372</v>
      </c>
      <c r="F49" s="184">
        <v>866700000</v>
      </c>
      <c r="G49" s="184">
        <v>897900000</v>
      </c>
      <c r="H49" s="114">
        <v>46478</v>
      </c>
      <c r="I49" s="114">
        <v>47027</v>
      </c>
      <c r="J49" s="184">
        <v>871000000</v>
      </c>
      <c r="K49" s="184">
        <v>871000000</v>
      </c>
      <c r="L49" s="190" t="s">
        <v>90</v>
      </c>
      <c r="M49" s="183">
        <v>1</v>
      </c>
      <c r="N49" s="116">
        <v>44652</v>
      </c>
      <c r="O49" s="184">
        <v>801359587</v>
      </c>
      <c r="P49" s="184">
        <v>867027275.72000003</v>
      </c>
      <c r="Q49" s="184">
        <v>1722451.26</v>
      </c>
      <c r="R49" s="114">
        <v>46505</v>
      </c>
      <c r="S49" s="114">
        <v>46505</v>
      </c>
      <c r="T49" s="117">
        <v>0</v>
      </c>
      <c r="U49" s="184">
        <v>761324734.82000005</v>
      </c>
      <c r="V49" s="184">
        <v>759160490.02579999</v>
      </c>
      <c r="W49" s="184">
        <v>828902005.64999998</v>
      </c>
      <c r="X49" s="121">
        <v>0.91586277370687408</v>
      </c>
      <c r="Y49" s="118">
        <v>0.99715726457421394</v>
      </c>
      <c r="Z49" s="120">
        <f>U49/O49</f>
        <v>0.95004133870803753</v>
      </c>
      <c r="AA49" s="120">
        <f>V49/O49</f>
        <v>0.94734062253853091</v>
      </c>
      <c r="AB49" s="190" t="s">
        <v>91</v>
      </c>
    </row>
    <row r="50" spans="1:28" ht="17.25" hidden="1" customHeight="1" outlineLevel="1" collapsed="1" x14ac:dyDescent="0.4">
      <c r="A50" s="110"/>
      <c r="B50" s="186"/>
      <c r="C50" s="187" t="str" cm="1">
        <f t="array" ref="C50">_xlfn.SWITCH(C49,-1,"i",0,"g",1,"h")</f>
        <v>h</v>
      </c>
      <c r="D50" s="112"/>
      <c r="E50" s="112"/>
      <c r="F50" s="115"/>
      <c r="G50" s="115"/>
      <c r="H50" s="115"/>
      <c r="I50" s="115"/>
      <c r="J50" s="115"/>
      <c r="K50" s="115"/>
      <c r="L50" s="186"/>
      <c r="M50" s="187" t="str" cm="1">
        <f t="array" ref="M50">_xlfn.SWITCH(M49,-1,"i",0,"g",1,"h")</f>
        <v>h</v>
      </c>
      <c r="N50" s="115"/>
      <c r="O50" s="115"/>
      <c r="P50" s="115"/>
      <c r="Q50" s="115"/>
      <c r="R50" s="115"/>
      <c r="S50" s="115"/>
      <c r="T50" s="115"/>
      <c r="U50" s="115"/>
      <c r="V50" s="115"/>
      <c r="W50" s="115"/>
      <c r="X50" s="194"/>
      <c r="Y50" s="188"/>
      <c r="Z50" s="115"/>
      <c r="AA50" s="115"/>
      <c r="AB50" s="191"/>
    </row>
    <row r="51" spans="1:28" collapsed="1" x14ac:dyDescent="0.4"/>
    <row r="52" spans="1:28" collapsed="1" x14ac:dyDescent="0.4">
      <c r="A52" s="110" t="s">
        <v>113</v>
      </c>
      <c r="B52" s="190" t="s">
        <v>91</v>
      </c>
      <c r="C52" s="183">
        <v>0</v>
      </c>
      <c r="D52" s="112" t="s">
        <v>235</v>
      </c>
      <c r="E52" s="113">
        <v>44531</v>
      </c>
      <c r="F52" s="184">
        <v>1007000000</v>
      </c>
      <c r="G52" s="184">
        <v>1181564753</v>
      </c>
      <c r="H52" s="114">
        <v>47849</v>
      </c>
      <c r="I52" s="114">
        <v>48611</v>
      </c>
      <c r="J52" s="184">
        <v>1182000000</v>
      </c>
      <c r="K52" s="184">
        <v>1007000000</v>
      </c>
      <c r="L52" s="190" t="s">
        <v>91</v>
      </c>
      <c r="M52" s="183">
        <v>0</v>
      </c>
      <c r="N52" s="116">
        <v>44651</v>
      </c>
      <c r="O52" s="184">
        <v>1075830324</v>
      </c>
      <c r="P52" s="184">
        <v>1039047057.09</v>
      </c>
      <c r="Q52" s="184">
        <v>3339197.36</v>
      </c>
      <c r="R52" s="114">
        <v>47871</v>
      </c>
      <c r="S52" s="114">
        <v>47871</v>
      </c>
      <c r="T52" s="117">
        <v>0</v>
      </c>
      <c r="U52" s="184">
        <v>525194582.25</v>
      </c>
      <c r="V52" s="184">
        <v>459583412.00889999</v>
      </c>
      <c r="W52" s="184">
        <v>425468471.05000001</v>
      </c>
      <c r="X52" s="121">
        <v>1.0801820658407633</v>
      </c>
      <c r="Y52" s="118">
        <v>0.87507264458057921</v>
      </c>
      <c r="Z52" s="120">
        <f>U52/O52</f>
        <v>0.48817603532246223</v>
      </c>
      <c r="AA52" s="120">
        <f>V52/O52</f>
        <v>0.42718949425048924</v>
      </c>
      <c r="AB52" s="190" t="s">
        <v>91</v>
      </c>
    </row>
    <row r="53" spans="1:28" ht="17.25" hidden="1" customHeight="1" outlineLevel="1" collapsed="1" x14ac:dyDescent="0.4">
      <c r="A53" s="110"/>
      <c r="B53" s="186"/>
      <c r="C53" s="187" t="str" cm="1">
        <f t="array" ref="C53">_xlfn.SWITCH(C52,-1,"i",0,"g",1,"h")</f>
        <v>g</v>
      </c>
      <c r="D53" s="112"/>
      <c r="E53" s="112"/>
      <c r="F53" s="115"/>
      <c r="G53" s="115"/>
      <c r="H53" s="115"/>
      <c r="I53" s="115"/>
      <c r="J53" s="115"/>
      <c r="K53" s="115"/>
      <c r="L53" s="186"/>
      <c r="M53" s="187" t="str" cm="1">
        <f t="array" ref="M53">_xlfn.SWITCH(M52,-1,"i",0,"g",1,"h")</f>
        <v>g</v>
      </c>
      <c r="N53" s="115"/>
      <c r="O53" s="115"/>
      <c r="P53" s="115"/>
      <c r="Q53" s="115"/>
      <c r="R53" s="115"/>
      <c r="S53" s="115"/>
      <c r="T53" s="115"/>
      <c r="U53" s="115"/>
      <c r="V53" s="115"/>
      <c r="W53" s="115"/>
      <c r="X53" s="194"/>
      <c r="Y53" s="188"/>
      <c r="Z53" s="115"/>
      <c r="AA53" s="115"/>
      <c r="AB53" s="191"/>
    </row>
    <row r="54" spans="1:28" collapsed="1" x14ac:dyDescent="0.4"/>
  </sheetData>
  <customSheetViews>
    <customSheetView guid="{800416AC-1374-44AC-811C-612C85EF24E6}" scale="57" hiddenRows="1" state="hidden">
      <pane xSplit="1" ySplit="5" topLeftCell="B6" activePane="bottomRight" state="frozen"/>
      <selection pane="bottomRight" activeCell="B6" sqref="B6"/>
      <pageMargins left="0.7" right="0.7" top="0.75" bottom="0.75" header="0.3" footer="0.3"/>
    </customSheetView>
    <customSheetView guid="{FBC63E8F-69FE-4648-B709-FA1212EFFB29}" scale="57" hiddenRows="1" state="hidden">
      <pane xSplit="1" ySplit="5" topLeftCell="B6" activePane="bottomRight" state="frozen"/>
      <selection pane="bottomRight" activeCell="B6" sqref="B6"/>
      <pageMargins left="0.7" right="0.7" top="0.75" bottom="0.75" header="0.3" footer="0.3"/>
    </customSheetView>
    <customSheetView guid="{C7C13768-4A8D-4CBA-978C-F4A7B5550C00}" scale="57" hiddenRows="1" state="hidden">
      <pane xSplit="1" ySplit="5" topLeftCell="B6" activePane="bottomRight" state="frozen"/>
      <selection pane="bottomRight" activeCell="B6" sqref="B6"/>
      <pageMargins left="0.7" right="0.7" top="0.75" bottom="0.75" header="0.3" footer="0.3"/>
    </customSheetView>
    <customSheetView guid="{466708C2-41CE-4656-AB81-E1E49DF5945D}" scale="57" hiddenRows="1" state="hidden">
      <pane xSplit="1" ySplit="5" topLeftCell="B6" activePane="bottomRight" state="frozen"/>
      <selection pane="bottomRight" activeCell="B6" sqref="B6"/>
      <pageMargins left="0.7" right="0.7" top="0.75" bottom="0.75" header="0.3" footer="0.3"/>
    </customSheetView>
    <customSheetView guid="{E3A3AE56-8881-4A6F-9299-803C489AD1B4}" scale="57" hiddenRows="1" state="hidden">
      <pane xSplit="1" ySplit="5" topLeftCell="B6" activePane="bottomRight" state="frozen"/>
      <selection pane="bottomRight" activeCell="B6" sqref="B6"/>
      <pageMargins left="0.7" right="0.7" top="0.75" bottom="0.75" header="0.3" footer="0.3"/>
    </customSheetView>
    <customSheetView guid="{83044EFE-7F92-4F81-B034-85D9567158C2}" scale="57" hiddenRows="1" state="hidden">
      <pane xSplit="1" ySplit="5" topLeftCell="B6" activePane="bottomRight" state="frozen"/>
      <selection pane="bottomRight" activeCell="B6" sqref="B6"/>
      <pageMargins left="0.7" right="0.7" top="0.75" bottom="0.75" header="0.3" footer="0.3"/>
    </customSheetView>
    <customSheetView guid="{E4713981-DD11-40CE-BE52-873D93BDDE05}" scale="57" hiddenRows="1" state="hidden">
      <pane xSplit="1" ySplit="5" topLeftCell="B6" activePane="bottomRight" state="frozen"/>
      <selection pane="bottomRight" activeCell="B6" sqref="B6"/>
      <pageMargins left="0.7" right="0.7" top="0.75" bottom="0.75" header="0.3" footer="0.3"/>
    </customSheetView>
    <customSheetView guid="{442F9A23-CA6E-4109-B10C-ACF5FD36B859}" scale="57" hiddenRows="1" state="hidden">
      <pane xSplit="1" ySplit="5" topLeftCell="B6" activePane="bottomRight" state="frozen"/>
      <selection pane="bottomRight" activeCell="B6" sqref="B6"/>
      <pageMargins left="0.7" right="0.7" top="0.75" bottom="0.75" header="0.3" footer="0.3"/>
    </customSheetView>
    <customSheetView guid="{B434A8A8-5A4C-48C0-82E7-2458B9D2EEEF}" scale="57" hiddenRows="1" state="hidden">
      <pane xSplit="1" ySplit="5" topLeftCell="B6" activePane="bottomRight" state="frozen"/>
      <selection pane="bottomRight" activeCell="B6" sqref="B6"/>
      <pageMargins left="0.7" right="0.7" top="0.75" bottom="0.75" header="0.3" footer="0.3"/>
    </customSheetView>
    <customSheetView guid="{3827E543-57D2-48C8-B786-7077EA079DD2}" scale="57" hiddenRows="1" state="hidden">
      <pane xSplit="1" ySplit="5" topLeftCell="B6" activePane="bottomRight" state="frozen"/>
      <selection pane="bottomRight" activeCell="B6" sqref="B6"/>
      <pageMargins left="0.7" right="0.7" top="0.75" bottom="0.75" header="0.3" footer="0.3"/>
    </customSheetView>
    <customSheetView guid="{2EA8DBF7-9763-457C-AA9F-1EEB2F136D1F}" scale="57" hiddenRows="1" state="hidden">
      <pane xSplit="1" ySplit="5" topLeftCell="B6" activePane="bottomRight" state="frozen"/>
      <selection pane="bottomRight" activeCell="B6" sqref="B6"/>
      <pageMargins left="0.7" right="0.7" top="0.75" bottom="0.75" header="0.3" footer="0.3"/>
    </customSheetView>
    <customSheetView guid="{70582C04-BB53-4A99-A3C1-673011D9AE1C}" scale="57" hiddenRows="1" state="hidden">
      <pane xSplit="1" ySplit="5" topLeftCell="B6" activePane="bottomRight" state="frozen"/>
      <selection pane="bottomRight" activeCell="B6" sqref="B6"/>
      <pageMargins left="0.7" right="0.7" top="0.75" bottom="0.75" header="0.3" footer="0.3"/>
    </customSheetView>
    <customSheetView guid="{37F5A0AB-EB39-4832-9D67-F67D908BF486}" scale="57" hiddenRows="1" state="hidden">
      <pane xSplit="1" ySplit="5" topLeftCell="B6" activePane="bottomRight" state="frozen"/>
      <selection pane="bottomRight" activeCell="B6" sqref="B6"/>
      <pageMargins left="0.7" right="0.7" top="0.75" bottom="0.75" header="0.3" footer="0.3"/>
    </customSheetView>
    <customSheetView guid="{78AA4A71-CE17-4C4D-849E-E3E1A44EA907}" scale="57" hiddenRows="1" state="hidden">
      <pane xSplit="1" ySplit="5" topLeftCell="B6" activePane="bottomRight" state="frozen"/>
      <selection pane="bottomRight" activeCell="B6" sqref="B6"/>
      <pageMargins left="0.7" right="0.7" top="0.75" bottom="0.75" header="0.3" footer="0.3"/>
    </customSheetView>
    <customSheetView guid="{51DFD3D6-BC25-47B4-B28F-D640534DB3A9}" scale="57" hiddenRows="1" state="hidden">
      <pane xSplit="1" ySplit="5" topLeftCell="B6" activePane="bottomRight" state="frozen"/>
      <selection pane="bottomRight" activeCell="B6" sqref="B6"/>
      <pageMargins left="0.7" right="0.7" top="0.75" bottom="0.75" header="0.3" footer="0.3"/>
    </customSheetView>
    <customSheetView guid="{CA7E8063-5145-49E1-8E00-2E1025705A81}" scale="57" hiddenRows="1" state="hidden">
      <pane xSplit="1" ySplit="5" topLeftCell="B6" activePane="bottomRight" state="frozen"/>
      <selection pane="bottomRight" activeCell="B6" sqref="B6"/>
      <pageMargins left="0.7" right="0.7" top="0.75" bottom="0.75" header="0.3" footer="0.3"/>
    </customSheetView>
    <customSheetView guid="{75EE3B92-AF4D-4E93-A70E-6ADE60CC674F}" scale="57" hiddenRows="1" state="hidden">
      <pane xSplit="0.66923076923076918" ySplit="4.333333333333333" topLeftCell="B6" activePane="bottomRight" state="frozen"/>
      <selection pane="bottomRight" activeCell="B6" sqref="B6"/>
      <pageMargins left="0.7" right="0.7" top="0.75" bottom="0.75" header="0.3" footer="0.3"/>
    </customSheetView>
    <customSheetView guid="{29AC9BE3-332A-4738-949C-1F8C0D32BAEE}" scale="57" hiddenRows="1" state="hidden">
      <pane xSplit="1" ySplit="5" topLeftCell="B6" activePane="bottomRight" state="frozen"/>
      <selection pane="bottomRight" activeCell="B6" sqref="B6"/>
      <pageMargins left="0.7" right="0.7" top="0.75" bottom="0.75" header="0.3" footer="0.3"/>
    </customSheetView>
    <customSheetView guid="{42B0E8B1-ADFA-49AE-A83B-82D384737703}" scale="57" hiddenRows="1" state="hidden">
      <pane xSplit="1" ySplit="5" topLeftCell="B6" activePane="bottomRight" state="frozen"/>
      <selection pane="bottomRight" activeCell="B6" sqref="B6"/>
      <pageMargins left="0.7" right="0.7" top="0.75" bottom="0.75" header="0.3" footer="0.3"/>
    </customSheetView>
    <customSheetView guid="{D59DDBAA-620D-43B7-A6D9-759808D3397A}" scale="57" hiddenRows="1" state="hidden">
      <pane xSplit="1" ySplit="5" topLeftCell="B6" activePane="bottomRight" state="frozen"/>
      <selection pane="bottomRight" activeCell="B6" sqref="B6"/>
      <pageMargins left="0.7" right="0.7" top="0.75" bottom="0.75" header="0.3" footer="0.3"/>
    </customSheetView>
    <customSheetView guid="{F4A6298C-1A75-4FA9-A6A4-2BE13CCFE545}" scale="57" hiddenRows="1" state="hidden">
      <pane xSplit="1" ySplit="5" topLeftCell="B6" activePane="bottomRight" state="frozen"/>
      <selection pane="bottomRight" activeCell="B6" sqref="B6"/>
      <pageMargins left="0.7" right="0.7" top="0.75" bottom="0.75" header="0.3" footer="0.3"/>
    </customSheetView>
    <customSheetView guid="{9F91FBC4-6A13-42C2-A2D9-42A2AC814E28}" scale="57" hiddenRows="1" state="hidden">
      <pane xSplit="1" ySplit="5" topLeftCell="B6" activePane="bottomRight" state="frozen"/>
      <selection pane="bottomRight" activeCell="B6" sqref="B6"/>
      <pageMargins left="0.7" right="0.7" top="0.75" bottom="0.75" header="0.3" footer="0.3"/>
    </customSheetView>
    <customSheetView guid="{DF265C7B-1EEB-47EB-982A-6938E81F7AC2}" scale="57" hiddenRows="1" state="hidden">
      <pane xSplit="1" ySplit="5" topLeftCell="B6" activePane="bottomRight" state="frozen"/>
      <selection pane="bottomRight" activeCell="B6" sqref="B6"/>
      <pageMargins left="0.7" right="0.7" top="0.75" bottom="0.75" header="0.3" footer="0.3"/>
    </customSheetView>
    <customSheetView guid="{8263C9D2-452D-46FA-AFA0-452B42DC0298}" scale="57" hiddenRows="1" state="hidden">
      <pane xSplit="1" ySplit="5" topLeftCell="B6" activePane="bottomRight" state="frozen"/>
      <selection pane="bottomRight" activeCell="B6" sqref="B6"/>
      <pageMargins left="0.7" right="0.7" top="0.75" bottom="0.75" header="0.3" footer="0.3"/>
    </customSheetView>
    <customSheetView guid="{151EB58C-4EFD-4330-8D1A-8AACF5F7C679}" scale="57" hiddenRows="1" state="hidden">
      <pane xSplit="1" ySplit="5" topLeftCell="B6" activePane="bottomRight" state="frozen"/>
      <selection pane="bottomRight" activeCell="B6" sqref="B6"/>
      <pageMargins left="0.7" right="0.7" top="0.75" bottom="0.75" header="0.3" footer="0.3"/>
    </customSheetView>
    <customSheetView guid="{8CB67476-3FD4-42E0-ACD6-62ACA9412843}" scale="57" hiddenRows="1" state="hidden">
      <pane xSplit="1" ySplit="5" topLeftCell="B6" activePane="bottomRight" state="frozen"/>
      <selection pane="bottomRight" activeCell="B6" sqref="B6"/>
      <pageMargins left="0.7" right="0.7" top="0.75" bottom="0.75" header="0.3" footer="0.3"/>
    </customSheetView>
    <customSheetView guid="{51B3083F-A103-41AB-A137-63549C54B838}" scale="57" hiddenRows="1" state="hidden">
      <pane xSplit="1" ySplit="5" topLeftCell="B6" activePane="bottomRight" state="frozen"/>
      <selection pane="bottomRight" activeCell="B6" sqref="B6"/>
      <pageMargins left="0.7" right="0.7" top="0.75" bottom="0.75" header="0.3" footer="0.3"/>
    </customSheetView>
    <customSheetView guid="{E06B4FE8-6127-47B2-A6A5-4FAC9EEB4538}" scale="57" hiddenRows="1" state="hidden">
      <pane xSplit="1.2529411764705882" ySplit="5.4749999999999996" topLeftCell="B6" activePane="bottomRight" state="frozen"/>
      <selection pane="bottomRight" activeCell="B6" sqref="B6"/>
      <pageMargins left="0.7" right="0.7" top="0.75" bottom="0.75" header="0.3" footer="0.3"/>
    </customSheetView>
    <customSheetView guid="{593284E7-E32C-4D6C-8C2F-3DEEF9DEE1DF}" scale="57" hiddenRows="1" state="hidden">
      <pane xSplit="1" ySplit="5" topLeftCell="B6" activePane="bottomRight" state="frozen"/>
      <selection pane="bottomRight" activeCell="B6" sqref="B6"/>
      <pageMargins left="0.7" right="0.7" top="0.75" bottom="0.75" header="0.3" footer="0.3"/>
    </customSheetView>
    <customSheetView guid="{351EFD38-BF62-4E34-A37F-0EEB3E165043}" scale="57" hiddenRows="1" state="hidden">
      <pane xSplit="1" ySplit="5" topLeftCell="B6" activePane="bottomRight" state="frozen"/>
      <selection pane="bottomRight" activeCell="B6" sqref="B6"/>
      <pageMargins left="0.7" right="0.7" top="0.75" bottom="0.75" header="0.3" footer="0.3"/>
    </customSheetView>
    <customSheetView guid="{EB96DBE4-2D64-4388-853C-CB52A0CB79BA}" scale="57" hiddenRows="1" state="hidden">
      <pane xSplit="1" ySplit="5" topLeftCell="B6" activePane="bottomRight" state="frozen"/>
      <selection pane="bottomRight" activeCell="B6" sqref="B6"/>
      <pageMargins left="0.7" right="0.7" top="0.75" bottom="0.75" header="0.3" footer="0.3"/>
    </customSheetView>
    <customSheetView guid="{016CEBB2-C827-48F4-95E1-85D8C5129F41}" scale="57" hiddenRows="1" state="hidden">
      <pane xSplit="1" ySplit="5" topLeftCell="B6" activePane="bottomRight" state="frozen"/>
      <selection pane="bottomRight" activeCell="B6" sqref="B6"/>
      <pageMargins left="0.7" right="0.7" top="0.75" bottom="0.75" header="0.3" footer="0.3"/>
    </customSheetView>
    <customSheetView guid="{6702457D-A9A8-4F46-8E1C-BC7255F4BA77}" scale="57" hiddenRows="1" state="hidden">
      <pane xSplit="1" ySplit="5" topLeftCell="B6" activePane="bottomRight" state="frozen"/>
      <selection pane="bottomRight" activeCell="B6" sqref="B6"/>
      <pageMargins left="0.7" right="0.7" top="0.75" bottom="0.75" header="0.3" footer="0.3"/>
    </customSheetView>
    <customSheetView guid="{D27C51BB-BB54-4F37-8171-98067C39697C}" scale="57" hiddenRows="1" state="hidden">
      <pane xSplit="1" ySplit="5" topLeftCell="B6" activePane="bottomRight" state="frozen"/>
      <selection pane="bottomRight" activeCell="B6" sqref="B6"/>
      <pageMargins left="0.7" right="0.7" top="0.75" bottom="0.75" header="0.3" footer="0.3"/>
    </customSheetView>
    <customSheetView guid="{008CCD98-7480-4C51-806A-4B55C801DDC2}" scale="57" hiddenRows="1" state="hidden">
      <pane xSplit="1.5" ySplit="5.9743589743589745" topLeftCell="B6" activePane="bottomRight" state="frozen"/>
      <selection pane="bottomRight" activeCell="B6" sqref="B6"/>
      <pageMargins left="0.7" right="0.7" top="0.75" bottom="0.75" header="0.3" footer="0.3"/>
    </customSheetView>
    <customSheetView guid="{4E6F9C2D-76F2-4884-BBF6-E02A7BAE11EF}" scale="57" hiddenRows="1" state="hidden">
      <pane xSplit="1" ySplit="5" topLeftCell="B6" activePane="bottomRight" state="frozen"/>
      <selection pane="bottomRight" activeCell="B6" sqref="B6"/>
      <pageMargins left="0.7" right="0.7" top="0.75" bottom="0.75" header="0.3" footer="0.3"/>
    </customSheetView>
    <customSheetView guid="{C39AE06A-FC0A-4D7D-B287-2FA9CA174191}" scale="57" hiddenRows="1" state="hidden">
      <pane xSplit="1" ySplit="5" topLeftCell="B6" activePane="bottomRight" state="frozen"/>
      <selection pane="bottomRight" activeCell="B6" sqref="B6"/>
      <pageMargins left="0.7" right="0.7" top="0.75" bottom="0.75" header="0.3" footer="0.3"/>
    </customSheetView>
    <customSheetView guid="{D16D941B-FC89-4FEC-A49B-5FA2532584DE}" scale="57" hiddenRows="1" state="hidden">
      <pane xSplit="1" ySplit="5" topLeftCell="B6" activePane="bottomRight" state="frozen"/>
      <selection pane="bottomRight" activeCell="B6" sqref="B6"/>
      <pageMargins left="0.7" right="0.7" top="0.75" bottom="0.75" header="0.3" footer="0.3"/>
    </customSheetView>
    <customSheetView guid="{3BB18945-69B5-4B22-8D55-989F8F233459}" scale="57" hiddenRows="1" state="hidden">
      <pane xSplit="1" ySplit="5" topLeftCell="B6" activePane="bottomRight" state="frozen"/>
      <selection pane="bottomRight" activeCell="B6" sqref="B6"/>
      <pageMargins left="0.7" right="0.7" top="0.75" bottom="0.75" header="0.3" footer="0.3"/>
    </customSheetView>
    <customSheetView guid="{B84DA703-8C5B-4100-91A4-8807E303D379}" scale="57" hiddenRows="1" state="hidden">
      <pane xSplit="1" ySplit="5" topLeftCell="B6" activePane="bottomRight" state="frozen"/>
      <selection pane="bottomRight" activeCell="B6" sqref="B6"/>
      <pageMargins left="0.7" right="0.7" top="0.75" bottom="0.75" header="0.3" footer="0.3"/>
    </customSheetView>
    <customSheetView guid="{B0A28FD4-D7F6-428C-A7F7-92132DCD74BB}" scale="57" hiddenRows="1" state="hidden">
      <pane xSplit="1" ySplit="5" topLeftCell="B6" activePane="bottomRight" state="frozen"/>
      <selection pane="bottomRight" activeCell="B6" sqref="B6"/>
      <pageMargins left="0.7" right="0.7" top="0.75" bottom="0.75" header="0.3" footer="0.3"/>
    </customSheetView>
    <customSheetView guid="{3C97F0B0-2F3C-4E03-96E0-0C4FEC2F24AC}" scale="57" hiddenRows="1" state="hidden">
      <pane xSplit="1" ySplit="5" topLeftCell="B6" activePane="bottomRight" state="frozen"/>
      <selection pane="bottomRight" activeCell="B6" sqref="B6"/>
      <pageMargins left="0.7" right="0.7" top="0.75" bottom="0.75" header="0.3" footer="0.3"/>
    </customSheetView>
    <customSheetView guid="{A03C6B09-6B58-4DDE-A3B2-41A27A7049D9}" scale="57" hiddenRows="1" state="hidden">
      <pane xSplit="1" ySplit="5" topLeftCell="B6" activePane="bottomRight" state="frozen"/>
      <selection pane="bottomRight" activeCell="B6" sqref="B6"/>
      <pageMargins left="0.7" right="0.7" top="0.75" bottom="0.75" header="0.3" footer="0.3"/>
    </customSheetView>
    <customSheetView guid="{4EBEE699-7DEF-4A50-9CB7-490835CF0B98}" scale="57" hiddenRows="1" state="hidden">
      <pane xSplit="1" ySplit="5" topLeftCell="B6" activePane="bottomRight" state="frozen"/>
      <selection pane="bottomRight" activeCell="B6" sqref="B6"/>
      <pageMargins left="0.7" right="0.7" top="0.75" bottom="0.75" header="0.3" footer="0.3"/>
    </customSheetView>
    <customSheetView guid="{451730E2-FFE9-4FCE-B8B5-64952C26C672}" scale="57" hiddenRows="1" state="hidden">
      <pane xSplit="1" ySplit="5" topLeftCell="B6" activePane="bottomRight" state="frozen"/>
      <selection pane="bottomRight" activeCell="B6" sqref="B6"/>
      <pageMargins left="0.7" right="0.7" top="0.75" bottom="0.75" header="0.3" footer="0.3"/>
    </customSheetView>
    <customSheetView guid="{9AF6E233-883D-48B4-95AB-42B37199AB9E}" scale="57" hiddenRows="1" state="hidden">
      <pane xSplit="1" ySplit="5" topLeftCell="B6" activePane="bottomRight" state="frozen"/>
      <selection pane="bottomRight" activeCell="B6" sqref="B6"/>
      <pageMargins left="0.7" right="0.7" top="0.75" bottom="0.75" header="0.3" footer="0.3"/>
    </customSheetView>
    <customSheetView guid="{1ECD6E30-299B-4354-A416-2DAFF33C7022}" scale="57" hiddenRows="1" state="hidden">
      <pane xSplit="1" ySplit="5" topLeftCell="B6" activePane="bottomRight" state="frozen"/>
      <selection pane="bottomRight" activeCell="B6" sqref="B6"/>
      <pageMargins left="0.7" right="0.7" top="0.75" bottom="0.75" header="0.3" footer="0.3"/>
    </customSheetView>
    <customSheetView guid="{97D58294-343B-4B62-A826-0DDDE29B5F0D}" scale="57" hiddenRows="1" state="hidden">
      <pane xSplit="1" ySplit="5" topLeftCell="B6" activePane="bottomRight" state="frozen"/>
      <selection pane="bottomRight" activeCell="B6" sqref="B6"/>
      <pageMargins left="0.7" right="0.7" top="0.75" bottom="0.75" header="0.3" footer="0.3"/>
    </customSheetView>
    <customSheetView guid="{BDCD1595-C0B8-4F6C-B01C-3472C895B827}" scale="57" hiddenRows="1" state="hidden">
      <pane xSplit="1" ySplit="5" topLeftCell="B6" activePane="bottomRight" state="frozen"/>
      <selection pane="bottomRight" activeCell="B6" sqref="B6"/>
      <pageMargins left="0.7" right="0.7" top="0.75" bottom="0.75" header="0.3" footer="0.3"/>
    </customSheetView>
    <customSheetView guid="{9355C9F4-9C07-4A93-B7F2-69F1D1526716}" scale="57" hiddenRows="1" state="hidden">
      <pane xSplit="1" ySplit="5" topLeftCell="B6" activePane="bottomRight" state="frozen"/>
      <selection pane="bottomRight" activeCell="B6" sqref="B6"/>
      <pageMargins left="0.7" right="0.7" top="0.75" bottom="0.75" header="0.3" footer="0.3"/>
    </customSheetView>
    <customSheetView guid="{F5FA2A23-9E46-4C2F-B1EE-B71787F95C57}" scale="57" hiddenRows="1" state="hidden">
      <pane xSplit="1" ySplit="5" topLeftCell="B6" activePane="bottomRight" state="frozen"/>
      <selection pane="bottomRight" activeCell="B6" sqref="B6"/>
      <pageMargins left="0.7" right="0.7" top="0.75" bottom="0.75" header="0.3" footer="0.3"/>
    </customSheetView>
    <customSheetView guid="{B95D32C7-1418-4EF6-8936-849885C54A4A}" scale="57" hiddenRows="1" state="hidden">
      <pane xSplit="1" ySplit="5" topLeftCell="B6" activePane="bottomRight" state="frozen"/>
      <selection pane="bottomRight" activeCell="B6" sqref="B6"/>
      <pageMargins left="0.7" right="0.7" top="0.75" bottom="0.75" header="0.3" footer="0.3"/>
    </customSheetView>
    <customSheetView guid="{602520CD-F98C-43A6-AA0D-88893E9CB6E8}" scale="57" hiddenRows="1" state="hidden">
      <pane xSplit="1" ySplit="5" topLeftCell="B6" activePane="bottomRight" state="frozen"/>
      <selection pane="bottomRight" activeCell="B6" sqref="B6"/>
      <pageMargins left="0.7" right="0.7" top="0.75" bottom="0.75" header="0.3" footer="0.3"/>
    </customSheetView>
    <customSheetView guid="{A8E976B8-D767-4DB4-82BD-ABE90880F33F}" scale="57" hiddenRows="1" state="hidden">
      <pane xSplit="1" ySplit="5" topLeftCell="B6" activePane="bottomRight" state="frozen"/>
      <selection pane="bottomRight" activeCell="B6" sqref="B6"/>
      <pageMargins left="0.7" right="0.7" top="0.75" bottom="0.75" header="0.3" footer="0.3"/>
    </customSheetView>
    <customSheetView guid="{D850720D-4A1C-48F2-8E1D-8E09B7414A1A}" scale="57" hiddenRows="1" state="hidden">
      <pane xSplit="1" ySplit="5" topLeftCell="B6" activePane="bottomRight" state="frozen"/>
      <selection pane="bottomRight" activeCell="B6" sqref="B6"/>
      <pageMargins left="0.7" right="0.7" top="0.75" bottom="0.75" header="0.3" footer="0.3"/>
    </customSheetView>
    <customSheetView guid="{C57A83F1-F5A3-470B-9579-6A222C54F4E8}" scale="57" hiddenRows="1" state="hidden">
      <pane xSplit="1" ySplit="5" topLeftCell="B6" activePane="bottomRight" state="frozen"/>
      <selection pane="bottomRight" activeCell="B6" sqref="B6"/>
      <pageMargins left="0.7" right="0.7" top="0.75" bottom="0.75" header="0.3" footer="0.3"/>
    </customSheetView>
    <customSheetView guid="{2608BE9B-66AC-4D4C-8EE0-E88C94E88140}" scale="57" hiddenRows="1" state="hidden">
      <pane xSplit="1.2529411764705882" ySplit="5.4749999999999996" topLeftCell="B6" activePane="bottomRight" state="frozen"/>
      <selection pane="bottomRight" activeCell="B6" sqref="B6"/>
      <pageMargins left="0.7" right="0.7" top="0.75" bottom="0.75" header="0.3" footer="0.3"/>
    </customSheetView>
    <customSheetView guid="{EDD5A64E-02C0-4DD6-80BA-449123FCDAA2}" scale="57" hiddenRows="1" state="hidden">
      <pane xSplit="1" ySplit="5" topLeftCell="B6" activePane="bottomRight" state="frozen"/>
      <selection pane="bottomRight" activeCell="B6" sqref="B6"/>
      <pageMargins left="0.7" right="0.7" top="0.75" bottom="0.75" header="0.3" footer="0.3"/>
    </customSheetView>
    <customSheetView guid="{B8317A9A-0FFD-4A18-80F7-203DB2FC8CA5}" scale="57" hiddenRows="1" state="hidden">
      <pane xSplit="1.4942528735632183" ySplit="5" topLeftCell="B6" activePane="bottomRight" state="frozen"/>
      <selection pane="bottomRight" activeCell="B6" sqref="B6"/>
      <pageMargins left="0.7" right="0.7" top="0.75" bottom="0.75" header="0.3" footer="0.3"/>
    </customSheetView>
    <customSheetView guid="{7E571F1D-D438-4605-90D6-3F831F76D652}" scale="57" hiddenRows="1" state="hidden">
      <pane xSplit="1" ySplit="5" topLeftCell="B6" activePane="bottomRight" state="frozen"/>
      <selection pane="bottomRight" activeCell="B6" sqref="B6"/>
      <pageMargins left="0.7" right="0.7" top="0.75" bottom="0.75" header="0.3" footer="0.3"/>
    </customSheetView>
  </customSheetViews>
  <mergeCells count="40">
    <mergeCell ref="B2:K2"/>
    <mergeCell ref="L2:AA2"/>
    <mergeCell ref="B3:C3"/>
    <mergeCell ref="D3:I3"/>
    <mergeCell ref="J3:K3"/>
    <mergeCell ref="L3:M3"/>
    <mergeCell ref="O3:T3"/>
    <mergeCell ref="U3:AA3"/>
    <mergeCell ref="A8:AB8"/>
    <mergeCell ref="B4:C4"/>
    <mergeCell ref="D4:E4"/>
    <mergeCell ref="F4:G4"/>
    <mergeCell ref="H4:I4"/>
    <mergeCell ref="L4:M4"/>
    <mergeCell ref="O4:Q4"/>
    <mergeCell ref="R4:T4"/>
    <mergeCell ref="Z4:AA4"/>
    <mergeCell ref="B5:C5"/>
    <mergeCell ref="D5:E5"/>
    <mergeCell ref="L5:M5"/>
    <mergeCell ref="A32:AB32"/>
    <mergeCell ref="A9:AB9"/>
    <mergeCell ref="A12:AB12"/>
    <mergeCell ref="A13:AB13"/>
    <mergeCell ref="A16:AB16"/>
    <mergeCell ref="A17:AB17"/>
    <mergeCell ref="A20:AB20"/>
    <mergeCell ref="A21:AB21"/>
    <mergeCell ref="A24:AB24"/>
    <mergeCell ref="A25:AB25"/>
    <mergeCell ref="A28:AB28"/>
    <mergeCell ref="A29:AB29"/>
    <mergeCell ref="A45:AB45"/>
    <mergeCell ref="A48:AB48"/>
    <mergeCell ref="A33:AB33"/>
    <mergeCell ref="A36:AB36"/>
    <mergeCell ref="A37:AB37"/>
    <mergeCell ref="A40:AB40"/>
    <mergeCell ref="A41:AB41"/>
    <mergeCell ref="A44:AB44"/>
  </mergeCells>
  <conditionalFormatting sqref="A2:AB50">
    <cfRule type="cellIs" dxfId="702" priority="14" operator="equal">
      <formula>"A"</formula>
    </cfRule>
  </conditionalFormatting>
  <conditionalFormatting sqref="A52:AB53">
    <cfRule type="cellIs" dxfId="701" priority="1" operator="equal">
      <formula>"A"</formula>
    </cfRule>
  </conditionalFormatting>
  <conditionalFormatting sqref="B6 L6 AB6 B10 L10 AB10 B14 L14 AB14 B18 L18 AB18 B22 L22 AB22 B26 L26 AB26 B30 L30 AB30 B34 L34 AB34 B38 L38 AB38 B42 L42 AB42 B46 L46">
    <cfRule type="cellIs" dxfId="700" priority="32" operator="equal">
      <formula>"G"</formula>
    </cfRule>
    <cfRule type="cellIs" dxfId="699" priority="33" operator="equal">
      <formula>"R"</formula>
    </cfRule>
  </conditionalFormatting>
  <conditionalFormatting sqref="B49">
    <cfRule type="cellIs" dxfId="698" priority="24" operator="equal">
      <formula>"G"</formula>
    </cfRule>
    <cfRule type="cellIs" dxfId="697" priority="25" operator="equal">
      <formula>"R"</formula>
    </cfRule>
  </conditionalFormatting>
  <conditionalFormatting sqref="B52">
    <cfRule type="cellIs" dxfId="696" priority="11" operator="equal">
      <formula>"G"</formula>
    </cfRule>
    <cfRule type="cellIs" dxfId="695" priority="12" operator="equal">
      <formula>"R"</formula>
    </cfRule>
  </conditionalFormatting>
  <conditionalFormatting sqref="C47">
    <cfRule type="cellIs" dxfId="694" priority="28" operator="equal">
      <formula>"A"</formula>
    </cfRule>
  </conditionalFormatting>
  <conditionalFormatting sqref="L49">
    <cfRule type="cellIs" dxfId="693" priority="19" operator="equal">
      <formula>"G"</formula>
    </cfRule>
    <cfRule type="cellIs" dxfId="692" priority="20" operator="equal">
      <formula>"R"</formula>
    </cfRule>
  </conditionalFormatting>
  <conditionalFormatting sqref="L52">
    <cfRule type="cellIs" dxfId="691" priority="6" operator="equal">
      <formula>"G"</formula>
    </cfRule>
    <cfRule type="cellIs" dxfId="690" priority="7" operator="equal">
      <formula>"R"</formula>
    </cfRule>
  </conditionalFormatting>
  <conditionalFormatting sqref="M47">
    <cfRule type="cellIs" dxfId="689" priority="27" operator="equal">
      <formula>"A"</formula>
    </cfRule>
  </conditionalFormatting>
  <conditionalFormatting sqref="X6:Y6 X10:Y10 X14:Y14 X18:Y18 X22:Y22 X26:Y26 X30:Y30 X34:Y34 X38:Y38 X42:Y42 X46:Y46">
    <cfRule type="cellIs" dxfId="688" priority="29" operator="between">
      <formula>0</formula>
      <formula>0.95</formula>
    </cfRule>
    <cfRule type="cellIs" dxfId="687" priority="30" operator="between">
      <formula>1</formula>
      <formula>0.95</formula>
    </cfRule>
    <cfRule type="cellIs" dxfId="686" priority="31" operator="greaterThanOrEqual">
      <formula>1</formula>
    </cfRule>
  </conditionalFormatting>
  <conditionalFormatting sqref="X49:Y49">
    <cfRule type="cellIs" dxfId="685" priority="16" operator="between">
      <formula>0</formula>
      <formula>0.95</formula>
    </cfRule>
    <cfRule type="cellIs" dxfId="684" priority="17" operator="between">
      <formula>1</formula>
      <formula>0.95</formula>
    </cfRule>
    <cfRule type="cellIs" dxfId="683" priority="18" operator="greaterThanOrEqual">
      <formula>1</formula>
    </cfRule>
  </conditionalFormatting>
  <conditionalFormatting sqref="X52:Y52">
    <cfRule type="cellIs" dxfId="682" priority="3" operator="between">
      <formula>0</formula>
      <formula>0.95</formula>
    </cfRule>
    <cfRule type="cellIs" dxfId="681" priority="4" operator="between">
      <formula>1</formula>
      <formula>0.95</formula>
    </cfRule>
    <cfRule type="cellIs" dxfId="680" priority="5" operator="greaterThanOrEqual">
      <formula>1</formula>
    </cfRule>
  </conditionalFormatting>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4788BF-7204-405E-8387-C4FBB68CC07F}">
  <sheetPr codeName="Sheet8"/>
  <dimension ref="A1:AB38"/>
  <sheetViews>
    <sheetView zoomScale="57" zoomScaleNormal="57" workbookViewId="0">
      <pane xSplit="1" ySplit="5" topLeftCell="B6" activePane="bottomRight" state="frozen"/>
      <selection pane="topRight" activeCell="B1" sqref="B1"/>
      <selection pane="bottomLeft" activeCell="A6" sqref="A6"/>
      <selection pane="bottomRight" activeCell="B6" sqref="B6"/>
    </sheetView>
  </sheetViews>
  <sheetFormatPr defaultColWidth="9.3828125" defaultRowHeight="14.6" outlineLevelRow="1" x14ac:dyDescent="0.4"/>
  <cols>
    <col min="1" max="1" width="41.53515625" style="223" customWidth="1"/>
    <col min="2" max="2" width="10.3828125" style="223" customWidth="1"/>
    <col min="3" max="3" width="9.3828125" style="223" customWidth="1"/>
    <col min="4" max="4" width="13.53515625" style="223" customWidth="1"/>
    <col min="5" max="5" width="12.53515625" style="223" customWidth="1"/>
    <col min="6" max="6" width="13.3828125" style="223" customWidth="1"/>
    <col min="7" max="7" width="13" style="223" customWidth="1"/>
    <col min="8" max="8" width="12.53515625" style="223" customWidth="1"/>
    <col min="9" max="9" width="12.3828125" style="223" customWidth="1"/>
    <col min="10" max="10" width="13.53515625" style="223" customWidth="1"/>
    <col min="11" max="11" width="13.3828125" style="223" customWidth="1"/>
    <col min="12" max="13" width="9.3828125" style="223"/>
    <col min="14" max="14" width="13.3828125" style="223" customWidth="1"/>
    <col min="15" max="16" width="12.3828125" style="223" customWidth="1"/>
    <col min="17" max="17" width="12.53515625" style="223" customWidth="1"/>
    <col min="18" max="18" width="12.3828125" style="223" customWidth="1"/>
    <col min="19" max="19" width="12" style="223" customWidth="1"/>
    <col min="20" max="20" width="13.3828125" style="223" customWidth="1"/>
    <col min="21" max="22" width="13.53515625" style="223" customWidth="1"/>
    <col min="23" max="23" width="13.3828125" style="223" customWidth="1"/>
    <col min="24" max="24" width="8.53515625" style="223" customWidth="1"/>
    <col min="25" max="25" width="9" style="223" customWidth="1"/>
    <col min="26" max="26" width="13.53515625" style="223" customWidth="1"/>
    <col min="27" max="27" width="13.3828125" style="223" customWidth="1"/>
    <col min="28" max="28" width="11.3828125" style="223" customWidth="1"/>
    <col min="29" max="16384" width="9.3828125" style="223"/>
  </cols>
  <sheetData>
    <row r="1" spans="1:28" ht="1.5" customHeight="1" x14ac:dyDescent="0.4"/>
    <row r="2" spans="1:28" x14ac:dyDescent="0.4">
      <c r="A2" s="99" t="s">
        <v>216</v>
      </c>
      <c r="B2" s="770" t="s">
        <v>217</v>
      </c>
      <c r="C2" s="763"/>
      <c r="D2" s="763"/>
      <c r="E2" s="763"/>
      <c r="F2" s="763"/>
      <c r="G2" s="763"/>
      <c r="H2" s="763"/>
      <c r="I2" s="763"/>
      <c r="J2" s="763"/>
      <c r="K2" s="764"/>
      <c r="L2" s="765" t="s">
        <v>69</v>
      </c>
      <c r="M2" s="763"/>
      <c r="N2" s="763"/>
      <c r="O2" s="763"/>
      <c r="P2" s="763"/>
      <c r="Q2" s="763"/>
      <c r="R2" s="763"/>
      <c r="S2" s="763"/>
      <c r="T2" s="763"/>
      <c r="U2" s="763"/>
      <c r="V2" s="763"/>
      <c r="W2" s="763"/>
      <c r="X2" s="763"/>
      <c r="Y2" s="763"/>
      <c r="Z2" s="763"/>
      <c r="AA2" s="764"/>
      <c r="AB2" s="100" t="s">
        <v>216</v>
      </c>
    </row>
    <row r="3" spans="1:28" x14ac:dyDescent="0.4">
      <c r="A3" s="101" t="s">
        <v>216</v>
      </c>
      <c r="B3" s="771" t="s">
        <v>216</v>
      </c>
      <c r="C3" s="772"/>
      <c r="D3" s="773" t="s">
        <v>48</v>
      </c>
      <c r="E3" s="763"/>
      <c r="F3" s="763"/>
      <c r="G3" s="763"/>
      <c r="H3" s="763"/>
      <c r="I3" s="764"/>
      <c r="J3" s="773" t="s">
        <v>30</v>
      </c>
      <c r="K3" s="764"/>
      <c r="L3" s="771" t="s">
        <v>216</v>
      </c>
      <c r="M3" s="772"/>
      <c r="N3" s="227" t="s">
        <v>216</v>
      </c>
      <c r="O3" s="773" t="s">
        <v>33</v>
      </c>
      <c r="P3" s="763"/>
      <c r="Q3" s="763"/>
      <c r="R3" s="763"/>
      <c r="S3" s="763"/>
      <c r="T3" s="764"/>
      <c r="U3" s="773" t="s">
        <v>218</v>
      </c>
      <c r="V3" s="763"/>
      <c r="W3" s="763"/>
      <c r="X3" s="763"/>
      <c r="Y3" s="763"/>
      <c r="Z3" s="763"/>
      <c r="AA3" s="764"/>
      <c r="AB3" s="102" t="s">
        <v>216</v>
      </c>
    </row>
    <row r="4" spans="1:28" ht="15.45" x14ac:dyDescent="0.4">
      <c r="A4" s="103" t="s">
        <v>216</v>
      </c>
      <c r="B4" s="781" t="s">
        <v>216</v>
      </c>
      <c r="C4" s="777"/>
      <c r="D4" s="782" t="s">
        <v>216</v>
      </c>
      <c r="E4" s="772"/>
      <c r="F4" s="765" t="s">
        <v>73</v>
      </c>
      <c r="G4" s="764"/>
      <c r="H4" s="765" t="s">
        <v>74</v>
      </c>
      <c r="I4" s="764"/>
      <c r="J4" s="104" t="s">
        <v>216</v>
      </c>
      <c r="K4" s="104" t="s">
        <v>216</v>
      </c>
      <c r="L4" s="766" t="s">
        <v>216</v>
      </c>
      <c r="M4" s="767"/>
      <c r="N4" s="226" t="s">
        <v>216</v>
      </c>
      <c r="O4" s="762" t="s">
        <v>73</v>
      </c>
      <c r="P4" s="763"/>
      <c r="Q4" s="764"/>
      <c r="R4" s="762" t="s">
        <v>74</v>
      </c>
      <c r="S4" s="763"/>
      <c r="T4" s="764"/>
      <c r="U4" s="224" t="s">
        <v>216</v>
      </c>
      <c r="V4" s="224" t="s">
        <v>216</v>
      </c>
      <c r="W4" s="224" t="s">
        <v>216</v>
      </c>
      <c r="X4" s="224" t="s">
        <v>216</v>
      </c>
      <c r="Y4" s="224" t="s">
        <v>216</v>
      </c>
      <c r="Z4" s="762" t="s">
        <v>80</v>
      </c>
      <c r="AA4" s="764"/>
      <c r="AB4" s="226" t="s">
        <v>216</v>
      </c>
    </row>
    <row r="5" spans="1:28" ht="49.75" x14ac:dyDescent="0.4">
      <c r="A5" s="105" t="s">
        <v>219</v>
      </c>
      <c r="B5" s="776" t="s">
        <v>220</v>
      </c>
      <c r="C5" s="777"/>
      <c r="D5" s="774" t="s">
        <v>221</v>
      </c>
      <c r="E5" s="775"/>
      <c r="F5" s="225" t="s">
        <v>222</v>
      </c>
      <c r="G5" s="225" t="s">
        <v>223</v>
      </c>
      <c r="H5" s="106" t="s">
        <v>222</v>
      </c>
      <c r="I5" s="107" t="s">
        <v>223</v>
      </c>
      <c r="J5" s="108" t="s">
        <v>224</v>
      </c>
      <c r="K5" s="108" t="s">
        <v>2</v>
      </c>
      <c r="L5" s="778" t="s">
        <v>68</v>
      </c>
      <c r="M5" s="767"/>
      <c r="N5" s="108" t="s">
        <v>225</v>
      </c>
      <c r="O5" s="225" t="s">
        <v>81</v>
      </c>
      <c r="P5" s="225" t="s">
        <v>226</v>
      </c>
      <c r="Q5" s="225" t="s">
        <v>92</v>
      </c>
      <c r="R5" s="225" t="s">
        <v>81</v>
      </c>
      <c r="S5" s="225" t="s">
        <v>84</v>
      </c>
      <c r="T5" s="225" t="s">
        <v>227</v>
      </c>
      <c r="U5" s="109" t="s">
        <v>228</v>
      </c>
      <c r="V5" s="109" t="s">
        <v>229</v>
      </c>
      <c r="W5" s="109" t="s">
        <v>230</v>
      </c>
      <c r="X5" s="109" t="s">
        <v>231</v>
      </c>
      <c r="Y5" s="109" t="s">
        <v>232</v>
      </c>
      <c r="Z5" s="225" t="s">
        <v>215</v>
      </c>
      <c r="AA5" s="225" t="s">
        <v>86</v>
      </c>
      <c r="AB5" s="105" t="s">
        <v>70</v>
      </c>
    </row>
    <row r="6" spans="1:28" collapsed="1" x14ac:dyDescent="0.4">
      <c r="A6" s="110" t="s">
        <v>306</v>
      </c>
      <c r="B6" s="111" t="s">
        <v>88</v>
      </c>
      <c r="C6" s="183">
        <v>0</v>
      </c>
      <c r="D6" s="112" t="s">
        <v>235</v>
      </c>
      <c r="E6" s="113">
        <v>43670</v>
      </c>
      <c r="F6" s="184">
        <v>34095000</v>
      </c>
      <c r="G6" s="184">
        <v>40694000</v>
      </c>
      <c r="H6" s="114">
        <v>46058</v>
      </c>
      <c r="I6" s="114">
        <v>46321</v>
      </c>
      <c r="J6" s="184">
        <v>51060000</v>
      </c>
      <c r="K6" s="184">
        <v>47815000</v>
      </c>
      <c r="L6" s="185" t="s">
        <v>88</v>
      </c>
      <c r="M6" s="183">
        <v>0</v>
      </c>
      <c r="N6" s="116">
        <v>44634</v>
      </c>
      <c r="O6" s="184">
        <v>34100000</v>
      </c>
      <c r="P6" s="184">
        <v>34949145.57</v>
      </c>
      <c r="Q6" s="184">
        <v>6702943.0899999999</v>
      </c>
      <c r="R6" s="114">
        <v>46058</v>
      </c>
      <c r="S6" s="114">
        <v>46632</v>
      </c>
      <c r="T6" s="117">
        <v>0</v>
      </c>
      <c r="U6" s="184">
        <v>24115070.039999999</v>
      </c>
      <c r="V6" s="184">
        <v>20440826.699000001</v>
      </c>
      <c r="W6" s="184">
        <v>12714061.300000001</v>
      </c>
      <c r="X6" s="118">
        <v>1.6077338481135057</v>
      </c>
      <c r="Y6" s="119">
        <v>0.84763704459885536</v>
      </c>
      <c r="Z6" s="120">
        <f>IFERROR(U6/O6,"")</f>
        <v>0.70718680469208206</v>
      </c>
      <c r="AA6" s="120">
        <f>IFERROR(V6/O6,"")</f>
        <v>0.59943773310850446</v>
      </c>
      <c r="AB6" s="111" t="s">
        <v>91</v>
      </c>
    </row>
    <row r="7" spans="1:28" ht="24.9" hidden="1" outlineLevel="1" collapsed="1" x14ac:dyDescent="0.4">
      <c r="A7" s="110" t="s">
        <v>216</v>
      </c>
      <c r="B7" s="186" t="s">
        <v>216</v>
      </c>
      <c r="C7" s="187" t="str" cm="1">
        <f t="array" ref="C7">IFERROR(_xlfn.SWITCH(C6,-1,"i",0,"g",1,"h"),"")</f>
        <v>g</v>
      </c>
      <c r="D7" s="112" t="s">
        <v>216</v>
      </c>
      <c r="E7" s="112" t="s">
        <v>216</v>
      </c>
      <c r="F7" s="115" t="s">
        <v>216</v>
      </c>
      <c r="G7" s="115" t="s">
        <v>216</v>
      </c>
      <c r="H7" s="115" t="s">
        <v>216</v>
      </c>
      <c r="I7" s="115" t="s">
        <v>216</v>
      </c>
      <c r="J7" s="115" t="s">
        <v>216</v>
      </c>
      <c r="K7" s="115" t="s">
        <v>216</v>
      </c>
      <c r="L7" s="186" t="s">
        <v>216</v>
      </c>
      <c r="M7" s="187" t="str" cm="1">
        <f t="array" ref="M7">IFERROR(_xlfn.SWITCH(M6,-1,"i",0,"g",1,"h"),"")</f>
        <v>g</v>
      </c>
      <c r="N7" s="115" t="s">
        <v>216</v>
      </c>
      <c r="O7" s="115" t="s">
        <v>216</v>
      </c>
      <c r="P7" s="115" t="s">
        <v>216</v>
      </c>
      <c r="Q7" s="115" t="s">
        <v>216</v>
      </c>
      <c r="R7" s="115" t="s">
        <v>216</v>
      </c>
      <c r="S7" s="115" t="s">
        <v>216</v>
      </c>
      <c r="T7" s="115" t="s">
        <v>216</v>
      </c>
      <c r="U7" s="115" t="s">
        <v>216</v>
      </c>
      <c r="V7" s="115" t="s">
        <v>216</v>
      </c>
      <c r="W7" s="115" t="s">
        <v>216</v>
      </c>
      <c r="X7" s="188" t="s">
        <v>216</v>
      </c>
      <c r="Y7" s="189" t="s">
        <v>216</v>
      </c>
      <c r="Z7" s="115" t="s">
        <v>216</v>
      </c>
      <c r="AA7" s="115" t="s">
        <v>216</v>
      </c>
      <c r="AB7" s="115" t="s">
        <v>216</v>
      </c>
    </row>
    <row r="8" spans="1:28" ht="17.25" customHeight="1" collapsed="1" x14ac:dyDescent="0.4">
      <c r="A8" s="769"/>
      <c r="B8" s="763"/>
      <c r="C8" s="763"/>
      <c r="D8" s="763"/>
      <c r="E8" s="763"/>
      <c r="F8" s="763"/>
      <c r="G8" s="763"/>
      <c r="H8" s="763"/>
      <c r="I8" s="763"/>
      <c r="J8" s="763"/>
      <c r="K8" s="763"/>
      <c r="L8" s="763"/>
      <c r="M8" s="763"/>
      <c r="N8" s="763"/>
      <c r="O8" s="763"/>
      <c r="P8" s="763"/>
      <c r="Q8" s="763"/>
      <c r="R8" s="763"/>
      <c r="S8" s="763"/>
      <c r="T8" s="763"/>
      <c r="U8" s="763"/>
      <c r="V8" s="763"/>
      <c r="W8" s="763"/>
      <c r="X8" s="763"/>
      <c r="Y8" s="763"/>
      <c r="Z8" s="763"/>
      <c r="AA8" s="763"/>
      <c r="AB8" s="764"/>
    </row>
    <row r="9" spans="1:28" ht="8.25" customHeight="1" x14ac:dyDescent="0.4">
      <c r="A9" s="783" t="s">
        <v>216</v>
      </c>
      <c r="B9" s="784"/>
      <c r="C9" s="784"/>
      <c r="D9" s="784"/>
      <c r="E9" s="784"/>
      <c r="F9" s="784"/>
      <c r="G9" s="784"/>
      <c r="H9" s="784"/>
      <c r="I9" s="784"/>
      <c r="J9" s="784"/>
      <c r="K9" s="784"/>
      <c r="L9" s="784"/>
      <c r="M9" s="784"/>
      <c r="N9" s="784"/>
      <c r="O9" s="784"/>
      <c r="P9" s="784"/>
      <c r="Q9" s="784"/>
      <c r="R9" s="784"/>
      <c r="S9" s="784"/>
      <c r="T9" s="784"/>
      <c r="U9" s="784"/>
      <c r="V9" s="784"/>
      <c r="W9" s="784"/>
      <c r="X9" s="784"/>
      <c r="Y9" s="784"/>
      <c r="Z9" s="784"/>
      <c r="AA9" s="784"/>
      <c r="AB9" s="784"/>
    </row>
    <row r="10" spans="1:28" collapsed="1" x14ac:dyDescent="0.4">
      <c r="A10" s="110" t="s">
        <v>119</v>
      </c>
      <c r="B10" s="111" t="s">
        <v>88</v>
      </c>
      <c r="C10" s="183">
        <v>0</v>
      </c>
      <c r="D10" s="112" t="s">
        <v>233</v>
      </c>
      <c r="E10" s="113">
        <v>43983</v>
      </c>
      <c r="F10" s="184">
        <v>40664000</v>
      </c>
      <c r="G10" s="184">
        <v>48641000</v>
      </c>
      <c r="H10" s="114">
        <v>45051</v>
      </c>
      <c r="I10" s="114">
        <v>45264</v>
      </c>
      <c r="J10" s="184">
        <v>48641000</v>
      </c>
      <c r="K10" s="184">
        <v>48641000</v>
      </c>
      <c r="L10" s="185" t="s">
        <v>88</v>
      </c>
      <c r="M10" s="183">
        <v>0</v>
      </c>
      <c r="N10" s="116">
        <v>43983</v>
      </c>
      <c r="O10" s="184">
        <v>37784582</v>
      </c>
      <c r="P10" s="184">
        <v>68042575.650000006</v>
      </c>
      <c r="Q10" s="184">
        <v>56666.78</v>
      </c>
      <c r="R10" s="114">
        <v>45051</v>
      </c>
      <c r="S10" s="114">
        <v>45902</v>
      </c>
      <c r="T10" s="117">
        <v>0</v>
      </c>
      <c r="U10" s="184">
        <v>37796239.990000002</v>
      </c>
      <c r="V10" s="184">
        <v>24096593.114</v>
      </c>
      <c r="W10" s="184">
        <v>45470871.020000003</v>
      </c>
      <c r="X10" s="119">
        <v>0.52993471586241014</v>
      </c>
      <c r="Y10" s="118">
        <v>0.63753942509560191</v>
      </c>
      <c r="Z10" s="120">
        <f>IFERROR(U10/O10,"")</f>
        <v>1.0003085382815669</v>
      </c>
      <c r="AA10" s="120">
        <f>IFERROR(V10/O10,"")</f>
        <v>0.63773613041425203</v>
      </c>
      <c r="AB10" s="190" t="s">
        <v>91</v>
      </c>
    </row>
    <row r="11" spans="1:28" ht="24.9" hidden="1" outlineLevel="1" collapsed="1" x14ac:dyDescent="0.4">
      <c r="A11" s="110" t="s">
        <v>216</v>
      </c>
      <c r="B11" s="186" t="s">
        <v>216</v>
      </c>
      <c r="C11" s="187" t="str" cm="1">
        <f t="array" ref="C11">IFERROR(_xlfn.SWITCH(C10,-1,"i",0,"g",1,"h"),"")</f>
        <v>g</v>
      </c>
      <c r="D11" s="112" t="s">
        <v>216</v>
      </c>
      <c r="E11" s="112" t="s">
        <v>216</v>
      </c>
      <c r="F11" s="115" t="s">
        <v>216</v>
      </c>
      <c r="G11" s="115" t="s">
        <v>216</v>
      </c>
      <c r="H11" s="115" t="s">
        <v>216</v>
      </c>
      <c r="I11" s="115" t="s">
        <v>216</v>
      </c>
      <c r="J11" s="115" t="s">
        <v>216</v>
      </c>
      <c r="K11" s="115" t="s">
        <v>216</v>
      </c>
      <c r="L11" s="186" t="s">
        <v>216</v>
      </c>
      <c r="M11" s="187" t="str" cm="1">
        <f t="array" ref="M11">IFERROR(_xlfn.SWITCH(M10,-1,"i",0,"g",1,"h"),"")</f>
        <v>g</v>
      </c>
      <c r="N11" s="115" t="s">
        <v>216</v>
      </c>
      <c r="O11" s="115" t="s">
        <v>216</v>
      </c>
      <c r="P11" s="115" t="s">
        <v>216</v>
      </c>
      <c r="Q11" s="115" t="s">
        <v>216</v>
      </c>
      <c r="R11" s="115" t="s">
        <v>216</v>
      </c>
      <c r="S11" s="115" t="s">
        <v>216</v>
      </c>
      <c r="T11" s="115" t="s">
        <v>216</v>
      </c>
      <c r="U11" s="115" t="s">
        <v>216</v>
      </c>
      <c r="V11" s="115" t="s">
        <v>216</v>
      </c>
      <c r="W11" s="115" t="s">
        <v>216</v>
      </c>
      <c r="X11" s="189" t="s">
        <v>216</v>
      </c>
      <c r="Y11" s="188" t="s">
        <v>216</v>
      </c>
      <c r="Z11" s="115" t="s">
        <v>216</v>
      </c>
      <c r="AA11" s="115" t="s">
        <v>216</v>
      </c>
      <c r="AB11" s="191" t="s">
        <v>216</v>
      </c>
    </row>
    <row r="12" spans="1:28" ht="17.25" customHeight="1" collapsed="1" x14ac:dyDescent="0.4">
      <c r="A12" s="769"/>
      <c r="B12" s="763"/>
      <c r="C12" s="763"/>
      <c r="D12" s="763"/>
      <c r="E12" s="763"/>
      <c r="F12" s="763"/>
      <c r="G12" s="763"/>
      <c r="H12" s="763"/>
      <c r="I12" s="763"/>
      <c r="J12" s="763"/>
      <c r="K12" s="763"/>
      <c r="L12" s="763"/>
      <c r="M12" s="763"/>
      <c r="N12" s="763"/>
      <c r="O12" s="763"/>
      <c r="P12" s="763"/>
      <c r="Q12" s="763"/>
      <c r="R12" s="763"/>
      <c r="S12" s="763"/>
      <c r="T12" s="763"/>
      <c r="U12" s="763"/>
      <c r="V12" s="763"/>
      <c r="W12" s="763"/>
      <c r="X12" s="763"/>
      <c r="Y12" s="763"/>
      <c r="Z12" s="763"/>
      <c r="AA12" s="763"/>
      <c r="AB12" s="764"/>
    </row>
    <row r="13" spans="1:28" ht="8.25" customHeight="1" x14ac:dyDescent="0.4">
      <c r="A13" s="783" t="s">
        <v>216</v>
      </c>
      <c r="B13" s="784"/>
      <c r="C13" s="784"/>
      <c r="D13" s="784"/>
      <c r="E13" s="784"/>
      <c r="F13" s="784"/>
      <c r="G13" s="784"/>
      <c r="H13" s="784"/>
      <c r="I13" s="784"/>
      <c r="J13" s="784"/>
      <c r="K13" s="784"/>
      <c r="L13" s="784"/>
      <c r="M13" s="784"/>
      <c r="N13" s="784"/>
      <c r="O13" s="784"/>
      <c r="P13" s="784"/>
      <c r="Q13" s="784"/>
      <c r="R13" s="784"/>
      <c r="S13" s="784"/>
      <c r="T13" s="784"/>
      <c r="U13" s="784"/>
      <c r="V13" s="784"/>
      <c r="W13" s="784"/>
      <c r="X13" s="784"/>
      <c r="Y13" s="784"/>
      <c r="Z13" s="784"/>
      <c r="AA13" s="784"/>
      <c r="AB13" s="784"/>
    </row>
    <row r="14" spans="1:28" ht="29.15" collapsed="1" x14ac:dyDescent="0.4">
      <c r="A14" s="110" t="s">
        <v>121</v>
      </c>
      <c r="B14" s="192" t="s">
        <v>216</v>
      </c>
      <c r="C14" s="183" t="s">
        <v>216</v>
      </c>
      <c r="D14" s="112" t="s">
        <v>233</v>
      </c>
      <c r="E14" s="113">
        <v>43891</v>
      </c>
      <c r="F14" s="184">
        <v>25837000</v>
      </c>
      <c r="G14" s="184">
        <v>31940000</v>
      </c>
      <c r="H14" s="114">
        <v>45058</v>
      </c>
      <c r="I14" s="114">
        <v>45412</v>
      </c>
      <c r="J14" s="184">
        <v>31940000</v>
      </c>
      <c r="K14" s="184">
        <v>25837000</v>
      </c>
      <c r="L14" s="192" t="s">
        <v>216</v>
      </c>
      <c r="M14" s="183" t="s">
        <v>216</v>
      </c>
      <c r="N14" s="116">
        <v>43891</v>
      </c>
      <c r="O14" s="184">
        <v>25281264</v>
      </c>
      <c r="P14" s="184">
        <v>25769102.469999999</v>
      </c>
      <c r="Q14" s="184">
        <v>0</v>
      </c>
      <c r="R14" s="114">
        <v>45058</v>
      </c>
      <c r="S14" s="114">
        <v>46175</v>
      </c>
      <c r="T14" s="117">
        <v>0</v>
      </c>
      <c r="U14" s="184">
        <v>19634302.82</v>
      </c>
      <c r="V14" s="184">
        <v>19634302.9727</v>
      </c>
      <c r="W14" s="184">
        <v>16969073.489999998</v>
      </c>
      <c r="X14" s="118">
        <v>1.1570639365944546</v>
      </c>
      <c r="Y14" s="119">
        <v>1.0000000077772051</v>
      </c>
      <c r="Z14" s="120">
        <f>IFERROR(U14/O14,"")</f>
        <v>0.77663453931733795</v>
      </c>
      <c r="AA14" s="120">
        <f>IFERROR(V14/O14,"")</f>
        <v>0.77663454535738408</v>
      </c>
      <c r="AB14" s="192" t="s">
        <v>216</v>
      </c>
    </row>
    <row r="15" spans="1:28" ht="24.9" hidden="1" outlineLevel="1" collapsed="1" x14ac:dyDescent="0.4">
      <c r="A15" s="110" t="s">
        <v>216</v>
      </c>
      <c r="B15" s="186" t="s">
        <v>216</v>
      </c>
      <c r="C15" s="187" t="str" cm="1">
        <f t="array" ref="C15">IFERROR(_xlfn.SWITCH(C14,-1,"i",0,"g",1,"h"),"")</f>
        <v/>
      </c>
      <c r="D15" s="112" t="s">
        <v>216</v>
      </c>
      <c r="E15" s="112" t="s">
        <v>216</v>
      </c>
      <c r="F15" s="115" t="s">
        <v>216</v>
      </c>
      <c r="G15" s="115" t="s">
        <v>216</v>
      </c>
      <c r="H15" s="115" t="s">
        <v>216</v>
      </c>
      <c r="I15" s="115" t="s">
        <v>216</v>
      </c>
      <c r="J15" s="115" t="s">
        <v>216</v>
      </c>
      <c r="K15" s="115" t="s">
        <v>216</v>
      </c>
      <c r="L15" s="186" t="s">
        <v>216</v>
      </c>
      <c r="M15" s="187" t="str" cm="1">
        <f t="array" ref="M15">IFERROR(_xlfn.SWITCH(M14,-1,"i",0,"g",1,"h"),"")</f>
        <v/>
      </c>
      <c r="N15" s="115" t="s">
        <v>216</v>
      </c>
      <c r="O15" s="115" t="s">
        <v>216</v>
      </c>
      <c r="P15" s="115" t="s">
        <v>216</v>
      </c>
      <c r="Q15" s="115" t="s">
        <v>216</v>
      </c>
      <c r="R15" s="115" t="s">
        <v>216</v>
      </c>
      <c r="S15" s="115" t="s">
        <v>216</v>
      </c>
      <c r="T15" s="115" t="s">
        <v>216</v>
      </c>
      <c r="U15" s="115" t="s">
        <v>216</v>
      </c>
      <c r="V15" s="115" t="s">
        <v>216</v>
      </c>
      <c r="W15" s="115" t="s">
        <v>216</v>
      </c>
      <c r="X15" s="188" t="s">
        <v>216</v>
      </c>
      <c r="Y15" s="189" t="s">
        <v>216</v>
      </c>
      <c r="Z15" s="115" t="s">
        <v>216</v>
      </c>
      <c r="AA15" s="115" t="s">
        <v>216</v>
      </c>
      <c r="AB15" s="191" t="s">
        <v>216</v>
      </c>
    </row>
    <row r="16" spans="1:28" ht="17.25" customHeight="1" collapsed="1" x14ac:dyDescent="0.4">
      <c r="A16" s="769"/>
      <c r="B16" s="763"/>
      <c r="C16" s="763"/>
      <c r="D16" s="763"/>
      <c r="E16" s="763"/>
      <c r="F16" s="763"/>
      <c r="G16" s="763"/>
      <c r="H16" s="763"/>
      <c r="I16" s="763"/>
      <c r="J16" s="763"/>
      <c r="K16" s="763"/>
      <c r="L16" s="763"/>
      <c r="M16" s="763"/>
      <c r="N16" s="763"/>
      <c r="O16" s="763"/>
      <c r="P16" s="763"/>
      <c r="Q16" s="763"/>
      <c r="R16" s="763"/>
      <c r="S16" s="763"/>
      <c r="T16" s="763"/>
      <c r="U16" s="763"/>
      <c r="V16" s="763"/>
      <c r="W16" s="763"/>
      <c r="X16" s="763"/>
      <c r="Y16" s="763"/>
      <c r="Z16" s="763"/>
      <c r="AA16" s="763"/>
      <c r="AB16" s="764"/>
    </row>
    <row r="17" spans="1:28" ht="8.25" customHeight="1" x14ac:dyDescent="0.4">
      <c r="A17" s="783" t="s">
        <v>216</v>
      </c>
      <c r="B17" s="784"/>
      <c r="C17" s="784"/>
      <c r="D17" s="784"/>
      <c r="E17" s="784"/>
      <c r="F17" s="784"/>
      <c r="G17" s="784"/>
      <c r="H17" s="784"/>
      <c r="I17" s="784"/>
      <c r="J17" s="784"/>
      <c r="K17" s="784"/>
      <c r="L17" s="784"/>
      <c r="M17" s="784"/>
      <c r="N17" s="784"/>
      <c r="O17" s="784"/>
      <c r="P17" s="784"/>
      <c r="Q17" s="784"/>
      <c r="R17" s="784"/>
      <c r="S17" s="784"/>
      <c r="T17" s="784"/>
      <c r="U17" s="784"/>
      <c r="V17" s="784"/>
      <c r="W17" s="784"/>
      <c r="X17" s="784"/>
      <c r="Y17" s="784"/>
      <c r="Z17" s="784"/>
      <c r="AA17" s="784"/>
      <c r="AB17" s="784"/>
    </row>
    <row r="18" spans="1:28" collapsed="1" x14ac:dyDescent="0.4">
      <c r="A18" s="110" t="s">
        <v>307</v>
      </c>
      <c r="B18" s="190" t="s">
        <v>91</v>
      </c>
      <c r="C18" s="183">
        <v>0</v>
      </c>
      <c r="D18" s="112" t="s">
        <v>233</v>
      </c>
      <c r="E18" s="113" t="s">
        <v>216</v>
      </c>
      <c r="F18" s="184">
        <v>0</v>
      </c>
      <c r="G18" s="184">
        <v>0</v>
      </c>
      <c r="H18" s="114" t="s">
        <v>216</v>
      </c>
      <c r="I18" s="114" t="s">
        <v>216</v>
      </c>
      <c r="J18" s="184">
        <v>0</v>
      </c>
      <c r="K18" s="184">
        <v>0</v>
      </c>
      <c r="L18" s="193" t="s">
        <v>88</v>
      </c>
      <c r="M18" s="183">
        <v>0</v>
      </c>
      <c r="N18" s="116">
        <v>43864</v>
      </c>
      <c r="O18" s="184">
        <v>28615989</v>
      </c>
      <c r="P18" s="184">
        <v>50400322.689999998</v>
      </c>
      <c r="Q18" s="184">
        <v>-0.01</v>
      </c>
      <c r="R18" s="114">
        <v>48642</v>
      </c>
      <c r="S18" s="114">
        <v>47296</v>
      </c>
      <c r="T18" s="117">
        <v>0</v>
      </c>
      <c r="U18" s="184">
        <v>5395095.4900000002</v>
      </c>
      <c r="V18" s="184">
        <v>950936.66529999999</v>
      </c>
      <c r="W18" s="184">
        <v>2869402.11</v>
      </c>
      <c r="X18" s="118">
        <v>0.33140585698530767</v>
      </c>
      <c r="Y18" s="119">
        <v>0.17625946881989293</v>
      </c>
      <c r="Z18" s="220">
        <f>IFERROR(U18/O18,"")</f>
        <v>0.18853430122579373</v>
      </c>
      <c r="AA18" s="220">
        <f>IFERROR(V18/O18,"")</f>
        <v>3.323095578838809E-2</v>
      </c>
      <c r="AB18" s="192" t="s">
        <v>90</v>
      </c>
    </row>
    <row r="19" spans="1:28" ht="24.9" hidden="1" outlineLevel="1" collapsed="1" x14ac:dyDescent="0.4">
      <c r="A19" s="110" t="s">
        <v>216</v>
      </c>
      <c r="B19" s="186" t="s">
        <v>216</v>
      </c>
      <c r="C19" s="187" t="str" cm="1">
        <f t="array" ref="C19">IFERROR(_xlfn.SWITCH(C18,-1,"i",0,"g",1,"h"),"")</f>
        <v>g</v>
      </c>
      <c r="D19" s="112"/>
      <c r="E19" s="112" t="s">
        <v>216</v>
      </c>
      <c r="F19" s="115" t="s">
        <v>216</v>
      </c>
      <c r="G19" s="115" t="s">
        <v>216</v>
      </c>
      <c r="H19" s="115" t="s">
        <v>216</v>
      </c>
      <c r="I19" s="115" t="s">
        <v>216</v>
      </c>
      <c r="J19" s="115" t="s">
        <v>216</v>
      </c>
      <c r="K19" s="115" t="s">
        <v>216</v>
      </c>
      <c r="L19" s="186" t="s">
        <v>216</v>
      </c>
      <c r="M19" s="187" t="str" cm="1">
        <f t="array" ref="M19">IFERROR(_xlfn.SWITCH(M18,-1,"i",0,"g",1,"h"),"")</f>
        <v>g</v>
      </c>
      <c r="N19" s="115" t="s">
        <v>216</v>
      </c>
      <c r="O19" s="115" t="s">
        <v>216</v>
      </c>
      <c r="P19" s="115" t="s">
        <v>216</v>
      </c>
      <c r="Q19" s="115" t="s">
        <v>216</v>
      </c>
      <c r="R19" s="115" t="s">
        <v>216</v>
      </c>
      <c r="S19" s="115" t="s">
        <v>216</v>
      </c>
      <c r="T19" s="115" t="s">
        <v>216</v>
      </c>
      <c r="U19" s="115" t="s">
        <v>216</v>
      </c>
      <c r="V19" s="115" t="s">
        <v>216</v>
      </c>
      <c r="W19" s="115" t="s">
        <v>216</v>
      </c>
      <c r="X19" s="188" t="s">
        <v>216</v>
      </c>
      <c r="Y19" s="189" t="s">
        <v>216</v>
      </c>
      <c r="Z19" s="115" t="s">
        <v>216</v>
      </c>
      <c r="AA19" s="115" t="s">
        <v>216</v>
      </c>
      <c r="AB19" s="115" t="s">
        <v>216</v>
      </c>
    </row>
    <row r="20" spans="1:28" ht="17.25" customHeight="1" collapsed="1" x14ac:dyDescent="0.4">
      <c r="A20" s="769"/>
      <c r="B20" s="763"/>
      <c r="C20" s="763"/>
      <c r="D20" s="763"/>
      <c r="E20" s="763"/>
      <c r="F20" s="763"/>
      <c r="G20" s="763"/>
      <c r="H20" s="763"/>
      <c r="I20" s="763"/>
      <c r="J20" s="763"/>
      <c r="K20" s="763"/>
      <c r="L20" s="763"/>
      <c r="M20" s="763"/>
      <c r="N20" s="763"/>
      <c r="O20" s="763"/>
      <c r="P20" s="763"/>
      <c r="Q20" s="763"/>
      <c r="R20" s="763"/>
      <c r="S20" s="763"/>
      <c r="T20" s="763"/>
      <c r="U20" s="763"/>
      <c r="V20" s="763"/>
      <c r="W20" s="763"/>
      <c r="X20" s="763"/>
      <c r="Y20" s="763"/>
      <c r="Z20" s="763"/>
      <c r="AA20" s="763"/>
      <c r="AB20" s="764"/>
    </row>
    <row r="21" spans="1:28" ht="8.25" customHeight="1" x14ac:dyDescent="0.4">
      <c r="A21" s="783" t="s">
        <v>216</v>
      </c>
      <c r="B21" s="784"/>
      <c r="C21" s="784"/>
      <c r="D21" s="784"/>
      <c r="E21" s="784"/>
      <c r="F21" s="784"/>
      <c r="G21" s="784"/>
      <c r="H21" s="784"/>
      <c r="I21" s="784"/>
      <c r="J21" s="784"/>
      <c r="K21" s="784"/>
      <c r="L21" s="784"/>
      <c r="M21" s="784"/>
      <c r="N21" s="784"/>
      <c r="O21" s="784"/>
      <c r="P21" s="784"/>
      <c r="Q21" s="784"/>
      <c r="R21" s="784"/>
      <c r="S21" s="784"/>
      <c r="T21" s="784"/>
      <c r="U21" s="784"/>
      <c r="V21" s="784"/>
      <c r="W21" s="784"/>
      <c r="X21" s="784"/>
      <c r="Y21" s="784"/>
      <c r="Z21" s="784"/>
      <c r="AA21" s="784"/>
      <c r="AB21" s="784"/>
    </row>
    <row r="22" spans="1:28" collapsed="1" x14ac:dyDescent="0.4">
      <c r="A22" s="110" t="s">
        <v>109</v>
      </c>
      <c r="B22" s="111" t="s">
        <v>91</v>
      </c>
      <c r="C22" s="183">
        <v>0</v>
      </c>
      <c r="D22" s="112" t="s">
        <v>233</v>
      </c>
      <c r="E22" s="113" t="s">
        <v>216</v>
      </c>
      <c r="F22" s="184">
        <v>25714000</v>
      </c>
      <c r="G22" s="184">
        <v>0</v>
      </c>
      <c r="H22" s="114" t="s">
        <v>216</v>
      </c>
      <c r="I22" s="114" t="s">
        <v>216</v>
      </c>
      <c r="J22" s="184">
        <v>0</v>
      </c>
      <c r="K22" s="184">
        <v>25714000</v>
      </c>
      <c r="L22" s="185" t="s">
        <v>91</v>
      </c>
      <c r="M22" s="183">
        <v>0</v>
      </c>
      <c r="N22" s="116">
        <v>45163</v>
      </c>
      <c r="O22" s="184">
        <v>112867009</v>
      </c>
      <c r="P22" s="184">
        <v>158152139.65000001</v>
      </c>
      <c r="Q22" s="184">
        <v>16790440.629999999</v>
      </c>
      <c r="R22" s="114">
        <v>45559</v>
      </c>
      <c r="S22" s="114">
        <v>46951</v>
      </c>
      <c r="T22" s="117">
        <v>0</v>
      </c>
      <c r="U22" s="184">
        <v>12194730.560000001</v>
      </c>
      <c r="V22" s="184">
        <v>11916923.154899999</v>
      </c>
      <c r="W22" s="184">
        <v>12421262.84</v>
      </c>
      <c r="X22" s="119">
        <v>0.95939706843044315</v>
      </c>
      <c r="Y22" s="118">
        <v>0.97721906164854211</v>
      </c>
      <c r="Z22" s="120">
        <f>IFERROR(U22/O22,"")</f>
        <v>0.10804512911297225</v>
      </c>
      <c r="AA22" s="120">
        <f>IFERROR(V22/O22,"")</f>
        <v>0.1055837596874743</v>
      </c>
      <c r="AB22" s="190" t="s">
        <v>90</v>
      </c>
    </row>
    <row r="23" spans="1:28" ht="24.9" hidden="1" outlineLevel="1" collapsed="1" x14ac:dyDescent="0.4">
      <c r="A23" s="110" t="s">
        <v>216</v>
      </c>
      <c r="B23" s="186" t="s">
        <v>216</v>
      </c>
      <c r="C23" s="187" t="str" cm="1">
        <f t="array" ref="C23">IFERROR(_xlfn.SWITCH(C22,-1,"i",0,"g",1,"h"),"")</f>
        <v>g</v>
      </c>
      <c r="D23" s="112" t="s">
        <v>216</v>
      </c>
      <c r="E23" s="112" t="s">
        <v>216</v>
      </c>
      <c r="F23" s="115" t="s">
        <v>216</v>
      </c>
      <c r="G23" s="115" t="s">
        <v>216</v>
      </c>
      <c r="H23" s="115" t="s">
        <v>216</v>
      </c>
      <c r="I23" s="115" t="s">
        <v>216</v>
      </c>
      <c r="J23" s="115" t="s">
        <v>216</v>
      </c>
      <c r="K23" s="115" t="s">
        <v>216</v>
      </c>
      <c r="L23" s="186" t="s">
        <v>216</v>
      </c>
      <c r="M23" s="187" t="str" cm="1">
        <f t="array" ref="M23">IFERROR(_xlfn.SWITCH(M22,-1,"i",0,"g",1,"h"),"")</f>
        <v>g</v>
      </c>
      <c r="N23" s="115" t="s">
        <v>216</v>
      </c>
      <c r="O23" s="115" t="s">
        <v>216</v>
      </c>
      <c r="P23" s="115" t="s">
        <v>216</v>
      </c>
      <c r="Q23" s="115" t="s">
        <v>216</v>
      </c>
      <c r="R23" s="115" t="s">
        <v>216</v>
      </c>
      <c r="S23" s="115" t="s">
        <v>216</v>
      </c>
      <c r="T23" s="115" t="s">
        <v>216</v>
      </c>
      <c r="U23" s="115" t="s">
        <v>216</v>
      </c>
      <c r="V23" s="115" t="s">
        <v>216</v>
      </c>
      <c r="W23" s="115" t="s">
        <v>216</v>
      </c>
      <c r="X23" s="189" t="s">
        <v>216</v>
      </c>
      <c r="Y23" s="188" t="s">
        <v>216</v>
      </c>
      <c r="Z23" s="115" t="s">
        <v>216</v>
      </c>
      <c r="AA23" s="115" t="s">
        <v>216</v>
      </c>
      <c r="AB23" s="191" t="s">
        <v>216</v>
      </c>
    </row>
    <row r="24" spans="1:28" ht="17.25" customHeight="1" collapsed="1" x14ac:dyDescent="0.4">
      <c r="A24" s="769"/>
      <c r="B24" s="763"/>
      <c r="C24" s="763"/>
      <c r="D24" s="763"/>
      <c r="E24" s="763"/>
      <c r="F24" s="763"/>
      <c r="G24" s="763"/>
      <c r="H24" s="763"/>
      <c r="I24" s="763"/>
      <c r="J24" s="763"/>
      <c r="K24" s="763"/>
      <c r="L24" s="763"/>
      <c r="M24" s="763"/>
      <c r="N24" s="763"/>
      <c r="O24" s="763"/>
      <c r="P24" s="763"/>
      <c r="Q24" s="763"/>
      <c r="R24" s="763"/>
      <c r="S24" s="763"/>
      <c r="T24" s="763"/>
      <c r="U24" s="763"/>
      <c r="V24" s="763"/>
      <c r="W24" s="763"/>
      <c r="X24" s="763"/>
      <c r="Y24" s="763"/>
      <c r="Z24" s="763"/>
      <c r="AA24" s="763"/>
      <c r="AB24" s="764"/>
    </row>
    <row r="25" spans="1:28" ht="8.25" customHeight="1" x14ac:dyDescent="0.4">
      <c r="A25" s="783" t="s">
        <v>216</v>
      </c>
      <c r="B25" s="784"/>
      <c r="C25" s="784"/>
      <c r="D25" s="784"/>
      <c r="E25" s="784"/>
      <c r="F25" s="784"/>
      <c r="G25" s="784"/>
      <c r="H25" s="784"/>
      <c r="I25" s="784"/>
      <c r="J25" s="784"/>
      <c r="K25" s="784"/>
      <c r="L25" s="784"/>
      <c r="M25" s="784"/>
      <c r="N25" s="784"/>
      <c r="O25" s="784"/>
      <c r="P25" s="784"/>
      <c r="Q25" s="784"/>
      <c r="R25" s="784"/>
      <c r="S25" s="784"/>
      <c r="T25" s="784"/>
      <c r="U25" s="784"/>
      <c r="V25" s="784"/>
      <c r="W25" s="784"/>
      <c r="X25" s="784"/>
      <c r="Y25" s="784"/>
      <c r="Z25" s="784"/>
      <c r="AA25" s="784"/>
      <c r="AB25" s="784"/>
    </row>
    <row r="26" spans="1:28" collapsed="1" x14ac:dyDescent="0.4">
      <c r="A26" s="110" t="s">
        <v>93</v>
      </c>
      <c r="B26" s="192" t="s">
        <v>216</v>
      </c>
      <c r="C26" s="183" t="s">
        <v>216</v>
      </c>
      <c r="D26" s="112">
        <v>0</v>
      </c>
      <c r="E26" s="113" t="s">
        <v>216</v>
      </c>
      <c r="F26" s="184">
        <v>20745000</v>
      </c>
      <c r="G26" s="184">
        <v>0</v>
      </c>
      <c r="H26" s="114" t="s">
        <v>216</v>
      </c>
      <c r="I26" s="114" t="s">
        <v>216</v>
      </c>
      <c r="J26" s="184">
        <v>0</v>
      </c>
      <c r="K26" s="184">
        <v>0</v>
      </c>
      <c r="L26" s="192" t="s">
        <v>216</v>
      </c>
      <c r="M26" s="183" t="s">
        <v>216</v>
      </c>
      <c r="N26" s="116" t="s">
        <v>216</v>
      </c>
      <c r="O26" s="184">
        <v>14400000</v>
      </c>
      <c r="P26" s="184">
        <v>21925275.359999999</v>
      </c>
      <c r="Q26" s="184">
        <v>550.37</v>
      </c>
      <c r="R26" s="114">
        <v>43648</v>
      </c>
      <c r="S26" s="114">
        <v>45556</v>
      </c>
      <c r="T26" s="117">
        <v>0</v>
      </c>
      <c r="U26" s="184">
        <v>14445160.66</v>
      </c>
      <c r="V26" s="184">
        <v>14095559.651699999</v>
      </c>
      <c r="W26" s="184">
        <v>20658734.73</v>
      </c>
      <c r="X26" s="121">
        <v>0.68230507995394551</v>
      </c>
      <c r="Y26" s="118">
        <v>0.9757980533045868</v>
      </c>
      <c r="Z26" s="120">
        <f>IFERROR(U26/O26,"")</f>
        <v>1.0031361569444444</v>
      </c>
      <c r="AA26" s="120">
        <f>IFERROR(V26/O26,"")</f>
        <v>0.97885830914583327</v>
      </c>
      <c r="AB26" s="192" t="s">
        <v>216</v>
      </c>
    </row>
    <row r="27" spans="1:28" ht="24.9" hidden="1" outlineLevel="1" collapsed="1" x14ac:dyDescent="0.4">
      <c r="A27" s="110" t="s">
        <v>216</v>
      </c>
      <c r="B27" s="186" t="s">
        <v>216</v>
      </c>
      <c r="C27" s="187" t="str" cm="1">
        <f t="array" ref="C27">IFERROR(_xlfn.SWITCH(C26,-1,"i",0,"g",1,"h"),"")</f>
        <v/>
      </c>
      <c r="D27" s="112" t="s">
        <v>216</v>
      </c>
      <c r="E27" s="112" t="s">
        <v>216</v>
      </c>
      <c r="F27" s="115" t="s">
        <v>216</v>
      </c>
      <c r="G27" s="115" t="s">
        <v>216</v>
      </c>
      <c r="H27" s="115" t="s">
        <v>216</v>
      </c>
      <c r="I27" s="115" t="s">
        <v>216</v>
      </c>
      <c r="J27" s="115" t="s">
        <v>216</v>
      </c>
      <c r="K27" s="115" t="s">
        <v>216</v>
      </c>
      <c r="L27" s="186" t="s">
        <v>216</v>
      </c>
      <c r="M27" s="187" t="str" cm="1">
        <f t="array" ref="M27">IFERROR(_xlfn.SWITCH(M26,-1,"i",0,"g",1,"h"),"")</f>
        <v/>
      </c>
      <c r="N27" s="115" t="s">
        <v>216</v>
      </c>
      <c r="O27" s="115" t="s">
        <v>216</v>
      </c>
      <c r="P27" s="115" t="s">
        <v>216</v>
      </c>
      <c r="Q27" s="115" t="s">
        <v>216</v>
      </c>
      <c r="R27" s="115" t="s">
        <v>216</v>
      </c>
      <c r="S27" s="115" t="s">
        <v>216</v>
      </c>
      <c r="T27" s="115" t="s">
        <v>216</v>
      </c>
      <c r="U27" s="115" t="s">
        <v>216</v>
      </c>
      <c r="V27" s="115" t="s">
        <v>216</v>
      </c>
      <c r="W27" s="115" t="s">
        <v>216</v>
      </c>
      <c r="X27" s="194" t="s">
        <v>216</v>
      </c>
      <c r="Y27" s="188" t="s">
        <v>216</v>
      </c>
      <c r="Z27" s="115" t="s">
        <v>216</v>
      </c>
      <c r="AA27" s="115" t="s">
        <v>216</v>
      </c>
      <c r="AB27" s="191" t="s">
        <v>216</v>
      </c>
    </row>
    <row r="28" spans="1:28" ht="17.25" customHeight="1" collapsed="1" x14ac:dyDescent="0.4">
      <c r="A28" s="769"/>
      <c r="B28" s="763"/>
      <c r="C28" s="763"/>
      <c r="D28" s="763"/>
      <c r="E28" s="763"/>
      <c r="F28" s="763"/>
      <c r="G28" s="763"/>
      <c r="H28" s="763"/>
      <c r="I28" s="763"/>
      <c r="J28" s="763"/>
      <c r="K28" s="763"/>
      <c r="L28" s="763"/>
      <c r="M28" s="763"/>
      <c r="N28" s="763"/>
      <c r="O28" s="763"/>
      <c r="P28" s="763"/>
      <c r="Q28" s="763"/>
      <c r="R28" s="763"/>
      <c r="S28" s="763"/>
      <c r="T28" s="763"/>
      <c r="U28" s="763"/>
      <c r="V28" s="763"/>
      <c r="W28" s="763"/>
      <c r="X28" s="763"/>
      <c r="Y28" s="763"/>
      <c r="Z28" s="763"/>
      <c r="AA28" s="763"/>
      <c r="AB28" s="764"/>
    </row>
    <row r="29" spans="1:28" ht="8.25" customHeight="1" x14ac:dyDescent="0.4">
      <c r="A29" s="783" t="s">
        <v>216</v>
      </c>
      <c r="B29" s="784"/>
      <c r="C29" s="784"/>
      <c r="D29" s="784"/>
      <c r="E29" s="784"/>
      <c r="F29" s="784"/>
      <c r="G29" s="784"/>
      <c r="H29" s="784"/>
      <c r="I29" s="784"/>
      <c r="J29" s="784"/>
      <c r="K29" s="784"/>
      <c r="L29" s="784"/>
      <c r="M29" s="784"/>
      <c r="N29" s="784"/>
      <c r="O29" s="784"/>
      <c r="P29" s="784"/>
      <c r="Q29" s="784"/>
      <c r="R29" s="784"/>
      <c r="S29" s="784"/>
      <c r="T29" s="784"/>
      <c r="U29" s="784"/>
      <c r="V29" s="784"/>
      <c r="W29" s="784"/>
      <c r="X29" s="784"/>
      <c r="Y29" s="784"/>
      <c r="Z29" s="784"/>
      <c r="AA29" s="784"/>
      <c r="AB29" s="784"/>
    </row>
    <row r="30" spans="1:28" collapsed="1" x14ac:dyDescent="0.4">
      <c r="A30" s="110" t="s">
        <v>105</v>
      </c>
      <c r="B30" s="192" t="s">
        <v>91</v>
      </c>
      <c r="C30" s="183">
        <v>0</v>
      </c>
      <c r="D30" s="112">
        <v>0</v>
      </c>
      <c r="E30" s="113" t="s">
        <v>216</v>
      </c>
      <c r="F30" s="184">
        <v>0</v>
      </c>
      <c r="G30" s="184">
        <v>0</v>
      </c>
      <c r="H30" s="114" t="s">
        <v>216</v>
      </c>
      <c r="I30" s="114" t="s">
        <v>216</v>
      </c>
      <c r="J30" s="184">
        <v>36278000</v>
      </c>
      <c r="K30" s="184">
        <v>36278000</v>
      </c>
      <c r="L30" s="192" t="s">
        <v>91</v>
      </c>
      <c r="M30" s="183">
        <v>0</v>
      </c>
      <c r="N30" s="116">
        <v>45017</v>
      </c>
      <c r="O30" s="184">
        <v>72201550</v>
      </c>
      <c r="P30" s="184">
        <v>35858773.68</v>
      </c>
      <c r="Q30" s="184">
        <v>59156.34</v>
      </c>
      <c r="R30" s="114">
        <v>55152</v>
      </c>
      <c r="S30" s="114">
        <v>45382</v>
      </c>
      <c r="T30" s="117">
        <v>0</v>
      </c>
      <c r="U30" s="184">
        <v>34112975.030000001</v>
      </c>
      <c r="V30" s="184">
        <v>34071677.227600001</v>
      </c>
      <c r="W30" s="184">
        <v>35715504.969999999</v>
      </c>
      <c r="X30" s="118">
        <v>0.95397439448831067</v>
      </c>
      <c r="Y30" s="118">
        <v>0.99878938139040407</v>
      </c>
      <c r="Z30" s="120">
        <f>IFERROR(U30/O30,"")</f>
        <v>0.47246873550498569</v>
      </c>
      <c r="AA30" s="120">
        <f>IFERROR(V30/O30,"")</f>
        <v>0.47189675606133108</v>
      </c>
      <c r="AB30" s="192" t="s">
        <v>91</v>
      </c>
    </row>
    <row r="31" spans="1:28" ht="24.9" hidden="1" outlineLevel="1" collapsed="1" x14ac:dyDescent="0.4">
      <c r="A31" s="110" t="s">
        <v>216</v>
      </c>
      <c r="B31" s="186" t="s">
        <v>216</v>
      </c>
      <c r="C31" s="187" t="str" cm="1">
        <f t="array" ref="C31">IFERROR(_xlfn.SWITCH(C30,-1,"i",0,"g",1,"h"),"")</f>
        <v>g</v>
      </c>
      <c r="D31" s="112" t="s">
        <v>216</v>
      </c>
      <c r="E31" s="112" t="s">
        <v>216</v>
      </c>
      <c r="F31" s="115" t="s">
        <v>216</v>
      </c>
      <c r="G31" s="115" t="s">
        <v>216</v>
      </c>
      <c r="H31" s="115" t="s">
        <v>216</v>
      </c>
      <c r="I31" s="115" t="s">
        <v>216</v>
      </c>
      <c r="J31" s="115" t="s">
        <v>216</v>
      </c>
      <c r="K31" s="115" t="s">
        <v>216</v>
      </c>
      <c r="L31" s="186" t="s">
        <v>216</v>
      </c>
      <c r="M31" s="187" t="str" cm="1">
        <f t="array" ref="M31">IFERROR(_xlfn.SWITCH(M30,-1,"i",0,"g",1,"h"),"")</f>
        <v>g</v>
      </c>
      <c r="N31" s="115" t="s">
        <v>216</v>
      </c>
      <c r="O31" s="115" t="s">
        <v>216</v>
      </c>
      <c r="P31" s="115" t="s">
        <v>216</v>
      </c>
      <c r="Q31" s="115" t="s">
        <v>216</v>
      </c>
      <c r="R31" s="115" t="s">
        <v>216</v>
      </c>
      <c r="S31" s="115" t="s">
        <v>216</v>
      </c>
      <c r="T31" s="115" t="s">
        <v>216</v>
      </c>
      <c r="U31" s="115" t="s">
        <v>216</v>
      </c>
      <c r="V31" s="115" t="s">
        <v>216</v>
      </c>
      <c r="W31" s="115" t="s">
        <v>216</v>
      </c>
      <c r="X31" s="188" t="s">
        <v>216</v>
      </c>
      <c r="Y31" s="188" t="s">
        <v>216</v>
      </c>
      <c r="Z31" s="115" t="s">
        <v>216</v>
      </c>
      <c r="AA31" s="115" t="s">
        <v>216</v>
      </c>
      <c r="AB31" s="191" t="s">
        <v>216</v>
      </c>
    </row>
    <row r="32" spans="1:28" ht="17.25" customHeight="1" collapsed="1" x14ac:dyDescent="0.4">
      <c r="A32" s="769"/>
      <c r="B32" s="763"/>
      <c r="C32" s="763"/>
      <c r="D32" s="763"/>
      <c r="E32" s="763"/>
      <c r="F32" s="763"/>
      <c r="G32" s="763"/>
      <c r="H32" s="763"/>
      <c r="I32" s="763"/>
      <c r="J32" s="763"/>
      <c r="K32" s="763"/>
      <c r="L32" s="763"/>
      <c r="M32" s="763"/>
      <c r="N32" s="763"/>
      <c r="O32" s="763"/>
      <c r="P32" s="763"/>
      <c r="Q32" s="763"/>
      <c r="R32" s="763"/>
      <c r="S32" s="763"/>
      <c r="T32" s="763"/>
      <c r="U32" s="763"/>
      <c r="V32" s="763"/>
      <c r="W32" s="763"/>
      <c r="X32" s="763"/>
      <c r="Y32" s="763"/>
      <c r="Z32" s="763"/>
      <c r="AA32" s="763"/>
      <c r="AB32" s="764"/>
    </row>
    <row r="33" spans="1:28" ht="8.25" customHeight="1" x14ac:dyDescent="0.4">
      <c r="A33" s="783" t="s">
        <v>216</v>
      </c>
      <c r="B33" s="784"/>
      <c r="C33" s="784"/>
      <c r="D33" s="784"/>
      <c r="E33" s="784"/>
      <c r="F33" s="784"/>
      <c r="G33" s="784"/>
      <c r="H33" s="784"/>
      <c r="I33" s="784"/>
      <c r="J33" s="784"/>
      <c r="K33" s="784"/>
      <c r="L33" s="784"/>
      <c r="M33" s="784"/>
      <c r="N33" s="784"/>
      <c r="O33" s="784"/>
      <c r="P33" s="784"/>
      <c r="Q33" s="784"/>
      <c r="R33" s="784"/>
      <c r="S33" s="784"/>
      <c r="T33" s="784"/>
      <c r="U33" s="784"/>
      <c r="V33" s="784"/>
      <c r="W33" s="784"/>
      <c r="X33" s="784"/>
      <c r="Y33" s="784"/>
      <c r="Z33" s="784"/>
      <c r="AA33" s="784"/>
      <c r="AB33" s="784"/>
    </row>
    <row r="34" spans="1:28" collapsed="1" x14ac:dyDescent="0.4">
      <c r="A34" s="110" t="s">
        <v>291</v>
      </c>
      <c r="B34" s="185" t="s">
        <v>216</v>
      </c>
      <c r="C34" s="183" t="s">
        <v>216</v>
      </c>
      <c r="D34" s="112">
        <v>0</v>
      </c>
      <c r="E34" s="113" t="s">
        <v>216</v>
      </c>
      <c r="F34" s="184">
        <v>0</v>
      </c>
      <c r="G34" s="184">
        <v>0</v>
      </c>
      <c r="H34" s="114" t="s">
        <v>216</v>
      </c>
      <c r="I34" s="114" t="s">
        <v>216</v>
      </c>
      <c r="J34" s="184">
        <v>0</v>
      </c>
      <c r="K34" s="184">
        <v>17393000</v>
      </c>
      <c r="L34" s="192" t="s">
        <v>216</v>
      </c>
      <c r="M34" s="183" t="s">
        <v>216</v>
      </c>
      <c r="N34" s="116" t="s">
        <v>216</v>
      </c>
      <c r="O34" s="184">
        <v>0</v>
      </c>
      <c r="P34" s="184">
        <v>440545251.13999999</v>
      </c>
      <c r="Q34" s="184">
        <v>-38586.910000000003</v>
      </c>
      <c r="R34" s="114" t="s">
        <v>216</v>
      </c>
      <c r="S34" s="114" t="s">
        <v>216</v>
      </c>
      <c r="T34" s="117">
        <v>0</v>
      </c>
      <c r="U34" s="184">
        <v>8472460.9399999995</v>
      </c>
      <c r="V34" s="184">
        <v>7821773.4381999997</v>
      </c>
      <c r="W34" s="184">
        <v>5122236.79</v>
      </c>
      <c r="X34" s="118">
        <v>1.5270230094536492</v>
      </c>
      <c r="Y34" s="118">
        <v>0.92319970473655555</v>
      </c>
      <c r="Z34" s="120" t="str">
        <f>IFERROR(U34/O34,"")</f>
        <v/>
      </c>
      <c r="AA34" s="120" t="str">
        <f>IFERROR(V34/O34,"")</f>
        <v/>
      </c>
      <c r="AB34" s="192" t="s">
        <v>216</v>
      </c>
    </row>
    <row r="35" spans="1:28" ht="24.9" hidden="1" outlineLevel="1" collapsed="1" x14ac:dyDescent="0.4">
      <c r="A35" s="110" t="s">
        <v>216</v>
      </c>
      <c r="B35" s="186" t="s">
        <v>216</v>
      </c>
      <c r="C35" s="187" t="str" cm="1">
        <f t="array" ref="C35">IFERROR(_xlfn.SWITCH(C34,-1,"i",0,"g",1,"h"),"")</f>
        <v/>
      </c>
      <c r="D35" s="112" t="s">
        <v>216</v>
      </c>
      <c r="E35" s="112" t="s">
        <v>216</v>
      </c>
      <c r="F35" s="115" t="s">
        <v>216</v>
      </c>
      <c r="G35" s="115" t="s">
        <v>216</v>
      </c>
      <c r="H35" s="115" t="s">
        <v>216</v>
      </c>
      <c r="I35" s="115" t="s">
        <v>216</v>
      </c>
      <c r="J35" s="115" t="s">
        <v>216</v>
      </c>
      <c r="K35" s="115" t="s">
        <v>216</v>
      </c>
      <c r="L35" s="186" t="s">
        <v>216</v>
      </c>
      <c r="M35" s="187" t="str" cm="1">
        <f t="array" ref="M35">IFERROR(_xlfn.SWITCH(M34,-1,"i",0,"g",1,"h"),"")</f>
        <v/>
      </c>
      <c r="N35" s="115" t="s">
        <v>216</v>
      </c>
      <c r="O35" s="115" t="s">
        <v>216</v>
      </c>
      <c r="P35" s="115" t="s">
        <v>216</v>
      </c>
      <c r="Q35" s="115" t="s">
        <v>216</v>
      </c>
      <c r="R35" s="115" t="s">
        <v>216</v>
      </c>
      <c r="S35" s="115" t="s">
        <v>216</v>
      </c>
      <c r="T35" s="115" t="s">
        <v>216</v>
      </c>
      <c r="U35" s="115" t="s">
        <v>216</v>
      </c>
      <c r="V35" s="115" t="s">
        <v>216</v>
      </c>
      <c r="W35" s="115" t="s">
        <v>216</v>
      </c>
      <c r="X35" s="188" t="s">
        <v>216</v>
      </c>
      <c r="Y35" s="188" t="s">
        <v>216</v>
      </c>
      <c r="Z35" s="115" t="s">
        <v>216</v>
      </c>
      <c r="AA35" s="115" t="s">
        <v>216</v>
      </c>
      <c r="AB35" s="191" t="s">
        <v>216</v>
      </c>
    </row>
    <row r="36" spans="1:28" ht="17.25" customHeight="1" collapsed="1" x14ac:dyDescent="0.4">
      <c r="A36" s="769"/>
      <c r="B36" s="763"/>
      <c r="C36" s="763"/>
      <c r="D36" s="763"/>
      <c r="E36" s="763"/>
      <c r="F36" s="763"/>
      <c r="G36" s="763"/>
      <c r="H36" s="763"/>
      <c r="I36" s="763"/>
      <c r="J36" s="763"/>
      <c r="K36" s="763"/>
      <c r="L36" s="763"/>
      <c r="M36" s="763"/>
      <c r="N36" s="763"/>
      <c r="O36" s="763"/>
      <c r="P36" s="763"/>
      <c r="Q36" s="763"/>
      <c r="R36" s="763"/>
      <c r="S36" s="763"/>
      <c r="T36" s="763"/>
      <c r="U36" s="763"/>
      <c r="V36" s="763"/>
      <c r="W36" s="763"/>
      <c r="X36" s="763"/>
      <c r="Y36" s="763"/>
      <c r="Z36" s="763"/>
      <c r="AA36" s="763"/>
      <c r="AB36" s="764"/>
    </row>
    <row r="37" spans="1:28" ht="8.25" customHeight="1" x14ac:dyDescent="0.4">
      <c r="A37" s="783" t="s">
        <v>216</v>
      </c>
      <c r="B37" s="784"/>
      <c r="C37" s="784"/>
      <c r="D37" s="784"/>
      <c r="E37" s="784"/>
      <c r="F37" s="784"/>
      <c r="G37" s="784"/>
      <c r="H37" s="784"/>
      <c r="I37" s="784"/>
      <c r="J37" s="784"/>
      <c r="K37" s="784"/>
      <c r="L37" s="784"/>
      <c r="M37" s="784"/>
      <c r="N37" s="784"/>
      <c r="O37" s="784"/>
      <c r="P37" s="784"/>
      <c r="Q37" s="784"/>
      <c r="R37" s="784"/>
      <c r="S37" s="784"/>
      <c r="T37" s="784"/>
      <c r="U37" s="784"/>
      <c r="V37" s="784"/>
      <c r="W37" s="784"/>
      <c r="X37" s="784"/>
      <c r="Y37" s="784"/>
      <c r="Z37" s="784"/>
      <c r="AA37" s="784"/>
      <c r="AB37" s="784"/>
    </row>
    <row r="38" spans="1:28" ht="8.25" customHeight="1" x14ac:dyDescent="0.4">
      <c r="A38" s="783" t="s">
        <v>216</v>
      </c>
      <c r="B38" s="784"/>
      <c r="C38" s="784"/>
      <c r="D38" s="784"/>
      <c r="E38" s="784"/>
      <c r="F38" s="784"/>
      <c r="G38" s="784"/>
      <c r="H38" s="784"/>
      <c r="I38" s="784"/>
      <c r="J38" s="784"/>
      <c r="K38" s="784"/>
      <c r="L38" s="784"/>
      <c r="M38" s="784"/>
      <c r="N38" s="784"/>
      <c r="O38" s="784"/>
      <c r="P38" s="784"/>
      <c r="Q38" s="784"/>
      <c r="R38" s="784"/>
      <c r="S38" s="784"/>
      <c r="T38" s="784"/>
      <c r="U38" s="784"/>
      <c r="V38" s="784"/>
      <c r="W38" s="784"/>
      <c r="X38" s="784"/>
      <c r="Y38" s="784"/>
      <c r="Z38" s="784"/>
      <c r="AA38" s="784"/>
      <c r="AB38" s="784"/>
    </row>
  </sheetData>
  <customSheetViews>
    <customSheetView guid="{800416AC-1374-44AC-811C-612C85EF24E6}" scale="57" hiddenRows="1" state="hidden">
      <pane xSplit="1" ySplit="5" topLeftCell="B6" activePane="bottomRight" state="frozen"/>
      <selection pane="bottomRight" activeCell="B6" sqref="B6"/>
      <pageMargins left="0.7" right="0.7" top="0.75" bottom="0.75" header="0.3" footer="0.3"/>
    </customSheetView>
    <customSheetView guid="{FBC63E8F-69FE-4648-B709-FA1212EFFB29}" scale="57" hiddenRows="1" state="hidden">
      <pane xSplit="1" ySplit="5" topLeftCell="B6" activePane="bottomRight" state="frozen"/>
      <selection pane="bottomRight" activeCell="B6" sqref="B6"/>
      <pageMargins left="0.7" right="0.7" top="0.75" bottom="0.75" header="0.3" footer="0.3"/>
    </customSheetView>
    <customSheetView guid="{C7C13768-4A8D-4CBA-978C-F4A7B5550C00}" scale="57" hiddenRows="1" state="hidden">
      <pane xSplit="1" ySplit="5" topLeftCell="B6" activePane="bottomRight" state="frozen"/>
      <selection pane="bottomRight" activeCell="B6" sqref="B6"/>
      <pageMargins left="0.7" right="0.7" top="0.75" bottom="0.75" header="0.3" footer="0.3"/>
    </customSheetView>
    <customSheetView guid="{466708C2-41CE-4656-AB81-E1E49DF5945D}" scale="57" hiddenRows="1" state="hidden">
      <pane xSplit="1" ySplit="5" topLeftCell="B6" activePane="bottomRight" state="frozen"/>
      <selection pane="bottomRight" activeCell="B6" sqref="B6"/>
      <pageMargins left="0.7" right="0.7" top="0.75" bottom="0.75" header="0.3" footer="0.3"/>
    </customSheetView>
    <customSheetView guid="{E3A3AE56-8881-4A6F-9299-803C489AD1B4}" scale="57" hiddenRows="1" state="hidden">
      <pane xSplit="1" ySplit="5" topLeftCell="B6" activePane="bottomRight" state="frozen"/>
      <selection pane="bottomRight" activeCell="B6" sqref="B6"/>
      <pageMargins left="0.7" right="0.7" top="0.75" bottom="0.75" header="0.3" footer="0.3"/>
    </customSheetView>
    <customSheetView guid="{83044EFE-7F92-4F81-B034-85D9567158C2}" scale="57" hiddenRows="1" state="hidden">
      <pane xSplit="1" ySplit="5" topLeftCell="B6" activePane="bottomRight" state="frozen"/>
      <selection pane="bottomRight" activeCell="B6" sqref="B6"/>
      <pageMargins left="0.7" right="0.7" top="0.75" bottom="0.75" header="0.3" footer="0.3"/>
    </customSheetView>
    <customSheetView guid="{E4713981-DD11-40CE-BE52-873D93BDDE05}" scale="57" hiddenRows="1" state="hidden">
      <pane xSplit="1" ySplit="5" topLeftCell="B6" activePane="bottomRight" state="frozen"/>
      <selection pane="bottomRight" activeCell="B6" sqref="B6"/>
      <pageMargins left="0.7" right="0.7" top="0.75" bottom="0.75" header="0.3" footer="0.3"/>
    </customSheetView>
    <customSheetView guid="{442F9A23-CA6E-4109-B10C-ACF5FD36B859}" scale="57" hiddenRows="1" state="hidden">
      <pane xSplit="1" ySplit="5" topLeftCell="B6" activePane="bottomRight" state="frozen"/>
      <selection pane="bottomRight" activeCell="B6" sqref="B6"/>
      <pageMargins left="0.7" right="0.7" top="0.75" bottom="0.75" header="0.3" footer="0.3"/>
    </customSheetView>
    <customSheetView guid="{B434A8A8-5A4C-48C0-82E7-2458B9D2EEEF}" scale="57" hiddenRows="1" state="hidden">
      <pane xSplit="1" ySplit="5" topLeftCell="B6" activePane="bottomRight" state="frozen"/>
      <selection pane="bottomRight" activeCell="B6" sqref="B6"/>
      <pageMargins left="0.7" right="0.7" top="0.75" bottom="0.75" header="0.3" footer="0.3"/>
    </customSheetView>
    <customSheetView guid="{3827E543-57D2-48C8-B786-7077EA079DD2}" scale="57" hiddenRows="1" state="hidden">
      <pane xSplit="1" ySplit="5" topLeftCell="B6" activePane="bottomRight" state="frozen"/>
      <selection pane="bottomRight" activeCell="B6" sqref="B6"/>
      <pageMargins left="0.7" right="0.7" top="0.75" bottom="0.75" header="0.3" footer="0.3"/>
    </customSheetView>
    <customSheetView guid="{2EA8DBF7-9763-457C-AA9F-1EEB2F136D1F}" scale="57" hiddenRows="1" state="hidden">
      <pane xSplit="1" ySplit="5" topLeftCell="B6" activePane="bottomRight" state="frozen"/>
      <selection pane="bottomRight" activeCell="B6" sqref="B6"/>
      <pageMargins left="0.7" right="0.7" top="0.75" bottom="0.75" header="0.3" footer="0.3"/>
    </customSheetView>
    <customSheetView guid="{70582C04-BB53-4A99-A3C1-673011D9AE1C}" scale="57" hiddenRows="1" state="hidden">
      <pane xSplit="1" ySplit="5" topLeftCell="B6" activePane="bottomRight" state="frozen"/>
      <selection pane="bottomRight" activeCell="B6" sqref="B6"/>
      <pageMargins left="0.7" right="0.7" top="0.75" bottom="0.75" header="0.3" footer="0.3"/>
    </customSheetView>
    <customSheetView guid="{37F5A0AB-EB39-4832-9D67-F67D908BF486}" scale="57" hiddenRows="1" state="hidden">
      <pane xSplit="1" ySplit="5" topLeftCell="B6" activePane="bottomRight" state="frozen"/>
      <selection pane="bottomRight" activeCell="B6" sqref="B6"/>
      <pageMargins left="0.7" right="0.7" top="0.75" bottom="0.75" header="0.3" footer="0.3"/>
    </customSheetView>
    <customSheetView guid="{78AA4A71-CE17-4C4D-849E-E3E1A44EA907}" scale="57" hiddenRows="1" state="hidden">
      <pane xSplit="1" ySplit="5" topLeftCell="B6" activePane="bottomRight" state="frozen"/>
      <selection pane="bottomRight" activeCell="B6" sqref="B6"/>
      <pageMargins left="0.7" right="0.7" top="0.75" bottom="0.75" header="0.3" footer="0.3"/>
    </customSheetView>
    <customSheetView guid="{51DFD3D6-BC25-47B4-B28F-D640534DB3A9}" scale="57" hiddenRows="1" state="hidden">
      <pane xSplit="1" ySplit="5" topLeftCell="B6" activePane="bottomRight" state="frozen"/>
      <selection pane="bottomRight" activeCell="B6" sqref="B6"/>
      <pageMargins left="0.7" right="0.7" top="0.75" bottom="0.75" header="0.3" footer="0.3"/>
    </customSheetView>
    <customSheetView guid="{CA7E8063-5145-49E1-8E00-2E1025705A81}" scale="57" hiddenRows="1" state="hidden">
      <pane xSplit="1" ySplit="5" topLeftCell="B6" activePane="bottomRight" state="frozen"/>
      <selection pane="bottomRight" activeCell="B6" sqref="B6"/>
      <pageMargins left="0.7" right="0.7" top="0.75" bottom="0.75" header="0.3" footer="0.3"/>
    </customSheetView>
    <customSheetView guid="{75EE3B92-AF4D-4E93-A70E-6ADE60CC674F}" scale="57" hiddenRows="1" state="hidden">
      <pane xSplit="0.66923076923076918" ySplit="4.333333333333333" topLeftCell="B6" activePane="bottomRight" state="frozen"/>
      <selection pane="bottomRight" activeCell="B6" sqref="B6"/>
      <pageMargins left="0.7" right="0.7" top="0.75" bottom="0.75" header="0.3" footer="0.3"/>
    </customSheetView>
    <customSheetView guid="{29AC9BE3-332A-4738-949C-1F8C0D32BAEE}" scale="57" hiddenRows="1" state="hidden">
      <pane xSplit="1" ySplit="5" topLeftCell="B6" activePane="bottomRight" state="frozen"/>
      <selection pane="bottomRight" activeCell="B6" sqref="B6"/>
      <pageMargins left="0.7" right="0.7" top="0.75" bottom="0.75" header="0.3" footer="0.3"/>
    </customSheetView>
    <customSheetView guid="{42B0E8B1-ADFA-49AE-A83B-82D384737703}" scale="57" hiddenRows="1" state="hidden">
      <pane xSplit="1" ySplit="5" topLeftCell="B6" activePane="bottomRight" state="frozen"/>
      <selection pane="bottomRight" activeCell="B6" sqref="B6"/>
      <pageMargins left="0.7" right="0.7" top="0.75" bottom="0.75" header="0.3" footer="0.3"/>
    </customSheetView>
    <customSheetView guid="{D59DDBAA-620D-43B7-A6D9-759808D3397A}" scale="57" hiddenRows="1" state="hidden">
      <pane xSplit="1" ySplit="5" topLeftCell="B6" activePane="bottomRight" state="frozen"/>
      <selection pane="bottomRight" activeCell="B6" sqref="B6"/>
      <pageMargins left="0.7" right="0.7" top="0.75" bottom="0.75" header="0.3" footer="0.3"/>
    </customSheetView>
    <customSheetView guid="{F4A6298C-1A75-4FA9-A6A4-2BE13CCFE545}" scale="57" hiddenRows="1" state="hidden">
      <pane xSplit="1" ySplit="5" topLeftCell="B6" activePane="bottomRight" state="frozen"/>
      <selection pane="bottomRight" activeCell="B6" sqref="B6"/>
      <pageMargins left="0.7" right="0.7" top="0.75" bottom="0.75" header="0.3" footer="0.3"/>
    </customSheetView>
    <customSheetView guid="{9F91FBC4-6A13-42C2-A2D9-42A2AC814E28}" scale="57" hiddenRows="1" state="hidden">
      <pane xSplit="1" ySplit="5" topLeftCell="B6" activePane="bottomRight" state="frozen"/>
      <selection pane="bottomRight" activeCell="B6" sqref="B6"/>
      <pageMargins left="0.7" right="0.7" top="0.75" bottom="0.75" header="0.3" footer="0.3"/>
    </customSheetView>
    <customSheetView guid="{DF265C7B-1EEB-47EB-982A-6938E81F7AC2}" scale="57" hiddenRows="1" state="hidden">
      <pane xSplit="1" ySplit="5" topLeftCell="B6" activePane="bottomRight" state="frozen"/>
      <selection pane="bottomRight" activeCell="B6" sqref="B6"/>
      <pageMargins left="0.7" right="0.7" top="0.75" bottom="0.75" header="0.3" footer="0.3"/>
    </customSheetView>
    <customSheetView guid="{8263C9D2-452D-46FA-AFA0-452B42DC0298}" scale="57" hiddenRows="1" state="hidden">
      <pane xSplit="1" ySplit="5" topLeftCell="B6" activePane="bottomRight" state="frozen"/>
      <selection pane="bottomRight" activeCell="B6" sqref="B6"/>
      <pageMargins left="0.7" right="0.7" top="0.75" bottom="0.75" header="0.3" footer="0.3"/>
    </customSheetView>
    <customSheetView guid="{151EB58C-4EFD-4330-8D1A-8AACF5F7C679}" scale="57" hiddenRows="1" state="hidden">
      <pane xSplit="1" ySplit="5" topLeftCell="B6" activePane="bottomRight" state="frozen"/>
      <selection pane="bottomRight" activeCell="B6" sqref="B6"/>
      <pageMargins left="0.7" right="0.7" top="0.75" bottom="0.75" header="0.3" footer="0.3"/>
    </customSheetView>
    <customSheetView guid="{8CB67476-3FD4-42E0-ACD6-62ACA9412843}" scale="57" hiddenRows="1" state="hidden">
      <pane xSplit="1" ySplit="5" topLeftCell="B6" activePane="bottomRight" state="frozen"/>
      <selection pane="bottomRight" activeCell="B6" sqref="B6"/>
      <pageMargins left="0.7" right="0.7" top="0.75" bottom="0.75" header="0.3" footer="0.3"/>
    </customSheetView>
    <customSheetView guid="{51B3083F-A103-41AB-A137-63549C54B838}" scale="57" hiddenRows="1" state="hidden">
      <pane xSplit="1" ySplit="5" topLeftCell="B6" activePane="bottomRight" state="frozen"/>
      <selection pane="bottomRight" activeCell="B6" sqref="B6"/>
      <pageMargins left="0.7" right="0.7" top="0.75" bottom="0.75" header="0.3" footer="0.3"/>
    </customSheetView>
    <customSheetView guid="{E06B4FE8-6127-47B2-A6A5-4FAC9EEB4538}" scale="57" hiddenRows="1" state="hidden">
      <pane xSplit="1.2529411764705882" ySplit="5.4749999999999996" topLeftCell="B6" activePane="bottomRight" state="frozen"/>
      <selection pane="bottomRight" activeCell="B6" sqref="B6"/>
      <pageMargins left="0.7" right="0.7" top="0.75" bottom="0.75" header="0.3" footer="0.3"/>
    </customSheetView>
    <customSheetView guid="{593284E7-E32C-4D6C-8C2F-3DEEF9DEE1DF}" scale="57" hiddenRows="1" state="hidden">
      <pane xSplit="1" ySplit="5" topLeftCell="B6" activePane="bottomRight" state="frozen"/>
      <selection pane="bottomRight" activeCell="B6" sqref="B6"/>
      <pageMargins left="0.7" right="0.7" top="0.75" bottom="0.75" header="0.3" footer="0.3"/>
    </customSheetView>
    <customSheetView guid="{351EFD38-BF62-4E34-A37F-0EEB3E165043}" scale="57" hiddenRows="1" state="hidden">
      <pane xSplit="1" ySplit="5" topLeftCell="B6" activePane="bottomRight" state="frozen"/>
      <selection pane="bottomRight" activeCell="B6" sqref="B6"/>
      <pageMargins left="0.7" right="0.7" top="0.75" bottom="0.75" header="0.3" footer="0.3"/>
    </customSheetView>
    <customSheetView guid="{EB96DBE4-2D64-4388-853C-CB52A0CB79BA}" scale="57" hiddenRows="1" state="hidden">
      <pane xSplit="1" ySplit="5" topLeftCell="B6" activePane="bottomRight" state="frozen"/>
      <selection pane="bottomRight" activeCell="B6" sqref="B6"/>
      <pageMargins left="0.7" right="0.7" top="0.75" bottom="0.75" header="0.3" footer="0.3"/>
    </customSheetView>
    <customSheetView guid="{016CEBB2-C827-48F4-95E1-85D8C5129F41}" scale="57" hiddenRows="1" state="hidden">
      <pane xSplit="1" ySplit="5" topLeftCell="B6" activePane="bottomRight" state="frozen"/>
      <selection pane="bottomRight" activeCell="B6" sqref="B6"/>
      <pageMargins left="0.7" right="0.7" top="0.75" bottom="0.75" header="0.3" footer="0.3"/>
    </customSheetView>
    <customSheetView guid="{6702457D-A9A8-4F46-8E1C-BC7255F4BA77}" scale="57" hiddenRows="1" state="hidden">
      <pane xSplit="1" ySplit="5" topLeftCell="B6" activePane="bottomRight" state="frozen"/>
      <selection pane="bottomRight" activeCell="B6" sqref="B6"/>
      <pageMargins left="0.7" right="0.7" top="0.75" bottom="0.75" header="0.3" footer="0.3"/>
    </customSheetView>
    <customSheetView guid="{D27C51BB-BB54-4F37-8171-98067C39697C}" scale="57" hiddenRows="1" state="hidden">
      <pane xSplit="1" ySplit="5" topLeftCell="B6" activePane="bottomRight" state="frozen"/>
      <selection pane="bottomRight" activeCell="B6" sqref="B6"/>
      <pageMargins left="0.7" right="0.7" top="0.75" bottom="0.75" header="0.3" footer="0.3"/>
    </customSheetView>
    <customSheetView guid="{008CCD98-7480-4C51-806A-4B55C801DDC2}" scale="57" hiddenRows="1" state="hidden">
      <pane xSplit="1.5" ySplit="5.9743589743589745" topLeftCell="B6" activePane="bottomRight" state="frozen"/>
      <selection pane="bottomRight" activeCell="B6" sqref="B6"/>
      <pageMargins left="0.7" right="0.7" top="0.75" bottom="0.75" header="0.3" footer="0.3"/>
    </customSheetView>
    <customSheetView guid="{4E6F9C2D-76F2-4884-BBF6-E02A7BAE11EF}" scale="57" hiddenRows="1" state="hidden">
      <pane xSplit="1" ySplit="5" topLeftCell="B6" activePane="bottomRight" state="frozen"/>
      <selection pane="bottomRight" activeCell="B6" sqref="B6"/>
      <pageMargins left="0.7" right="0.7" top="0.75" bottom="0.75" header="0.3" footer="0.3"/>
    </customSheetView>
    <customSheetView guid="{C39AE06A-FC0A-4D7D-B287-2FA9CA174191}" scale="57" hiddenRows="1" state="hidden">
      <pane xSplit="1" ySplit="5" topLeftCell="B6" activePane="bottomRight" state="frozen"/>
      <selection pane="bottomRight" activeCell="B6" sqref="B6"/>
      <pageMargins left="0.7" right="0.7" top="0.75" bottom="0.75" header="0.3" footer="0.3"/>
    </customSheetView>
    <customSheetView guid="{D16D941B-FC89-4FEC-A49B-5FA2532584DE}" scale="57" hiddenRows="1" state="hidden">
      <pane xSplit="1" ySplit="5" topLeftCell="B6" activePane="bottomRight" state="frozen"/>
      <selection pane="bottomRight" activeCell="B6" sqref="B6"/>
      <pageMargins left="0.7" right="0.7" top="0.75" bottom="0.75" header="0.3" footer="0.3"/>
    </customSheetView>
    <customSheetView guid="{3BB18945-69B5-4B22-8D55-989F8F233459}" scale="57" hiddenRows="1" state="hidden">
      <pane xSplit="1" ySplit="5" topLeftCell="B6" activePane="bottomRight" state="frozen"/>
      <selection pane="bottomRight" activeCell="B6" sqref="B6"/>
      <pageMargins left="0.7" right="0.7" top="0.75" bottom="0.75" header="0.3" footer="0.3"/>
    </customSheetView>
    <customSheetView guid="{B84DA703-8C5B-4100-91A4-8807E303D379}" scale="57" hiddenRows="1" state="hidden">
      <pane xSplit="1" ySplit="5" topLeftCell="B6" activePane="bottomRight" state="frozen"/>
      <selection pane="bottomRight" activeCell="B6" sqref="B6"/>
      <pageMargins left="0.7" right="0.7" top="0.75" bottom="0.75" header="0.3" footer="0.3"/>
    </customSheetView>
    <customSheetView guid="{B0A28FD4-D7F6-428C-A7F7-92132DCD74BB}" scale="57" hiddenRows="1" state="hidden">
      <pane xSplit="1" ySplit="5" topLeftCell="B6" activePane="bottomRight" state="frozen"/>
      <selection pane="bottomRight" activeCell="B6" sqref="B6"/>
      <pageMargins left="0.7" right="0.7" top="0.75" bottom="0.75" header="0.3" footer="0.3"/>
    </customSheetView>
    <customSheetView guid="{3C97F0B0-2F3C-4E03-96E0-0C4FEC2F24AC}" scale="57" hiddenRows="1" state="hidden">
      <pane xSplit="1" ySplit="5" topLeftCell="B6" activePane="bottomRight" state="frozen"/>
      <selection pane="bottomRight" activeCell="B6" sqref="B6"/>
      <pageMargins left="0.7" right="0.7" top="0.75" bottom="0.75" header="0.3" footer="0.3"/>
    </customSheetView>
    <customSheetView guid="{A03C6B09-6B58-4DDE-A3B2-41A27A7049D9}" scale="57" hiddenRows="1" state="hidden">
      <pane xSplit="1" ySplit="5" topLeftCell="B6" activePane="bottomRight" state="frozen"/>
      <selection pane="bottomRight" activeCell="B6" sqref="B6"/>
      <pageMargins left="0.7" right="0.7" top="0.75" bottom="0.75" header="0.3" footer="0.3"/>
    </customSheetView>
    <customSheetView guid="{4EBEE699-7DEF-4A50-9CB7-490835CF0B98}" scale="57" hiddenRows="1" state="hidden">
      <pane xSplit="1" ySplit="5" topLeftCell="B6" activePane="bottomRight" state="frozen"/>
      <selection pane="bottomRight" activeCell="B6" sqref="B6"/>
      <pageMargins left="0.7" right="0.7" top="0.75" bottom="0.75" header="0.3" footer="0.3"/>
    </customSheetView>
    <customSheetView guid="{451730E2-FFE9-4FCE-B8B5-64952C26C672}" scale="57" hiddenRows="1" state="hidden">
      <pane xSplit="1" ySplit="5" topLeftCell="B6" activePane="bottomRight" state="frozen"/>
      <selection pane="bottomRight" activeCell="B6" sqref="B6"/>
      <pageMargins left="0.7" right="0.7" top="0.75" bottom="0.75" header="0.3" footer="0.3"/>
    </customSheetView>
    <customSheetView guid="{9AF6E233-883D-48B4-95AB-42B37199AB9E}" scale="57" hiddenRows="1" state="hidden">
      <pane xSplit="1" ySplit="5" topLeftCell="B6" activePane="bottomRight" state="frozen"/>
      <selection pane="bottomRight" activeCell="B6" sqref="B6"/>
      <pageMargins left="0.7" right="0.7" top="0.75" bottom="0.75" header="0.3" footer="0.3"/>
    </customSheetView>
    <customSheetView guid="{1ECD6E30-299B-4354-A416-2DAFF33C7022}" scale="57" hiddenRows="1" state="hidden">
      <pane xSplit="1" ySplit="5" topLeftCell="B6" activePane="bottomRight" state="frozen"/>
      <selection pane="bottomRight" activeCell="B6" sqref="B6"/>
      <pageMargins left="0.7" right="0.7" top="0.75" bottom="0.75" header="0.3" footer="0.3"/>
    </customSheetView>
    <customSheetView guid="{97D58294-343B-4B62-A826-0DDDE29B5F0D}" scale="57" hiddenRows="1" state="hidden">
      <pane xSplit="1" ySplit="5" topLeftCell="B6" activePane="bottomRight" state="frozen"/>
      <selection pane="bottomRight" activeCell="B6" sqref="B6"/>
      <pageMargins left="0.7" right="0.7" top="0.75" bottom="0.75" header="0.3" footer="0.3"/>
    </customSheetView>
    <customSheetView guid="{BDCD1595-C0B8-4F6C-B01C-3472C895B827}" scale="57" hiddenRows="1" state="hidden">
      <pane xSplit="1" ySplit="5" topLeftCell="B6" activePane="bottomRight" state="frozen"/>
      <selection pane="bottomRight" activeCell="B6" sqref="B6"/>
      <pageMargins left="0.7" right="0.7" top="0.75" bottom="0.75" header="0.3" footer="0.3"/>
    </customSheetView>
    <customSheetView guid="{9355C9F4-9C07-4A93-B7F2-69F1D1526716}" scale="57" hiddenRows="1" state="hidden">
      <pane xSplit="1" ySplit="5" topLeftCell="B6" activePane="bottomRight" state="frozen"/>
      <selection pane="bottomRight" activeCell="B6" sqref="B6"/>
      <pageMargins left="0.7" right="0.7" top="0.75" bottom="0.75" header="0.3" footer="0.3"/>
    </customSheetView>
    <customSheetView guid="{F5FA2A23-9E46-4C2F-B1EE-B71787F95C57}" scale="57" hiddenRows="1" state="hidden">
      <pane xSplit="1" ySplit="5" topLeftCell="B6" activePane="bottomRight" state="frozen"/>
      <selection pane="bottomRight" activeCell="B6" sqref="B6"/>
      <pageMargins left="0.7" right="0.7" top="0.75" bottom="0.75" header="0.3" footer="0.3"/>
    </customSheetView>
    <customSheetView guid="{B95D32C7-1418-4EF6-8936-849885C54A4A}" scale="57" hiddenRows="1" state="hidden">
      <pane xSplit="1" ySplit="5" topLeftCell="B6" activePane="bottomRight" state="frozen"/>
      <selection pane="bottomRight" activeCell="B6" sqref="B6"/>
      <pageMargins left="0.7" right="0.7" top="0.75" bottom="0.75" header="0.3" footer="0.3"/>
    </customSheetView>
    <customSheetView guid="{602520CD-F98C-43A6-AA0D-88893E9CB6E8}" scale="57" hiddenRows="1" state="hidden">
      <pane xSplit="1" ySplit="5" topLeftCell="B6" activePane="bottomRight" state="frozen"/>
      <selection pane="bottomRight" activeCell="B6" sqref="B6"/>
      <pageMargins left="0.7" right="0.7" top="0.75" bottom="0.75" header="0.3" footer="0.3"/>
    </customSheetView>
    <customSheetView guid="{A8E976B8-D767-4DB4-82BD-ABE90880F33F}" scale="57" hiddenRows="1" state="hidden">
      <pane xSplit="1" ySplit="5" topLeftCell="B6" activePane="bottomRight" state="frozen"/>
      <selection pane="bottomRight" activeCell="B6" sqref="B6"/>
      <pageMargins left="0.7" right="0.7" top="0.75" bottom="0.75" header="0.3" footer="0.3"/>
    </customSheetView>
    <customSheetView guid="{D850720D-4A1C-48F2-8E1D-8E09B7414A1A}" scale="57" hiddenRows="1" state="hidden">
      <pane xSplit="1" ySplit="5" topLeftCell="B6" activePane="bottomRight" state="frozen"/>
      <selection pane="bottomRight" activeCell="B6" sqref="B6"/>
      <pageMargins left="0.7" right="0.7" top="0.75" bottom="0.75" header="0.3" footer="0.3"/>
    </customSheetView>
    <customSheetView guid="{C57A83F1-F5A3-470B-9579-6A222C54F4E8}" scale="57" hiddenRows="1" state="hidden">
      <pane xSplit="1" ySplit="5" topLeftCell="B6" activePane="bottomRight" state="frozen"/>
      <selection pane="bottomRight" activeCell="B6" sqref="B6"/>
      <pageMargins left="0.7" right="0.7" top="0.75" bottom="0.75" header="0.3" footer="0.3"/>
    </customSheetView>
    <customSheetView guid="{2608BE9B-66AC-4D4C-8EE0-E88C94E88140}" scale="57" hiddenRows="1" state="hidden">
      <pane xSplit="1.2529411764705882" ySplit="5.4749999999999996" topLeftCell="B6" activePane="bottomRight" state="frozen"/>
      <selection pane="bottomRight" activeCell="B6" sqref="B6"/>
      <pageMargins left="0.7" right="0.7" top="0.75" bottom="0.75" header="0.3" footer="0.3"/>
    </customSheetView>
    <customSheetView guid="{EDD5A64E-02C0-4DD6-80BA-449123FCDAA2}" scale="57" hiddenRows="1" state="hidden">
      <pane xSplit="1" ySplit="5" topLeftCell="B6" activePane="bottomRight" state="frozen"/>
      <selection pane="bottomRight" activeCell="B6" sqref="B6"/>
      <pageMargins left="0.7" right="0.7" top="0.75" bottom="0.75" header="0.3" footer="0.3"/>
    </customSheetView>
    <customSheetView guid="{B8317A9A-0FFD-4A18-80F7-203DB2FC8CA5}" scale="57" hiddenRows="1" state="hidden">
      <pane xSplit="1.4942528735632183" ySplit="5" topLeftCell="B6" activePane="bottomRight" state="frozen"/>
      <selection pane="bottomRight" activeCell="B6" sqref="B6"/>
      <pageMargins left="0.7" right="0.7" top="0.75" bottom="0.75" header="0.3" footer="0.3"/>
    </customSheetView>
    <customSheetView guid="{7E571F1D-D438-4605-90D6-3F831F76D652}" scale="57" hiddenRows="1" state="hidden">
      <pane xSplit="1" ySplit="5" topLeftCell="B6" activePane="bottomRight" state="frozen"/>
      <selection pane="bottomRight" activeCell="B6" sqref="B6"/>
      <pageMargins left="0.7" right="0.7" top="0.75" bottom="0.75" header="0.3" footer="0.3"/>
    </customSheetView>
  </customSheetViews>
  <mergeCells count="36">
    <mergeCell ref="A9:AB9"/>
    <mergeCell ref="A12:AB12"/>
    <mergeCell ref="A13:AB13"/>
    <mergeCell ref="B2:K2"/>
    <mergeCell ref="L2:AA2"/>
    <mergeCell ref="B3:C3"/>
    <mergeCell ref="D3:I3"/>
    <mergeCell ref="J3:K3"/>
    <mergeCell ref="L3:M3"/>
    <mergeCell ref="O3:T3"/>
    <mergeCell ref="U3:AA3"/>
    <mergeCell ref="A8:AB8"/>
    <mergeCell ref="B4:C4"/>
    <mergeCell ref="D4:E4"/>
    <mergeCell ref="F4:G4"/>
    <mergeCell ref="H4:I4"/>
    <mergeCell ref="L4:M4"/>
    <mergeCell ref="O4:Q4"/>
    <mergeCell ref="R4:T4"/>
    <mergeCell ref="Z4:AA4"/>
    <mergeCell ref="B5:C5"/>
    <mergeCell ref="D5:E5"/>
    <mergeCell ref="L5:M5"/>
    <mergeCell ref="A16:AB16"/>
    <mergeCell ref="A17:AB17"/>
    <mergeCell ref="A33:AB33"/>
    <mergeCell ref="A36:AB36"/>
    <mergeCell ref="A37:AB37"/>
    <mergeCell ref="A20:AB20"/>
    <mergeCell ref="A38:AB38"/>
    <mergeCell ref="A21:AB21"/>
    <mergeCell ref="A24:AB24"/>
    <mergeCell ref="A25:AB25"/>
    <mergeCell ref="A28:AB28"/>
    <mergeCell ref="A29:AB29"/>
    <mergeCell ref="A32:AB32"/>
  </mergeCells>
  <conditionalFormatting sqref="B6 L6 AB6 B10 L10 AB10 B14 L14 AB14 B18 L18 AB18 B22 L22 AB22 B26 L26 AB26 B30 L30 AB30 B34 AB34">
    <cfRule type="cellIs" dxfId="679" priority="7" operator="equal">
      <formula>"G"</formula>
    </cfRule>
    <cfRule type="cellIs" dxfId="678" priority="8" operator="equal">
      <formula>"R"</formula>
    </cfRule>
    <cfRule type="cellIs" dxfId="677" priority="9" operator="equal">
      <formula>"A"</formula>
    </cfRule>
  </conditionalFormatting>
  <conditionalFormatting sqref="L34">
    <cfRule type="cellIs" dxfId="676" priority="1" operator="equal">
      <formula>"G"</formula>
    </cfRule>
    <cfRule type="cellIs" dxfId="675" priority="2" operator="equal">
      <formula>"R"</formula>
    </cfRule>
    <cfRule type="cellIs" dxfId="674" priority="3" operator="equal">
      <formula>"A"</formula>
    </cfRule>
  </conditionalFormatting>
  <conditionalFormatting sqref="X6:Y6 X10:Y10 X14:Y14 X18:Y18 X22:Y22 X26:Y26 X30:Y30 X34:Y34">
    <cfRule type="cellIs" dxfId="673" priority="4" operator="between">
      <formula>0</formula>
      <formula>0.95</formula>
    </cfRule>
    <cfRule type="cellIs" dxfId="672" priority="5" operator="between">
      <formula>1</formula>
      <formula>0.95</formula>
    </cfRule>
    <cfRule type="cellIs" dxfId="671" priority="6" operator="greaterThanOrEqual">
      <formula>1</formula>
    </cfRule>
  </conditionalFormatting>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567AEA-DEAD-4658-9340-FC7B6FBA0917}">
  <sheetPr codeName="Sheet12"/>
  <dimension ref="A1:AB75"/>
  <sheetViews>
    <sheetView zoomScale="55" zoomScaleNormal="55" workbookViewId="0">
      <pane ySplit="5" topLeftCell="A50" activePane="bottomLeft" state="frozen"/>
      <selection pane="bottomLeft" activeCell="K62" sqref="K62"/>
    </sheetView>
  </sheetViews>
  <sheetFormatPr defaultColWidth="9.3828125" defaultRowHeight="14.6" outlineLevelRow="1" x14ac:dyDescent="0.4"/>
  <cols>
    <col min="1" max="1" width="41.61328125" style="457" customWidth="1"/>
    <col min="2" max="2" width="10.3828125" style="457" customWidth="1"/>
    <col min="3" max="3" width="9.3828125" style="457" customWidth="1"/>
    <col min="4" max="4" width="13.53515625" style="457" customWidth="1"/>
    <col min="5" max="5" width="12.53515625" style="457" customWidth="1"/>
    <col min="6" max="6" width="13.53515625" style="457" customWidth="1"/>
    <col min="7" max="7" width="13" style="457" customWidth="1"/>
    <col min="8" max="8" width="12.61328125" style="457" customWidth="1"/>
    <col min="9" max="9" width="12.3828125" style="457" customWidth="1"/>
    <col min="10" max="10" width="13.53515625" style="457" customWidth="1"/>
    <col min="11" max="11" width="13.3828125" style="457" customWidth="1"/>
    <col min="12" max="13" width="9.3828125" style="457"/>
    <col min="14" max="14" width="13.3828125" style="457" customWidth="1"/>
    <col min="15" max="16" width="12.3828125" style="457" customWidth="1"/>
    <col min="17" max="17" width="12.53515625" style="457" customWidth="1"/>
    <col min="18" max="18" width="12.3828125" style="457" customWidth="1"/>
    <col min="19" max="19" width="12" style="457" customWidth="1"/>
    <col min="20" max="20" width="13.3828125" style="457" customWidth="1"/>
    <col min="21" max="21" width="13.53515625" style="457" customWidth="1"/>
    <col min="22" max="22" width="13.61328125" style="457" customWidth="1"/>
    <col min="23" max="23" width="13.3828125" style="457" customWidth="1"/>
    <col min="24" max="24" width="8.53515625" style="457" customWidth="1"/>
    <col min="25" max="25" width="9" style="457" customWidth="1"/>
    <col min="26" max="26" width="13.53515625" style="457" customWidth="1"/>
    <col min="27" max="27" width="13.3828125" style="457" customWidth="1"/>
    <col min="28" max="28" width="11.3828125" style="457" customWidth="1"/>
    <col min="29" max="16384" width="9.3828125" style="457"/>
  </cols>
  <sheetData>
    <row r="1" spans="1:28" ht="1.5" customHeight="1" x14ac:dyDescent="0.4"/>
    <row r="2" spans="1:28" x14ac:dyDescent="0.4">
      <c r="A2" s="307" t="s">
        <v>216</v>
      </c>
      <c r="B2" s="770" t="s">
        <v>217</v>
      </c>
      <c r="C2" s="763"/>
      <c r="D2" s="763"/>
      <c r="E2" s="763"/>
      <c r="F2" s="763"/>
      <c r="G2" s="763"/>
      <c r="H2" s="763"/>
      <c r="I2" s="763"/>
      <c r="J2" s="763"/>
      <c r="K2" s="764"/>
      <c r="L2" s="765" t="s">
        <v>69</v>
      </c>
      <c r="M2" s="763"/>
      <c r="N2" s="763"/>
      <c r="O2" s="763"/>
      <c r="P2" s="763"/>
      <c r="Q2" s="763"/>
      <c r="R2" s="763"/>
      <c r="S2" s="763"/>
      <c r="T2" s="763"/>
      <c r="U2" s="763"/>
      <c r="V2" s="763"/>
      <c r="W2" s="763"/>
      <c r="X2" s="763"/>
      <c r="Y2" s="763"/>
      <c r="Z2" s="763"/>
      <c r="AA2" s="764"/>
      <c r="AB2" s="308" t="s">
        <v>216</v>
      </c>
    </row>
    <row r="3" spans="1:28" x14ac:dyDescent="0.4">
      <c r="A3" s="309" t="s">
        <v>216</v>
      </c>
      <c r="B3" s="771" t="s">
        <v>216</v>
      </c>
      <c r="C3" s="772"/>
      <c r="D3" s="773" t="s">
        <v>48</v>
      </c>
      <c r="E3" s="763"/>
      <c r="F3" s="763"/>
      <c r="G3" s="763"/>
      <c r="H3" s="763"/>
      <c r="I3" s="764"/>
      <c r="J3" s="773" t="s">
        <v>30</v>
      </c>
      <c r="K3" s="764"/>
      <c r="L3" s="771" t="s">
        <v>216</v>
      </c>
      <c r="M3" s="772"/>
      <c r="N3" s="461" t="s">
        <v>216</v>
      </c>
      <c r="O3" s="773" t="s">
        <v>33</v>
      </c>
      <c r="P3" s="763"/>
      <c r="Q3" s="763"/>
      <c r="R3" s="763"/>
      <c r="S3" s="763"/>
      <c r="T3" s="764"/>
      <c r="U3" s="773" t="s">
        <v>218</v>
      </c>
      <c r="V3" s="763"/>
      <c r="W3" s="763"/>
      <c r="X3" s="763"/>
      <c r="Y3" s="763"/>
      <c r="Z3" s="763"/>
      <c r="AA3" s="764"/>
      <c r="AB3" s="310" t="s">
        <v>216</v>
      </c>
    </row>
    <row r="4" spans="1:28" ht="15.45" x14ac:dyDescent="0.4">
      <c r="A4" s="311" t="s">
        <v>216</v>
      </c>
      <c r="B4" s="781" t="s">
        <v>216</v>
      </c>
      <c r="C4" s="777"/>
      <c r="D4" s="782" t="s">
        <v>216</v>
      </c>
      <c r="E4" s="772"/>
      <c r="F4" s="765" t="s">
        <v>73</v>
      </c>
      <c r="G4" s="764"/>
      <c r="H4" s="765" t="s">
        <v>74</v>
      </c>
      <c r="I4" s="764"/>
      <c r="J4" s="312" t="s">
        <v>216</v>
      </c>
      <c r="K4" s="312" t="s">
        <v>216</v>
      </c>
      <c r="L4" s="766" t="s">
        <v>216</v>
      </c>
      <c r="M4" s="767"/>
      <c r="N4" s="460" t="s">
        <v>216</v>
      </c>
      <c r="O4" s="762" t="s">
        <v>73</v>
      </c>
      <c r="P4" s="763"/>
      <c r="Q4" s="764"/>
      <c r="R4" s="762" t="s">
        <v>74</v>
      </c>
      <c r="S4" s="763"/>
      <c r="T4" s="764"/>
      <c r="U4" s="458" t="s">
        <v>216</v>
      </c>
      <c r="V4" s="458" t="s">
        <v>216</v>
      </c>
      <c r="W4" s="458" t="s">
        <v>216</v>
      </c>
      <c r="X4" s="458" t="s">
        <v>216</v>
      </c>
      <c r="Y4" s="458" t="s">
        <v>216</v>
      </c>
      <c r="Z4" s="762" t="s">
        <v>80</v>
      </c>
      <c r="AA4" s="764"/>
      <c r="AB4" s="460" t="s">
        <v>216</v>
      </c>
    </row>
    <row r="5" spans="1:28" ht="49.75" x14ac:dyDescent="0.4">
      <c r="A5" s="313" t="s">
        <v>219</v>
      </c>
      <c r="B5" s="776" t="s">
        <v>220</v>
      </c>
      <c r="C5" s="777"/>
      <c r="D5" s="774" t="s">
        <v>221</v>
      </c>
      <c r="E5" s="775"/>
      <c r="F5" s="459" t="s">
        <v>222</v>
      </c>
      <c r="G5" s="459" t="s">
        <v>223</v>
      </c>
      <c r="H5" s="314" t="s">
        <v>222</v>
      </c>
      <c r="I5" s="315" t="s">
        <v>223</v>
      </c>
      <c r="J5" s="316" t="s">
        <v>224</v>
      </c>
      <c r="K5" s="316" t="s">
        <v>2</v>
      </c>
      <c r="L5" s="778" t="s">
        <v>68</v>
      </c>
      <c r="M5" s="767"/>
      <c r="N5" s="316" t="s">
        <v>225</v>
      </c>
      <c r="O5" s="459" t="s">
        <v>81</v>
      </c>
      <c r="P5" s="459" t="s">
        <v>226</v>
      </c>
      <c r="Q5" s="459" t="s">
        <v>92</v>
      </c>
      <c r="R5" s="459" t="s">
        <v>81</v>
      </c>
      <c r="S5" s="459" t="s">
        <v>84</v>
      </c>
      <c r="T5" s="459" t="s">
        <v>227</v>
      </c>
      <c r="U5" s="317" t="s">
        <v>228</v>
      </c>
      <c r="V5" s="317" t="s">
        <v>229</v>
      </c>
      <c r="W5" s="317" t="s">
        <v>230</v>
      </c>
      <c r="X5" s="317" t="s">
        <v>231</v>
      </c>
      <c r="Y5" s="317" t="s">
        <v>232</v>
      </c>
      <c r="Z5" s="459" t="s">
        <v>215</v>
      </c>
      <c r="AA5" s="459" t="s">
        <v>86</v>
      </c>
      <c r="AB5" s="313" t="s">
        <v>70</v>
      </c>
    </row>
    <row r="6" spans="1:28" x14ac:dyDescent="0.4">
      <c r="A6" s="319" t="s">
        <v>96</v>
      </c>
      <c r="B6" s="320" t="s">
        <v>91</v>
      </c>
      <c r="C6" s="321">
        <v>0</v>
      </c>
      <c r="D6" s="322" t="s">
        <v>233</v>
      </c>
      <c r="E6" s="323">
        <v>45190</v>
      </c>
      <c r="F6" s="324">
        <v>775876000</v>
      </c>
      <c r="G6" s="324">
        <v>837100000</v>
      </c>
      <c r="H6" s="325">
        <v>49490</v>
      </c>
      <c r="I6" s="325">
        <v>49795</v>
      </c>
      <c r="J6" s="324">
        <v>382000000</v>
      </c>
      <c r="K6" s="324">
        <v>186000000</v>
      </c>
      <c r="L6" s="326" t="s">
        <v>91</v>
      </c>
      <c r="M6" s="321">
        <v>0</v>
      </c>
      <c r="N6" s="327">
        <v>44986</v>
      </c>
      <c r="O6" s="324">
        <v>743343144</v>
      </c>
      <c r="P6" s="324">
        <v>742319219.89999998</v>
      </c>
      <c r="Q6" s="324">
        <v>981213.53</v>
      </c>
      <c r="R6" s="325">
        <v>49490</v>
      </c>
      <c r="S6" s="325">
        <v>49490</v>
      </c>
      <c r="T6" s="328">
        <v>0</v>
      </c>
      <c r="U6" s="324">
        <v>63832987.640000001</v>
      </c>
      <c r="V6" s="324">
        <v>52025987.258599997</v>
      </c>
      <c r="W6" s="324">
        <v>46703968.200000003</v>
      </c>
      <c r="X6" s="329">
        <v>1.1139521814465436</v>
      </c>
      <c r="Y6" s="330">
        <v>0.81503293488332174</v>
      </c>
      <c r="Z6" s="318">
        <f>U6/O6</f>
        <v>8.5872841036117767E-2</v>
      </c>
      <c r="AA6" s="318">
        <f>V6/O6</f>
        <v>6.9989193656436008E-2</v>
      </c>
      <c r="AB6" s="320" t="s">
        <v>91</v>
      </c>
    </row>
    <row r="7" spans="1:28" ht="17.25" customHeight="1" outlineLevel="1" collapsed="1" x14ac:dyDescent="0.4">
      <c r="A7" s="319" t="s">
        <v>216</v>
      </c>
      <c r="B7" s="331" t="s">
        <v>216</v>
      </c>
      <c r="C7" s="332" t="str" cm="1">
        <f t="array" ref="C7">_xlfn.SWITCH(C6,-1,"i",0,"g",1,"h")</f>
        <v>g</v>
      </c>
      <c r="D7" s="322" t="s">
        <v>216</v>
      </c>
      <c r="E7" s="322" t="s">
        <v>216</v>
      </c>
      <c r="F7" s="333" t="s">
        <v>216</v>
      </c>
      <c r="G7" s="333" t="s">
        <v>216</v>
      </c>
      <c r="H7" s="333" t="s">
        <v>216</v>
      </c>
      <c r="I7" s="333" t="s">
        <v>216</v>
      </c>
      <c r="J7" s="333" t="s">
        <v>216</v>
      </c>
      <c r="K7" s="333" t="s">
        <v>216</v>
      </c>
      <c r="L7" s="331" t="s">
        <v>216</v>
      </c>
      <c r="M7" s="332" t="str" cm="1">
        <f t="array" ref="M7">_xlfn.SWITCH(M6,-1,"i",0,"g",1,"h")</f>
        <v>g</v>
      </c>
      <c r="N7" s="333" t="s">
        <v>216</v>
      </c>
      <c r="O7" s="333" t="s">
        <v>216</v>
      </c>
      <c r="P7" s="333" t="s">
        <v>216</v>
      </c>
      <c r="Q7" s="333" t="s">
        <v>216</v>
      </c>
      <c r="R7" s="333" t="s">
        <v>216</v>
      </c>
      <c r="S7" s="333" t="s">
        <v>216</v>
      </c>
      <c r="T7" s="333" t="s">
        <v>216</v>
      </c>
      <c r="U7" s="333" t="s">
        <v>216</v>
      </c>
      <c r="V7" s="333" t="s">
        <v>216</v>
      </c>
      <c r="W7" s="333" t="s">
        <v>216</v>
      </c>
      <c r="X7" s="334" t="s">
        <v>216</v>
      </c>
      <c r="Y7" s="335" t="s">
        <v>216</v>
      </c>
      <c r="Z7" s="333" t="s">
        <v>216</v>
      </c>
      <c r="AA7" s="333" t="s">
        <v>216</v>
      </c>
      <c r="AB7" s="333" t="s">
        <v>216</v>
      </c>
    </row>
    <row r="8" spans="1:28" ht="17.25" customHeight="1" x14ac:dyDescent="0.4">
      <c r="A8" s="769"/>
      <c r="B8" s="763"/>
      <c r="C8" s="763"/>
      <c r="D8" s="763"/>
      <c r="E8" s="763"/>
      <c r="F8" s="763"/>
      <c r="G8" s="763"/>
      <c r="H8" s="763"/>
      <c r="I8" s="763"/>
      <c r="J8" s="763"/>
      <c r="K8" s="763"/>
      <c r="L8" s="763"/>
      <c r="M8" s="763"/>
      <c r="N8" s="763"/>
      <c r="O8" s="763"/>
      <c r="P8" s="763"/>
      <c r="Q8" s="763"/>
      <c r="R8" s="763"/>
      <c r="S8" s="763"/>
      <c r="T8" s="763"/>
      <c r="U8" s="763"/>
      <c r="V8" s="763"/>
      <c r="W8" s="763"/>
      <c r="X8" s="763"/>
      <c r="Y8" s="763"/>
      <c r="Z8" s="763"/>
      <c r="AA8" s="763"/>
      <c r="AB8" s="764"/>
    </row>
    <row r="9" spans="1:28" ht="8.25" customHeight="1" x14ac:dyDescent="0.4">
      <c r="A9" s="783" t="s">
        <v>216</v>
      </c>
      <c r="B9" s="784"/>
      <c r="C9" s="784"/>
      <c r="D9" s="784"/>
      <c r="E9" s="784"/>
      <c r="F9" s="784"/>
      <c r="G9" s="784"/>
      <c r="H9" s="784"/>
      <c r="I9" s="784"/>
      <c r="J9" s="784"/>
      <c r="K9" s="784"/>
      <c r="L9" s="784"/>
      <c r="M9" s="784"/>
      <c r="N9" s="784"/>
      <c r="O9" s="784"/>
      <c r="P9" s="784"/>
      <c r="Q9" s="784"/>
      <c r="R9" s="784"/>
      <c r="S9" s="784"/>
      <c r="T9" s="784"/>
      <c r="U9" s="784"/>
      <c r="V9" s="784"/>
      <c r="W9" s="784"/>
      <c r="X9" s="784"/>
      <c r="Y9" s="784"/>
      <c r="Z9" s="784"/>
      <c r="AA9" s="784"/>
      <c r="AB9" s="784"/>
    </row>
    <row r="10" spans="1:28" x14ac:dyDescent="0.4">
      <c r="A10" s="319" t="s">
        <v>98</v>
      </c>
      <c r="B10" s="320" t="s">
        <v>91</v>
      </c>
      <c r="C10" s="321">
        <v>0</v>
      </c>
      <c r="D10" s="322" t="s">
        <v>235</v>
      </c>
      <c r="E10" s="323">
        <v>44743</v>
      </c>
      <c r="F10" s="324">
        <v>1316000000</v>
      </c>
      <c r="G10" s="324">
        <v>1512000000</v>
      </c>
      <c r="H10" s="325">
        <v>46332</v>
      </c>
      <c r="I10" s="325">
        <v>46847</v>
      </c>
      <c r="J10" s="324">
        <v>1512000000</v>
      </c>
      <c r="K10" s="324">
        <v>1333000000</v>
      </c>
      <c r="L10" s="336" t="s">
        <v>90</v>
      </c>
      <c r="M10" s="321">
        <v>0</v>
      </c>
      <c r="N10" s="327">
        <v>45212</v>
      </c>
      <c r="O10" s="324">
        <v>1321373776</v>
      </c>
      <c r="P10" s="324">
        <v>1397895418.8499999</v>
      </c>
      <c r="Q10" s="324">
        <v>1389.59</v>
      </c>
      <c r="R10" s="325">
        <v>46332</v>
      </c>
      <c r="S10" s="325">
        <v>46427</v>
      </c>
      <c r="T10" s="328">
        <v>0</v>
      </c>
      <c r="U10" s="324">
        <v>1136053322.96</v>
      </c>
      <c r="V10" s="324">
        <v>1093621914.7543001</v>
      </c>
      <c r="W10" s="324">
        <v>1186481609.5799999</v>
      </c>
      <c r="X10" s="330">
        <v>0.92173524302785337</v>
      </c>
      <c r="Y10" s="329">
        <v>0.96265016144211923</v>
      </c>
      <c r="Z10" s="318">
        <f>U10/O10</f>
        <v>0.85975167934617769</v>
      </c>
      <c r="AA10" s="318">
        <f>V10/O10</f>
        <v>0.82764009292273111</v>
      </c>
      <c r="AB10" s="337" t="s">
        <v>91</v>
      </c>
    </row>
    <row r="11" spans="1:28" ht="24.9" outlineLevel="1" collapsed="1" x14ac:dyDescent="0.4">
      <c r="A11" s="319" t="s">
        <v>216</v>
      </c>
      <c r="B11" s="331" t="s">
        <v>216</v>
      </c>
      <c r="C11" s="332" t="str" cm="1">
        <f t="array" ref="C11">_xlfn.SWITCH(C10,-1,"i",0,"g",1,"h")</f>
        <v>g</v>
      </c>
      <c r="D11" s="322" t="s">
        <v>216</v>
      </c>
      <c r="E11" s="322" t="s">
        <v>216</v>
      </c>
      <c r="F11" s="333" t="s">
        <v>216</v>
      </c>
      <c r="G11" s="333" t="s">
        <v>216</v>
      </c>
      <c r="H11" s="333" t="s">
        <v>216</v>
      </c>
      <c r="I11" s="333" t="s">
        <v>216</v>
      </c>
      <c r="J11" s="333" t="s">
        <v>216</v>
      </c>
      <c r="K11" s="333" t="s">
        <v>216</v>
      </c>
      <c r="L11" s="331" t="s">
        <v>216</v>
      </c>
      <c r="M11" s="332" t="str" cm="1">
        <f t="array" ref="M11">_xlfn.SWITCH(M10,-1,"i",0,"g",1,"h")</f>
        <v>g</v>
      </c>
      <c r="N11" s="333" t="s">
        <v>216</v>
      </c>
      <c r="O11" s="333" t="s">
        <v>216</v>
      </c>
      <c r="P11" s="333" t="s">
        <v>216</v>
      </c>
      <c r="Q11" s="333" t="s">
        <v>216</v>
      </c>
      <c r="R11" s="333" t="s">
        <v>216</v>
      </c>
      <c r="S11" s="333" t="s">
        <v>216</v>
      </c>
      <c r="T11" s="333" t="s">
        <v>216</v>
      </c>
      <c r="U11" s="333" t="s">
        <v>216</v>
      </c>
      <c r="V11" s="333" t="s">
        <v>216</v>
      </c>
      <c r="W11" s="333" t="s">
        <v>216</v>
      </c>
      <c r="X11" s="335" t="s">
        <v>216</v>
      </c>
      <c r="Y11" s="334" t="s">
        <v>216</v>
      </c>
      <c r="Z11" s="333" t="s">
        <v>216</v>
      </c>
      <c r="AA11" s="333" t="s">
        <v>216</v>
      </c>
      <c r="AB11" s="338" t="s">
        <v>216</v>
      </c>
    </row>
    <row r="12" spans="1:28" ht="17.25" customHeight="1" x14ac:dyDescent="0.4">
      <c r="A12" s="769"/>
      <c r="B12" s="763"/>
      <c r="C12" s="763"/>
      <c r="D12" s="763"/>
      <c r="E12" s="763"/>
      <c r="F12" s="763"/>
      <c r="G12" s="763"/>
      <c r="H12" s="763"/>
      <c r="I12" s="763"/>
      <c r="J12" s="763"/>
      <c r="K12" s="763"/>
      <c r="L12" s="763"/>
      <c r="M12" s="763"/>
      <c r="N12" s="763"/>
      <c r="O12" s="763"/>
      <c r="P12" s="763"/>
      <c r="Q12" s="763"/>
      <c r="R12" s="763"/>
      <c r="S12" s="763"/>
      <c r="T12" s="763"/>
      <c r="U12" s="763"/>
      <c r="V12" s="763"/>
      <c r="W12" s="763"/>
      <c r="X12" s="763"/>
      <c r="Y12" s="763"/>
      <c r="Z12" s="763"/>
      <c r="AA12" s="763"/>
      <c r="AB12" s="764"/>
    </row>
    <row r="13" spans="1:28" ht="8.25" customHeight="1" x14ac:dyDescent="0.4">
      <c r="A13" s="783" t="s">
        <v>216</v>
      </c>
      <c r="B13" s="784"/>
      <c r="C13" s="784"/>
      <c r="D13" s="784"/>
      <c r="E13" s="784"/>
      <c r="F13" s="784"/>
      <c r="G13" s="784"/>
      <c r="H13" s="784"/>
      <c r="I13" s="784"/>
      <c r="J13" s="784"/>
      <c r="K13" s="784"/>
      <c r="L13" s="784"/>
      <c r="M13" s="784"/>
      <c r="N13" s="784"/>
      <c r="O13" s="784"/>
      <c r="P13" s="784"/>
      <c r="Q13" s="784"/>
      <c r="R13" s="784"/>
      <c r="S13" s="784"/>
      <c r="T13" s="784"/>
      <c r="U13" s="784"/>
      <c r="V13" s="784"/>
      <c r="W13" s="784"/>
      <c r="X13" s="784"/>
      <c r="Y13" s="784"/>
      <c r="Z13" s="784"/>
      <c r="AA13" s="784"/>
      <c r="AB13" s="784"/>
    </row>
    <row r="14" spans="1:28" ht="29.15" x14ac:dyDescent="0.4">
      <c r="A14" s="319" t="s">
        <v>101</v>
      </c>
      <c r="B14" s="326" t="s">
        <v>90</v>
      </c>
      <c r="C14" s="321">
        <v>0</v>
      </c>
      <c r="D14" s="322" t="s">
        <v>235</v>
      </c>
      <c r="E14" s="323">
        <v>44635</v>
      </c>
      <c r="F14" s="324">
        <v>458900000</v>
      </c>
      <c r="G14" s="324">
        <v>466400000</v>
      </c>
      <c r="H14" s="325">
        <v>45244</v>
      </c>
      <c r="I14" s="325">
        <v>45361</v>
      </c>
      <c r="J14" s="324">
        <v>466400000</v>
      </c>
      <c r="K14" s="324">
        <v>458900000</v>
      </c>
      <c r="L14" s="326" t="s">
        <v>90</v>
      </c>
      <c r="M14" s="321">
        <v>0</v>
      </c>
      <c r="N14" s="327">
        <v>44286</v>
      </c>
      <c r="O14" s="324">
        <v>419953637</v>
      </c>
      <c r="P14" s="324">
        <v>458343148.91000003</v>
      </c>
      <c r="Q14" s="324">
        <v>538872.55000000005</v>
      </c>
      <c r="R14" s="325">
        <v>45050</v>
      </c>
      <c r="S14" s="325">
        <v>45631</v>
      </c>
      <c r="T14" s="328">
        <v>0</v>
      </c>
      <c r="U14" s="324">
        <v>419953637.50999999</v>
      </c>
      <c r="V14" s="324">
        <v>419211852.38099998</v>
      </c>
      <c r="W14" s="324">
        <v>458243148.91000003</v>
      </c>
      <c r="X14" s="329">
        <v>0.91482404784044935</v>
      </c>
      <c r="Y14" s="330">
        <v>0.99823364994907959</v>
      </c>
      <c r="Z14" s="318">
        <f>U14/O14</f>
        <v>1.0000000012144197</v>
      </c>
      <c r="AA14" s="318">
        <f>V14/O14</f>
        <v>0.99823365116135421</v>
      </c>
      <c r="AB14" s="326" t="s">
        <v>90</v>
      </c>
    </row>
    <row r="15" spans="1:28" ht="17.25" customHeight="1" outlineLevel="1" collapsed="1" x14ac:dyDescent="0.4">
      <c r="A15" s="319" t="s">
        <v>216</v>
      </c>
      <c r="B15" s="331" t="s">
        <v>216</v>
      </c>
      <c r="C15" s="332" t="str" cm="1">
        <f t="array" ref="C15">_xlfn.SWITCH(C14,-1,"i",0,"g",1,"h")</f>
        <v>g</v>
      </c>
      <c r="D15" s="322" t="s">
        <v>216</v>
      </c>
      <c r="E15" s="322" t="s">
        <v>216</v>
      </c>
      <c r="F15" s="333" t="s">
        <v>216</v>
      </c>
      <c r="G15" s="333" t="s">
        <v>216</v>
      </c>
      <c r="H15" s="333" t="s">
        <v>216</v>
      </c>
      <c r="I15" s="333" t="s">
        <v>216</v>
      </c>
      <c r="J15" s="333" t="s">
        <v>216</v>
      </c>
      <c r="K15" s="333" t="s">
        <v>216</v>
      </c>
      <c r="L15" s="331" t="s">
        <v>216</v>
      </c>
      <c r="M15" s="332" t="str" cm="1">
        <f t="array" ref="M15">_xlfn.SWITCH(M14,-1,"i",0,"g",1,"h")</f>
        <v>g</v>
      </c>
      <c r="N15" s="333" t="s">
        <v>216</v>
      </c>
      <c r="O15" s="333" t="s">
        <v>216</v>
      </c>
      <c r="P15" s="333" t="s">
        <v>216</v>
      </c>
      <c r="Q15" s="333" t="s">
        <v>216</v>
      </c>
      <c r="R15" s="333" t="s">
        <v>216</v>
      </c>
      <c r="S15" s="333" t="s">
        <v>216</v>
      </c>
      <c r="T15" s="333" t="s">
        <v>216</v>
      </c>
      <c r="U15" s="333" t="s">
        <v>216</v>
      </c>
      <c r="V15" s="333" t="s">
        <v>216</v>
      </c>
      <c r="W15" s="333" t="s">
        <v>216</v>
      </c>
      <c r="X15" s="334" t="s">
        <v>216</v>
      </c>
      <c r="Y15" s="335" t="s">
        <v>216</v>
      </c>
      <c r="Z15" s="333" t="s">
        <v>216</v>
      </c>
      <c r="AA15" s="333" t="s">
        <v>216</v>
      </c>
      <c r="AB15" s="338" t="s">
        <v>216</v>
      </c>
    </row>
    <row r="16" spans="1:28" ht="17.25" customHeight="1" x14ac:dyDescent="0.4">
      <c r="A16" s="769"/>
      <c r="B16" s="763"/>
      <c r="C16" s="763"/>
      <c r="D16" s="763"/>
      <c r="E16" s="763"/>
      <c r="F16" s="763"/>
      <c r="G16" s="763"/>
      <c r="H16" s="763"/>
      <c r="I16" s="763"/>
      <c r="J16" s="763"/>
      <c r="K16" s="763"/>
      <c r="L16" s="763"/>
      <c r="M16" s="763"/>
      <c r="N16" s="763"/>
      <c r="O16" s="763"/>
      <c r="P16" s="763"/>
      <c r="Q16" s="763"/>
      <c r="R16" s="763"/>
      <c r="S16" s="763"/>
      <c r="T16" s="763"/>
      <c r="U16" s="763"/>
      <c r="V16" s="763"/>
      <c r="W16" s="763"/>
      <c r="X16" s="763"/>
      <c r="Y16" s="763"/>
      <c r="Z16" s="763"/>
      <c r="AA16" s="763"/>
      <c r="AB16" s="764"/>
    </row>
    <row r="17" spans="1:28" ht="8.25" customHeight="1" x14ac:dyDescent="0.4">
      <c r="A17" s="783" t="s">
        <v>216</v>
      </c>
      <c r="B17" s="784"/>
      <c r="C17" s="784"/>
      <c r="D17" s="784"/>
      <c r="E17" s="784"/>
      <c r="F17" s="784"/>
      <c r="G17" s="784"/>
      <c r="H17" s="784"/>
      <c r="I17" s="784"/>
      <c r="J17" s="784"/>
      <c r="K17" s="784"/>
      <c r="L17" s="784"/>
      <c r="M17" s="784"/>
      <c r="N17" s="784"/>
      <c r="O17" s="784"/>
      <c r="P17" s="784"/>
      <c r="Q17" s="784"/>
      <c r="R17" s="784"/>
      <c r="S17" s="784"/>
      <c r="T17" s="784"/>
      <c r="U17" s="784"/>
      <c r="V17" s="784"/>
      <c r="W17" s="784"/>
      <c r="X17" s="784"/>
      <c r="Y17" s="784"/>
      <c r="Z17" s="784"/>
      <c r="AA17" s="784"/>
      <c r="AB17" s="784"/>
    </row>
    <row r="18" spans="1:28" x14ac:dyDescent="0.4">
      <c r="A18" s="319" t="s">
        <v>13</v>
      </c>
      <c r="B18" s="337" t="s">
        <v>90</v>
      </c>
      <c r="C18" s="321">
        <v>0</v>
      </c>
      <c r="D18" s="322" t="s">
        <v>235</v>
      </c>
      <c r="E18" s="323">
        <v>44287</v>
      </c>
      <c r="F18" s="324">
        <v>116570000</v>
      </c>
      <c r="G18" s="324">
        <v>122604000</v>
      </c>
      <c r="H18" s="325">
        <v>46874</v>
      </c>
      <c r="I18" s="325">
        <v>47239</v>
      </c>
      <c r="J18" s="324">
        <v>139600000</v>
      </c>
      <c r="K18" s="324">
        <v>116569000</v>
      </c>
      <c r="L18" s="336" t="s">
        <v>88</v>
      </c>
      <c r="M18" s="321">
        <v>0</v>
      </c>
      <c r="N18" s="327">
        <v>45323</v>
      </c>
      <c r="O18" s="324">
        <v>143219252</v>
      </c>
      <c r="P18" s="324">
        <v>135653824.80000001</v>
      </c>
      <c r="Q18" s="324">
        <v>551858.56000000006</v>
      </c>
      <c r="R18" s="325">
        <v>47882</v>
      </c>
      <c r="S18" s="325">
        <v>48003</v>
      </c>
      <c r="T18" s="328">
        <v>-47</v>
      </c>
      <c r="U18" s="324">
        <v>98764664.129999995</v>
      </c>
      <c r="V18" s="324">
        <v>89565335.080200002</v>
      </c>
      <c r="W18" s="324">
        <v>91233113.890000001</v>
      </c>
      <c r="X18" s="329">
        <v>0.98171958909776069</v>
      </c>
      <c r="Y18" s="330">
        <v>0.90685606911302519</v>
      </c>
      <c r="Z18" s="318">
        <f>U18/O18</f>
        <v>0.68960466383388175</v>
      </c>
      <c r="AA18" s="318">
        <f>V18/O18</f>
        <v>0.62537217468640316</v>
      </c>
      <c r="AB18" s="336" t="s">
        <v>90</v>
      </c>
    </row>
    <row r="19" spans="1:28" ht="17.25" customHeight="1" outlineLevel="1" collapsed="1" x14ac:dyDescent="0.4">
      <c r="A19" s="319" t="s">
        <v>216</v>
      </c>
      <c r="B19" s="331" t="s">
        <v>216</v>
      </c>
      <c r="C19" s="332" t="str" cm="1">
        <f t="array" ref="C19">_xlfn.SWITCH(C18,-1,"i",0,"g",1,"h")</f>
        <v>g</v>
      </c>
      <c r="D19" s="322"/>
      <c r="E19" s="322" t="s">
        <v>216</v>
      </c>
      <c r="F19" s="333" t="s">
        <v>216</v>
      </c>
      <c r="G19" s="333" t="s">
        <v>216</v>
      </c>
      <c r="H19" s="333" t="s">
        <v>216</v>
      </c>
      <c r="I19" s="333" t="s">
        <v>216</v>
      </c>
      <c r="J19" s="333" t="s">
        <v>216</v>
      </c>
      <c r="K19" s="333" t="s">
        <v>216</v>
      </c>
      <c r="L19" s="331" t="s">
        <v>216</v>
      </c>
      <c r="M19" s="332" t="str" cm="1">
        <f t="array" ref="M19">_xlfn.SWITCH(M18,-1,"i",0,"g",1,"h")</f>
        <v>g</v>
      </c>
      <c r="N19" s="333" t="s">
        <v>216</v>
      </c>
      <c r="O19" s="333" t="s">
        <v>216</v>
      </c>
      <c r="P19" s="333" t="s">
        <v>216</v>
      </c>
      <c r="Q19" s="333" t="s">
        <v>216</v>
      </c>
      <c r="R19" s="333" t="s">
        <v>216</v>
      </c>
      <c r="S19" s="333" t="s">
        <v>216</v>
      </c>
      <c r="T19" s="333" t="s">
        <v>216</v>
      </c>
      <c r="U19" s="333" t="s">
        <v>216</v>
      </c>
      <c r="V19" s="333" t="s">
        <v>216</v>
      </c>
      <c r="W19" s="333" t="s">
        <v>216</v>
      </c>
      <c r="X19" s="334" t="s">
        <v>216</v>
      </c>
      <c r="Y19" s="335" t="s">
        <v>216</v>
      </c>
      <c r="Z19" s="333" t="s">
        <v>216</v>
      </c>
      <c r="AA19" s="333" t="s">
        <v>216</v>
      </c>
      <c r="AB19" s="333" t="s">
        <v>216</v>
      </c>
    </row>
    <row r="20" spans="1:28" ht="17.25" customHeight="1" x14ac:dyDescent="0.4">
      <c r="A20" s="769"/>
      <c r="B20" s="763"/>
      <c r="C20" s="763"/>
      <c r="D20" s="763"/>
      <c r="E20" s="763"/>
      <c r="F20" s="763"/>
      <c r="G20" s="763"/>
      <c r="H20" s="763"/>
      <c r="I20" s="763"/>
      <c r="J20" s="763"/>
      <c r="K20" s="763"/>
      <c r="L20" s="763"/>
      <c r="M20" s="763"/>
      <c r="N20" s="763"/>
      <c r="O20" s="763"/>
      <c r="P20" s="763"/>
      <c r="Q20" s="763"/>
      <c r="R20" s="763"/>
      <c r="S20" s="763"/>
      <c r="T20" s="763"/>
      <c r="U20" s="763"/>
      <c r="V20" s="763"/>
      <c r="W20" s="763"/>
      <c r="X20" s="763"/>
      <c r="Y20" s="763"/>
      <c r="Z20" s="763"/>
      <c r="AA20" s="763"/>
      <c r="AB20" s="764"/>
    </row>
    <row r="21" spans="1:28" ht="8.25" customHeight="1" x14ac:dyDescent="0.4">
      <c r="A21" s="783" t="s">
        <v>216</v>
      </c>
      <c r="B21" s="784"/>
      <c r="C21" s="784"/>
      <c r="D21" s="784"/>
      <c r="E21" s="784"/>
      <c r="F21" s="784"/>
      <c r="G21" s="784"/>
      <c r="H21" s="784"/>
      <c r="I21" s="784"/>
      <c r="J21" s="784"/>
      <c r="K21" s="784"/>
      <c r="L21" s="784"/>
      <c r="M21" s="784"/>
      <c r="N21" s="784"/>
      <c r="O21" s="784"/>
      <c r="P21" s="784"/>
      <c r="Q21" s="784"/>
      <c r="R21" s="784"/>
      <c r="S21" s="784"/>
      <c r="T21" s="784"/>
      <c r="U21" s="784"/>
      <c r="V21" s="784"/>
      <c r="W21" s="784"/>
      <c r="X21" s="784"/>
      <c r="Y21" s="784"/>
      <c r="Z21" s="784"/>
      <c r="AA21" s="784"/>
      <c r="AB21" s="784"/>
    </row>
    <row r="22" spans="1:28" x14ac:dyDescent="0.4">
      <c r="A22" s="319" t="s">
        <v>119</v>
      </c>
      <c r="B22" s="320" t="s">
        <v>91</v>
      </c>
      <c r="C22" s="321">
        <v>0</v>
      </c>
      <c r="D22" s="322" t="s">
        <v>235</v>
      </c>
      <c r="E22" s="323">
        <v>45455</v>
      </c>
      <c r="F22" s="324">
        <v>69000000</v>
      </c>
      <c r="G22" s="324">
        <v>79000000</v>
      </c>
      <c r="H22" s="325">
        <v>46022</v>
      </c>
      <c r="I22" s="325">
        <v>46234</v>
      </c>
      <c r="J22" s="324">
        <v>69000000</v>
      </c>
      <c r="K22" s="324">
        <v>69000000</v>
      </c>
      <c r="L22" s="326" t="s">
        <v>90</v>
      </c>
      <c r="M22" s="321">
        <v>0</v>
      </c>
      <c r="N22" s="327">
        <v>45362</v>
      </c>
      <c r="O22" s="324">
        <v>69231999</v>
      </c>
      <c r="P22" s="324">
        <v>71493855.040000007</v>
      </c>
      <c r="Q22" s="324">
        <v>-1362.54</v>
      </c>
      <c r="R22" s="325">
        <v>46010</v>
      </c>
      <c r="S22" s="325">
        <v>46098</v>
      </c>
      <c r="T22" s="328">
        <v>0</v>
      </c>
      <c r="U22" s="324">
        <v>61153217.520000003</v>
      </c>
      <c r="V22" s="324">
        <v>47132780.530000001</v>
      </c>
      <c r="W22" s="324">
        <v>58274444.530000001</v>
      </c>
      <c r="X22" s="330">
        <v>0.80880703214143534</v>
      </c>
      <c r="Y22" s="329">
        <v>0.77073263585166796</v>
      </c>
      <c r="Z22" s="318">
        <f>U22/O22</f>
        <v>0.88330856256223378</v>
      </c>
      <c r="AA22" s="318">
        <f>V22/O22</f>
        <v>0.68079473669393831</v>
      </c>
      <c r="AB22" s="337" t="s">
        <v>90</v>
      </c>
    </row>
    <row r="23" spans="1:28" ht="17.25" customHeight="1" outlineLevel="1" collapsed="1" x14ac:dyDescent="0.4">
      <c r="A23" s="319" t="s">
        <v>216</v>
      </c>
      <c r="B23" s="331" t="s">
        <v>216</v>
      </c>
      <c r="C23" s="332" t="str" cm="1">
        <f t="array" ref="C23">_xlfn.SWITCH(C22,-1,"i",0,"g",1,"h")</f>
        <v>g</v>
      </c>
      <c r="D23" s="322" t="s">
        <v>216</v>
      </c>
      <c r="E23" s="322" t="s">
        <v>216</v>
      </c>
      <c r="F23" s="333" t="s">
        <v>216</v>
      </c>
      <c r="G23" s="333" t="s">
        <v>216</v>
      </c>
      <c r="H23" s="333" t="s">
        <v>216</v>
      </c>
      <c r="I23" s="333" t="s">
        <v>216</v>
      </c>
      <c r="J23" s="333" t="s">
        <v>216</v>
      </c>
      <c r="K23" s="333" t="s">
        <v>216</v>
      </c>
      <c r="L23" s="331" t="s">
        <v>216</v>
      </c>
      <c r="M23" s="332" t="str" cm="1">
        <f t="array" ref="M23">_xlfn.SWITCH(M22,-1,"i",0,"g",1,"h")</f>
        <v>g</v>
      </c>
      <c r="N23" s="333" t="s">
        <v>216</v>
      </c>
      <c r="O23" s="333" t="s">
        <v>216</v>
      </c>
      <c r="P23" s="333" t="s">
        <v>216</v>
      </c>
      <c r="Q23" s="333" t="s">
        <v>216</v>
      </c>
      <c r="R23" s="333" t="s">
        <v>216</v>
      </c>
      <c r="S23" s="333" t="s">
        <v>216</v>
      </c>
      <c r="T23" s="333" t="s">
        <v>216</v>
      </c>
      <c r="U23" s="333" t="s">
        <v>216</v>
      </c>
      <c r="V23" s="333" t="s">
        <v>216</v>
      </c>
      <c r="W23" s="333" t="s">
        <v>216</v>
      </c>
      <c r="X23" s="335" t="s">
        <v>216</v>
      </c>
      <c r="Y23" s="334" t="s">
        <v>216</v>
      </c>
      <c r="Z23" s="333" t="s">
        <v>216</v>
      </c>
      <c r="AA23" s="333" t="s">
        <v>216</v>
      </c>
      <c r="AB23" s="338" t="s">
        <v>216</v>
      </c>
    </row>
    <row r="24" spans="1:28" ht="17.25" customHeight="1" x14ac:dyDescent="0.4">
      <c r="A24" s="769"/>
      <c r="B24" s="763"/>
      <c r="C24" s="763"/>
      <c r="D24" s="763"/>
      <c r="E24" s="763"/>
      <c r="F24" s="763"/>
      <c r="G24" s="763"/>
      <c r="H24" s="763"/>
      <c r="I24" s="763"/>
      <c r="J24" s="763"/>
      <c r="K24" s="763"/>
      <c r="L24" s="763"/>
      <c r="M24" s="763"/>
      <c r="N24" s="763"/>
      <c r="O24" s="763"/>
      <c r="P24" s="763"/>
      <c r="Q24" s="763"/>
      <c r="R24" s="763"/>
      <c r="S24" s="763"/>
      <c r="T24" s="763"/>
      <c r="U24" s="763"/>
      <c r="V24" s="763"/>
      <c r="W24" s="763"/>
      <c r="X24" s="763"/>
      <c r="Y24" s="763"/>
      <c r="Z24" s="763"/>
      <c r="AA24" s="763"/>
      <c r="AB24" s="764"/>
    </row>
    <row r="25" spans="1:28" ht="8.25" customHeight="1" x14ac:dyDescent="0.4">
      <c r="A25" s="783" t="s">
        <v>216</v>
      </c>
      <c r="B25" s="784"/>
      <c r="C25" s="784"/>
      <c r="D25" s="784"/>
      <c r="E25" s="784"/>
      <c r="F25" s="784"/>
      <c r="G25" s="784"/>
      <c r="H25" s="784"/>
      <c r="I25" s="784"/>
      <c r="J25" s="784"/>
      <c r="K25" s="784"/>
      <c r="L25" s="784"/>
      <c r="M25" s="784"/>
      <c r="N25" s="784"/>
      <c r="O25" s="784"/>
      <c r="P25" s="784"/>
      <c r="Q25" s="784"/>
      <c r="R25" s="784"/>
      <c r="S25" s="784"/>
      <c r="T25" s="784"/>
      <c r="U25" s="784"/>
      <c r="V25" s="784"/>
      <c r="W25" s="784"/>
      <c r="X25" s="784"/>
      <c r="Y25" s="784"/>
      <c r="Z25" s="784"/>
      <c r="AA25" s="784"/>
      <c r="AB25" s="784"/>
    </row>
    <row r="26" spans="1:28" x14ac:dyDescent="0.4">
      <c r="A26" s="319" t="s">
        <v>115</v>
      </c>
      <c r="B26" s="337" t="s">
        <v>91</v>
      </c>
      <c r="C26" s="321">
        <v>0</v>
      </c>
      <c r="D26" s="322" t="s">
        <v>235</v>
      </c>
      <c r="E26" s="323">
        <v>45057</v>
      </c>
      <c r="F26" s="324">
        <v>379164000</v>
      </c>
      <c r="G26" s="324">
        <v>403001000</v>
      </c>
      <c r="H26" s="325">
        <v>47364</v>
      </c>
      <c r="I26" s="325">
        <v>47690</v>
      </c>
      <c r="J26" s="324">
        <v>403001000</v>
      </c>
      <c r="K26" s="324">
        <v>379164000</v>
      </c>
      <c r="L26" s="337" t="s">
        <v>90</v>
      </c>
      <c r="M26" s="321">
        <v>0</v>
      </c>
      <c r="N26" s="327">
        <v>44936</v>
      </c>
      <c r="O26" s="324">
        <v>432733200</v>
      </c>
      <c r="P26" s="324">
        <v>374731334.93000001</v>
      </c>
      <c r="Q26" s="324">
        <v>1294.94</v>
      </c>
      <c r="R26" s="325">
        <v>47364</v>
      </c>
      <c r="S26" s="325">
        <v>47585</v>
      </c>
      <c r="T26" s="328">
        <v>0</v>
      </c>
      <c r="U26" s="324">
        <v>279682704.38999999</v>
      </c>
      <c r="V26" s="324">
        <v>240173394.433</v>
      </c>
      <c r="W26" s="324">
        <v>228777822.28999999</v>
      </c>
      <c r="X26" s="339">
        <v>1.0498106504771032</v>
      </c>
      <c r="Y26" s="329">
        <v>0.8587352405534997</v>
      </c>
      <c r="Z26" s="318">
        <f>U26/O26</f>
        <v>0.64631672446209343</v>
      </c>
      <c r="AA26" s="318">
        <f>V26/O26</f>
        <v>0.55501494785470584</v>
      </c>
      <c r="AB26" s="337" t="s">
        <v>90</v>
      </c>
    </row>
    <row r="27" spans="1:28" ht="17.25" customHeight="1" outlineLevel="1" collapsed="1" x14ac:dyDescent="0.4">
      <c r="A27" s="319" t="s">
        <v>216</v>
      </c>
      <c r="B27" s="331" t="s">
        <v>216</v>
      </c>
      <c r="C27" s="332" t="str" cm="1">
        <f t="array" ref="C27">_xlfn.SWITCH(C26,-1,"i",0,"g",1,"h")</f>
        <v>g</v>
      </c>
      <c r="D27" s="322" t="s">
        <v>216</v>
      </c>
      <c r="E27" s="322" t="s">
        <v>216</v>
      </c>
      <c r="F27" s="333" t="s">
        <v>216</v>
      </c>
      <c r="G27" s="333" t="s">
        <v>216</v>
      </c>
      <c r="H27" s="333" t="s">
        <v>216</v>
      </c>
      <c r="I27" s="333" t="s">
        <v>216</v>
      </c>
      <c r="J27" s="333" t="s">
        <v>216</v>
      </c>
      <c r="K27" s="333" t="s">
        <v>216</v>
      </c>
      <c r="L27" s="331" t="s">
        <v>216</v>
      </c>
      <c r="M27" s="332" t="str" cm="1">
        <f t="array" ref="M27">_xlfn.SWITCH(M26,-1,"i",0,"g",1,"h")</f>
        <v>g</v>
      </c>
      <c r="N27" s="333" t="s">
        <v>216</v>
      </c>
      <c r="O27" s="333" t="s">
        <v>216</v>
      </c>
      <c r="P27" s="333" t="s">
        <v>216</v>
      </c>
      <c r="Q27" s="333" t="s">
        <v>216</v>
      </c>
      <c r="R27" s="333" t="s">
        <v>216</v>
      </c>
      <c r="S27" s="333" t="s">
        <v>216</v>
      </c>
      <c r="T27" s="333" t="s">
        <v>216</v>
      </c>
      <c r="U27" s="333" t="s">
        <v>216</v>
      </c>
      <c r="V27" s="333" t="s">
        <v>216</v>
      </c>
      <c r="W27" s="333" t="s">
        <v>216</v>
      </c>
      <c r="X27" s="340" t="s">
        <v>216</v>
      </c>
      <c r="Y27" s="334" t="s">
        <v>216</v>
      </c>
      <c r="Z27" s="333" t="s">
        <v>216</v>
      </c>
      <c r="AA27" s="333" t="s">
        <v>216</v>
      </c>
      <c r="AB27" s="338" t="s">
        <v>216</v>
      </c>
    </row>
    <row r="28" spans="1:28" ht="17.25" customHeight="1" x14ac:dyDescent="0.4">
      <c r="A28" s="769"/>
      <c r="B28" s="763"/>
      <c r="C28" s="763"/>
      <c r="D28" s="763"/>
      <c r="E28" s="763"/>
      <c r="F28" s="763"/>
      <c r="G28" s="763"/>
      <c r="H28" s="763"/>
      <c r="I28" s="763"/>
      <c r="J28" s="763"/>
      <c r="K28" s="763"/>
      <c r="L28" s="763"/>
      <c r="M28" s="763"/>
      <c r="N28" s="763"/>
      <c r="O28" s="763"/>
      <c r="P28" s="763"/>
      <c r="Q28" s="763"/>
      <c r="R28" s="763"/>
      <c r="S28" s="763"/>
      <c r="T28" s="763"/>
      <c r="U28" s="763"/>
      <c r="V28" s="763"/>
      <c r="W28" s="763"/>
      <c r="X28" s="763"/>
      <c r="Y28" s="763"/>
      <c r="Z28" s="763"/>
      <c r="AA28" s="763"/>
      <c r="AB28" s="764"/>
    </row>
    <row r="29" spans="1:28" ht="8.25" customHeight="1" x14ac:dyDescent="0.4">
      <c r="A29" s="783" t="s">
        <v>216</v>
      </c>
      <c r="B29" s="784"/>
      <c r="C29" s="784"/>
      <c r="D29" s="784"/>
      <c r="E29" s="784"/>
      <c r="F29" s="784"/>
      <c r="G29" s="784"/>
      <c r="H29" s="784"/>
      <c r="I29" s="784"/>
      <c r="J29" s="784"/>
      <c r="K29" s="784"/>
      <c r="L29" s="784"/>
      <c r="M29" s="784"/>
      <c r="N29" s="784"/>
      <c r="O29" s="784"/>
      <c r="P29" s="784"/>
      <c r="Q29" s="784"/>
      <c r="R29" s="784"/>
      <c r="S29" s="784"/>
      <c r="T29" s="784"/>
      <c r="U29" s="784"/>
      <c r="V29" s="784"/>
      <c r="W29" s="784"/>
      <c r="X29" s="784"/>
      <c r="Y29" s="784"/>
      <c r="Z29" s="784"/>
      <c r="AA29" s="784"/>
      <c r="AB29" s="784"/>
    </row>
    <row r="30" spans="1:28" ht="29.15" x14ac:dyDescent="0.4">
      <c r="A30" s="319" t="s">
        <v>121</v>
      </c>
      <c r="B30" s="337" t="s">
        <v>88</v>
      </c>
      <c r="C30" s="321">
        <v>0</v>
      </c>
      <c r="D30" s="322" t="s">
        <v>233</v>
      </c>
      <c r="E30" s="323">
        <v>43891</v>
      </c>
      <c r="F30" s="324">
        <v>25837000</v>
      </c>
      <c r="G30" s="324">
        <v>31940000</v>
      </c>
      <c r="H30" s="325">
        <v>45058</v>
      </c>
      <c r="I30" s="325">
        <v>45412</v>
      </c>
      <c r="J30" s="324">
        <v>31940000</v>
      </c>
      <c r="K30" s="324">
        <v>25837000</v>
      </c>
      <c r="L30" s="326" t="s">
        <v>88</v>
      </c>
      <c r="M30" s="321">
        <v>0</v>
      </c>
      <c r="N30" s="327">
        <v>44999</v>
      </c>
      <c r="O30" s="324">
        <v>25882955</v>
      </c>
      <c r="P30" s="324">
        <v>25769102.469999999</v>
      </c>
      <c r="Q30" s="324">
        <v>0</v>
      </c>
      <c r="R30" s="325">
        <v>45058</v>
      </c>
      <c r="S30" s="325">
        <v>46175</v>
      </c>
      <c r="T30" s="328">
        <v>0</v>
      </c>
      <c r="U30" s="324">
        <v>21105853.18</v>
      </c>
      <c r="V30" s="324">
        <v>19634302.9727</v>
      </c>
      <c r="W30" s="324">
        <v>16969073.489999998</v>
      </c>
      <c r="X30" s="329">
        <v>1.1570639365944546</v>
      </c>
      <c r="Y30" s="329">
        <v>0.93027762513318113</v>
      </c>
      <c r="Z30" s="318">
        <f>U30/O30</f>
        <v>0.8154344502009141</v>
      </c>
      <c r="AA30" s="318">
        <f>V30/O30</f>
        <v>0.7585804237846876</v>
      </c>
      <c r="AB30" s="337" t="s">
        <v>91</v>
      </c>
    </row>
    <row r="31" spans="1:28" ht="17.25" customHeight="1" outlineLevel="1" collapsed="1" x14ac:dyDescent="0.4">
      <c r="A31" s="319" t="s">
        <v>216</v>
      </c>
      <c r="B31" s="331" t="s">
        <v>216</v>
      </c>
      <c r="C31" s="332" t="str" cm="1">
        <f t="array" ref="C31">_xlfn.SWITCH(C30,-1,"i",0,"g",1,"h")</f>
        <v>g</v>
      </c>
      <c r="D31" s="322" t="s">
        <v>216</v>
      </c>
      <c r="E31" s="322" t="s">
        <v>216</v>
      </c>
      <c r="F31" s="333" t="s">
        <v>216</v>
      </c>
      <c r="G31" s="333" t="s">
        <v>216</v>
      </c>
      <c r="H31" s="333" t="s">
        <v>216</v>
      </c>
      <c r="I31" s="333" t="s">
        <v>216</v>
      </c>
      <c r="J31" s="333" t="s">
        <v>216</v>
      </c>
      <c r="K31" s="333" t="s">
        <v>216</v>
      </c>
      <c r="L31" s="331" t="s">
        <v>216</v>
      </c>
      <c r="M31" s="332" t="str" cm="1">
        <f t="array" ref="M31">_xlfn.SWITCH(M30,-1,"i",0,"g",1,"h")</f>
        <v>g</v>
      </c>
      <c r="N31" s="333" t="s">
        <v>216</v>
      </c>
      <c r="O31" s="333" t="s">
        <v>216</v>
      </c>
      <c r="P31" s="333" t="s">
        <v>216</v>
      </c>
      <c r="Q31" s="333" t="s">
        <v>216</v>
      </c>
      <c r="R31" s="333" t="s">
        <v>216</v>
      </c>
      <c r="S31" s="333" t="s">
        <v>216</v>
      </c>
      <c r="T31" s="333" t="s">
        <v>216</v>
      </c>
      <c r="U31" s="333" t="s">
        <v>216</v>
      </c>
      <c r="V31" s="333" t="s">
        <v>216</v>
      </c>
      <c r="W31" s="333" t="s">
        <v>216</v>
      </c>
      <c r="X31" s="334" t="s">
        <v>216</v>
      </c>
      <c r="Y31" s="334" t="s">
        <v>216</v>
      </c>
      <c r="Z31" s="333" t="s">
        <v>216</v>
      </c>
      <c r="AA31" s="333" t="s">
        <v>216</v>
      </c>
      <c r="AB31" s="338" t="s">
        <v>216</v>
      </c>
    </row>
    <row r="32" spans="1:28" ht="17.25" customHeight="1" x14ac:dyDescent="0.4">
      <c r="A32" s="769"/>
      <c r="B32" s="763"/>
      <c r="C32" s="763"/>
      <c r="D32" s="763"/>
      <c r="E32" s="763"/>
      <c r="F32" s="763"/>
      <c r="G32" s="763"/>
      <c r="H32" s="763"/>
      <c r="I32" s="763"/>
      <c r="J32" s="763"/>
      <c r="K32" s="763"/>
      <c r="L32" s="763"/>
      <c r="M32" s="763"/>
      <c r="N32" s="763"/>
      <c r="O32" s="763"/>
      <c r="P32" s="763"/>
      <c r="Q32" s="763"/>
      <c r="R32" s="763"/>
      <c r="S32" s="763"/>
      <c r="T32" s="763"/>
      <c r="U32" s="763"/>
      <c r="V32" s="763"/>
      <c r="W32" s="763"/>
      <c r="X32" s="763"/>
      <c r="Y32" s="763"/>
      <c r="Z32" s="763"/>
      <c r="AA32" s="763"/>
      <c r="AB32" s="764"/>
    </row>
    <row r="33" spans="1:28" ht="8.25" customHeight="1" x14ac:dyDescent="0.4">
      <c r="A33" s="783" t="s">
        <v>216</v>
      </c>
      <c r="B33" s="784"/>
      <c r="C33" s="784"/>
      <c r="D33" s="784"/>
      <c r="E33" s="784"/>
      <c r="F33" s="784"/>
      <c r="G33" s="784"/>
      <c r="H33" s="784"/>
      <c r="I33" s="784"/>
      <c r="J33" s="784"/>
      <c r="K33" s="784"/>
      <c r="L33" s="784"/>
      <c r="M33" s="784"/>
      <c r="N33" s="784"/>
      <c r="O33" s="784"/>
      <c r="P33" s="784"/>
      <c r="Q33" s="784"/>
      <c r="R33" s="784"/>
      <c r="S33" s="784"/>
      <c r="T33" s="784"/>
      <c r="U33" s="784"/>
      <c r="V33" s="784"/>
      <c r="W33" s="784"/>
      <c r="X33" s="784"/>
      <c r="Y33" s="784"/>
      <c r="Z33" s="784"/>
      <c r="AA33" s="784"/>
      <c r="AB33" s="784"/>
    </row>
    <row r="34" spans="1:28" x14ac:dyDescent="0.4">
      <c r="A34" s="319" t="s">
        <v>307</v>
      </c>
      <c r="B34" s="326" t="s">
        <v>91</v>
      </c>
      <c r="C34" s="321">
        <v>0</v>
      </c>
      <c r="D34" s="322" t="s">
        <v>233</v>
      </c>
      <c r="E34" s="323" t="s">
        <v>216</v>
      </c>
      <c r="F34" s="324">
        <v>54000000</v>
      </c>
      <c r="G34" s="324">
        <v>65000000</v>
      </c>
      <c r="H34" s="325">
        <v>47297</v>
      </c>
      <c r="I34" s="325">
        <v>47648</v>
      </c>
      <c r="J34" s="324">
        <v>65000000</v>
      </c>
      <c r="K34" s="324">
        <v>11000000</v>
      </c>
      <c r="L34" s="326" t="s">
        <v>88</v>
      </c>
      <c r="M34" s="321">
        <v>0</v>
      </c>
      <c r="N34" s="327">
        <v>45363</v>
      </c>
      <c r="O34" s="324">
        <v>51956737</v>
      </c>
      <c r="P34" s="324">
        <v>50371292.090000004</v>
      </c>
      <c r="Q34" s="324">
        <v>1771.71</v>
      </c>
      <c r="R34" s="325">
        <v>47296</v>
      </c>
      <c r="S34" s="325">
        <v>47296</v>
      </c>
      <c r="T34" s="328">
        <v>0</v>
      </c>
      <c r="U34" s="324">
        <v>3169712.73</v>
      </c>
      <c r="V34" s="324">
        <v>2579442.8146000002</v>
      </c>
      <c r="W34" s="324">
        <v>3435252.74</v>
      </c>
      <c r="X34" s="329">
        <v>0.75087424705758332</v>
      </c>
      <c r="Y34" s="329">
        <v>0.81377810367061243</v>
      </c>
      <c r="Z34" s="318">
        <f>U34/O34</f>
        <v>6.1006770498309007E-2</v>
      </c>
      <c r="AA34" s="318">
        <f>V34/O34</f>
        <v>4.9645974007182174E-2</v>
      </c>
      <c r="AB34" s="326" t="s">
        <v>91</v>
      </c>
    </row>
    <row r="35" spans="1:28" ht="17.25" customHeight="1" outlineLevel="1" collapsed="1" x14ac:dyDescent="0.4">
      <c r="A35" s="319" t="s">
        <v>216</v>
      </c>
      <c r="B35" s="331" t="s">
        <v>216</v>
      </c>
      <c r="C35" s="332" t="str" cm="1">
        <f t="array" ref="C35">_xlfn.SWITCH(C34,-1,"i",0,"g",1,"h")</f>
        <v>g</v>
      </c>
      <c r="D35" s="322" t="s">
        <v>216</v>
      </c>
      <c r="E35" s="322" t="s">
        <v>216</v>
      </c>
      <c r="F35" s="333" t="s">
        <v>216</v>
      </c>
      <c r="G35" s="333" t="s">
        <v>216</v>
      </c>
      <c r="H35" s="333" t="s">
        <v>216</v>
      </c>
      <c r="I35" s="333" t="s">
        <v>216</v>
      </c>
      <c r="J35" s="333" t="s">
        <v>216</v>
      </c>
      <c r="K35" s="333" t="s">
        <v>216</v>
      </c>
      <c r="L35" s="331" t="s">
        <v>216</v>
      </c>
      <c r="M35" s="332" t="str" cm="1">
        <f t="array" ref="M35">_xlfn.SWITCH(M34,-1,"i",0,"g",1,"h")</f>
        <v>g</v>
      </c>
      <c r="N35" s="333" t="s">
        <v>216</v>
      </c>
      <c r="O35" s="333" t="s">
        <v>216</v>
      </c>
      <c r="P35" s="333" t="s">
        <v>216</v>
      </c>
      <c r="Q35" s="333" t="s">
        <v>216</v>
      </c>
      <c r="R35" s="333" t="s">
        <v>216</v>
      </c>
      <c r="S35" s="333" t="s">
        <v>216</v>
      </c>
      <c r="T35" s="333" t="s">
        <v>216</v>
      </c>
      <c r="U35" s="333" t="s">
        <v>216</v>
      </c>
      <c r="V35" s="333" t="s">
        <v>216</v>
      </c>
      <c r="W35" s="333" t="s">
        <v>216</v>
      </c>
      <c r="X35" s="334" t="s">
        <v>216</v>
      </c>
      <c r="Y35" s="334" t="s">
        <v>216</v>
      </c>
      <c r="Z35" s="333" t="s">
        <v>216</v>
      </c>
      <c r="AA35" s="333" t="s">
        <v>216</v>
      </c>
      <c r="AB35" s="338" t="s">
        <v>216</v>
      </c>
    </row>
    <row r="36" spans="1:28" ht="17.25" customHeight="1" x14ac:dyDescent="0.4">
      <c r="A36" s="769"/>
      <c r="B36" s="763"/>
      <c r="C36" s="763"/>
      <c r="D36" s="763"/>
      <c r="E36" s="763"/>
      <c r="F36" s="763"/>
      <c r="G36" s="763"/>
      <c r="H36" s="763"/>
      <c r="I36" s="763"/>
      <c r="J36" s="763"/>
      <c r="K36" s="763"/>
      <c r="L36" s="763"/>
      <c r="M36" s="763"/>
      <c r="N36" s="763"/>
      <c r="O36" s="763"/>
      <c r="P36" s="763"/>
      <c r="Q36" s="763"/>
      <c r="R36" s="763"/>
      <c r="S36" s="763"/>
      <c r="T36" s="763"/>
      <c r="U36" s="763"/>
      <c r="V36" s="763"/>
      <c r="W36" s="763"/>
      <c r="X36" s="763"/>
      <c r="Y36" s="763"/>
      <c r="Z36" s="763"/>
      <c r="AA36" s="763"/>
      <c r="AB36" s="764"/>
    </row>
    <row r="37" spans="1:28" ht="8.25" customHeight="1" x14ac:dyDescent="0.4">
      <c r="A37" s="783" t="s">
        <v>216</v>
      </c>
      <c r="B37" s="784"/>
      <c r="C37" s="784"/>
      <c r="D37" s="784"/>
      <c r="E37" s="784"/>
      <c r="F37" s="784"/>
      <c r="G37" s="784"/>
      <c r="H37" s="784"/>
      <c r="I37" s="784"/>
      <c r="J37" s="784"/>
      <c r="K37" s="784"/>
      <c r="L37" s="784"/>
      <c r="M37" s="784"/>
      <c r="N37" s="784"/>
      <c r="O37" s="784"/>
      <c r="P37" s="784"/>
      <c r="Q37" s="784"/>
      <c r="R37" s="784"/>
      <c r="S37" s="784"/>
      <c r="T37" s="784"/>
      <c r="U37" s="784"/>
      <c r="V37" s="784"/>
      <c r="W37" s="784"/>
      <c r="X37" s="784"/>
      <c r="Y37" s="784"/>
      <c r="Z37" s="784"/>
      <c r="AA37" s="784"/>
      <c r="AB37" s="784"/>
    </row>
    <row r="38" spans="1:28" x14ac:dyDescent="0.4">
      <c r="A38" s="319" t="s">
        <v>236</v>
      </c>
      <c r="B38" s="320" t="s">
        <v>91</v>
      </c>
      <c r="C38" s="321">
        <v>0</v>
      </c>
      <c r="D38" s="322" t="s">
        <v>235</v>
      </c>
      <c r="E38" s="323">
        <v>44951</v>
      </c>
      <c r="F38" s="324">
        <v>69149000</v>
      </c>
      <c r="G38" s="324">
        <v>75751776</v>
      </c>
      <c r="H38" s="325">
        <v>46295</v>
      </c>
      <c r="I38" s="325">
        <v>46446</v>
      </c>
      <c r="J38" s="324">
        <v>75751776</v>
      </c>
      <c r="K38" s="324">
        <v>69149000</v>
      </c>
      <c r="L38" s="336" t="s">
        <v>91</v>
      </c>
      <c r="M38" s="321">
        <v>0</v>
      </c>
      <c r="N38" s="327">
        <v>45016</v>
      </c>
      <c r="O38" s="324">
        <v>67044918</v>
      </c>
      <c r="P38" s="324">
        <v>54449006.659999996</v>
      </c>
      <c r="Q38" s="324">
        <v>-8189188.8300000001</v>
      </c>
      <c r="R38" s="325">
        <v>46266</v>
      </c>
      <c r="S38" s="325">
        <v>46266</v>
      </c>
      <c r="T38" s="328">
        <v>0</v>
      </c>
      <c r="U38" s="324">
        <v>34413428.289999999</v>
      </c>
      <c r="V38" s="324">
        <v>27350908.398400001</v>
      </c>
      <c r="W38" s="324">
        <v>19030877.739999998</v>
      </c>
      <c r="X38" s="329">
        <v>1.4371858603721974</v>
      </c>
      <c r="Y38" s="330">
        <v>0.79477430054092413</v>
      </c>
      <c r="Z38" s="318">
        <f>U38/O38</f>
        <v>0.5132891398271231</v>
      </c>
      <c r="AA38" s="318">
        <f>V38/O38</f>
        <v>0.40794901708135434</v>
      </c>
      <c r="AB38" s="336" t="s">
        <v>91</v>
      </c>
    </row>
    <row r="39" spans="1:28" ht="17.25" customHeight="1" outlineLevel="1" collapsed="1" x14ac:dyDescent="0.4">
      <c r="A39" s="319" t="s">
        <v>216</v>
      </c>
      <c r="B39" s="331" t="s">
        <v>216</v>
      </c>
      <c r="C39" s="332" t="str" cm="1">
        <f t="array" ref="C39">_xlfn.SWITCH(C38,-1,"i",0,"g",1,"h")</f>
        <v>g</v>
      </c>
      <c r="D39" s="322" t="s">
        <v>216</v>
      </c>
      <c r="E39" s="322" t="s">
        <v>216</v>
      </c>
      <c r="F39" s="333" t="s">
        <v>216</v>
      </c>
      <c r="G39" s="333" t="s">
        <v>216</v>
      </c>
      <c r="H39" s="333" t="s">
        <v>216</v>
      </c>
      <c r="I39" s="333" t="s">
        <v>216</v>
      </c>
      <c r="J39" s="333" t="s">
        <v>216</v>
      </c>
      <c r="K39" s="333" t="s">
        <v>216</v>
      </c>
      <c r="L39" s="331" t="s">
        <v>216</v>
      </c>
      <c r="M39" s="332" t="str" cm="1">
        <f t="array" ref="M39">_xlfn.SWITCH(M38,-1,"i",0,"g",1,"h")</f>
        <v>g</v>
      </c>
      <c r="N39" s="333" t="s">
        <v>216</v>
      </c>
      <c r="O39" s="333" t="s">
        <v>216</v>
      </c>
      <c r="P39" s="333" t="s">
        <v>216</v>
      </c>
      <c r="Q39" s="333" t="s">
        <v>216</v>
      </c>
      <c r="R39" s="333" t="s">
        <v>216</v>
      </c>
      <c r="S39" s="333" t="s">
        <v>216</v>
      </c>
      <c r="T39" s="333" t="s">
        <v>216</v>
      </c>
      <c r="U39" s="333" t="s">
        <v>216</v>
      </c>
      <c r="V39" s="333" t="s">
        <v>216</v>
      </c>
      <c r="W39" s="333" t="s">
        <v>216</v>
      </c>
      <c r="X39" s="334" t="s">
        <v>216</v>
      </c>
      <c r="Y39" s="335" t="s">
        <v>216</v>
      </c>
      <c r="Z39" s="333" t="s">
        <v>216</v>
      </c>
      <c r="AA39" s="333" t="s">
        <v>216</v>
      </c>
      <c r="AB39" s="333" t="s">
        <v>216</v>
      </c>
    </row>
    <row r="40" spans="1:28" ht="17.25" customHeight="1" x14ac:dyDescent="0.4">
      <c r="A40" s="769"/>
      <c r="B40" s="763"/>
      <c r="C40" s="763"/>
      <c r="D40" s="763"/>
      <c r="E40" s="763"/>
      <c r="F40" s="763"/>
      <c r="G40" s="763"/>
      <c r="H40" s="763"/>
      <c r="I40" s="763"/>
      <c r="J40" s="763"/>
      <c r="K40" s="763"/>
      <c r="L40" s="763"/>
      <c r="M40" s="763"/>
      <c r="N40" s="763"/>
      <c r="O40" s="763"/>
      <c r="P40" s="763"/>
      <c r="Q40" s="763"/>
      <c r="R40" s="763"/>
      <c r="S40" s="763"/>
      <c r="T40" s="763"/>
      <c r="U40" s="763"/>
      <c r="V40" s="763"/>
      <c r="W40" s="763"/>
      <c r="X40" s="763"/>
      <c r="Y40" s="763"/>
      <c r="Z40" s="763"/>
      <c r="AA40" s="763"/>
      <c r="AB40" s="764"/>
    </row>
    <row r="41" spans="1:28" ht="8.25" customHeight="1" x14ac:dyDescent="0.4">
      <c r="A41" s="783" t="s">
        <v>216</v>
      </c>
      <c r="B41" s="784"/>
      <c r="C41" s="784"/>
      <c r="D41" s="784"/>
      <c r="E41" s="784"/>
      <c r="F41" s="784"/>
      <c r="G41" s="784"/>
      <c r="H41" s="784"/>
      <c r="I41" s="784"/>
      <c r="J41" s="784"/>
      <c r="K41" s="784"/>
      <c r="L41" s="784"/>
      <c r="M41" s="784"/>
      <c r="N41" s="784"/>
      <c r="O41" s="784"/>
      <c r="P41" s="784"/>
      <c r="Q41" s="784"/>
      <c r="R41" s="784"/>
      <c r="S41" s="784"/>
      <c r="T41" s="784"/>
      <c r="U41" s="784"/>
      <c r="V41" s="784"/>
      <c r="W41" s="784"/>
      <c r="X41" s="784"/>
      <c r="Y41" s="784"/>
      <c r="Z41" s="784"/>
      <c r="AA41" s="784"/>
      <c r="AB41" s="784"/>
    </row>
    <row r="42" spans="1:28" x14ac:dyDescent="0.4">
      <c r="A42" s="319" t="s">
        <v>234</v>
      </c>
      <c r="B42" s="326" t="s">
        <v>90</v>
      </c>
      <c r="C42" s="321">
        <v>0</v>
      </c>
      <c r="D42" s="322" t="s">
        <v>235</v>
      </c>
      <c r="E42" s="323">
        <v>45042</v>
      </c>
      <c r="F42" s="324">
        <v>75133228</v>
      </c>
      <c r="G42" s="324">
        <v>79757588</v>
      </c>
      <c r="H42" s="325">
        <v>46524</v>
      </c>
      <c r="I42" s="325">
        <v>46692</v>
      </c>
      <c r="J42" s="324">
        <v>89548993</v>
      </c>
      <c r="K42" s="324">
        <v>75133228</v>
      </c>
      <c r="L42" s="326" t="s">
        <v>88</v>
      </c>
      <c r="M42" s="321">
        <v>0</v>
      </c>
      <c r="N42" s="327">
        <v>45201</v>
      </c>
      <c r="O42" s="324">
        <v>57789943</v>
      </c>
      <c r="P42" s="324">
        <v>78234346.829999998</v>
      </c>
      <c r="Q42" s="324">
        <v>36595.22</v>
      </c>
      <c r="R42" s="325">
        <v>46524</v>
      </c>
      <c r="S42" s="325">
        <v>46827</v>
      </c>
      <c r="T42" s="328">
        <v>0</v>
      </c>
      <c r="U42" s="324">
        <v>44102803.68</v>
      </c>
      <c r="V42" s="324">
        <v>38639880.814300001</v>
      </c>
      <c r="W42" s="324">
        <v>59454955.090000004</v>
      </c>
      <c r="X42" s="329">
        <v>0.64990177447462272</v>
      </c>
      <c r="Y42" s="329">
        <v>0.87613207302334484</v>
      </c>
      <c r="Z42" s="318">
        <f>U42/O42</f>
        <v>0.76315707181092041</v>
      </c>
      <c r="AA42" s="318">
        <f>V42/O42</f>
        <v>0.66862638736812741</v>
      </c>
      <c r="AB42" s="326" t="s">
        <v>90</v>
      </c>
    </row>
    <row r="43" spans="1:28" ht="17.25" customHeight="1" outlineLevel="1" collapsed="1" x14ac:dyDescent="0.4">
      <c r="A43" s="319" t="s">
        <v>216</v>
      </c>
      <c r="B43" s="331" t="s">
        <v>216</v>
      </c>
      <c r="C43" s="332" t="str" cm="1">
        <f t="array" ref="C43">_xlfn.SWITCH(C42,-1,"i",0,"g",1,"h")</f>
        <v>g</v>
      </c>
      <c r="D43" s="322" t="s">
        <v>216</v>
      </c>
      <c r="E43" s="322" t="s">
        <v>216</v>
      </c>
      <c r="F43" s="333" t="s">
        <v>216</v>
      </c>
      <c r="G43" s="333" t="s">
        <v>216</v>
      </c>
      <c r="H43" s="333" t="s">
        <v>216</v>
      </c>
      <c r="I43" s="333" t="s">
        <v>216</v>
      </c>
      <c r="J43" s="333" t="s">
        <v>216</v>
      </c>
      <c r="K43" s="333" t="s">
        <v>216</v>
      </c>
      <c r="L43" s="331" t="s">
        <v>216</v>
      </c>
      <c r="M43" s="332" t="str" cm="1">
        <f t="array" ref="M43">_xlfn.SWITCH(M42,-1,"i",0,"g",1,"h")</f>
        <v>g</v>
      </c>
      <c r="N43" s="333" t="s">
        <v>216</v>
      </c>
      <c r="O43" s="333" t="s">
        <v>216</v>
      </c>
      <c r="P43" s="333" t="s">
        <v>216</v>
      </c>
      <c r="Q43" s="333" t="s">
        <v>216</v>
      </c>
      <c r="R43" s="333" t="s">
        <v>216</v>
      </c>
      <c r="S43" s="333" t="s">
        <v>216</v>
      </c>
      <c r="T43" s="333" t="s">
        <v>216</v>
      </c>
      <c r="U43" s="333" t="s">
        <v>216</v>
      </c>
      <c r="V43" s="333" t="s">
        <v>216</v>
      </c>
      <c r="W43" s="333" t="s">
        <v>216</v>
      </c>
      <c r="X43" s="334" t="s">
        <v>216</v>
      </c>
      <c r="Y43" s="334" t="s">
        <v>216</v>
      </c>
      <c r="Z43" s="333" t="s">
        <v>216</v>
      </c>
      <c r="AA43" s="333" t="s">
        <v>216</v>
      </c>
      <c r="AB43" s="338" t="s">
        <v>216</v>
      </c>
    </row>
    <row r="44" spans="1:28" ht="17.25" customHeight="1" x14ac:dyDescent="0.4">
      <c r="A44" s="769"/>
      <c r="B44" s="763"/>
      <c r="C44" s="763"/>
      <c r="D44" s="763"/>
      <c r="E44" s="763"/>
      <c r="F44" s="763"/>
      <c r="G44" s="763"/>
      <c r="H44" s="763"/>
      <c r="I44" s="763"/>
      <c r="J44" s="763"/>
      <c r="K44" s="763"/>
      <c r="L44" s="763"/>
      <c r="M44" s="763"/>
      <c r="N44" s="763"/>
      <c r="O44" s="763"/>
      <c r="P44" s="763"/>
      <c r="Q44" s="763"/>
      <c r="R44" s="763"/>
      <c r="S44" s="763"/>
      <c r="T44" s="763"/>
      <c r="U44" s="763"/>
      <c r="V44" s="763"/>
      <c r="W44" s="763"/>
      <c r="X44" s="763"/>
      <c r="Y44" s="763"/>
      <c r="Z44" s="763"/>
      <c r="AA44" s="763"/>
      <c r="AB44" s="764"/>
    </row>
    <row r="45" spans="1:28" ht="8.25" customHeight="1" x14ac:dyDescent="0.4">
      <c r="A45" s="783" t="s">
        <v>216</v>
      </c>
      <c r="B45" s="784"/>
      <c r="C45" s="784"/>
      <c r="D45" s="784"/>
      <c r="E45" s="784"/>
      <c r="F45" s="784"/>
      <c r="G45" s="784"/>
      <c r="H45" s="784"/>
      <c r="I45" s="784"/>
      <c r="J45" s="784"/>
      <c r="K45" s="784"/>
      <c r="L45" s="784"/>
      <c r="M45" s="784"/>
      <c r="N45" s="784"/>
      <c r="O45" s="784"/>
      <c r="P45" s="784"/>
      <c r="Q45" s="784"/>
      <c r="R45" s="784"/>
      <c r="S45" s="784"/>
      <c r="T45" s="784"/>
      <c r="U45" s="784"/>
      <c r="V45" s="784"/>
      <c r="W45" s="784"/>
      <c r="X45" s="784"/>
      <c r="Y45" s="784"/>
      <c r="Z45" s="784"/>
      <c r="AA45" s="784"/>
      <c r="AB45" s="784"/>
    </row>
    <row r="46" spans="1:28" x14ac:dyDescent="0.4">
      <c r="A46" s="319" t="s">
        <v>103</v>
      </c>
      <c r="B46" s="337" t="s">
        <v>91</v>
      </c>
      <c r="C46" s="321">
        <v>0</v>
      </c>
      <c r="D46" s="322" t="s">
        <v>235</v>
      </c>
      <c r="E46" s="323">
        <v>45411</v>
      </c>
      <c r="F46" s="324">
        <v>68500000</v>
      </c>
      <c r="G46" s="324">
        <v>74600000</v>
      </c>
      <c r="H46" s="325">
        <v>45834</v>
      </c>
      <c r="I46" s="325">
        <v>45911</v>
      </c>
      <c r="J46" s="324">
        <v>0</v>
      </c>
      <c r="K46" s="324">
        <v>74600000</v>
      </c>
      <c r="L46" s="337" t="s">
        <v>91</v>
      </c>
      <c r="M46" s="321">
        <v>0</v>
      </c>
      <c r="N46" s="327">
        <v>45437</v>
      </c>
      <c r="O46" s="324">
        <v>75781353</v>
      </c>
      <c r="P46" s="324">
        <v>71465534.620000005</v>
      </c>
      <c r="Q46" s="324">
        <v>342891.49</v>
      </c>
      <c r="R46" s="325">
        <v>45834</v>
      </c>
      <c r="S46" s="325">
        <v>45842</v>
      </c>
      <c r="T46" s="328">
        <v>-15</v>
      </c>
      <c r="U46" s="324">
        <v>70398180.939999998</v>
      </c>
      <c r="V46" s="324">
        <v>69377385.300099999</v>
      </c>
      <c r="W46" s="324">
        <v>69646391</v>
      </c>
      <c r="X46" s="339">
        <v>0.99613755004333249</v>
      </c>
      <c r="Y46" s="329">
        <v>0.98549968726081116</v>
      </c>
      <c r="Z46" s="318">
        <f>U46/O46</f>
        <v>0.92896442400546742</v>
      </c>
      <c r="AA46" s="318">
        <f>V46/O46</f>
        <v>0.91549414933380768</v>
      </c>
      <c r="AB46" s="336" t="s">
        <v>91</v>
      </c>
    </row>
    <row r="47" spans="1:28" ht="17.25" customHeight="1" outlineLevel="1" collapsed="1" x14ac:dyDescent="0.4">
      <c r="A47" s="319" t="s">
        <v>216</v>
      </c>
      <c r="B47" s="331" t="s">
        <v>216</v>
      </c>
      <c r="C47" s="332" t="str" cm="1">
        <f t="array" ref="C47">_xlfn.SWITCH(C46,-1,"i",0,"g",1,"h")</f>
        <v>g</v>
      </c>
      <c r="D47" s="322" t="s">
        <v>216</v>
      </c>
      <c r="E47" s="322" t="s">
        <v>216</v>
      </c>
      <c r="F47" s="333" t="s">
        <v>216</v>
      </c>
      <c r="G47" s="333" t="s">
        <v>216</v>
      </c>
      <c r="H47" s="333" t="s">
        <v>216</v>
      </c>
      <c r="I47" s="333" t="s">
        <v>216</v>
      </c>
      <c r="J47" s="333" t="s">
        <v>216</v>
      </c>
      <c r="K47" s="333" t="s">
        <v>216</v>
      </c>
      <c r="L47" s="331" t="s">
        <v>216</v>
      </c>
      <c r="M47" s="332" t="str" cm="1">
        <f t="array" ref="M47">_xlfn.SWITCH(M46,-1,"i",0,"g",1,"h")</f>
        <v>g</v>
      </c>
      <c r="N47" s="333" t="s">
        <v>216</v>
      </c>
      <c r="O47" s="333" t="s">
        <v>216</v>
      </c>
      <c r="P47" s="333" t="s">
        <v>216</v>
      </c>
      <c r="Q47" s="333" t="s">
        <v>216</v>
      </c>
      <c r="R47" s="333" t="s">
        <v>216</v>
      </c>
      <c r="S47" s="333" t="s">
        <v>216</v>
      </c>
      <c r="T47" s="333" t="s">
        <v>216</v>
      </c>
      <c r="U47" s="333" t="s">
        <v>216</v>
      </c>
      <c r="V47" s="333" t="s">
        <v>216</v>
      </c>
      <c r="W47" s="333" t="s">
        <v>216</v>
      </c>
      <c r="X47" s="340" t="s">
        <v>216</v>
      </c>
      <c r="Y47" s="334" t="s">
        <v>216</v>
      </c>
      <c r="Z47" s="333" t="s">
        <v>216</v>
      </c>
      <c r="AA47" s="333" t="s">
        <v>216</v>
      </c>
      <c r="AB47" s="333" t="s">
        <v>216</v>
      </c>
    </row>
    <row r="48" spans="1:28" ht="17.25" customHeight="1" x14ac:dyDescent="0.4">
      <c r="A48" s="769"/>
      <c r="B48" s="763"/>
      <c r="C48" s="763"/>
      <c r="D48" s="763"/>
      <c r="E48" s="763"/>
      <c r="F48" s="763"/>
      <c r="G48" s="763"/>
      <c r="H48" s="763"/>
      <c r="I48" s="763"/>
      <c r="J48" s="763"/>
      <c r="K48" s="763"/>
      <c r="L48" s="763"/>
      <c r="M48" s="763"/>
      <c r="N48" s="763"/>
      <c r="O48" s="763"/>
      <c r="P48" s="763"/>
      <c r="Q48" s="763"/>
      <c r="R48" s="763"/>
      <c r="S48" s="763"/>
      <c r="T48" s="763"/>
      <c r="U48" s="763"/>
      <c r="V48" s="763"/>
      <c r="W48" s="763"/>
      <c r="X48" s="763"/>
      <c r="Y48" s="763"/>
      <c r="Z48" s="763"/>
      <c r="AA48" s="763"/>
      <c r="AB48" s="764"/>
    </row>
    <row r="49" spans="1:28" ht="8.25" customHeight="1" x14ac:dyDescent="0.4">
      <c r="A49" s="783" t="s">
        <v>216</v>
      </c>
      <c r="B49" s="784"/>
      <c r="C49" s="784"/>
      <c r="D49" s="784"/>
      <c r="E49" s="784"/>
      <c r="F49" s="784"/>
      <c r="G49" s="784"/>
      <c r="H49" s="784"/>
      <c r="I49" s="784"/>
      <c r="J49" s="784"/>
      <c r="K49" s="784"/>
      <c r="L49" s="784"/>
      <c r="M49" s="784"/>
      <c r="N49" s="784"/>
      <c r="O49" s="784"/>
      <c r="P49" s="784"/>
      <c r="Q49" s="784"/>
      <c r="R49" s="784"/>
      <c r="S49" s="784"/>
      <c r="T49" s="784"/>
      <c r="U49" s="784"/>
      <c r="V49" s="784"/>
      <c r="W49" s="784"/>
      <c r="X49" s="784"/>
      <c r="Y49" s="784"/>
      <c r="Z49" s="784"/>
      <c r="AA49" s="784"/>
      <c r="AB49" s="784"/>
    </row>
    <row r="50" spans="1:28" x14ac:dyDescent="0.4">
      <c r="A50" s="319" t="s">
        <v>117</v>
      </c>
      <c r="B50" s="337" t="s">
        <v>88</v>
      </c>
      <c r="C50" s="321">
        <v>0</v>
      </c>
      <c r="D50" s="322" t="s">
        <v>233</v>
      </c>
      <c r="E50" s="323">
        <v>43833</v>
      </c>
      <c r="F50" s="324">
        <v>704620000</v>
      </c>
      <c r="G50" s="324">
        <v>902620000</v>
      </c>
      <c r="H50" s="325">
        <v>47209</v>
      </c>
      <c r="I50" s="325">
        <v>47423</v>
      </c>
      <c r="J50" s="324">
        <v>384623000</v>
      </c>
      <c r="K50" s="324">
        <v>351623000</v>
      </c>
      <c r="L50" s="337" t="s">
        <v>88</v>
      </c>
      <c r="M50" s="321">
        <v>0</v>
      </c>
      <c r="N50" s="327">
        <v>43617</v>
      </c>
      <c r="O50" s="324">
        <v>737262484</v>
      </c>
      <c r="P50" s="324">
        <v>264913475.66999999</v>
      </c>
      <c r="Q50" s="324">
        <v>-460263.22</v>
      </c>
      <c r="R50" s="325">
        <v>46944</v>
      </c>
      <c r="S50" s="325">
        <v>48516</v>
      </c>
      <c r="T50" s="328">
        <v>0</v>
      </c>
      <c r="U50" s="324">
        <v>430313884.66000003</v>
      </c>
      <c r="V50" s="324">
        <v>158974839.49900001</v>
      </c>
      <c r="W50" s="324">
        <v>264497945.91</v>
      </c>
      <c r="X50" s="339">
        <v>0.60104375840065671</v>
      </c>
      <c r="Y50" s="329">
        <v>0.36943925159330926</v>
      </c>
      <c r="Z50" s="318">
        <f>U50/O50</f>
        <v>0.58366442616928282</v>
      </c>
      <c r="AA50" s="318">
        <f>V50/O50</f>
        <v>0.21562854878561813</v>
      </c>
      <c r="AB50" s="337" t="s">
        <v>91</v>
      </c>
    </row>
    <row r="51" spans="1:28" ht="17.25" customHeight="1" outlineLevel="1" collapsed="1" x14ac:dyDescent="0.4">
      <c r="A51" s="319" t="s">
        <v>216</v>
      </c>
      <c r="B51" s="331" t="s">
        <v>216</v>
      </c>
      <c r="C51" s="332" t="str" cm="1">
        <f t="array" ref="C51">_xlfn.SWITCH(C50,-1,"i",0,"g",1,"h")</f>
        <v>g</v>
      </c>
      <c r="D51" s="322" t="s">
        <v>216</v>
      </c>
      <c r="E51" s="322" t="s">
        <v>216</v>
      </c>
      <c r="F51" s="333" t="s">
        <v>216</v>
      </c>
      <c r="G51" s="333" t="s">
        <v>216</v>
      </c>
      <c r="H51" s="333" t="s">
        <v>216</v>
      </c>
      <c r="I51" s="333" t="s">
        <v>216</v>
      </c>
      <c r="J51" s="333" t="s">
        <v>216</v>
      </c>
      <c r="K51" s="333" t="s">
        <v>216</v>
      </c>
      <c r="L51" s="331" t="s">
        <v>216</v>
      </c>
      <c r="M51" s="332" t="str" cm="1">
        <f t="array" ref="M51">_xlfn.SWITCH(M50,-1,"i",0,"g",1,"h")</f>
        <v>g</v>
      </c>
      <c r="N51" s="333" t="s">
        <v>216</v>
      </c>
      <c r="O51" s="333" t="s">
        <v>216</v>
      </c>
      <c r="P51" s="333" t="s">
        <v>216</v>
      </c>
      <c r="Q51" s="333" t="s">
        <v>216</v>
      </c>
      <c r="R51" s="333" t="s">
        <v>216</v>
      </c>
      <c r="S51" s="333" t="s">
        <v>216</v>
      </c>
      <c r="T51" s="333" t="s">
        <v>216</v>
      </c>
      <c r="U51" s="333" t="s">
        <v>216</v>
      </c>
      <c r="V51" s="333" t="s">
        <v>216</v>
      </c>
      <c r="W51" s="333" t="s">
        <v>216</v>
      </c>
      <c r="X51" s="340" t="s">
        <v>216</v>
      </c>
      <c r="Y51" s="334" t="s">
        <v>216</v>
      </c>
      <c r="Z51" s="333" t="s">
        <v>216</v>
      </c>
      <c r="AA51" s="333" t="s">
        <v>216</v>
      </c>
      <c r="AB51" s="338" t="s">
        <v>216</v>
      </c>
    </row>
    <row r="52" spans="1:28" ht="17.25" customHeight="1" x14ac:dyDescent="0.4">
      <c r="A52" s="769"/>
      <c r="B52" s="763"/>
      <c r="C52" s="763"/>
      <c r="D52" s="763"/>
      <c r="E52" s="763"/>
      <c r="F52" s="763"/>
      <c r="G52" s="763"/>
      <c r="H52" s="763"/>
      <c r="I52" s="763"/>
      <c r="J52" s="763"/>
      <c r="K52" s="763"/>
      <c r="L52" s="763"/>
      <c r="M52" s="763"/>
      <c r="N52" s="763"/>
      <c r="O52" s="763"/>
      <c r="P52" s="763"/>
      <c r="Q52" s="763"/>
      <c r="R52" s="763"/>
      <c r="S52" s="763"/>
      <c r="T52" s="763"/>
      <c r="U52" s="763"/>
      <c r="V52" s="763"/>
      <c r="W52" s="763"/>
      <c r="X52" s="763"/>
      <c r="Y52" s="763"/>
      <c r="Z52" s="763"/>
      <c r="AA52" s="763"/>
      <c r="AB52" s="764"/>
    </row>
    <row r="53" spans="1:28" ht="4.5" customHeight="1" x14ac:dyDescent="0.4">
      <c r="A53" s="454"/>
      <c r="B53" s="455"/>
      <c r="C53" s="455"/>
      <c r="D53" s="455"/>
      <c r="E53" s="455"/>
      <c r="F53" s="455"/>
      <c r="G53" s="455"/>
      <c r="H53" s="455"/>
      <c r="I53" s="455"/>
      <c r="J53" s="455"/>
      <c r="K53" s="455"/>
      <c r="L53" s="455"/>
      <c r="M53" s="455"/>
      <c r="N53" s="455"/>
      <c r="O53" s="455"/>
      <c r="P53" s="455"/>
      <c r="Q53" s="455"/>
      <c r="R53" s="455"/>
      <c r="S53" s="455"/>
      <c r="T53" s="455"/>
      <c r="U53" s="455"/>
      <c r="V53" s="455"/>
      <c r="W53" s="455"/>
      <c r="X53" s="455"/>
      <c r="Y53" s="455"/>
      <c r="Z53" s="455"/>
      <c r="AA53" s="455"/>
      <c r="AB53" s="456"/>
    </row>
    <row r="54" spans="1:28" x14ac:dyDescent="0.4">
      <c r="A54" s="319" t="s">
        <v>5</v>
      </c>
      <c r="B54" s="337" t="s">
        <v>88</v>
      </c>
      <c r="C54" s="321">
        <v>0</v>
      </c>
      <c r="D54" s="322" t="s">
        <v>235</v>
      </c>
      <c r="E54" s="323">
        <v>43892</v>
      </c>
      <c r="F54" s="324">
        <v>305915000</v>
      </c>
      <c r="G54" s="324">
        <v>315347000</v>
      </c>
      <c r="H54" s="325">
        <v>45392</v>
      </c>
      <c r="I54" s="325">
        <v>45627</v>
      </c>
      <c r="J54" s="324">
        <v>315347000</v>
      </c>
      <c r="K54" s="324">
        <v>305931037</v>
      </c>
      <c r="L54" s="337" t="s">
        <v>88</v>
      </c>
      <c r="M54" s="321">
        <v>0</v>
      </c>
      <c r="N54" s="327">
        <v>43891</v>
      </c>
      <c r="O54" s="324">
        <v>290797664</v>
      </c>
      <c r="P54" s="324">
        <v>313151952.38999999</v>
      </c>
      <c r="Q54" s="324">
        <v>2574.9</v>
      </c>
      <c r="R54" s="325">
        <v>45392</v>
      </c>
      <c r="S54" s="325">
        <v>46107</v>
      </c>
      <c r="T54" s="328">
        <v>0</v>
      </c>
      <c r="U54" s="324">
        <v>290797663.80000001</v>
      </c>
      <c r="V54" s="324">
        <v>284971726.3423</v>
      </c>
      <c r="W54" s="324">
        <v>304772553.64999998</v>
      </c>
      <c r="X54" s="339">
        <v>0.93503080552837703</v>
      </c>
      <c r="Y54" s="329">
        <v>0.97996566622451664</v>
      </c>
      <c r="Z54" s="318">
        <f>U54/O54</f>
        <v>0.9999999993122366</v>
      </c>
      <c r="AA54" s="318">
        <f>V54/O54</f>
        <v>0.97996566555053211</v>
      </c>
      <c r="AB54" s="337" t="s">
        <v>90</v>
      </c>
    </row>
    <row r="55" spans="1:28" ht="15.75" customHeight="1" outlineLevel="1" collapsed="1" x14ac:dyDescent="0.4">
      <c r="A55" s="319"/>
      <c r="B55" s="331"/>
      <c r="C55" s="332" t="str" cm="1">
        <f t="array" ref="C55">_xlfn.SWITCH(C54,-1,"i",0,"g",1,"h")</f>
        <v>g</v>
      </c>
      <c r="D55" s="322"/>
      <c r="E55" s="322"/>
      <c r="F55" s="333"/>
      <c r="G55" s="333"/>
      <c r="H55" s="333"/>
      <c r="I55" s="333"/>
      <c r="J55" s="333"/>
      <c r="K55" s="333"/>
      <c r="L55" s="331"/>
      <c r="M55" s="332" t="str" cm="1">
        <f t="array" ref="M55">_xlfn.SWITCH(M54,-1,"i",0,"g",1,"h")</f>
        <v>g</v>
      </c>
      <c r="N55" s="333"/>
      <c r="O55" s="333"/>
      <c r="P55" s="333"/>
      <c r="Q55" s="333"/>
      <c r="R55" s="333"/>
      <c r="S55" s="333"/>
      <c r="T55" s="333"/>
      <c r="U55" s="333"/>
      <c r="V55" s="333"/>
      <c r="W55" s="333"/>
      <c r="X55" s="340"/>
      <c r="Y55" s="334"/>
      <c r="Z55" s="333"/>
      <c r="AA55" s="333"/>
      <c r="AB55" s="338"/>
    </row>
    <row r="57" spans="1:28" ht="6.75" customHeight="1" x14ac:dyDescent="0.4"/>
    <row r="58" spans="1:28" ht="29.15" x14ac:dyDescent="0.4">
      <c r="A58" s="319" t="s">
        <v>111</v>
      </c>
      <c r="B58" s="337" t="s">
        <v>91</v>
      </c>
      <c r="C58" s="321">
        <v>0</v>
      </c>
      <c r="D58" s="322" t="s">
        <v>235</v>
      </c>
      <c r="E58" s="323">
        <v>44378</v>
      </c>
      <c r="F58" s="324">
        <v>1335430000</v>
      </c>
      <c r="G58" s="324">
        <v>1672870000</v>
      </c>
      <c r="H58" s="325">
        <v>47400</v>
      </c>
      <c r="I58" s="325">
        <v>48274</v>
      </c>
      <c r="J58" s="324">
        <v>1672870000</v>
      </c>
      <c r="K58" s="324">
        <v>1335430000</v>
      </c>
      <c r="L58" s="337" t="s">
        <v>91</v>
      </c>
      <c r="M58" s="321">
        <v>0</v>
      </c>
      <c r="N58" s="327">
        <v>44256</v>
      </c>
      <c r="O58" s="324">
        <v>1453946177</v>
      </c>
      <c r="P58" s="324">
        <v>1424968016.8800001</v>
      </c>
      <c r="Q58" s="324">
        <v>-16210981.17</v>
      </c>
      <c r="R58" s="325">
        <v>47400</v>
      </c>
      <c r="S58" s="325">
        <v>47400</v>
      </c>
      <c r="T58" s="328">
        <v>0</v>
      </c>
      <c r="U58" s="324">
        <v>891319728.77999997</v>
      </c>
      <c r="V58" s="324">
        <v>783574653.68019998</v>
      </c>
      <c r="W58" s="324">
        <v>774574256.11000001</v>
      </c>
      <c r="X58" s="339">
        <v>1.0116197995210956</v>
      </c>
      <c r="Y58" s="329">
        <v>0.87911736762825077</v>
      </c>
      <c r="Z58" s="318">
        <f>U58/O58</f>
        <v>0.61303488593993527</v>
      </c>
      <c r="AA58" s="318">
        <f>V58/O58</f>
        <v>0.53892961519180083</v>
      </c>
      <c r="AB58" s="337" t="s">
        <v>90</v>
      </c>
    </row>
    <row r="59" spans="1:28" ht="17.25" customHeight="1" outlineLevel="1" collapsed="1" x14ac:dyDescent="0.4">
      <c r="A59" s="319"/>
      <c r="B59" s="331"/>
      <c r="C59" s="332" t="str" cm="1">
        <f t="array" ref="C59">_xlfn.SWITCH(C58,-1,"i",0,"g",1,"h")</f>
        <v>g</v>
      </c>
      <c r="D59" s="322"/>
      <c r="E59" s="322"/>
      <c r="F59" s="333"/>
      <c r="G59" s="333"/>
      <c r="H59" s="333"/>
      <c r="I59" s="333"/>
      <c r="J59" s="333"/>
      <c r="K59" s="333"/>
      <c r="L59" s="331"/>
      <c r="M59" s="332" t="str" cm="1">
        <f t="array" ref="M59">_xlfn.SWITCH(M58,-1,"i",0,"g",1,"h")</f>
        <v>g</v>
      </c>
      <c r="N59" s="333"/>
      <c r="O59" s="333"/>
      <c r="P59" s="333"/>
      <c r="Q59" s="333"/>
      <c r="R59" s="333"/>
      <c r="S59" s="333"/>
      <c r="T59" s="333"/>
      <c r="U59" s="333"/>
      <c r="V59" s="333"/>
      <c r="W59" s="333"/>
      <c r="X59" s="340"/>
      <c r="Y59" s="334"/>
      <c r="Z59" s="333"/>
      <c r="AA59" s="333"/>
      <c r="AB59" s="338"/>
    </row>
    <row r="61" spans="1:28" ht="6.75" customHeight="1" x14ac:dyDescent="0.4"/>
    <row r="62" spans="1:28" x14ac:dyDescent="0.4">
      <c r="A62" s="319" t="s">
        <v>7</v>
      </c>
      <c r="B62" s="337" t="s">
        <v>91</v>
      </c>
      <c r="C62" s="321">
        <v>0</v>
      </c>
      <c r="D62" s="322" t="s">
        <v>235</v>
      </c>
      <c r="E62" s="323">
        <v>45194</v>
      </c>
      <c r="F62" s="324">
        <v>866700000</v>
      </c>
      <c r="G62" s="324">
        <v>897900000</v>
      </c>
      <c r="H62" s="325">
        <v>46478</v>
      </c>
      <c r="I62" s="325">
        <v>47027</v>
      </c>
      <c r="J62" s="324">
        <v>897900000</v>
      </c>
      <c r="K62" s="324">
        <v>897900000</v>
      </c>
      <c r="L62" s="337" t="s">
        <v>90</v>
      </c>
      <c r="M62" s="321">
        <v>0</v>
      </c>
      <c r="N62" s="327">
        <v>44652</v>
      </c>
      <c r="O62" s="324">
        <v>802958036</v>
      </c>
      <c r="P62" s="324">
        <v>874149935.48000002</v>
      </c>
      <c r="Q62" s="324">
        <v>57972.02</v>
      </c>
      <c r="R62" s="325">
        <v>46505</v>
      </c>
      <c r="S62" s="325">
        <v>46703</v>
      </c>
      <c r="T62" s="328">
        <v>0</v>
      </c>
      <c r="U62" s="324">
        <v>779970958.01999998</v>
      </c>
      <c r="V62" s="324">
        <v>771041490.02569997</v>
      </c>
      <c r="W62" s="324">
        <v>846348058.71000004</v>
      </c>
      <c r="X62" s="339">
        <v>0.91102175055605139</v>
      </c>
      <c r="Y62" s="329">
        <v>0.98855153784575778</v>
      </c>
      <c r="Z62" s="318">
        <f>U62/O62</f>
        <v>0.97137200582173389</v>
      </c>
      <c r="AA62" s="318">
        <f>V62/O62</f>
        <v>0.96025129017539335</v>
      </c>
      <c r="AB62" s="337" t="s">
        <v>91</v>
      </c>
    </row>
    <row r="63" spans="1:28" ht="17.25" customHeight="1" outlineLevel="1" collapsed="1" x14ac:dyDescent="0.4">
      <c r="A63" s="319"/>
      <c r="B63" s="331"/>
      <c r="C63" s="332" t="str" cm="1">
        <f t="array" ref="C63">_xlfn.SWITCH(C62,-1,"i",0,"g",1,"h")</f>
        <v>g</v>
      </c>
      <c r="D63" s="322"/>
      <c r="E63" s="322"/>
      <c r="F63" s="333"/>
      <c r="G63" s="333"/>
      <c r="H63" s="333"/>
      <c r="I63" s="333"/>
      <c r="J63" s="333"/>
      <c r="K63" s="333"/>
      <c r="L63" s="331"/>
      <c r="M63" s="332" t="str" cm="1">
        <f t="array" ref="M63">_xlfn.SWITCH(M62,-1,"i",0,"g",1,"h")</f>
        <v>g</v>
      </c>
      <c r="N63" s="333"/>
      <c r="O63" s="333"/>
      <c r="P63" s="333"/>
      <c r="Q63" s="333"/>
      <c r="R63" s="333"/>
      <c r="S63" s="333"/>
      <c r="T63" s="333"/>
      <c r="U63" s="333"/>
      <c r="V63" s="333"/>
      <c r="W63" s="333"/>
      <c r="X63" s="340"/>
      <c r="Y63" s="334"/>
      <c r="Z63" s="333"/>
      <c r="AA63" s="333"/>
      <c r="AB63" s="338"/>
    </row>
    <row r="65" spans="1:28" ht="6.75" customHeight="1" x14ac:dyDescent="0.4"/>
    <row r="66" spans="1:28" x14ac:dyDescent="0.4">
      <c r="A66" s="319" t="s">
        <v>113</v>
      </c>
      <c r="B66" s="337" t="s">
        <v>91</v>
      </c>
      <c r="C66" s="321">
        <v>0</v>
      </c>
      <c r="D66" s="322" t="s">
        <v>235</v>
      </c>
      <c r="E66" s="323">
        <v>44531</v>
      </c>
      <c r="F66" s="324">
        <v>1007000000</v>
      </c>
      <c r="G66" s="324">
        <v>1181564753</v>
      </c>
      <c r="H66" s="325">
        <v>47849</v>
      </c>
      <c r="I66" s="325">
        <v>48611</v>
      </c>
      <c r="J66" s="324">
        <v>1182000000</v>
      </c>
      <c r="K66" s="324">
        <v>1007000000</v>
      </c>
      <c r="L66" s="337" t="s">
        <v>91</v>
      </c>
      <c r="M66" s="321">
        <v>0</v>
      </c>
      <c r="N66" s="327">
        <v>45317</v>
      </c>
      <c r="O66" s="324">
        <v>1092964583</v>
      </c>
      <c r="P66" s="324">
        <v>1106635565</v>
      </c>
      <c r="Q66" s="324">
        <v>-18725.46</v>
      </c>
      <c r="R66" s="325">
        <v>47871</v>
      </c>
      <c r="S66" s="325">
        <v>47871</v>
      </c>
      <c r="T66" s="328">
        <v>0</v>
      </c>
      <c r="U66" s="324">
        <v>623721106</v>
      </c>
      <c r="V66" s="324">
        <v>579031562.3391</v>
      </c>
      <c r="W66" s="324">
        <v>560442116.97000003</v>
      </c>
      <c r="X66" s="339">
        <v>1.0331692512147423</v>
      </c>
      <c r="Y66" s="329">
        <v>0.92835011797580569</v>
      </c>
      <c r="Z66" s="318">
        <f>U66/O66</f>
        <v>0.57066909184558634</v>
      </c>
      <c r="AA66" s="318">
        <f>V66/O66</f>
        <v>0.52978071873999599</v>
      </c>
      <c r="AB66" s="337" t="s">
        <v>91</v>
      </c>
    </row>
    <row r="67" spans="1:28" ht="17.25" customHeight="1" outlineLevel="1" collapsed="1" x14ac:dyDescent="0.4">
      <c r="A67" s="319"/>
      <c r="B67" s="331"/>
      <c r="C67" s="332" t="str" cm="1">
        <f t="array" ref="C67">_xlfn.SWITCH(C66,-1,"i",0,"g",1,"h")</f>
        <v>g</v>
      </c>
      <c r="D67" s="322"/>
      <c r="E67" s="322"/>
      <c r="F67" s="333"/>
      <c r="G67" s="333"/>
      <c r="H67" s="333"/>
      <c r="I67" s="333"/>
      <c r="J67" s="333"/>
      <c r="K67" s="333"/>
      <c r="L67" s="331"/>
      <c r="M67" s="332" t="str" cm="1">
        <f t="array" ref="M67">_xlfn.SWITCH(M66,-1,"i",0,"g",1,"h")</f>
        <v>g</v>
      </c>
      <c r="N67" s="333"/>
      <c r="O67" s="333"/>
      <c r="P67" s="333"/>
      <c r="Q67" s="333"/>
      <c r="R67" s="333"/>
      <c r="S67" s="333"/>
      <c r="T67" s="333"/>
      <c r="U67" s="333"/>
      <c r="V67" s="333"/>
      <c r="W67" s="333"/>
      <c r="X67" s="340"/>
      <c r="Y67" s="334"/>
      <c r="Z67" s="333"/>
      <c r="AA67" s="333"/>
      <c r="AB67" s="338"/>
    </row>
    <row r="69" spans="1:28" ht="6.75" customHeight="1" x14ac:dyDescent="0.4"/>
    <row r="70" spans="1:28" x14ac:dyDescent="0.4">
      <c r="A70" s="319" t="s">
        <v>332</v>
      </c>
      <c r="B70" s="333" t="s">
        <v>91</v>
      </c>
      <c r="C70" s="333">
        <v>0</v>
      </c>
      <c r="D70" s="333" t="s">
        <v>235</v>
      </c>
      <c r="E70" s="323">
        <v>45225</v>
      </c>
      <c r="F70" s="324">
        <v>130000000</v>
      </c>
      <c r="G70" s="324">
        <v>200000000</v>
      </c>
      <c r="H70" s="323" t="s">
        <v>331</v>
      </c>
      <c r="I70" s="323" t="s">
        <v>331</v>
      </c>
      <c r="J70" s="324">
        <v>200000000</v>
      </c>
      <c r="K70" s="324">
        <v>200000000</v>
      </c>
      <c r="L70" s="341" t="s">
        <v>91</v>
      </c>
      <c r="M70" s="324">
        <v>0</v>
      </c>
      <c r="N70" s="327">
        <v>45254</v>
      </c>
      <c r="O70" s="324">
        <v>138103039</v>
      </c>
      <c r="P70" s="324">
        <v>142747307.47</v>
      </c>
      <c r="Q70" s="324">
        <v>-2643868.8800000004</v>
      </c>
      <c r="R70" s="325">
        <v>48935</v>
      </c>
      <c r="S70" s="325">
        <v>48935</v>
      </c>
      <c r="T70" s="328">
        <v>0</v>
      </c>
      <c r="U70" s="324">
        <v>51493703.383200005</v>
      </c>
      <c r="V70" s="324">
        <v>25039774.340599999</v>
      </c>
      <c r="W70" s="324">
        <v>23113241.129999999</v>
      </c>
      <c r="X70" s="339">
        <v>1.0833519280037036</v>
      </c>
      <c r="Y70" s="329">
        <v>0.48626866384539957</v>
      </c>
      <c r="Z70" s="318">
        <v>0.37286437544071716</v>
      </c>
      <c r="AA70" s="318">
        <v>0.18131226164110698</v>
      </c>
      <c r="AB70" s="326" t="s">
        <v>88</v>
      </c>
    </row>
    <row r="71" spans="1:28" ht="17.25" customHeight="1" x14ac:dyDescent="0.4">
      <c r="A71" s="788"/>
      <c r="B71" s="789"/>
      <c r="C71" s="789"/>
      <c r="D71" s="789"/>
      <c r="E71" s="789"/>
      <c r="F71" s="789"/>
      <c r="G71" s="789"/>
      <c r="H71" s="789"/>
      <c r="I71" s="789"/>
      <c r="J71" s="789"/>
      <c r="K71" s="789"/>
      <c r="L71" s="789"/>
      <c r="M71" s="789"/>
      <c r="N71" s="789"/>
      <c r="O71" s="789"/>
      <c r="P71" s="789"/>
      <c r="Q71" s="789"/>
      <c r="R71" s="789"/>
      <c r="S71" s="789"/>
      <c r="T71" s="789"/>
      <c r="U71" s="789"/>
      <c r="V71" s="789"/>
      <c r="W71" s="789"/>
      <c r="X71" s="789"/>
      <c r="Y71" s="789"/>
      <c r="Z71" s="789"/>
      <c r="AA71" s="789"/>
      <c r="AB71" s="789"/>
    </row>
    <row r="72" spans="1:28" ht="6.75" customHeight="1" x14ac:dyDescent="0.4">
      <c r="A72" s="457" t="s">
        <v>216</v>
      </c>
    </row>
    <row r="73" spans="1:28" ht="29.15" x14ac:dyDescent="0.4">
      <c r="A73" s="319" t="s">
        <v>311</v>
      </c>
      <c r="B73" s="337" t="s">
        <v>91</v>
      </c>
      <c r="C73" s="321">
        <v>0</v>
      </c>
      <c r="D73" s="322"/>
      <c r="E73" s="323">
        <v>41579</v>
      </c>
      <c r="F73" s="324">
        <v>774500000</v>
      </c>
      <c r="G73" s="324">
        <v>880000000</v>
      </c>
      <c r="H73" s="325"/>
      <c r="I73" s="325"/>
      <c r="J73" s="324">
        <v>921800000</v>
      </c>
      <c r="K73" s="324">
        <v>921800000</v>
      </c>
      <c r="L73" s="321" t="s">
        <v>95</v>
      </c>
      <c r="M73" s="321"/>
      <c r="N73" s="327"/>
      <c r="O73" s="324"/>
      <c r="P73" s="324">
        <v>920049412.26999998</v>
      </c>
      <c r="Q73" s="324">
        <v>0</v>
      </c>
      <c r="R73" s="325"/>
      <c r="S73" s="325">
        <v>46079</v>
      </c>
      <c r="T73" s="328"/>
      <c r="U73" s="324"/>
      <c r="V73" s="324"/>
      <c r="W73" s="324">
        <v>889529173.84000003</v>
      </c>
      <c r="X73" s="339"/>
      <c r="Y73" s="329"/>
      <c r="Z73" s="318"/>
      <c r="AA73" s="318"/>
      <c r="AB73" s="321" t="s">
        <v>95</v>
      </c>
    </row>
    <row r="74" spans="1:28" ht="24.9" x14ac:dyDescent="0.4">
      <c r="A74" s="319"/>
      <c r="B74" s="331"/>
      <c r="C74" s="332" t="str" cm="1">
        <f t="array" ref="C74">_xlfn.SWITCH(C73,-1,"i",0,"g",1,"h")</f>
        <v>g</v>
      </c>
      <c r="D74" s="322"/>
      <c r="E74" s="322"/>
      <c r="F74" s="333"/>
      <c r="G74" s="333"/>
      <c r="H74" s="333"/>
      <c r="I74" s="333"/>
      <c r="J74" s="333"/>
      <c r="K74" s="333"/>
      <c r="L74" s="331"/>
      <c r="M74" s="332"/>
      <c r="N74" s="333"/>
      <c r="O74" s="333"/>
      <c r="P74" s="333"/>
      <c r="Q74" s="333"/>
      <c r="R74" s="333"/>
      <c r="S74" s="333"/>
      <c r="T74" s="333"/>
      <c r="U74" s="333"/>
      <c r="V74" s="333"/>
      <c r="W74" s="340"/>
      <c r="X74" s="340"/>
      <c r="Y74" s="334"/>
      <c r="Z74" s="333"/>
      <c r="AA74" s="333"/>
      <c r="AB74" s="338"/>
    </row>
    <row r="75" spans="1:28" ht="6.75" customHeight="1" x14ac:dyDescent="0.4"/>
  </sheetData>
  <sheetProtection algorithmName="SHA-512" hashValue="FfospzUyw1vWtBfZzdQVJ9I7OeeYS3ID2iTr70QncHAeD1InsQjK+8sngoCZMZmmFEbrYOSjiteqHUl7JHgVZg==" saltValue="W0u5jsF3gM0VHnJQsS8D5Q==" spinCount="100000" sheet="1" objects="1" scenarios="1"/>
  <customSheetViews>
    <customSheetView guid="{800416AC-1374-44AC-811C-612C85EF24E6}" scale="55" state="hidden">
      <pane ySplit="5" topLeftCell="A50" activePane="bottomLeft" state="frozen"/>
      <selection pane="bottomLeft" activeCell="K62" sqref="K62"/>
      <pageMargins left="0.7" right="0.7" top="0.75" bottom="0.75" header="0.3" footer="0.3"/>
    </customSheetView>
    <customSheetView guid="{FBC63E8F-69FE-4648-B709-FA1212EFFB29}" scale="55" state="hidden">
      <pane ySplit="5" topLeftCell="A50" activePane="bottomLeft" state="frozen"/>
      <selection pane="bottomLeft" activeCell="K62" sqref="K62"/>
      <pageMargins left="0.7" right="0.7" top="0.75" bottom="0.75" header="0.3" footer="0.3"/>
    </customSheetView>
    <customSheetView guid="{C7C13768-4A8D-4CBA-978C-F4A7B5550C00}" scale="55" state="hidden">
      <pane ySplit="5" topLeftCell="A50" activePane="bottomLeft" state="frozen"/>
      <selection pane="bottomLeft" activeCell="K62" sqref="K62"/>
      <pageMargins left="0.7" right="0.7" top="0.75" bottom="0.75" header="0.3" footer="0.3"/>
    </customSheetView>
    <customSheetView guid="{466708C2-41CE-4656-AB81-E1E49DF5945D}" scale="55" state="hidden">
      <pane ySplit="5" topLeftCell="A50" activePane="bottomLeft" state="frozen"/>
      <selection pane="bottomLeft" activeCell="K62" sqref="K62"/>
      <pageMargins left="0.7" right="0.7" top="0.75" bottom="0.75" header="0.3" footer="0.3"/>
    </customSheetView>
    <customSheetView guid="{E3A3AE56-8881-4A6F-9299-803C489AD1B4}" scale="55" state="hidden">
      <pane ySplit="5" topLeftCell="A50" activePane="bottomLeft" state="frozen"/>
      <selection pane="bottomLeft" activeCell="K62" sqref="K62"/>
      <pageMargins left="0.7" right="0.7" top="0.75" bottom="0.75" header="0.3" footer="0.3"/>
    </customSheetView>
    <customSheetView guid="{83044EFE-7F92-4F81-B034-85D9567158C2}" scale="55" state="hidden">
      <pane ySplit="5" topLeftCell="A50" activePane="bottomLeft" state="frozen"/>
      <selection pane="bottomLeft" activeCell="K62" sqref="K62"/>
      <pageMargins left="0.7" right="0.7" top="0.75" bottom="0.75" header="0.3" footer="0.3"/>
    </customSheetView>
    <customSheetView guid="{E4713981-DD11-40CE-BE52-873D93BDDE05}" scale="55" state="hidden">
      <pane ySplit="5" topLeftCell="A50" activePane="bottomLeft" state="frozen"/>
      <selection pane="bottomLeft" activeCell="K62" sqref="K62"/>
      <pageMargins left="0.7" right="0.7" top="0.75" bottom="0.75" header="0.3" footer="0.3"/>
    </customSheetView>
    <customSheetView guid="{442F9A23-CA6E-4109-B10C-ACF5FD36B859}" scale="55" state="hidden">
      <pane ySplit="5" topLeftCell="A50" activePane="bottomLeft" state="frozen"/>
      <selection pane="bottomLeft" activeCell="K62" sqref="K62"/>
      <pageMargins left="0.7" right="0.7" top="0.75" bottom="0.75" header="0.3" footer="0.3"/>
    </customSheetView>
    <customSheetView guid="{B434A8A8-5A4C-48C0-82E7-2458B9D2EEEF}" scale="55" state="hidden">
      <pane ySplit="5" topLeftCell="A50" activePane="bottomLeft" state="frozen"/>
      <selection pane="bottomLeft" activeCell="K62" sqref="K62"/>
      <pageMargins left="0.7" right="0.7" top="0.75" bottom="0.75" header="0.3" footer="0.3"/>
    </customSheetView>
    <customSheetView guid="{3827E543-57D2-48C8-B786-7077EA079DD2}" scale="55" state="hidden">
      <pane ySplit="5" topLeftCell="A50" activePane="bottomLeft" state="frozen"/>
      <selection pane="bottomLeft" activeCell="K62" sqref="K62"/>
      <pageMargins left="0.7" right="0.7" top="0.75" bottom="0.75" header="0.3" footer="0.3"/>
    </customSheetView>
    <customSheetView guid="{2EA8DBF7-9763-457C-AA9F-1EEB2F136D1F}" scale="55" state="hidden">
      <pane ySplit="5" topLeftCell="A50" activePane="bottomLeft" state="frozen"/>
      <selection pane="bottomLeft" activeCell="K62" sqref="K62"/>
      <pageMargins left="0.7" right="0.7" top="0.75" bottom="0.75" header="0.3" footer="0.3"/>
    </customSheetView>
    <customSheetView guid="{70582C04-BB53-4A99-A3C1-673011D9AE1C}" scale="55" state="hidden">
      <pane ySplit="5" topLeftCell="A50" activePane="bottomLeft" state="frozen"/>
      <selection pane="bottomLeft" activeCell="K62" sqref="K62"/>
      <pageMargins left="0.7" right="0.7" top="0.75" bottom="0.75" header="0.3" footer="0.3"/>
    </customSheetView>
    <customSheetView guid="{37F5A0AB-EB39-4832-9D67-F67D908BF486}" scale="55" state="hidden">
      <pane ySplit="5" topLeftCell="A50" activePane="bottomLeft" state="frozen"/>
      <selection pane="bottomLeft" activeCell="K62" sqref="K62"/>
      <pageMargins left="0.7" right="0.7" top="0.75" bottom="0.75" header="0.3" footer="0.3"/>
    </customSheetView>
    <customSheetView guid="{78AA4A71-CE17-4C4D-849E-E3E1A44EA907}" scale="55" state="hidden">
      <pane ySplit="5" topLeftCell="A50" activePane="bottomLeft" state="frozen"/>
      <selection pane="bottomLeft" activeCell="K62" sqref="K62"/>
      <pageMargins left="0.7" right="0.7" top="0.75" bottom="0.75" header="0.3" footer="0.3"/>
    </customSheetView>
    <customSheetView guid="{51DFD3D6-BC25-47B4-B28F-D640534DB3A9}" scale="55" state="hidden">
      <pane ySplit="5" topLeftCell="A50" activePane="bottomLeft" state="frozen"/>
      <selection pane="bottomLeft" activeCell="K62" sqref="K62"/>
      <pageMargins left="0.7" right="0.7" top="0.75" bottom="0.75" header="0.3" footer="0.3"/>
    </customSheetView>
    <customSheetView guid="{CA7E8063-5145-49E1-8E00-2E1025705A81}" scale="55" state="hidden">
      <pane ySplit="5" topLeftCell="A50" activePane="bottomLeft" state="frozen"/>
      <selection pane="bottomLeft" activeCell="K62" sqref="K62"/>
      <pageMargins left="0.7" right="0.7" top="0.75" bottom="0.75" header="0.3" footer="0.3"/>
    </customSheetView>
    <customSheetView guid="{75EE3B92-AF4D-4E93-A70E-6ADE60CC674F}" scale="55" state="hidden">
      <pane ySplit="4.3454545454545457" topLeftCell="A50" activePane="bottomLeft" state="frozen"/>
      <selection pane="bottomLeft" activeCell="K62" sqref="K62"/>
      <pageMargins left="0.7" right="0.7" top="0.75" bottom="0.75" header="0.3" footer="0.3"/>
    </customSheetView>
    <customSheetView guid="{29AC9BE3-332A-4738-949C-1F8C0D32BAEE}" scale="55" state="hidden">
      <pane ySplit="5" topLeftCell="A50" activePane="bottomLeft" state="frozen"/>
      <selection pane="bottomLeft" activeCell="K62" sqref="K62"/>
      <pageMargins left="0.7" right="0.7" top="0.75" bottom="0.75" header="0.3" footer="0.3"/>
    </customSheetView>
    <customSheetView guid="{42B0E8B1-ADFA-49AE-A83B-82D384737703}" scale="55" state="hidden">
      <pane ySplit="5" topLeftCell="A50" activePane="bottomLeft" state="frozen"/>
      <selection pane="bottomLeft" activeCell="K62" sqref="K62"/>
      <pageMargins left="0.7" right="0.7" top="0.75" bottom="0.75" header="0.3" footer="0.3"/>
    </customSheetView>
    <customSheetView guid="{D59DDBAA-620D-43B7-A6D9-759808D3397A}" scale="55" state="hidden">
      <pane ySplit="5" topLeftCell="A50" activePane="bottomLeft" state="frozen"/>
      <selection pane="bottomLeft" activeCell="K62" sqref="K62"/>
      <pageMargins left="0.7" right="0.7" top="0.75" bottom="0.75" header="0.3" footer="0.3"/>
    </customSheetView>
    <customSheetView guid="{F4A6298C-1A75-4FA9-A6A4-2BE13CCFE545}" scale="55" state="hidden">
      <pane ySplit="5" topLeftCell="A50" activePane="bottomLeft" state="frozen"/>
      <selection pane="bottomLeft" activeCell="K62" sqref="K62"/>
      <pageMargins left="0.7" right="0.7" top="0.75" bottom="0.75" header="0.3" footer="0.3"/>
    </customSheetView>
    <customSheetView guid="{9F91FBC4-6A13-42C2-A2D9-42A2AC814E28}" scale="55" state="hidden">
      <pane ySplit="5" topLeftCell="A50" activePane="bottomLeft" state="frozen"/>
      <selection pane="bottomLeft" activeCell="K62" sqref="K62"/>
      <pageMargins left="0.7" right="0.7" top="0.75" bottom="0.75" header="0.3" footer="0.3"/>
    </customSheetView>
    <customSheetView guid="{DF265C7B-1EEB-47EB-982A-6938E81F7AC2}" scale="55" state="hidden">
      <pane ySplit="5" topLeftCell="A50" activePane="bottomLeft" state="frozen"/>
      <selection pane="bottomLeft" activeCell="K62" sqref="K62"/>
      <pageMargins left="0.7" right="0.7" top="0.75" bottom="0.75" header="0.3" footer="0.3"/>
    </customSheetView>
    <customSheetView guid="{8263C9D2-452D-46FA-AFA0-452B42DC0298}" scale="55" state="hidden">
      <pane ySplit="5" topLeftCell="A50" activePane="bottomLeft" state="frozen"/>
      <selection pane="bottomLeft" activeCell="K62" sqref="K62"/>
      <pageMargins left="0.7" right="0.7" top="0.75" bottom="0.75" header="0.3" footer="0.3"/>
    </customSheetView>
    <customSheetView guid="{151EB58C-4EFD-4330-8D1A-8AACF5F7C679}" scale="55" state="hidden">
      <pane ySplit="5" topLeftCell="A50" activePane="bottomLeft" state="frozen"/>
      <selection pane="bottomLeft" activeCell="K62" sqref="K62"/>
      <pageMargins left="0.7" right="0.7" top="0.75" bottom="0.75" header="0.3" footer="0.3"/>
    </customSheetView>
    <customSheetView guid="{8CB67476-3FD4-42E0-ACD6-62ACA9412843}" scale="55" state="hidden">
      <pane ySplit="5" topLeftCell="A50" activePane="bottomLeft" state="frozen"/>
      <selection pane="bottomLeft" activeCell="K62" sqref="K62"/>
      <pageMargins left="0.7" right="0.7" top="0.75" bottom="0.75" header="0.3" footer="0.3"/>
    </customSheetView>
    <customSheetView guid="{51B3083F-A103-41AB-A137-63549C54B838}" scale="55" state="hidden">
      <pane ySplit="5" topLeftCell="A50" activePane="bottomLeft" state="frozen"/>
      <selection pane="bottomLeft" activeCell="K62" sqref="K62"/>
      <pageMargins left="0.7" right="0.7" top="0.75" bottom="0.75" header="0.3" footer="0.3"/>
    </customSheetView>
    <customSheetView guid="{E06B4FE8-6127-47B2-A6A5-4FAC9EEB4538}" scale="55" state="hidden">
      <pane ySplit="5.4615384615384617" topLeftCell="A50" activePane="bottomLeft" state="frozen"/>
      <selection pane="bottomLeft" activeCell="K62" sqref="K62"/>
      <pageMargins left="0.7" right="0.7" top="0.75" bottom="0.75" header="0.3" footer="0.3"/>
    </customSheetView>
    <customSheetView guid="{593284E7-E32C-4D6C-8C2F-3DEEF9DEE1DF}" scale="55" state="hidden">
      <pane ySplit="5" topLeftCell="A50" activePane="bottomLeft" state="frozen"/>
      <selection pane="bottomLeft" activeCell="K62" sqref="K62"/>
      <pageMargins left="0.7" right="0.7" top="0.75" bottom="0.75" header="0.3" footer="0.3"/>
    </customSheetView>
    <customSheetView guid="{351EFD38-BF62-4E34-A37F-0EEB3E165043}" scale="55" state="hidden">
      <pane ySplit="5" topLeftCell="A50" activePane="bottomLeft" state="frozen"/>
      <selection pane="bottomLeft" activeCell="K62" sqref="K62"/>
      <pageMargins left="0.7" right="0.7" top="0.75" bottom="0.75" header="0.3" footer="0.3"/>
    </customSheetView>
    <customSheetView guid="{EB96DBE4-2D64-4388-853C-CB52A0CB79BA}" scale="55" state="hidden">
      <pane ySplit="5" topLeftCell="A50" activePane="bottomLeft" state="frozen"/>
      <selection pane="bottomLeft" activeCell="K62" sqref="K62"/>
      <pageMargins left="0.7" right="0.7" top="0.75" bottom="0.75" header="0.3" footer="0.3"/>
    </customSheetView>
    <customSheetView guid="{016CEBB2-C827-48F4-95E1-85D8C5129F41}" scale="55" state="hidden">
      <pane ySplit="5" topLeftCell="A50" activePane="bottomLeft" state="frozen"/>
      <selection pane="bottomLeft" activeCell="K62" sqref="K62"/>
      <pageMargins left="0.7" right="0.7" top="0.75" bottom="0.75" header="0.3" footer="0.3"/>
    </customSheetView>
    <customSheetView guid="{6702457D-A9A8-4F46-8E1C-BC7255F4BA77}" scale="70">
      <pane ySplit="5" topLeftCell="A6" activePane="bottomLeft" state="frozen"/>
      <selection pane="bottomLeft" sqref="A1:XFD1048576"/>
      <pageMargins left="0.7" right="0.7" top="0.75" bottom="0.75" header="0.3" footer="0.3"/>
    </customSheetView>
    <customSheetView guid="{D27C51BB-BB54-4F37-8171-98067C39697C}" scale="55">
      <pane ySplit="5" topLeftCell="A43" activePane="bottomLeft" state="frozen"/>
      <selection pane="bottomLeft" activeCell="K62" sqref="K62"/>
      <pageMargins left="0.7" right="0.7" top="0.75" bottom="0.75" header="0.3" footer="0.3"/>
    </customSheetView>
    <customSheetView guid="{008CCD98-7480-4C51-806A-4B55C801DDC2}" scale="55">
      <pane ySplit="5" topLeftCell="A6" activePane="bottomLeft" state="frozen"/>
      <selection pane="bottomLeft" activeCell="K62" sqref="K62"/>
      <pageMargins left="0.7" right="0.7" top="0.75" bottom="0.75" header="0.3" footer="0.3"/>
    </customSheetView>
    <customSheetView guid="{4E6F9C2D-76F2-4884-BBF6-E02A7BAE11EF}" scale="55" state="hidden">
      <pane ySplit="5" topLeftCell="A50" activePane="bottomLeft" state="frozen"/>
      <selection pane="bottomLeft" activeCell="K62" sqref="K62"/>
      <pageMargins left="0.7" right="0.7" top="0.75" bottom="0.75" header="0.3" footer="0.3"/>
    </customSheetView>
    <customSheetView guid="{C39AE06A-FC0A-4D7D-B287-2FA9CA174191}" scale="55" state="hidden">
      <pane ySplit="5" topLeftCell="A50" activePane="bottomLeft" state="frozen"/>
      <selection pane="bottomLeft" activeCell="K62" sqref="K62"/>
      <pageMargins left="0.7" right="0.7" top="0.75" bottom="0.75" header="0.3" footer="0.3"/>
    </customSheetView>
    <customSheetView guid="{D16D941B-FC89-4FEC-A49B-5FA2532584DE}" scale="55" state="hidden">
      <pane ySplit="5" topLeftCell="A50" activePane="bottomLeft" state="frozen"/>
      <selection pane="bottomLeft" activeCell="K62" sqref="K62"/>
      <pageMargins left="0.7" right="0.7" top="0.75" bottom="0.75" header="0.3" footer="0.3"/>
    </customSheetView>
    <customSheetView guid="{3BB18945-69B5-4B22-8D55-989F8F233459}" scale="55" state="hidden">
      <pane ySplit="5" topLeftCell="A50" activePane="bottomLeft" state="frozen"/>
      <selection pane="bottomLeft" activeCell="K62" sqref="K62"/>
      <pageMargins left="0.7" right="0.7" top="0.75" bottom="0.75" header="0.3" footer="0.3"/>
    </customSheetView>
    <customSheetView guid="{B84DA703-8C5B-4100-91A4-8807E303D379}" scale="55" state="hidden">
      <pane ySplit="5" topLeftCell="A50" activePane="bottomLeft" state="frozen"/>
      <selection pane="bottomLeft" activeCell="K62" sqref="K62"/>
      <pageMargins left="0.7" right="0.7" top="0.75" bottom="0.75" header="0.3" footer="0.3"/>
    </customSheetView>
    <customSheetView guid="{B0A28FD4-D7F6-428C-A7F7-92132DCD74BB}" scale="55" state="hidden">
      <pane ySplit="5" topLeftCell="A50" activePane="bottomLeft" state="frozen"/>
      <selection pane="bottomLeft" activeCell="K62" sqref="K62"/>
      <pageMargins left="0.7" right="0.7" top="0.75" bottom="0.75" header="0.3" footer="0.3"/>
    </customSheetView>
    <customSheetView guid="{3C97F0B0-2F3C-4E03-96E0-0C4FEC2F24AC}" scale="55" state="hidden">
      <pane ySplit="5" topLeftCell="A50" activePane="bottomLeft" state="frozen"/>
      <selection pane="bottomLeft" activeCell="K62" sqref="K62"/>
      <pageMargins left="0.7" right="0.7" top="0.75" bottom="0.75" header="0.3" footer="0.3"/>
    </customSheetView>
    <customSheetView guid="{A03C6B09-6B58-4DDE-A3B2-41A27A7049D9}" scale="55" state="hidden">
      <pane ySplit="5" topLeftCell="A50" activePane="bottomLeft" state="frozen"/>
      <selection pane="bottomLeft" activeCell="K62" sqref="K62"/>
      <pageMargins left="0.7" right="0.7" top="0.75" bottom="0.75" header="0.3" footer="0.3"/>
    </customSheetView>
    <customSheetView guid="{4EBEE699-7DEF-4A50-9CB7-490835CF0B98}" scale="55" state="hidden">
      <pane ySplit="5" topLeftCell="A50" activePane="bottomLeft" state="frozen"/>
      <selection pane="bottomLeft" activeCell="K62" sqref="K62"/>
      <pageMargins left="0.7" right="0.7" top="0.75" bottom="0.75" header="0.3" footer="0.3"/>
    </customSheetView>
    <customSheetView guid="{451730E2-FFE9-4FCE-B8B5-64952C26C672}" scale="55" state="hidden">
      <pane ySplit="5" topLeftCell="A50" activePane="bottomLeft" state="frozen"/>
      <selection pane="bottomLeft" activeCell="K62" sqref="K62"/>
      <pageMargins left="0.7" right="0.7" top="0.75" bottom="0.75" header="0.3" footer="0.3"/>
    </customSheetView>
    <customSheetView guid="{9AF6E233-883D-48B4-95AB-42B37199AB9E}" scale="55" state="hidden">
      <pane ySplit="5" topLeftCell="A50" activePane="bottomLeft" state="frozen"/>
      <selection pane="bottomLeft" activeCell="K62" sqref="K62"/>
      <pageMargins left="0.7" right="0.7" top="0.75" bottom="0.75" header="0.3" footer="0.3"/>
    </customSheetView>
    <customSheetView guid="{1ECD6E30-299B-4354-A416-2DAFF33C7022}" scale="55" state="hidden">
      <pane ySplit="5" topLeftCell="A50" activePane="bottomLeft" state="frozen"/>
      <selection pane="bottomLeft" activeCell="K62" sqref="K62"/>
      <pageMargins left="0.7" right="0.7" top="0.75" bottom="0.75" header="0.3" footer="0.3"/>
    </customSheetView>
    <customSheetView guid="{97D58294-343B-4B62-A826-0DDDE29B5F0D}" scale="55" state="hidden">
      <pane ySplit="5" topLeftCell="A50" activePane="bottomLeft" state="frozen"/>
      <selection pane="bottomLeft" activeCell="K62" sqref="K62"/>
      <pageMargins left="0.7" right="0.7" top="0.75" bottom="0.75" header="0.3" footer="0.3"/>
    </customSheetView>
    <customSheetView guid="{BDCD1595-C0B8-4F6C-B01C-3472C895B827}" scale="55" state="hidden">
      <pane ySplit="5" topLeftCell="A50" activePane="bottomLeft" state="frozen"/>
      <selection pane="bottomLeft" activeCell="K62" sqref="K62"/>
      <pageMargins left="0.7" right="0.7" top="0.75" bottom="0.75" header="0.3" footer="0.3"/>
    </customSheetView>
    <customSheetView guid="{9355C9F4-9C07-4A93-B7F2-69F1D1526716}" scale="55" state="hidden">
      <pane ySplit="5" topLeftCell="A50" activePane="bottomLeft" state="frozen"/>
      <selection pane="bottomLeft" activeCell="K62" sqref="K62"/>
      <pageMargins left="0.7" right="0.7" top="0.75" bottom="0.75" header="0.3" footer="0.3"/>
    </customSheetView>
    <customSheetView guid="{F5FA2A23-9E46-4C2F-B1EE-B71787F95C57}" scale="55" state="hidden">
      <pane ySplit="5" topLeftCell="A50" activePane="bottomLeft" state="frozen"/>
      <selection pane="bottomLeft" activeCell="K62" sqref="K62"/>
      <pageMargins left="0.7" right="0.7" top="0.75" bottom="0.75" header="0.3" footer="0.3"/>
    </customSheetView>
    <customSheetView guid="{B95D32C7-1418-4EF6-8936-849885C54A4A}" scale="55" state="hidden">
      <pane ySplit="5" topLeftCell="A50" activePane="bottomLeft" state="frozen"/>
      <selection pane="bottomLeft" activeCell="K62" sqref="K62"/>
      <pageMargins left="0.7" right="0.7" top="0.75" bottom="0.75" header="0.3" footer="0.3"/>
    </customSheetView>
    <customSheetView guid="{602520CD-F98C-43A6-AA0D-88893E9CB6E8}" scale="55" state="hidden">
      <pane ySplit="5" topLeftCell="A50" activePane="bottomLeft" state="frozen"/>
      <selection pane="bottomLeft" activeCell="K62" sqref="K62"/>
      <pageMargins left="0.7" right="0.7" top="0.75" bottom="0.75" header="0.3" footer="0.3"/>
    </customSheetView>
    <customSheetView guid="{A8E976B8-D767-4DB4-82BD-ABE90880F33F}" scale="55" state="hidden">
      <pane ySplit="5" topLeftCell="A50" activePane="bottomLeft" state="frozen"/>
      <selection pane="bottomLeft" activeCell="K62" sqref="K62"/>
      <pageMargins left="0.7" right="0.7" top="0.75" bottom="0.75" header="0.3" footer="0.3"/>
    </customSheetView>
    <customSheetView guid="{D850720D-4A1C-48F2-8E1D-8E09B7414A1A}" scale="55" state="hidden">
      <pane ySplit="5" topLeftCell="A50" activePane="bottomLeft" state="frozen"/>
      <selection pane="bottomLeft" activeCell="K62" sqref="K62"/>
      <pageMargins left="0.7" right="0.7" top="0.75" bottom="0.75" header="0.3" footer="0.3"/>
    </customSheetView>
    <customSheetView guid="{C57A83F1-F5A3-470B-9579-6A222C54F4E8}" scale="55" state="hidden">
      <pane ySplit="5" topLeftCell="A50" activePane="bottomLeft" state="frozen"/>
      <selection pane="bottomLeft" activeCell="K62" sqref="K62"/>
      <pageMargins left="0.7" right="0.7" top="0.75" bottom="0.75" header="0.3" footer="0.3"/>
    </customSheetView>
    <customSheetView guid="{2608BE9B-66AC-4D4C-8EE0-E88C94E88140}" scale="55" state="hidden">
      <pane ySplit="5.4615384615384617" topLeftCell="A50" activePane="bottomLeft" state="frozen"/>
      <selection pane="bottomLeft" activeCell="K62" sqref="K62"/>
      <pageMargins left="0.7" right="0.7" top="0.75" bottom="0.75" header="0.3" footer="0.3"/>
    </customSheetView>
    <customSheetView guid="{EDD5A64E-02C0-4DD6-80BA-449123FCDAA2}" scale="55" state="hidden">
      <pane ySplit="5" topLeftCell="A50" activePane="bottomLeft" state="frozen"/>
      <selection pane="bottomLeft" activeCell="K62" sqref="K62"/>
      <pageMargins left="0.7" right="0.7" top="0.75" bottom="0.75" header="0.3" footer="0.3"/>
    </customSheetView>
    <customSheetView guid="{B8317A9A-0FFD-4A18-80F7-203DB2FC8CA5}" scale="55" state="hidden">
      <pane ySplit="5.9729729729729728" topLeftCell="A50" activePane="bottomLeft" state="frozen"/>
      <selection pane="bottomLeft" activeCell="K62" sqref="K62"/>
      <pageMargins left="0.7" right="0.7" top="0.75" bottom="0.75" header="0.3" footer="0.3"/>
    </customSheetView>
    <customSheetView guid="{7E571F1D-D438-4605-90D6-3F831F76D652}" scale="55" state="hidden">
      <pane ySplit="5" topLeftCell="A50" activePane="bottomLeft" state="frozen"/>
      <selection pane="bottomLeft" activeCell="K62" sqref="K62"/>
      <pageMargins left="0.7" right="0.7" top="0.75" bottom="0.75" header="0.3" footer="0.3"/>
    </customSheetView>
  </customSheetViews>
  <mergeCells count="43">
    <mergeCell ref="A71:AB71"/>
    <mergeCell ref="A33:AB33"/>
    <mergeCell ref="A36:AB36"/>
    <mergeCell ref="A37:AB37"/>
    <mergeCell ref="A40:AB40"/>
    <mergeCell ref="A41:AB41"/>
    <mergeCell ref="A44:AB44"/>
    <mergeCell ref="A45:AB45"/>
    <mergeCell ref="A48:AB48"/>
    <mergeCell ref="A49:AB49"/>
    <mergeCell ref="A52:AB52"/>
    <mergeCell ref="A32:AB32"/>
    <mergeCell ref="A9:AB9"/>
    <mergeCell ref="A12:AB12"/>
    <mergeCell ref="A13:AB13"/>
    <mergeCell ref="A16:AB16"/>
    <mergeCell ref="A17:AB17"/>
    <mergeCell ref="A20:AB20"/>
    <mergeCell ref="A21:AB21"/>
    <mergeCell ref="A24:AB24"/>
    <mergeCell ref="A25:AB25"/>
    <mergeCell ref="A28:AB28"/>
    <mergeCell ref="A29:AB29"/>
    <mergeCell ref="A8:AB8"/>
    <mergeCell ref="B4:C4"/>
    <mergeCell ref="D4:E4"/>
    <mergeCell ref="F4:G4"/>
    <mergeCell ref="H4:I4"/>
    <mergeCell ref="L4:M4"/>
    <mergeCell ref="O4:Q4"/>
    <mergeCell ref="R4:T4"/>
    <mergeCell ref="Z4:AA4"/>
    <mergeCell ref="B5:C5"/>
    <mergeCell ref="D5:E5"/>
    <mergeCell ref="L5:M5"/>
    <mergeCell ref="B2:K2"/>
    <mergeCell ref="L2:AA2"/>
    <mergeCell ref="B3:C3"/>
    <mergeCell ref="D3:I3"/>
    <mergeCell ref="J3:K3"/>
    <mergeCell ref="L3:M3"/>
    <mergeCell ref="O3:T3"/>
    <mergeCell ref="U3:AA3"/>
  </mergeCells>
  <conditionalFormatting sqref="A2:AB55">
    <cfRule type="cellIs" dxfId="670" priority="65" operator="equal">
      <formula>"A"</formula>
    </cfRule>
  </conditionalFormatting>
  <conditionalFormatting sqref="A58:AB59">
    <cfRule type="cellIs" dxfId="669" priority="52" operator="equal">
      <formula>"A"</formula>
    </cfRule>
  </conditionalFormatting>
  <conditionalFormatting sqref="A62:AB63">
    <cfRule type="cellIs" dxfId="668" priority="28" operator="equal">
      <formula>"A"</formula>
    </cfRule>
  </conditionalFormatting>
  <conditionalFormatting sqref="A66:AB67">
    <cfRule type="cellIs" dxfId="667" priority="15" operator="equal">
      <formula>"A"</formula>
    </cfRule>
  </conditionalFormatting>
  <conditionalFormatting sqref="A73:AB74">
    <cfRule type="cellIs" dxfId="666" priority="1" operator="equal">
      <formula>"A"</formula>
    </cfRule>
  </conditionalFormatting>
  <conditionalFormatting sqref="B6 L6 AB6 B10 L10 AB10 B14 L14 AB14 B18 L18 AB18 B22 L22 AB22 B26 L26 AB26 B30 L30 AB30 B34 L34 AB34 B38 L38 AB38 B42 L42 AB42 B46 L46 AB46 B50 L50">
    <cfRule type="cellIs" dxfId="665" priority="84" operator="equal">
      <formula>"R"</formula>
    </cfRule>
    <cfRule type="cellIs" dxfId="664" priority="83" operator="equal">
      <formula>"G"</formula>
    </cfRule>
  </conditionalFormatting>
  <conditionalFormatting sqref="B54">
    <cfRule type="cellIs" dxfId="663" priority="76" operator="equal">
      <formula>"R"</formula>
    </cfRule>
    <cfRule type="cellIs" dxfId="662" priority="75" operator="equal">
      <formula>"G"</formula>
    </cfRule>
  </conditionalFormatting>
  <conditionalFormatting sqref="B58">
    <cfRule type="cellIs" dxfId="661" priority="63" operator="equal">
      <formula>"R"</formula>
    </cfRule>
    <cfRule type="cellIs" dxfId="660" priority="62" operator="equal">
      <formula>"G"</formula>
    </cfRule>
  </conditionalFormatting>
  <conditionalFormatting sqref="B62">
    <cfRule type="cellIs" dxfId="659" priority="38" operator="equal">
      <formula>"G"</formula>
    </cfRule>
    <cfRule type="cellIs" dxfId="658" priority="39" operator="equal">
      <formula>"R"</formula>
    </cfRule>
  </conditionalFormatting>
  <conditionalFormatting sqref="B66">
    <cfRule type="cellIs" dxfId="657" priority="25" operator="equal">
      <formula>"G"</formula>
    </cfRule>
    <cfRule type="cellIs" dxfId="656" priority="26" operator="equal">
      <formula>"R"</formula>
    </cfRule>
  </conditionalFormatting>
  <conditionalFormatting sqref="B73">
    <cfRule type="cellIs" dxfId="655" priority="6" operator="equal">
      <formula>"G"</formula>
    </cfRule>
    <cfRule type="cellIs" dxfId="654" priority="7" operator="equal">
      <formula>"R"</formula>
    </cfRule>
  </conditionalFormatting>
  <conditionalFormatting sqref="B70:D70">
    <cfRule type="cellIs" dxfId="653" priority="50" operator="equal">
      <formula>"R"</formula>
    </cfRule>
    <cfRule type="cellIs" dxfId="652" priority="49" operator="equal">
      <formula>"G"</formula>
    </cfRule>
  </conditionalFormatting>
  <conditionalFormatting sqref="B70:E70 H70:I70">
    <cfRule type="cellIs" dxfId="651" priority="48" operator="equal">
      <formula>"A"</formula>
    </cfRule>
  </conditionalFormatting>
  <conditionalFormatting sqref="C51">
    <cfRule type="cellIs" dxfId="650" priority="79" operator="equal">
      <formula>"A"</formula>
    </cfRule>
  </conditionalFormatting>
  <conditionalFormatting sqref="L54">
    <cfRule type="cellIs" dxfId="649" priority="70" operator="equal">
      <formula>"G"</formula>
    </cfRule>
    <cfRule type="cellIs" dxfId="648" priority="71" operator="equal">
      <formula>"R"</formula>
    </cfRule>
  </conditionalFormatting>
  <conditionalFormatting sqref="L58">
    <cfRule type="cellIs" dxfId="647" priority="58" operator="equal">
      <formula>"R"</formula>
    </cfRule>
    <cfRule type="cellIs" dxfId="646" priority="57" operator="equal">
      <formula>"G"</formula>
    </cfRule>
  </conditionalFormatting>
  <conditionalFormatting sqref="L62">
    <cfRule type="cellIs" dxfId="645" priority="33" operator="equal">
      <formula>"G"</formula>
    </cfRule>
    <cfRule type="cellIs" dxfId="644" priority="34" operator="equal">
      <formula>"R"</formula>
    </cfRule>
  </conditionalFormatting>
  <conditionalFormatting sqref="L66">
    <cfRule type="cellIs" dxfId="643" priority="20" operator="equal">
      <formula>"G"</formula>
    </cfRule>
    <cfRule type="cellIs" dxfId="642" priority="21" operator="equal">
      <formula>"R"</formula>
    </cfRule>
  </conditionalFormatting>
  <conditionalFormatting sqref="L70">
    <cfRule type="cellIs" dxfId="641" priority="46" operator="equal">
      <formula>"R"</formula>
    </cfRule>
    <cfRule type="cellIs" dxfId="640" priority="47" operator="equal">
      <formula>"A"</formula>
    </cfRule>
    <cfRule type="cellIs" dxfId="639" priority="45" operator="equal">
      <formula>"G"</formula>
    </cfRule>
  </conditionalFormatting>
  <conditionalFormatting sqref="M51">
    <cfRule type="cellIs" dxfId="638" priority="78" operator="equal">
      <formula>"A"</formula>
    </cfRule>
  </conditionalFormatting>
  <conditionalFormatting sqref="N70">
    <cfRule type="cellIs" dxfId="637" priority="42" operator="equal">
      <formula>"A"</formula>
    </cfRule>
  </conditionalFormatting>
  <conditionalFormatting sqref="P70:AB70">
    <cfRule type="cellIs" dxfId="636" priority="10" operator="equal">
      <formula>"A"</formula>
    </cfRule>
  </conditionalFormatting>
  <conditionalFormatting sqref="X6:Y6 X10:Y10 X14:Y14 X18:Y18 X22:Y22 X26:Y26 X30:Y30 X34:Y34 X38:Y38 X42:Y42 X46:Y46 X50:Y50">
    <cfRule type="cellIs" dxfId="635" priority="80" operator="between">
      <formula>0</formula>
      <formula>0.95</formula>
    </cfRule>
    <cfRule type="cellIs" dxfId="634" priority="81" operator="between">
      <formula>1</formula>
      <formula>0.95</formula>
    </cfRule>
    <cfRule type="cellIs" dxfId="633" priority="82" operator="greaterThanOrEqual">
      <formula>1</formula>
    </cfRule>
  </conditionalFormatting>
  <conditionalFormatting sqref="X54:Y54">
    <cfRule type="cellIs" dxfId="632" priority="68" operator="between">
      <formula>1</formula>
      <formula>0.95</formula>
    </cfRule>
    <cfRule type="cellIs" dxfId="631" priority="69" operator="greaterThanOrEqual">
      <formula>1</formula>
    </cfRule>
    <cfRule type="cellIs" dxfId="630" priority="67" operator="between">
      <formula>0</formula>
      <formula>0.95</formula>
    </cfRule>
  </conditionalFormatting>
  <conditionalFormatting sqref="X58:Y58">
    <cfRule type="cellIs" dxfId="629" priority="54" operator="between">
      <formula>0</formula>
      <formula>0.95</formula>
    </cfRule>
    <cfRule type="cellIs" dxfId="628" priority="55" operator="between">
      <formula>1</formula>
      <formula>0.95</formula>
    </cfRule>
    <cfRule type="cellIs" dxfId="627" priority="56" operator="greaterThanOrEqual">
      <formula>1</formula>
    </cfRule>
  </conditionalFormatting>
  <conditionalFormatting sqref="X62:Y62">
    <cfRule type="cellIs" dxfId="626" priority="31" operator="between">
      <formula>1</formula>
      <formula>0.95</formula>
    </cfRule>
    <cfRule type="cellIs" dxfId="625" priority="32" operator="greaterThanOrEqual">
      <formula>1</formula>
    </cfRule>
    <cfRule type="cellIs" dxfId="624" priority="30" operator="between">
      <formula>0</formula>
      <formula>0.95</formula>
    </cfRule>
  </conditionalFormatting>
  <conditionalFormatting sqref="X66:Y66">
    <cfRule type="cellIs" dxfId="623" priority="19" operator="greaterThanOrEqual">
      <formula>1</formula>
    </cfRule>
    <cfRule type="cellIs" dxfId="622" priority="17" operator="between">
      <formula>0</formula>
      <formula>0.95</formula>
    </cfRule>
    <cfRule type="cellIs" dxfId="621" priority="18" operator="between">
      <formula>1</formula>
      <formula>0.95</formula>
    </cfRule>
  </conditionalFormatting>
  <conditionalFormatting sqref="X70:Y70">
    <cfRule type="cellIs" dxfId="620" priority="13" operator="greaterThanOrEqual">
      <formula>1</formula>
    </cfRule>
    <cfRule type="cellIs" dxfId="619" priority="12" operator="between">
      <formula>1</formula>
      <formula>0.95</formula>
    </cfRule>
    <cfRule type="cellIs" dxfId="618" priority="11" operator="between">
      <formula>0</formula>
      <formula>0.95</formula>
    </cfRule>
  </conditionalFormatting>
  <conditionalFormatting sqref="X73:Y73">
    <cfRule type="cellIs" dxfId="617" priority="3" operator="between">
      <formula>0</formula>
      <formula>0.95</formula>
    </cfRule>
    <cfRule type="cellIs" dxfId="616" priority="5" operator="greaterThanOrEqual">
      <formula>1</formula>
    </cfRule>
    <cfRule type="cellIs" dxfId="615" priority="4" operator="between">
      <formula>1</formula>
      <formula>0.95</formula>
    </cfRule>
  </conditionalFormatting>
  <conditionalFormatting sqref="AB70">
    <cfRule type="cellIs" dxfId="614" priority="9" operator="equal">
      <formula>"R"</formula>
    </cfRule>
    <cfRule type="cellIs" dxfId="613" priority="8" operator="equal">
      <formula>"G"</formula>
    </cfRule>
  </conditionalFormatting>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637FAF-1BDE-411C-9088-24B8D9399FF7}">
  <sheetPr codeName="Sheet9"/>
  <dimension ref="B1:K181"/>
  <sheetViews>
    <sheetView topLeftCell="A2" zoomScale="90" zoomScaleNormal="90" workbookViewId="0">
      <pane ySplit="4" topLeftCell="A6" activePane="bottomLeft" state="frozen"/>
      <selection activeCell="A2" sqref="A2"/>
      <selection pane="bottomLeft" activeCell="D15" sqref="D15"/>
    </sheetView>
  </sheetViews>
  <sheetFormatPr defaultColWidth="8.53515625" defaultRowHeight="14.6" x14ac:dyDescent="0.4"/>
  <cols>
    <col min="1" max="1" width="8.53515625" style="15" customWidth="1"/>
    <col min="2" max="2" width="12" style="15" customWidth="1"/>
    <col min="3" max="3" width="35.3828125" style="15" customWidth="1"/>
    <col min="4" max="4" width="8.53515625" style="15" customWidth="1"/>
    <col min="5" max="5" width="8.53515625" customWidth="1"/>
    <col min="6" max="7" width="8.53515625" style="15" customWidth="1"/>
    <col min="8" max="9" width="8.53515625" style="1" customWidth="1"/>
    <col min="10" max="11" width="8.53515625" style="15" customWidth="1"/>
    <col min="12" max="16384" width="8.53515625" style="15"/>
  </cols>
  <sheetData>
    <row r="1" spans="2:11" ht="12" hidden="1" thickBot="1" x14ac:dyDescent="0.45">
      <c r="D1" s="1"/>
      <c r="E1" s="1"/>
      <c r="H1" s="42"/>
      <c r="I1" s="42"/>
    </row>
    <row r="2" spans="2:11" ht="11.6" x14ac:dyDescent="0.4">
      <c r="C2" s="43"/>
      <c r="D2" s="1"/>
      <c r="E2" s="1"/>
    </row>
    <row r="3" spans="2:11" ht="35.25" customHeight="1" x14ac:dyDescent="0.4">
      <c r="B3" s="798" t="s">
        <v>173</v>
      </c>
      <c r="C3" s="800" t="s">
        <v>0</v>
      </c>
      <c r="D3" s="801" t="s">
        <v>297</v>
      </c>
      <c r="E3" s="802"/>
      <c r="F3" s="803" t="s">
        <v>69</v>
      </c>
      <c r="G3" s="804"/>
      <c r="H3" s="804"/>
      <c r="I3" s="805"/>
      <c r="J3" s="790" t="s">
        <v>70</v>
      </c>
      <c r="K3" s="791"/>
    </row>
    <row r="4" spans="2:11" ht="23.25" customHeight="1" x14ac:dyDescent="0.4">
      <c r="B4" s="799"/>
      <c r="C4" s="725"/>
      <c r="D4" s="797" t="s">
        <v>170</v>
      </c>
      <c r="E4" s="734"/>
      <c r="F4" s="731" t="s">
        <v>71</v>
      </c>
      <c r="G4" s="732"/>
      <c r="H4" s="755" t="s">
        <v>78</v>
      </c>
      <c r="I4" s="731" t="s">
        <v>79</v>
      </c>
      <c r="J4" s="792"/>
      <c r="K4" s="793"/>
    </row>
    <row r="5" spans="2:11" ht="32.25" customHeight="1" x14ac:dyDescent="0.4">
      <c r="B5" s="799"/>
      <c r="C5" s="725"/>
      <c r="D5" s="797"/>
      <c r="E5" s="734"/>
      <c r="F5" s="797"/>
      <c r="G5" s="734"/>
      <c r="H5" s="756"/>
      <c r="I5" s="797"/>
      <c r="J5" s="792"/>
      <c r="K5" s="793"/>
    </row>
    <row r="6" spans="2:11" ht="4.5" customHeight="1" x14ac:dyDescent="0.4">
      <c r="B6" s="197"/>
      <c r="C6" s="82"/>
      <c r="D6" s="83"/>
      <c r="E6" s="83"/>
      <c r="F6" s="83"/>
      <c r="G6" s="83"/>
      <c r="H6" s="83"/>
      <c r="I6" s="83"/>
      <c r="J6" s="83"/>
      <c r="K6" s="162"/>
    </row>
    <row r="7" spans="2:11" ht="15" customHeight="1" x14ac:dyDescent="0.4">
      <c r="B7" s="794" t="s">
        <v>193</v>
      </c>
      <c r="C7" s="795"/>
      <c r="D7" s="795"/>
      <c r="E7" s="795"/>
      <c r="F7" s="795"/>
      <c r="G7" s="795"/>
      <c r="H7" s="795"/>
      <c r="I7" s="795"/>
      <c r="J7" s="795"/>
      <c r="K7" s="796"/>
    </row>
    <row r="8" spans="2:11" ht="3" customHeight="1" x14ac:dyDescent="0.4">
      <c r="B8" s="153"/>
      <c r="C8" s="196"/>
      <c r="D8" s="81"/>
      <c r="E8" s="81"/>
      <c r="F8" s="81"/>
      <c r="G8" s="81"/>
      <c r="H8" s="80"/>
      <c r="I8" s="80"/>
      <c r="J8" s="81"/>
      <c r="K8" s="162"/>
    </row>
    <row r="9" spans="2:11" ht="22.5" customHeight="1" x14ac:dyDescent="0.4">
      <c r="B9" s="195" t="s">
        <v>110</v>
      </c>
      <c r="C9" s="84" t="s">
        <v>109</v>
      </c>
      <c r="D9" s="85" t="str">
        <f>'1) Report'!F41</f>
        <v>N/A</v>
      </c>
      <c r="E9" s="86">
        <f>'1) Report'!G41</f>
        <v>0</v>
      </c>
      <c r="F9" s="85" t="str">
        <f>'1) Report'!R41</f>
        <v>N/A</v>
      </c>
      <c r="G9" s="86">
        <f>'1) Report'!S41</f>
        <v>0</v>
      </c>
      <c r="H9" s="87">
        <f>'1) Report'!AH41</f>
        <v>0.69838926048857541</v>
      </c>
      <c r="I9" s="87">
        <f>'1) Report'!AI41</f>
        <v>0.60856021154474038</v>
      </c>
      <c r="J9" s="85" t="str">
        <f>'1) Report'!AM41</f>
        <v>G</v>
      </c>
      <c r="K9" s="175" t="str">
        <f>'6) RAG Table'!AA16</f>
        <v>è</v>
      </c>
    </row>
    <row r="10" spans="2:11" ht="22.5" customHeight="1" x14ac:dyDescent="0.4">
      <c r="B10" s="195" t="s">
        <v>120</v>
      </c>
      <c r="C10" s="84" t="s">
        <v>119</v>
      </c>
      <c r="D10" s="85" t="str">
        <f>'1) Report'!F29</f>
        <v>G</v>
      </c>
      <c r="E10" s="86">
        <f>'1) Report'!G29</f>
        <v>0</v>
      </c>
      <c r="F10" s="85" t="str">
        <f>'1) Report'!R29</f>
        <v>G</v>
      </c>
      <c r="G10" s="86">
        <f>'1) Report'!S29</f>
        <v>0</v>
      </c>
      <c r="H10" s="87">
        <f>'1) Report'!AH29</f>
        <v>0.92703174250216058</v>
      </c>
      <c r="I10" s="87">
        <f>'1) Report'!AI29</f>
        <v>0.88849758580170257</v>
      </c>
      <c r="J10" s="85" t="str">
        <f>'1) Report'!AM29</f>
        <v>G</v>
      </c>
      <c r="K10" s="176" t="str">
        <f>'6) RAG Table'!AA12</f>
        <v>è</v>
      </c>
    </row>
    <row r="11" spans="2:11" ht="22.5" customHeight="1" x14ac:dyDescent="0.4">
      <c r="B11" s="195" t="s">
        <v>118</v>
      </c>
      <c r="C11" s="88" t="s">
        <v>117</v>
      </c>
      <c r="D11" s="85" t="e">
        <f>'1) Report'!#REF!</f>
        <v>#REF!</v>
      </c>
      <c r="E11" s="86" t="e">
        <f>'1) Report'!#REF!</f>
        <v>#REF!</v>
      </c>
      <c r="F11" s="85" t="e">
        <f>'1) Report'!#REF!</f>
        <v>#REF!</v>
      </c>
      <c r="G11" s="86" t="e">
        <f>'1) Report'!#REF!</f>
        <v>#REF!</v>
      </c>
      <c r="H11" s="87" t="e">
        <f>'1) Report'!#REF!</f>
        <v>#REF!</v>
      </c>
      <c r="I11" s="87" t="e">
        <f>'1) Report'!#REF!</f>
        <v>#REF!</v>
      </c>
      <c r="J11" s="85" t="e">
        <f>'1) Report'!#REF!</f>
        <v>#REF!</v>
      </c>
      <c r="K11" s="176" t="str">
        <f>'6) RAG Table'!AA8</f>
        <v>è</v>
      </c>
    </row>
    <row r="12" spans="2:11" ht="22.5" customHeight="1" x14ac:dyDescent="0.4">
      <c r="B12" s="195" t="s">
        <v>123</v>
      </c>
      <c r="C12" s="89" t="s">
        <v>5</v>
      </c>
      <c r="D12" s="85" t="str">
        <f>'1) Report'!F26</f>
        <v>G</v>
      </c>
      <c r="E12" s="86">
        <f>'1) Report'!G26</f>
        <v>0</v>
      </c>
      <c r="F12" s="85" t="str">
        <f>'1) Report'!R26</f>
        <v>R</v>
      </c>
      <c r="G12" s="86">
        <f>'1) Report'!S26</f>
        <v>0</v>
      </c>
      <c r="H12" s="87">
        <f>'1) Report'!AH26</f>
        <v>0.93419447885359197</v>
      </c>
      <c r="I12" s="87">
        <f>'1) Report'!AI26</f>
        <v>0.9979940908998588</v>
      </c>
      <c r="J12" s="85" t="str">
        <f>'1) Report'!AM26</f>
        <v>A</v>
      </c>
      <c r="K12" s="176" t="str">
        <f>'6) RAG Table'!AA11</f>
        <v>è</v>
      </c>
    </row>
    <row r="13" spans="2:11" ht="22.5" customHeight="1" x14ac:dyDescent="0.4">
      <c r="B13" s="195" t="s">
        <v>122</v>
      </c>
      <c r="C13" s="84" t="s">
        <v>121</v>
      </c>
      <c r="D13" s="85" t="str">
        <f>'1) Report'!F17</f>
        <v>R</v>
      </c>
      <c r="E13" s="86">
        <f>'1) Report'!G17</f>
        <v>0</v>
      </c>
      <c r="F13" s="85" t="str">
        <f>'1) Report'!R17</f>
        <v>R</v>
      </c>
      <c r="G13" s="86">
        <f>'1) Report'!S17</f>
        <v>0</v>
      </c>
      <c r="H13" s="87">
        <f>'1) Report'!AH17</f>
        <v>1.1570639371837619</v>
      </c>
      <c r="I13" s="87">
        <f>'1) Report'!AI17</f>
        <v>1.0000000082865179</v>
      </c>
      <c r="J13" s="85" t="str">
        <f>'1) Report'!AM17</f>
        <v>G</v>
      </c>
      <c r="K13" s="176" t="e">
        <f>'6) RAG Table'!#REF!</f>
        <v>#REF!</v>
      </c>
    </row>
    <row r="14" spans="2:11" ht="22.5" customHeight="1" x14ac:dyDescent="0.4">
      <c r="B14" s="195" t="s">
        <v>97</v>
      </c>
      <c r="C14" s="84" t="s">
        <v>96</v>
      </c>
      <c r="D14" s="85" t="str">
        <f>'1) Report'!F32</f>
        <v>G</v>
      </c>
      <c r="E14" s="86">
        <f>'1) Report'!G32</f>
        <v>0</v>
      </c>
      <c r="F14" s="85" t="str">
        <f>'1) Report'!R32</f>
        <v>G</v>
      </c>
      <c r="G14" s="86">
        <f>'1) Report'!S32</f>
        <v>0</v>
      </c>
      <c r="H14" s="87">
        <f>'1) Report'!AH32</f>
        <v>1.1071175260410331</v>
      </c>
      <c r="I14" s="87">
        <f>'1) Report'!AI32</f>
        <v>0.92277162662960743</v>
      </c>
      <c r="J14" s="85" t="str">
        <f>'1) Report'!AM32</f>
        <v>G</v>
      </c>
      <c r="K14" s="176" t="str">
        <f>'6) RAG Table'!AA13</f>
        <v>è</v>
      </c>
    </row>
    <row r="15" spans="2:11" ht="22.5" customHeight="1" x14ac:dyDescent="0.4">
      <c r="B15" s="195" t="s">
        <v>112</v>
      </c>
      <c r="C15" s="88" t="s">
        <v>111</v>
      </c>
      <c r="D15" s="85" t="str">
        <f>'1) Report'!F23</f>
        <v>A</v>
      </c>
      <c r="E15" s="86">
        <f>'1) Report'!G23</f>
        <v>-1</v>
      </c>
      <c r="F15" s="85" t="str">
        <f>'1) Report'!R23</f>
        <v>A</v>
      </c>
      <c r="G15" s="86">
        <f>'1) Report'!S23</f>
        <v>-1</v>
      </c>
      <c r="H15" s="87">
        <f>'1) Report'!AH23</f>
        <v>0.9476478094526154</v>
      </c>
      <c r="I15" s="87">
        <f>'1) Report'!AI23</f>
        <v>0.86965137184626695</v>
      </c>
      <c r="J15" s="85" t="str">
        <f>'1) Report'!AM23</f>
        <v>A</v>
      </c>
      <c r="K15" s="176" t="str">
        <f>'6) RAG Table'!AA10</f>
        <v>è</v>
      </c>
    </row>
    <row r="16" spans="2:11" ht="22.5" customHeight="1" x14ac:dyDescent="0.4">
      <c r="B16" s="195" t="s">
        <v>99</v>
      </c>
      <c r="C16" s="89" t="s">
        <v>98</v>
      </c>
      <c r="D16" s="85" t="str">
        <f>'1) Report'!F20</f>
        <v>A</v>
      </c>
      <c r="E16" s="86">
        <f>'1) Report'!G20</f>
        <v>-1</v>
      </c>
      <c r="F16" s="85" t="str">
        <f>'1) Report'!R20</f>
        <v>A</v>
      </c>
      <c r="G16" s="86">
        <f>'1) Report'!S20</f>
        <v>0</v>
      </c>
      <c r="H16" s="87">
        <f>'1) Report'!AH20</f>
        <v>0.90649080578873154</v>
      </c>
      <c r="I16" s="87">
        <f>'1) Report'!AI20</f>
        <v>0.95705661639070105</v>
      </c>
      <c r="J16" s="85" t="str">
        <f>'1) Report'!AM20</f>
        <v>G</v>
      </c>
      <c r="K16" s="176" t="str">
        <f>'6) RAG Table'!AA9</f>
        <v>è</v>
      </c>
    </row>
    <row r="17" spans="2:11" ht="22.5" customHeight="1" x14ac:dyDescent="0.4">
      <c r="B17" s="195" t="s">
        <v>114</v>
      </c>
      <c r="C17" s="88" t="s">
        <v>113</v>
      </c>
      <c r="D17" s="85" t="str">
        <f>'1) Report'!F35</f>
        <v>G</v>
      </c>
      <c r="E17" s="86">
        <f>'1) Report'!G35</f>
        <v>0</v>
      </c>
      <c r="F17" s="85" t="str">
        <f>'1) Report'!R35</f>
        <v>G</v>
      </c>
      <c r="G17" s="86">
        <f>'1) Report'!S35</f>
        <v>0</v>
      </c>
      <c r="H17" s="87">
        <f>'1) Report'!AH35</f>
        <v>0.96535394140023534</v>
      </c>
      <c r="I17" s="87">
        <f>'1) Report'!AI35</f>
        <v>0.94593917814579709</v>
      </c>
      <c r="J17" s="85" t="str">
        <f>'1) Report'!AM35</f>
        <v>G</v>
      </c>
      <c r="K17" s="176" t="str">
        <f>'6) RAG Table'!AA14</f>
        <v>è</v>
      </c>
    </row>
    <row r="18" spans="2:11" ht="22.5" customHeight="1" x14ac:dyDescent="0.4">
      <c r="B18" s="195" t="s">
        <v>172</v>
      </c>
      <c r="C18" s="88" t="s">
        <v>168</v>
      </c>
      <c r="D18" s="85" t="str">
        <f>'1) Report'!F38</f>
        <v>G</v>
      </c>
      <c r="E18" s="86">
        <f>'1) Report'!G38</f>
        <v>0</v>
      </c>
      <c r="F18" s="85" t="str">
        <f>'1) Report'!R38</f>
        <v>G</v>
      </c>
      <c r="G18" s="86">
        <f>'1) Report'!S38</f>
        <v>0</v>
      </c>
      <c r="H18" s="87">
        <f>'1) Report'!AH38</f>
        <v>1.7118235311586629</v>
      </c>
      <c r="I18" s="87">
        <f>'1) Report'!AI38</f>
        <v>0.98452362253279102</v>
      </c>
      <c r="J18" s="85" t="str">
        <f>'1) Report'!AM38</f>
        <v>G</v>
      </c>
      <c r="K18" s="176" t="str">
        <f>'6) RAG Table'!AA15</f>
        <v>è</v>
      </c>
    </row>
    <row r="19" spans="2:11" x14ac:dyDescent="0.4">
      <c r="E19" s="54"/>
    </row>
    <row r="20" spans="2:11" x14ac:dyDescent="0.4">
      <c r="E20" s="54"/>
    </row>
    <row r="21" spans="2:11" x14ac:dyDescent="0.4">
      <c r="E21" s="54"/>
    </row>
    <row r="22" spans="2:11" x14ac:dyDescent="0.4">
      <c r="E22" s="54"/>
    </row>
    <row r="23" spans="2:11" x14ac:dyDescent="0.4">
      <c r="E23" s="54"/>
    </row>
    <row r="24" spans="2:11" x14ac:dyDescent="0.4">
      <c r="E24" s="54"/>
    </row>
    <row r="25" spans="2:11" x14ac:dyDescent="0.4">
      <c r="E25" s="54"/>
    </row>
    <row r="26" spans="2:11" x14ac:dyDescent="0.4">
      <c r="E26" s="54"/>
    </row>
    <row r="27" spans="2:11" x14ac:dyDescent="0.4">
      <c r="E27" s="54"/>
    </row>
    <row r="28" spans="2:11" x14ac:dyDescent="0.4">
      <c r="E28" s="54"/>
    </row>
    <row r="29" spans="2:11" x14ac:dyDescent="0.4">
      <c r="E29" s="54"/>
    </row>
    <row r="30" spans="2:11" x14ac:dyDescent="0.4">
      <c r="E30" s="54"/>
    </row>
    <row r="31" spans="2:11" x14ac:dyDescent="0.4">
      <c r="E31" s="54"/>
    </row>
    <row r="32" spans="2:11" x14ac:dyDescent="0.4">
      <c r="E32" s="54"/>
    </row>
    <row r="33" spans="5:5" x14ac:dyDescent="0.4">
      <c r="E33" s="54"/>
    </row>
    <row r="34" spans="5:5" x14ac:dyDescent="0.4">
      <c r="E34" s="54"/>
    </row>
    <row r="35" spans="5:5" x14ac:dyDescent="0.4">
      <c r="E35" s="54"/>
    </row>
    <row r="36" spans="5:5" x14ac:dyDescent="0.4">
      <c r="E36" s="54"/>
    </row>
    <row r="37" spans="5:5" x14ac:dyDescent="0.4">
      <c r="E37" s="54"/>
    </row>
    <row r="38" spans="5:5" x14ac:dyDescent="0.4">
      <c r="E38" s="54"/>
    </row>
    <row r="39" spans="5:5" x14ac:dyDescent="0.4">
      <c r="E39" s="54"/>
    </row>
    <row r="40" spans="5:5" x14ac:dyDescent="0.4">
      <c r="E40" s="54"/>
    </row>
    <row r="41" spans="5:5" x14ac:dyDescent="0.4">
      <c r="E41" s="54"/>
    </row>
    <row r="42" spans="5:5" x14ac:dyDescent="0.4">
      <c r="E42" s="54"/>
    </row>
    <row r="43" spans="5:5" x14ac:dyDescent="0.4">
      <c r="E43" s="54"/>
    </row>
    <row r="44" spans="5:5" x14ac:dyDescent="0.4">
      <c r="E44" s="54"/>
    </row>
    <row r="45" spans="5:5" x14ac:dyDescent="0.4">
      <c r="E45" s="54"/>
    </row>
    <row r="46" spans="5:5" x14ac:dyDescent="0.4">
      <c r="E46" s="54"/>
    </row>
    <row r="47" spans="5:5" x14ac:dyDescent="0.4">
      <c r="E47" s="54"/>
    </row>
    <row r="48" spans="5:5" x14ac:dyDescent="0.4">
      <c r="E48" s="54"/>
    </row>
    <row r="49" spans="5:5" x14ac:dyDescent="0.4">
      <c r="E49" s="54"/>
    </row>
    <row r="50" spans="5:5" x14ac:dyDescent="0.4">
      <c r="E50" s="54"/>
    </row>
    <row r="51" spans="5:5" x14ac:dyDescent="0.4">
      <c r="E51" s="54"/>
    </row>
    <row r="52" spans="5:5" x14ac:dyDescent="0.4">
      <c r="E52" s="54"/>
    </row>
    <row r="53" spans="5:5" x14ac:dyDescent="0.4">
      <c r="E53" s="54"/>
    </row>
    <row r="54" spans="5:5" x14ac:dyDescent="0.4">
      <c r="E54" s="54"/>
    </row>
    <row r="55" spans="5:5" x14ac:dyDescent="0.4">
      <c r="E55" s="54"/>
    </row>
    <row r="56" spans="5:5" x14ac:dyDescent="0.4">
      <c r="E56" s="54"/>
    </row>
    <row r="57" spans="5:5" x14ac:dyDescent="0.4">
      <c r="E57" s="54"/>
    </row>
    <row r="58" spans="5:5" x14ac:dyDescent="0.4">
      <c r="E58" s="54"/>
    </row>
    <row r="59" spans="5:5" x14ac:dyDescent="0.4">
      <c r="E59" s="54"/>
    </row>
    <row r="60" spans="5:5" x14ac:dyDescent="0.4">
      <c r="E60" s="54"/>
    </row>
    <row r="61" spans="5:5" x14ac:dyDescent="0.4">
      <c r="E61" s="54"/>
    </row>
    <row r="62" spans="5:5" x14ac:dyDescent="0.4">
      <c r="E62" s="54"/>
    </row>
    <row r="63" spans="5:5" x14ac:dyDescent="0.4">
      <c r="E63" s="54"/>
    </row>
    <row r="64" spans="5:5" x14ac:dyDescent="0.4">
      <c r="E64" s="54"/>
    </row>
    <row r="65" spans="5:5" x14ac:dyDescent="0.4">
      <c r="E65" s="54"/>
    </row>
    <row r="66" spans="5:5" x14ac:dyDescent="0.4">
      <c r="E66" s="54"/>
    </row>
    <row r="67" spans="5:5" x14ac:dyDescent="0.4">
      <c r="E67" s="54"/>
    </row>
    <row r="68" spans="5:5" x14ac:dyDescent="0.4">
      <c r="E68" s="54"/>
    </row>
    <row r="69" spans="5:5" x14ac:dyDescent="0.4">
      <c r="E69" s="54"/>
    </row>
    <row r="70" spans="5:5" x14ac:dyDescent="0.4">
      <c r="E70" s="54"/>
    </row>
    <row r="71" spans="5:5" x14ac:dyDescent="0.4">
      <c r="E71" s="54"/>
    </row>
    <row r="72" spans="5:5" x14ac:dyDescent="0.4">
      <c r="E72" s="54"/>
    </row>
    <row r="73" spans="5:5" x14ac:dyDescent="0.4">
      <c r="E73" s="54"/>
    </row>
    <row r="74" spans="5:5" x14ac:dyDescent="0.4">
      <c r="E74" s="54"/>
    </row>
    <row r="75" spans="5:5" x14ac:dyDescent="0.4">
      <c r="E75" s="54"/>
    </row>
    <row r="76" spans="5:5" x14ac:dyDescent="0.4">
      <c r="E76" s="54"/>
    </row>
    <row r="77" spans="5:5" x14ac:dyDescent="0.4">
      <c r="E77" s="54"/>
    </row>
    <row r="78" spans="5:5" x14ac:dyDescent="0.4">
      <c r="E78" s="54"/>
    </row>
    <row r="79" spans="5:5" x14ac:dyDescent="0.4">
      <c r="E79" s="54"/>
    </row>
    <row r="80" spans="5:5" x14ac:dyDescent="0.4">
      <c r="E80" s="54"/>
    </row>
    <row r="81" spans="5:5" x14ac:dyDescent="0.4">
      <c r="E81" s="54"/>
    </row>
    <row r="82" spans="5:5" x14ac:dyDescent="0.4">
      <c r="E82" s="54"/>
    </row>
    <row r="83" spans="5:5" x14ac:dyDescent="0.4">
      <c r="E83" s="54"/>
    </row>
    <row r="84" spans="5:5" x14ac:dyDescent="0.4">
      <c r="E84" s="54"/>
    </row>
    <row r="85" spans="5:5" x14ac:dyDescent="0.4">
      <c r="E85" s="54"/>
    </row>
    <row r="86" spans="5:5" x14ac:dyDescent="0.4">
      <c r="E86" s="54"/>
    </row>
    <row r="87" spans="5:5" x14ac:dyDescent="0.4">
      <c r="E87" s="54"/>
    </row>
    <row r="88" spans="5:5" x14ac:dyDescent="0.4">
      <c r="E88" s="54"/>
    </row>
    <row r="89" spans="5:5" x14ac:dyDescent="0.4">
      <c r="E89" s="54"/>
    </row>
    <row r="90" spans="5:5" x14ac:dyDescent="0.4">
      <c r="E90" s="54"/>
    </row>
    <row r="91" spans="5:5" x14ac:dyDescent="0.4">
      <c r="E91" s="54"/>
    </row>
    <row r="92" spans="5:5" x14ac:dyDescent="0.4">
      <c r="E92" s="54"/>
    </row>
    <row r="93" spans="5:5" x14ac:dyDescent="0.4">
      <c r="E93" s="54"/>
    </row>
    <row r="94" spans="5:5" x14ac:dyDescent="0.4">
      <c r="E94" s="54"/>
    </row>
    <row r="95" spans="5:5" x14ac:dyDescent="0.4">
      <c r="E95" s="54"/>
    </row>
    <row r="96" spans="5:5" x14ac:dyDescent="0.4">
      <c r="E96" s="54"/>
    </row>
    <row r="97" spans="5:5" x14ac:dyDescent="0.4">
      <c r="E97" s="54"/>
    </row>
    <row r="98" spans="5:5" x14ac:dyDescent="0.4">
      <c r="E98" s="54"/>
    </row>
    <row r="99" spans="5:5" x14ac:dyDescent="0.4">
      <c r="E99" s="54"/>
    </row>
    <row r="100" spans="5:5" x14ac:dyDescent="0.4">
      <c r="E100" s="54"/>
    </row>
    <row r="101" spans="5:5" x14ac:dyDescent="0.4">
      <c r="E101" s="54"/>
    </row>
    <row r="102" spans="5:5" x14ac:dyDescent="0.4">
      <c r="E102" s="54"/>
    </row>
    <row r="103" spans="5:5" x14ac:dyDescent="0.4">
      <c r="E103" s="54"/>
    </row>
    <row r="104" spans="5:5" x14ac:dyDescent="0.4">
      <c r="E104" s="54"/>
    </row>
    <row r="105" spans="5:5" x14ac:dyDescent="0.4">
      <c r="E105" s="54"/>
    </row>
    <row r="106" spans="5:5" x14ac:dyDescent="0.4">
      <c r="E106" s="54"/>
    </row>
    <row r="107" spans="5:5" x14ac:dyDescent="0.4">
      <c r="E107" s="54"/>
    </row>
    <row r="108" spans="5:5" x14ac:dyDescent="0.4">
      <c r="E108" s="54"/>
    </row>
    <row r="109" spans="5:5" x14ac:dyDescent="0.4">
      <c r="E109" s="54"/>
    </row>
    <row r="110" spans="5:5" x14ac:dyDescent="0.4">
      <c r="E110" s="54"/>
    </row>
    <row r="111" spans="5:5" x14ac:dyDescent="0.4">
      <c r="E111" s="54"/>
    </row>
    <row r="112" spans="5:5" x14ac:dyDescent="0.4">
      <c r="E112" s="54"/>
    </row>
    <row r="113" spans="5:5" x14ac:dyDescent="0.4">
      <c r="E113" s="54"/>
    </row>
    <row r="114" spans="5:5" x14ac:dyDescent="0.4">
      <c r="E114" s="54"/>
    </row>
    <row r="115" spans="5:5" x14ac:dyDescent="0.4">
      <c r="E115" s="54"/>
    </row>
    <row r="116" spans="5:5" x14ac:dyDescent="0.4">
      <c r="E116" s="54"/>
    </row>
    <row r="117" spans="5:5" x14ac:dyDescent="0.4">
      <c r="E117" s="54"/>
    </row>
    <row r="118" spans="5:5" x14ac:dyDescent="0.4">
      <c r="E118" s="54"/>
    </row>
    <row r="119" spans="5:5" x14ac:dyDescent="0.4">
      <c r="E119" s="54"/>
    </row>
    <row r="120" spans="5:5" x14ac:dyDescent="0.4">
      <c r="E120" s="54"/>
    </row>
    <row r="121" spans="5:5" x14ac:dyDescent="0.4">
      <c r="E121" s="54"/>
    </row>
    <row r="122" spans="5:5" x14ac:dyDescent="0.4">
      <c r="E122" s="54"/>
    </row>
    <row r="123" spans="5:5" x14ac:dyDescent="0.4">
      <c r="E123" s="54"/>
    </row>
    <row r="124" spans="5:5" x14ac:dyDescent="0.4">
      <c r="E124" s="54"/>
    </row>
    <row r="125" spans="5:5" x14ac:dyDescent="0.4">
      <c r="E125" s="54"/>
    </row>
    <row r="126" spans="5:5" x14ac:dyDescent="0.4">
      <c r="E126" s="54"/>
    </row>
    <row r="127" spans="5:5" x14ac:dyDescent="0.4">
      <c r="E127" s="54"/>
    </row>
    <row r="128" spans="5:5" x14ac:dyDescent="0.4">
      <c r="E128" s="54"/>
    </row>
    <row r="129" spans="5:5" x14ac:dyDescent="0.4">
      <c r="E129" s="54"/>
    </row>
    <row r="130" spans="5:5" x14ac:dyDescent="0.4">
      <c r="E130" s="54"/>
    </row>
    <row r="131" spans="5:5" x14ac:dyDescent="0.4">
      <c r="E131" s="54"/>
    </row>
    <row r="132" spans="5:5" x14ac:dyDescent="0.4">
      <c r="E132" s="54"/>
    </row>
    <row r="133" spans="5:5" x14ac:dyDescent="0.4">
      <c r="E133" s="54"/>
    </row>
    <row r="134" spans="5:5" x14ac:dyDescent="0.4">
      <c r="E134" s="54"/>
    </row>
    <row r="135" spans="5:5" x14ac:dyDescent="0.4">
      <c r="E135" s="54"/>
    </row>
    <row r="136" spans="5:5" x14ac:dyDescent="0.4">
      <c r="E136" s="54"/>
    </row>
    <row r="137" spans="5:5" x14ac:dyDescent="0.4">
      <c r="E137" s="54"/>
    </row>
    <row r="138" spans="5:5" x14ac:dyDescent="0.4">
      <c r="E138" s="54"/>
    </row>
    <row r="139" spans="5:5" x14ac:dyDescent="0.4">
      <c r="E139" s="54"/>
    </row>
    <row r="140" spans="5:5" x14ac:dyDescent="0.4">
      <c r="E140" s="54"/>
    </row>
    <row r="141" spans="5:5" x14ac:dyDescent="0.4">
      <c r="E141" s="54"/>
    </row>
    <row r="142" spans="5:5" x14ac:dyDescent="0.4">
      <c r="E142" s="54"/>
    </row>
    <row r="143" spans="5:5" x14ac:dyDescent="0.4">
      <c r="E143" s="54"/>
    </row>
    <row r="144" spans="5:5" x14ac:dyDescent="0.4">
      <c r="E144" s="54"/>
    </row>
    <row r="145" spans="5:5" x14ac:dyDescent="0.4">
      <c r="E145" s="54"/>
    </row>
    <row r="146" spans="5:5" x14ac:dyDescent="0.4">
      <c r="E146" s="54"/>
    </row>
    <row r="147" spans="5:5" x14ac:dyDescent="0.4">
      <c r="E147" s="54"/>
    </row>
    <row r="148" spans="5:5" x14ac:dyDescent="0.4">
      <c r="E148" s="54"/>
    </row>
    <row r="149" spans="5:5" x14ac:dyDescent="0.4">
      <c r="E149" s="54"/>
    </row>
    <row r="150" spans="5:5" x14ac:dyDescent="0.4">
      <c r="E150" s="54"/>
    </row>
    <row r="151" spans="5:5" x14ac:dyDescent="0.4">
      <c r="E151" s="54"/>
    </row>
    <row r="152" spans="5:5" x14ac:dyDescent="0.4">
      <c r="E152" s="54"/>
    </row>
    <row r="153" spans="5:5" x14ac:dyDescent="0.4">
      <c r="E153" s="54"/>
    </row>
    <row r="154" spans="5:5" x14ac:dyDescent="0.4">
      <c r="E154" s="54"/>
    </row>
    <row r="155" spans="5:5" x14ac:dyDescent="0.4">
      <c r="E155" s="54"/>
    </row>
    <row r="156" spans="5:5" x14ac:dyDescent="0.4">
      <c r="E156" s="54"/>
    </row>
    <row r="157" spans="5:5" x14ac:dyDescent="0.4">
      <c r="E157" s="54"/>
    </row>
    <row r="158" spans="5:5" x14ac:dyDescent="0.4">
      <c r="E158" s="54"/>
    </row>
    <row r="159" spans="5:5" x14ac:dyDescent="0.4">
      <c r="E159" s="54"/>
    </row>
    <row r="160" spans="5:5" x14ac:dyDescent="0.4">
      <c r="E160" s="54"/>
    </row>
    <row r="161" spans="5:5" x14ac:dyDescent="0.4">
      <c r="E161" s="54"/>
    </row>
    <row r="162" spans="5:5" x14ac:dyDescent="0.4">
      <c r="E162" s="54"/>
    </row>
    <row r="163" spans="5:5" x14ac:dyDescent="0.4">
      <c r="E163" s="54"/>
    </row>
    <row r="164" spans="5:5" x14ac:dyDescent="0.4">
      <c r="E164" s="54"/>
    </row>
    <row r="165" spans="5:5" x14ac:dyDescent="0.4">
      <c r="E165" s="54"/>
    </row>
    <row r="166" spans="5:5" x14ac:dyDescent="0.4">
      <c r="E166" s="54"/>
    </row>
    <row r="167" spans="5:5" x14ac:dyDescent="0.4">
      <c r="E167" s="54"/>
    </row>
    <row r="168" spans="5:5" x14ac:dyDescent="0.4">
      <c r="E168" s="54"/>
    </row>
    <row r="169" spans="5:5" x14ac:dyDescent="0.4">
      <c r="E169" s="54"/>
    </row>
    <row r="170" spans="5:5" x14ac:dyDescent="0.4">
      <c r="E170" s="54"/>
    </row>
    <row r="171" spans="5:5" x14ac:dyDescent="0.4">
      <c r="E171" s="54"/>
    </row>
    <row r="172" spans="5:5" x14ac:dyDescent="0.4">
      <c r="E172" s="54"/>
    </row>
    <row r="173" spans="5:5" x14ac:dyDescent="0.4">
      <c r="E173" s="54"/>
    </row>
    <row r="174" spans="5:5" x14ac:dyDescent="0.4">
      <c r="E174" s="54"/>
    </row>
    <row r="175" spans="5:5" x14ac:dyDescent="0.4">
      <c r="E175" s="54"/>
    </row>
    <row r="176" spans="5:5" x14ac:dyDescent="0.4">
      <c r="E176" s="54"/>
    </row>
    <row r="177" spans="5:5" x14ac:dyDescent="0.4">
      <c r="E177" s="54"/>
    </row>
    <row r="178" spans="5:5" x14ac:dyDescent="0.4">
      <c r="E178" s="54"/>
    </row>
    <row r="179" spans="5:5" x14ac:dyDescent="0.4">
      <c r="E179" s="54"/>
    </row>
    <row r="180" spans="5:5" x14ac:dyDescent="0.4">
      <c r="E180" s="54"/>
    </row>
    <row r="181" spans="5:5" x14ac:dyDescent="0.4">
      <c r="E181" s="54"/>
    </row>
  </sheetData>
  <sheetProtection formatCells="0" formatRows="0"/>
  <customSheetViews>
    <customSheetView guid="{800416AC-1374-44AC-811C-612C85EF24E6}" scale="90" hiddenRows="1" state="hidden" topLeftCell="A2">
      <pane ySplit="4" topLeftCell="A6" activePane="bottomLeft" state="frozen"/>
      <selection pane="bottomLeft" activeCell="D15" sqref="D15"/>
      <pageMargins left="1.4173228346456694" right="0.23622047244094491" top="0.74803149606299213" bottom="0.74803149606299213" header="0.31496062992125984" footer="0.31496062992125984"/>
      <pageSetup paperSize="9" orientation="landscape" r:id="rId1"/>
      <headerFooter>
        <oddHeader>&amp;L&amp;"Calibri"&amp;10&amp;K000000OFFICIAL&amp;1#</oddHeader>
        <oddFooter>&amp;L&amp;1#&amp;"Calibri"&amp;10&amp;K000000OFFICIAL</oddFooter>
      </headerFooter>
    </customSheetView>
    <customSheetView guid="{FBC63E8F-69FE-4648-B709-FA1212EFFB29}" scale="90" hiddenRows="1" state="hidden" topLeftCell="A2">
      <pane ySplit="4" topLeftCell="A6" activePane="bottomLeft" state="frozen"/>
      <selection pane="bottomLeft" activeCell="D15" sqref="D15"/>
      <pageMargins left="1.4173228346456694" right="0.23622047244094491" top="0.74803149606299213" bottom="0.74803149606299213" header="0.31496062992125984" footer="0.31496062992125984"/>
      <pageSetup paperSize="9" orientation="landscape" r:id="rId2"/>
      <headerFooter>
        <oddHeader>&amp;L&amp;"Calibri"&amp;10&amp;K000000OFFICIAL&amp;1#</oddHeader>
        <oddFooter>&amp;L&amp;1#&amp;"Calibri"&amp;10&amp;K000000OFFICIAL</oddFooter>
      </headerFooter>
    </customSheetView>
    <customSheetView guid="{C7C13768-4A8D-4CBA-978C-F4A7B5550C00}" scale="90" hiddenRows="1" state="hidden" topLeftCell="A2">
      <pane ySplit="4" topLeftCell="A6" activePane="bottomLeft" state="frozen"/>
      <selection pane="bottomLeft" activeCell="D15" sqref="D15"/>
      <pageMargins left="1.4173228346456694" right="0.23622047244094491" top="0.74803149606299213" bottom="0.74803149606299213" header="0.31496062992125984" footer="0.31496062992125984"/>
      <pageSetup paperSize="9" orientation="landscape" r:id="rId3"/>
      <headerFooter>
        <oddHeader>&amp;L&amp;"Calibri"&amp;10&amp;K000000OFFICIAL&amp;1#</oddHeader>
        <oddFooter>&amp;L&amp;1#&amp;"Calibri"&amp;10&amp;K000000OFFICIAL</oddFooter>
      </headerFooter>
    </customSheetView>
    <customSheetView guid="{466708C2-41CE-4656-AB81-E1E49DF5945D}" scale="90" hiddenRows="1" state="hidden" topLeftCell="A2">
      <pane ySplit="4" topLeftCell="A6" activePane="bottomLeft" state="frozen"/>
      <selection pane="bottomLeft" activeCell="D15" sqref="D15"/>
      <pageMargins left="1.4173228346456694" right="0.23622047244094491" top="0.74803149606299213" bottom="0.74803149606299213" header="0.31496062992125984" footer="0.31496062992125984"/>
      <pageSetup paperSize="9" orientation="landscape" r:id="rId4"/>
      <headerFooter>
        <oddHeader>&amp;L&amp;"Calibri"&amp;10&amp;K000000OFFICIAL&amp;1#</oddHeader>
        <oddFooter>&amp;L&amp;1#&amp;"Calibri"&amp;10&amp;K000000OFFICIAL</oddFooter>
      </headerFooter>
    </customSheetView>
    <customSheetView guid="{E3A3AE56-8881-4A6F-9299-803C489AD1B4}" scale="90" hiddenRows="1" state="hidden" topLeftCell="A2">
      <pane ySplit="4" topLeftCell="A6" activePane="bottomLeft" state="frozen"/>
      <selection pane="bottomLeft" activeCell="D15" sqref="D15"/>
      <pageMargins left="1.4173228346456694" right="0.23622047244094491" top="0.74803149606299213" bottom="0.74803149606299213" header="0.31496062992125984" footer="0.31496062992125984"/>
      <pageSetup paperSize="9" orientation="landscape" r:id="rId5"/>
      <headerFooter>
        <oddHeader>&amp;L&amp;"Calibri"&amp;10&amp;K000000OFFICIAL&amp;1#</oddHeader>
        <oddFooter>&amp;L&amp;1#&amp;"Calibri"&amp;10&amp;K000000OFFICIAL</oddFooter>
      </headerFooter>
    </customSheetView>
    <customSheetView guid="{83044EFE-7F92-4F81-B034-85D9567158C2}" scale="90" hiddenRows="1" state="hidden" topLeftCell="A2">
      <pane ySplit="4" topLeftCell="A6" activePane="bottomLeft" state="frozen"/>
      <selection pane="bottomLeft" activeCell="D15" sqref="D15"/>
      <pageMargins left="1.4173228346456694" right="0.23622047244094491" top="0.74803149606299213" bottom="0.74803149606299213" header="0.31496062992125984" footer="0.31496062992125984"/>
      <pageSetup paperSize="9" orientation="landscape" r:id="rId6"/>
      <headerFooter>
        <oddHeader>&amp;L&amp;"Calibri"&amp;10&amp;K000000OFFICIAL&amp;1#</oddHeader>
        <oddFooter>&amp;L&amp;1#&amp;"Calibri"&amp;10&amp;K000000OFFICIAL</oddFooter>
      </headerFooter>
    </customSheetView>
    <customSheetView guid="{E4713981-DD11-40CE-BE52-873D93BDDE05}" scale="90" hiddenRows="1" state="hidden" topLeftCell="A2">
      <pane ySplit="4" topLeftCell="A6" activePane="bottomLeft" state="frozen"/>
      <selection pane="bottomLeft" activeCell="D15" sqref="D15"/>
      <pageMargins left="1.4173228346456694" right="0.23622047244094491" top="0.74803149606299213" bottom="0.74803149606299213" header="0.31496062992125984" footer="0.31496062992125984"/>
      <pageSetup paperSize="9" orientation="landscape" r:id="rId7"/>
      <headerFooter>
        <oddHeader>&amp;L&amp;"Calibri"&amp;10&amp;K000000OFFICIAL&amp;1#</oddHeader>
        <oddFooter>&amp;L&amp;1#&amp;"Calibri"&amp;10&amp;K000000OFFICIAL</oddFooter>
      </headerFooter>
    </customSheetView>
    <customSheetView guid="{442F9A23-CA6E-4109-B10C-ACF5FD36B859}" scale="90" hiddenRows="1" state="hidden" topLeftCell="A2">
      <pane ySplit="4" topLeftCell="A6" activePane="bottomLeft" state="frozen"/>
      <selection pane="bottomLeft" activeCell="D15" sqref="D15"/>
      <pageMargins left="1.4173228346456694" right="0.23622047244094491" top="0.74803149606299213" bottom="0.74803149606299213" header="0.31496062992125984" footer="0.31496062992125984"/>
      <pageSetup paperSize="9" orientation="landscape" r:id="rId8"/>
      <headerFooter>
        <oddHeader>&amp;L&amp;"Calibri"&amp;10&amp;K000000OFFICIAL&amp;1#</oddHeader>
        <oddFooter>&amp;L&amp;1#&amp;"Calibri"&amp;10&amp;K000000OFFICIAL</oddFooter>
      </headerFooter>
    </customSheetView>
    <customSheetView guid="{B434A8A8-5A4C-48C0-82E7-2458B9D2EEEF}" scale="90" hiddenRows="1" state="hidden" topLeftCell="A2">
      <pane ySplit="4" topLeftCell="A6" activePane="bottomLeft" state="frozen"/>
      <selection pane="bottomLeft" activeCell="D15" sqref="D15"/>
      <pageMargins left="1.4173228346456694" right="0.23622047244094491" top="0.74803149606299213" bottom="0.74803149606299213" header="0.31496062992125984" footer="0.31496062992125984"/>
      <pageSetup paperSize="9" orientation="landscape" r:id="rId9"/>
      <headerFooter>
        <oddHeader>&amp;L&amp;"Calibri"&amp;10&amp;K000000OFFICIAL&amp;1#</oddHeader>
        <oddFooter>&amp;L&amp;1#&amp;"Calibri"&amp;10&amp;K000000OFFICIAL</oddFooter>
      </headerFooter>
    </customSheetView>
    <customSheetView guid="{3827E543-57D2-48C8-B786-7077EA079DD2}" scale="90" hiddenRows="1" state="hidden" topLeftCell="A2">
      <pane ySplit="4" topLeftCell="A6" activePane="bottomLeft" state="frozen"/>
      <selection pane="bottomLeft" activeCell="D15" sqref="D15"/>
      <pageMargins left="1.4173228346456694" right="0.23622047244094491" top="0.74803149606299213" bottom="0.74803149606299213" header="0.31496062992125984" footer="0.31496062992125984"/>
      <pageSetup paperSize="9" orientation="landscape" r:id="rId10"/>
      <headerFooter>
        <oddHeader>&amp;L&amp;"Calibri"&amp;10&amp;K000000OFFICIAL&amp;1#</oddHeader>
        <oddFooter>&amp;L&amp;1#&amp;"Calibri"&amp;10&amp;K000000OFFICIAL</oddFooter>
      </headerFooter>
    </customSheetView>
    <customSheetView guid="{2EA8DBF7-9763-457C-AA9F-1EEB2F136D1F}" scale="90" hiddenRows="1" state="hidden" topLeftCell="A2">
      <pane ySplit="4" topLeftCell="A6" activePane="bottomLeft" state="frozen"/>
      <selection pane="bottomLeft" activeCell="D15" sqref="D15"/>
      <pageMargins left="1.4173228346456694" right="0.23622047244094491" top="0.74803149606299213" bottom="0.74803149606299213" header="0.31496062992125984" footer="0.31496062992125984"/>
      <pageSetup paperSize="9" orientation="landscape" r:id="rId11"/>
      <headerFooter>
        <oddHeader>&amp;L&amp;"Calibri"&amp;10&amp;K000000OFFICIAL&amp;1#</oddHeader>
        <oddFooter>&amp;L&amp;1#&amp;"Calibri"&amp;10&amp;K000000OFFICIAL</oddFooter>
      </headerFooter>
    </customSheetView>
    <customSheetView guid="{70582C04-BB53-4A99-A3C1-673011D9AE1C}" scale="90" hiddenRows="1" state="hidden" topLeftCell="A2">
      <pane ySplit="4" topLeftCell="A6" activePane="bottomLeft" state="frozen"/>
      <selection pane="bottomLeft" activeCell="D15" sqref="D15"/>
      <pageMargins left="1.4173228346456694" right="0.23622047244094491" top="0.74803149606299213" bottom="0.74803149606299213" header="0.31496062992125984" footer="0.31496062992125984"/>
      <pageSetup paperSize="9" orientation="landscape" r:id="rId12"/>
      <headerFooter>
        <oddHeader>&amp;L&amp;"Calibri"&amp;10&amp;K000000OFFICIAL&amp;1#</oddHeader>
        <oddFooter>&amp;L&amp;1#&amp;"Calibri"&amp;10&amp;K000000OFFICIAL</oddFooter>
      </headerFooter>
    </customSheetView>
    <customSheetView guid="{37F5A0AB-EB39-4832-9D67-F67D908BF486}" scale="90" hiddenRows="1" state="hidden" topLeftCell="A2">
      <pane ySplit="4" topLeftCell="A6" activePane="bottomLeft" state="frozen"/>
      <selection pane="bottomLeft" activeCell="D15" sqref="D15"/>
      <pageMargins left="1.4173228346456694" right="0.23622047244094491" top="0.74803149606299213" bottom="0.74803149606299213" header="0.31496062992125984" footer="0.31496062992125984"/>
      <pageSetup paperSize="9" orientation="landscape" r:id="rId13"/>
      <headerFooter>
        <oddHeader>&amp;L&amp;"Calibri"&amp;10&amp;K000000OFFICIAL&amp;1#</oddHeader>
        <oddFooter>&amp;L&amp;1#&amp;"Calibri"&amp;10&amp;K000000OFFICIAL</oddFooter>
      </headerFooter>
    </customSheetView>
    <customSheetView guid="{78AA4A71-CE17-4C4D-849E-E3E1A44EA907}" scale="90" hiddenRows="1" state="hidden" topLeftCell="A2">
      <pane ySplit="4" topLeftCell="A6" activePane="bottomLeft" state="frozen"/>
      <selection pane="bottomLeft" activeCell="D15" sqref="D15"/>
      <pageMargins left="1.4173228346456694" right="0.23622047244094491" top="0.74803149606299213" bottom="0.74803149606299213" header="0.31496062992125984" footer="0.31496062992125984"/>
      <pageSetup paperSize="9" orientation="landscape" r:id="rId14"/>
      <headerFooter>
        <oddHeader>&amp;L&amp;"Calibri"&amp;10&amp;K000000OFFICIAL&amp;1#</oddHeader>
        <oddFooter>&amp;L&amp;1#&amp;"Calibri"&amp;10&amp;K000000OFFICIAL</oddFooter>
      </headerFooter>
    </customSheetView>
    <customSheetView guid="{51DFD3D6-BC25-47B4-B28F-D640534DB3A9}" scale="90" hiddenRows="1" state="hidden" topLeftCell="A2">
      <pane ySplit="4" topLeftCell="A6" activePane="bottomLeft" state="frozen"/>
      <selection pane="bottomLeft" activeCell="D15" sqref="D15"/>
      <pageMargins left="1.4173228346456694" right="0.23622047244094491" top="0.74803149606299213" bottom="0.74803149606299213" header="0.31496062992125984" footer="0.31496062992125984"/>
      <pageSetup paperSize="9" orientation="landscape" r:id="rId15"/>
      <headerFooter>
        <oddHeader>&amp;L&amp;"Calibri"&amp;10&amp;K000000OFFICIAL&amp;1#</oddHeader>
        <oddFooter>&amp;L&amp;1#&amp;"Calibri"&amp;10&amp;K000000OFFICIAL</oddFooter>
      </headerFooter>
    </customSheetView>
    <customSheetView guid="{CA7E8063-5145-49E1-8E00-2E1025705A81}" scale="90" hiddenRows="1" state="hidden" topLeftCell="A2">
      <pane ySplit="4" topLeftCell="A6" activePane="bottomLeft" state="frozen"/>
      <selection pane="bottomLeft" activeCell="D15" sqref="D15"/>
      <pageMargins left="1.4173228346456694" right="0.23622047244094491" top="0.74803149606299213" bottom="0.74803149606299213" header="0.31496062992125984" footer="0.31496062992125984"/>
      <pageSetup paperSize="9" orientation="landscape" r:id="rId16"/>
      <headerFooter>
        <oddHeader>&amp;L&amp;"Calibri"&amp;10&amp;K000000OFFICIAL&amp;1#</oddHeader>
        <oddFooter>&amp;L&amp;1#&amp;"Calibri"&amp;10&amp;K000000OFFICIAL</oddFooter>
      </headerFooter>
    </customSheetView>
    <customSheetView guid="{75EE3B92-AF4D-4E93-A70E-6ADE60CC674F}" scale="90" hiddenRows="1" state="hidden" topLeftCell="A2">
      <pane ySplit="3" topLeftCell="A6" activePane="bottomLeft" state="frozen"/>
      <selection pane="bottomLeft" activeCell="D15" sqref="D15"/>
      <pageMargins left="1.4173228346456694" right="0.23622047244094491" top="0.74803149606299213" bottom="0.74803149606299213" header="0.31496062992125984" footer="0.31496062992125984"/>
      <pageSetup paperSize="9" orientation="landscape" r:id="rId17"/>
      <headerFooter>
        <oddHeader>&amp;L&amp;"Calibri"&amp;10&amp;K000000OFFICIAL&amp;1#</oddHeader>
        <oddFooter>&amp;L&amp;1#&amp;"Calibri"&amp;10&amp;K000000OFFICIAL</oddFooter>
      </headerFooter>
    </customSheetView>
    <customSheetView guid="{29AC9BE3-332A-4738-949C-1F8C0D32BAEE}" scale="90" hiddenRows="1" state="hidden" topLeftCell="A2">
      <pane ySplit="4" topLeftCell="A6" activePane="bottomLeft" state="frozen"/>
      <selection pane="bottomLeft" activeCell="D15" sqref="D15"/>
      <pageMargins left="1.4173228346456694" right="0.23622047244094491" top="0.74803149606299213" bottom="0.74803149606299213" header="0.31496062992125984" footer="0.31496062992125984"/>
      <pageSetup paperSize="9" orientation="landscape" r:id="rId18"/>
      <headerFooter>
        <oddHeader>&amp;L&amp;"Calibri"&amp;10&amp;K000000OFFICIAL&amp;1#</oddHeader>
        <oddFooter>&amp;L&amp;1#&amp;"Calibri"&amp;10&amp;K000000OFFICIAL</oddFooter>
      </headerFooter>
    </customSheetView>
    <customSheetView guid="{42B0E8B1-ADFA-49AE-A83B-82D384737703}" scale="90" hiddenRows="1" state="hidden" topLeftCell="A2">
      <pane ySplit="4" topLeftCell="A6" activePane="bottomLeft" state="frozen"/>
      <selection pane="bottomLeft" activeCell="D15" sqref="D15"/>
      <pageMargins left="1.4173228346456694" right="0.23622047244094491" top="0.74803149606299213" bottom="0.74803149606299213" header="0.31496062992125984" footer="0.31496062992125984"/>
      <pageSetup paperSize="9" orientation="landscape" r:id="rId19"/>
      <headerFooter>
        <oddHeader>&amp;L&amp;"Calibri"&amp;10&amp;K000000OFFICIAL&amp;1#</oddHeader>
        <oddFooter>&amp;L&amp;1#&amp;"Calibri"&amp;10&amp;K000000OFFICIAL</oddFooter>
      </headerFooter>
    </customSheetView>
    <customSheetView guid="{D59DDBAA-620D-43B7-A6D9-759808D3397A}" scale="90" hiddenRows="1" state="hidden" topLeftCell="A2">
      <pane ySplit="4" topLeftCell="A6" activePane="bottomLeft" state="frozen"/>
      <selection pane="bottomLeft" activeCell="D15" sqref="D15"/>
      <pageMargins left="1.4173228346456694" right="0.23622047244094491" top="0.74803149606299213" bottom="0.74803149606299213" header="0.31496062992125984" footer="0.31496062992125984"/>
      <pageSetup paperSize="9" orientation="landscape" r:id="rId20"/>
      <headerFooter>
        <oddHeader>&amp;L&amp;"Calibri"&amp;10&amp;K000000OFFICIAL&amp;1#</oddHeader>
        <oddFooter>&amp;L&amp;1#&amp;"Calibri"&amp;10&amp;K000000OFFICIAL</oddFooter>
      </headerFooter>
    </customSheetView>
    <customSheetView guid="{F4A6298C-1A75-4FA9-A6A4-2BE13CCFE545}" scale="90" hiddenRows="1" state="hidden" topLeftCell="A2">
      <pane ySplit="4" topLeftCell="A6" activePane="bottomLeft" state="frozen"/>
      <selection pane="bottomLeft" activeCell="D15" sqref="D15"/>
      <pageMargins left="1.4173228346456694" right="0.23622047244094491" top="0.74803149606299213" bottom="0.74803149606299213" header="0.31496062992125984" footer="0.31496062992125984"/>
      <pageSetup paperSize="9" orientation="landscape" r:id="rId21"/>
      <headerFooter>
        <oddHeader>&amp;L&amp;"Calibri"&amp;10&amp;K000000OFFICIAL&amp;1#</oddHeader>
        <oddFooter>&amp;L&amp;1#&amp;"Calibri"&amp;10&amp;K000000OFFICIAL</oddFooter>
      </headerFooter>
    </customSheetView>
    <customSheetView guid="{9F91FBC4-6A13-42C2-A2D9-42A2AC814E28}" scale="90" hiddenRows="1" state="hidden" topLeftCell="A2">
      <pane ySplit="4" topLeftCell="A6" activePane="bottomLeft" state="frozen"/>
      <selection pane="bottomLeft" activeCell="D15" sqref="D15"/>
      <pageMargins left="1.4173228346456694" right="0.23622047244094491" top="0.74803149606299213" bottom="0.74803149606299213" header="0.31496062992125984" footer="0.31496062992125984"/>
      <pageSetup paperSize="9" orientation="landscape" r:id="rId22"/>
      <headerFooter>
        <oddHeader>&amp;L&amp;"Calibri"&amp;10&amp;K000000OFFICIAL&amp;1#</oddHeader>
        <oddFooter>&amp;L&amp;1#&amp;"Calibri"&amp;10&amp;K000000OFFICIAL</oddFooter>
      </headerFooter>
    </customSheetView>
    <customSheetView guid="{DF265C7B-1EEB-47EB-982A-6938E81F7AC2}" scale="90" hiddenRows="1" state="hidden" topLeftCell="A2">
      <pane ySplit="4" topLeftCell="A6" activePane="bottomLeft" state="frozen"/>
      <selection pane="bottomLeft" activeCell="D15" sqref="D15"/>
      <pageMargins left="1.4173228346456694" right="0.23622047244094491" top="0.74803149606299213" bottom="0.74803149606299213" header="0.31496062992125984" footer="0.31496062992125984"/>
      <pageSetup paperSize="9" orientation="landscape" r:id="rId23"/>
      <headerFooter>
        <oddHeader>&amp;L&amp;"Calibri"&amp;10&amp;K000000OFFICIAL&amp;1#</oddHeader>
        <oddFooter>&amp;L&amp;1#&amp;"Calibri"&amp;10&amp;K000000OFFICIAL</oddFooter>
      </headerFooter>
    </customSheetView>
    <customSheetView guid="{8263C9D2-452D-46FA-AFA0-452B42DC0298}" scale="90" hiddenRows="1" state="hidden" topLeftCell="A2">
      <pane ySplit="4" topLeftCell="A6" activePane="bottomLeft" state="frozen"/>
      <selection pane="bottomLeft" activeCell="D15" sqref="D15"/>
      <pageMargins left="1.4173228346456694" right="0.23622047244094491" top="0.74803149606299213" bottom="0.74803149606299213" header="0.31496062992125984" footer="0.31496062992125984"/>
      <pageSetup paperSize="9" orientation="landscape" r:id="rId24"/>
      <headerFooter>
        <oddHeader>&amp;L&amp;"Calibri"&amp;10&amp;K000000OFFICIAL&amp;1#</oddHeader>
        <oddFooter>&amp;L&amp;1#&amp;"Calibri"&amp;10&amp;K000000OFFICIAL</oddFooter>
      </headerFooter>
    </customSheetView>
    <customSheetView guid="{151EB58C-4EFD-4330-8D1A-8AACF5F7C679}" scale="90" hiddenRows="1" state="hidden" topLeftCell="A2">
      <pane ySplit="4" topLeftCell="A6" activePane="bottomLeft" state="frozen"/>
      <selection pane="bottomLeft" activeCell="D15" sqref="D15"/>
      <pageMargins left="1.4173228346456694" right="0.23622047244094491" top="0.74803149606299213" bottom="0.74803149606299213" header="0.31496062992125984" footer="0.31496062992125984"/>
      <pageSetup paperSize="9" orientation="landscape" r:id="rId25"/>
      <headerFooter>
        <oddHeader>&amp;L&amp;"Calibri"&amp;10&amp;K000000OFFICIAL&amp;1#</oddHeader>
        <oddFooter>&amp;L&amp;1#&amp;"Calibri"&amp;10&amp;K000000OFFICIAL</oddFooter>
      </headerFooter>
    </customSheetView>
    <customSheetView guid="{8CB67476-3FD4-42E0-ACD6-62ACA9412843}" scale="90" hiddenRows="1" state="hidden" topLeftCell="A2">
      <pane ySplit="4" topLeftCell="A6" activePane="bottomLeft" state="frozen"/>
      <selection pane="bottomLeft" activeCell="D15" sqref="D15"/>
      <pageMargins left="1.4173228346456694" right="0.23622047244094491" top="0.74803149606299213" bottom="0.74803149606299213" header="0.31496062992125984" footer="0.31496062992125984"/>
      <pageSetup paperSize="9" orientation="landscape" r:id="rId26"/>
      <headerFooter>
        <oddHeader>&amp;L&amp;"Calibri"&amp;10&amp;K000000OFFICIAL&amp;1#</oddHeader>
        <oddFooter>&amp;L&amp;1#&amp;"Calibri"&amp;10&amp;K000000OFFICIAL</oddFooter>
      </headerFooter>
    </customSheetView>
    <customSheetView guid="{51B3083F-A103-41AB-A137-63549C54B838}" scale="90" hiddenRows="1" state="hidden" topLeftCell="A2">
      <pane ySplit="4" topLeftCell="A6" activePane="bottomLeft" state="frozen"/>
      <selection pane="bottomLeft" activeCell="D15" sqref="D15"/>
      <pageMargins left="1.4173228346456694" right="0.23622047244094491" top="0.74803149606299213" bottom="0.74803149606299213" header="0.31496062992125984" footer="0.31496062992125984"/>
      <pageSetup paperSize="9" orientation="landscape" r:id="rId27"/>
      <headerFooter>
        <oddHeader>&amp;L&amp;"Calibri"&amp;10&amp;K000000OFFICIAL&amp;1#</oddHeader>
        <oddFooter>&amp;L&amp;1#&amp;"Calibri"&amp;10&amp;K000000OFFICIAL</oddFooter>
      </headerFooter>
    </customSheetView>
    <customSheetView guid="{E06B4FE8-6127-47B2-A6A5-4FAC9EEB4538}" scale="90" hiddenRows="1" state="hidden" topLeftCell="A2">
      <pane ySplit="4.8157894736842106" topLeftCell="A6" activePane="bottomLeft" state="frozen"/>
      <selection pane="bottomLeft" activeCell="D15" sqref="D15"/>
      <pageMargins left="1.4173228346456694" right="0.23622047244094491" top="0.74803149606299213" bottom="0.74803149606299213" header="0.31496062992125984" footer="0.31496062992125984"/>
      <pageSetup paperSize="9" orientation="landscape" r:id="rId28"/>
      <headerFooter>
        <oddHeader>&amp;L&amp;"Calibri"&amp;10&amp;K000000OFFICIAL&amp;1#</oddHeader>
        <oddFooter>&amp;L&amp;1#&amp;"Calibri"&amp;10&amp;K000000OFFICIAL</oddFooter>
      </headerFooter>
    </customSheetView>
    <customSheetView guid="{593284E7-E32C-4D6C-8C2F-3DEEF9DEE1DF}" scale="90" hiddenRows="1" state="hidden" topLeftCell="A2">
      <pane ySplit="4" topLeftCell="A6" activePane="bottomLeft" state="frozen"/>
      <selection pane="bottomLeft" activeCell="D15" sqref="D15"/>
      <pageMargins left="1.4173228346456694" right="0.23622047244094491" top="0.74803149606299213" bottom="0.74803149606299213" header="0.31496062992125984" footer="0.31496062992125984"/>
      <pageSetup paperSize="9" orientation="landscape" r:id="rId29"/>
      <headerFooter>
        <oddHeader>&amp;L&amp;"Calibri"&amp;10&amp;K000000OFFICIAL&amp;1#</oddHeader>
        <oddFooter>&amp;L&amp;1#&amp;"Calibri"&amp;10&amp;K000000OFFICIAL</oddFooter>
      </headerFooter>
    </customSheetView>
    <customSheetView guid="{351EFD38-BF62-4E34-A37F-0EEB3E165043}" scale="90" hiddenRows="1" state="hidden" topLeftCell="A2">
      <pane ySplit="4" topLeftCell="A6" activePane="bottomLeft" state="frozen"/>
      <selection pane="bottomLeft" activeCell="D15" sqref="D15"/>
      <pageMargins left="1.4173228346456694" right="0.23622047244094491" top="0.74803149606299213" bottom="0.74803149606299213" header="0.31496062992125984" footer="0.31496062992125984"/>
      <pageSetup paperSize="9" orientation="landscape" r:id="rId30"/>
      <headerFooter>
        <oddHeader>&amp;L&amp;"Calibri"&amp;10&amp;K000000OFFICIAL&amp;1#</oddHeader>
        <oddFooter>&amp;L&amp;1#&amp;"Calibri"&amp;10&amp;K000000OFFICIAL</oddFooter>
      </headerFooter>
    </customSheetView>
    <customSheetView guid="{EB96DBE4-2D64-4388-853C-CB52A0CB79BA}" scale="90" hiddenRows="1" state="hidden" topLeftCell="A2">
      <pane ySplit="4" topLeftCell="A6" activePane="bottomLeft" state="frozen"/>
      <selection pane="bottomLeft" activeCell="D15" sqref="D15"/>
      <pageMargins left="1.4173228346456694" right="0.23622047244094491" top="0.74803149606299213" bottom="0.74803149606299213" header="0.31496062992125984" footer="0.31496062992125984"/>
      <pageSetup paperSize="9" orientation="landscape" r:id="rId31"/>
      <headerFooter>
        <oddHeader>&amp;L&amp;"Calibri"&amp;10&amp;K000000OFFICIAL&amp;1#</oddHeader>
        <oddFooter>&amp;L&amp;1#&amp;"Calibri"&amp;10&amp;K000000OFFICIAL</oddFooter>
      </headerFooter>
    </customSheetView>
    <customSheetView guid="{016CEBB2-C827-48F4-95E1-85D8C5129F41}" scale="90" hiddenRows="1" state="hidden" topLeftCell="A2">
      <pane ySplit="4" topLeftCell="A6" activePane="bottomLeft" state="frozen"/>
      <selection pane="bottomLeft" activeCell="D15" sqref="D15"/>
      <pageMargins left="1.4173228346456694" right="0.23622047244094491" top="0.74803149606299213" bottom="0.74803149606299213" header="0.31496062992125984" footer="0.31496062992125984"/>
      <pageSetup paperSize="9" orientation="landscape" r:id="rId32"/>
      <headerFooter>
        <oddHeader>&amp;L&amp;"Calibri"&amp;10&amp;K000000OFFICIAL&amp;1#</oddHeader>
        <oddFooter>&amp;L&amp;1#&amp;"Calibri"&amp;10&amp;K000000OFFICIAL</oddFooter>
      </headerFooter>
    </customSheetView>
    <customSheetView guid="{6702457D-A9A8-4F46-8E1C-BC7255F4BA77}" scale="90" hiddenRows="1" state="hidden" topLeftCell="A2">
      <pane ySplit="4" topLeftCell="A6" activePane="bottomLeft" state="frozen"/>
      <selection pane="bottomLeft" activeCell="D15" sqref="D15"/>
      <pageMargins left="1.4173228346456694" right="0.23622047244094491" top="0.74803149606299213" bottom="0.74803149606299213" header="0.31496062992125984" footer="0.31496062992125984"/>
      <pageSetup paperSize="9" orientation="landscape" r:id="rId33"/>
      <headerFooter>
        <oddHeader>&amp;L&amp;"Calibri"&amp;10&amp;K000000OFFICIAL&amp;1#</oddHeader>
        <oddFooter>&amp;L&amp;1#&amp;"Calibri"&amp;10&amp;K000000OFFICIAL</oddFooter>
      </headerFooter>
    </customSheetView>
    <customSheetView guid="{D27C51BB-BB54-4F37-8171-98067C39697C}" scale="90" hiddenRows="1" state="hidden" topLeftCell="A2">
      <pane ySplit="4" topLeftCell="A6" activePane="bottomLeft" state="frozen"/>
      <selection pane="bottomLeft" activeCell="D15" sqref="D15"/>
      <pageMargins left="1.4173228346456694" right="0.23622047244094491" top="0.74803149606299213" bottom="0.74803149606299213" header="0.31496062992125984" footer="0.31496062992125984"/>
      <pageSetup paperSize="9" orientation="landscape" r:id="rId34"/>
      <headerFooter>
        <oddHeader>&amp;L&amp;"Calibri"&amp;10&amp;K000000OFFICIAL&amp;1#</oddHeader>
        <oddFooter>&amp;L&amp;1#&amp;"Calibri"&amp;10&amp;K000000OFFICIAL</oddFooter>
      </headerFooter>
    </customSheetView>
    <customSheetView guid="{008CCD98-7480-4C51-806A-4B55C801DDC2}" scale="90" hiddenRows="1" state="hidden" topLeftCell="A2">
      <pane ySplit="5.6410256410256405" topLeftCell="A6" activePane="bottomLeft" state="frozen"/>
      <selection pane="bottomLeft" activeCell="D15" sqref="D15"/>
      <pageMargins left="1.4173228346456694" right="0.23622047244094491" top="0.74803149606299213" bottom="0.74803149606299213" header="0.31496062992125984" footer="0.31496062992125984"/>
      <pageSetup paperSize="9" orientation="landscape" r:id="rId35"/>
      <headerFooter>
        <oddHeader>&amp;L&amp;"Calibri"&amp;10&amp;K000000OFFICIAL&amp;1#</oddHeader>
        <oddFooter>&amp;L&amp;1#&amp;"Calibri"&amp;10&amp;K000000OFFICIAL</oddFooter>
      </headerFooter>
    </customSheetView>
    <customSheetView guid="{4E6F9C2D-76F2-4884-BBF6-E02A7BAE11EF}" scale="90" hiddenRows="1" state="hidden" topLeftCell="A2">
      <pane ySplit="4" topLeftCell="A6" activePane="bottomLeft" state="frozen"/>
      <selection pane="bottomLeft" activeCell="D15" sqref="D15"/>
      <pageMargins left="1.4173228346456694" right="0.23622047244094491" top="0.74803149606299213" bottom="0.74803149606299213" header="0.31496062992125984" footer="0.31496062992125984"/>
      <pageSetup paperSize="9" orientation="landscape" r:id="rId36"/>
      <headerFooter>
        <oddHeader>&amp;L&amp;"Calibri"&amp;10&amp;K000000OFFICIAL&amp;1#</oddHeader>
        <oddFooter>&amp;L&amp;1#&amp;"Calibri"&amp;10&amp;K000000OFFICIAL</oddFooter>
      </headerFooter>
    </customSheetView>
    <customSheetView guid="{C39AE06A-FC0A-4D7D-B287-2FA9CA174191}" scale="90" hiddenRows="1" state="hidden" topLeftCell="A2">
      <pane ySplit="4" topLeftCell="A6" activePane="bottomLeft" state="frozen"/>
      <selection pane="bottomLeft" activeCell="D15" sqref="D15"/>
      <pageMargins left="1.4173228346456694" right="0.23622047244094491" top="0.74803149606299213" bottom="0.74803149606299213" header="0.31496062992125984" footer="0.31496062992125984"/>
      <pageSetup paperSize="9" orientation="landscape" r:id="rId37"/>
      <headerFooter>
        <oddHeader>&amp;L&amp;"Calibri"&amp;10&amp;K000000OFFICIAL&amp;1#</oddHeader>
        <oddFooter>&amp;L&amp;1#&amp;"Calibri"&amp;10&amp;K000000OFFICIAL</oddFooter>
      </headerFooter>
    </customSheetView>
    <customSheetView guid="{D16D941B-FC89-4FEC-A49B-5FA2532584DE}" scale="90" hiddenRows="1" state="hidden" topLeftCell="A2">
      <pane ySplit="4" topLeftCell="A6" activePane="bottomLeft" state="frozen"/>
      <selection pane="bottomLeft" activeCell="D15" sqref="D15"/>
      <pageMargins left="1.4173228346456694" right="0.23622047244094491" top="0.74803149606299213" bottom="0.74803149606299213" header="0.31496062992125984" footer="0.31496062992125984"/>
      <pageSetup paperSize="9" orientation="landscape" r:id="rId38"/>
      <headerFooter>
        <oddHeader>&amp;L&amp;"Calibri"&amp;10&amp;K000000OFFICIAL&amp;1#</oddHeader>
        <oddFooter>&amp;L&amp;1#&amp;"Calibri"&amp;10&amp;K000000OFFICIAL</oddFooter>
      </headerFooter>
    </customSheetView>
    <customSheetView guid="{3BB18945-69B5-4B22-8D55-989F8F233459}" scale="90" hiddenRows="1" state="hidden" topLeftCell="A2">
      <pane ySplit="4" topLeftCell="A6" activePane="bottomLeft" state="frozen"/>
      <selection pane="bottomLeft" activeCell="D15" sqref="D15"/>
      <pageMargins left="1.4173228346456694" right="0.23622047244094491" top="0.74803149606299213" bottom="0.74803149606299213" header="0.31496062992125984" footer="0.31496062992125984"/>
      <pageSetup paperSize="9" orientation="landscape" r:id="rId39"/>
      <headerFooter>
        <oddHeader>&amp;L&amp;"Calibri"&amp;10&amp;K000000OFFICIAL&amp;1#</oddHeader>
        <oddFooter>&amp;L&amp;1#&amp;"Calibri"&amp;10&amp;K000000OFFICIAL</oddFooter>
      </headerFooter>
    </customSheetView>
    <customSheetView guid="{B84DA703-8C5B-4100-91A4-8807E303D379}" scale="90" hiddenRows="1" state="hidden" topLeftCell="A2">
      <pane ySplit="4" topLeftCell="A6" activePane="bottomLeft" state="frozen"/>
      <selection pane="bottomLeft" activeCell="D15" sqref="D15"/>
      <pageMargins left="1.4173228346456694" right="0.23622047244094491" top="0.74803149606299213" bottom="0.74803149606299213" header="0.31496062992125984" footer="0.31496062992125984"/>
      <pageSetup paperSize="9" orientation="landscape" r:id="rId40"/>
      <headerFooter>
        <oddHeader>&amp;L&amp;"Calibri"&amp;10&amp;K000000OFFICIAL&amp;1#</oddHeader>
        <oddFooter>&amp;L&amp;1#&amp;"Calibri"&amp;10&amp;K000000OFFICIAL</oddFooter>
      </headerFooter>
    </customSheetView>
    <customSheetView guid="{B0A28FD4-D7F6-428C-A7F7-92132DCD74BB}" scale="90" hiddenRows="1" state="hidden" topLeftCell="A2">
      <pane ySplit="4" topLeftCell="A6" activePane="bottomLeft" state="frozen"/>
      <selection pane="bottomLeft" activeCell="D15" sqref="D15"/>
      <pageMargins left="1.4173228346456694" right="0.23622047244094491" top="0.74803149606299213" bottom="0.74803149606299213" header="0.31496062992125984" footer="0.31496062992125984"/>
      <pageSetup paperSize="9" orientation="landscape" r:id="rId41"/>
      <headerFooter>
        <oddHeader>&amp;L&amp;"Calibri"&amp;10&amp;K000000OFFICIAL&amp;1#</oddHeader>
        <oddFooter>&amp;L&amp;1#&amp;"Calibri"&amp;10&amp;K000000OFFICIAL</oddFooter>
      </headerFooter>
    </customSheetView>
    <customSheetView guid="{3C97F0B0-2F3C-4E03-96E0-0C4FEC2F24AC}" scale="90" hiddenRows="1" state="hidden" topLeftCell="A2">
      <pane ySplit="4" topLeftCell="A6" activePane="bottomLeft" state="frozen"/>
      <selection pane="bottomLeft" activeCell="D15" sqref="D15"/>
      <pageMargins left="1.4173228346456694" right="0.23622047244094491" top="0.74803149606299213" bottom="0.74803149606299213" header="0.31496062992125984" footer="0.31496062992125984"/>
      <pageSetup paperSize="9" orientation="landscape" r:id="rId42"/>
      <headerFooter>
        <oddHeader>&amp;L&amp;"Calibri"&amp;10&amp;K000000OFFICIAL&amp;1#</oddHeader>
        <oddFooter>&amp;L&amp;1#&amp;"Calibri"&amp;10&amp;K000000OFFICIAL</oddFooter>
      </headerFooter>
    </customSheetView>
    <customSheetView guid="{A03C6B09-6B58-4DDE-A3B2-41A27A7049D9}" scale="90" hiddenRows="1" state="hidden" topLeftCell="A2">
      <pane ySplit="4" topLeftCell="A6" activePane="bottomLeft" state="frozen"/>
      <selection pane="bottomLeft" activeCell="D15" sqref="D15"/>
      <pageMargins left="1.4173228346456694" right="0.23622047244094491" top="0.74803149606299213" bottom="0.74803149606299213" header="0.31496062992125984" footer="0.31496062992125984"/>
      <pageSetup paperSize="9" orientation="landscape" r:id="rId43"/>
      <headerFooter>
        <oddHeader>&amp;L&amp;"Calibri"&amp;10&amp;K000000OFFICIAL&amp;1#</oddHeader>
        <oddFooter>&amp;L&amp;1#&amp;"Calibri"&amp;10&amp;K000000OFFICIAL</oddFooter>
      </headerFooter>
    </customSheetView>
    <customSheetView guid="{4EBEE699-7DEF-4A50-9CB7-490835CF0B98}" scale="90" hiddenRows="1" state="hidden" topLeftCell="A2">
      <pane ySplit="4" topLeftCell="A6" activePane="bottomLeft" state="frozen"/>
      <selection pane="bottomLeft" activeCell="D15" sqref="D15"/>
      <pageMargins left="1.4173228346456694" right="0.23622047244094491" top="0.74803149606299213" bottom="0.74803149606299213" header="0.31496062992125984" footer="0.31496062992125984"/>
      <pageSetup paperSize="9" orientation="landscape" r:id="rId44"/>
      <headerFooter>
        <oddHeader>&amp;L&amp;"Calibri"&amp;10&amp;K000000OFFICIAL&amp;1#</oddHeader>
        <oddFooter>&amp;L&amp;1#&amp;"Calibri"&amp;10&amp;K000000OFFICIAL</oddFooter>
      </headerFooter>
    </customSheetView>
    <customSheetView guid="{451730E2-FFE9-4FCE-B8B5-64952C26C672}" scale="90" hiddenRows="1" state="hidden" topLeftCell="A2">
      <pane ySplit="4" topLeftCell="A6" activePane="bottomLeft" state="frozen"/>
      <selection pane="bottomLeft" activeCell="D15" sqref="D15"/>
      <pageMargins left="1.4173228346456694" right="0.23622047244094491" top="0.74803149606299213" bottom="0.74803149606299213" header="0.31496062992125984" footer="0.31496062992125984"/>
      <pageSetup paperSize="9" orientation="landscape" r:id="rId45"/>
      <headerFooter>
        <oddHeader>&amp;L&amp;"Calibri"&amp;10&amp;K000000OFFICIAL&amp;1#</oddHeader>
        <oddFooter>&amp;L&amp;1#&amp;"Calibri"&amp;10&amp;K000000OFFICIAL</oddFooter>
      </headerFooter>
    </customSheetView>
    <customSheetView guid="{9AF6E233-883D-48B4-95AB-42B37199AB9E}" scale="90" hiddenRows="1" state="hidden" topLeftCell="A2">
      <pane ySplit="4" topLeftCell="A6" activePane="bottomLeft" state="frozen"/>
      <selection pane="bottomLeft" activeCell="D15" sqref="D15"/>
      <pageMargins left="1.4173228346456694" right="0.23622047244094491" top="0.74803149606299213" bottom="0.74803149606299213" header="0.31496062992125984" footer="0.31496062992125984"/>
      <pageSetup paperSize="9" orientation="landscape" r:id="rId46"/>
      <headerFooter>
        <oddHeader>&amp;L&amp;"Calibri"&amp;10&amp;K000000OFFICIAL&amp;1#</oddHeader>
        <oddFooter>&amp;L&amp;1#&amp;"Calibri"&amp;10&amp;K000000OFFICIAL</oddFooter>
      </headerFooter>
    </customSheetView>
    <customSheetView guid="{1ECD6E30-299B-4354-A416-2DAFF33C7022}" scale="90" hiddenRows="1" state="hidden" topLeftCell="A2">
      <pane ySplit="4" topLeftCell="A6" activePane="bottomLeft" state="frozen"/>
      <selection pane="bottomLeft" activeCell="D15" sqref="D15"/>
      <pageMargins left="1.4173228346456694" right="0.23622047244094491" top="0.74803149606299213" bottom="0.74803149606299213" header="0.31496062992125984" footer="0.31496062992125984"/>
      <pageSetup paperSize="9" orientation="landscape" r:id="rId47"/>
      <headerFooter>
        <oddHeader>&amp;L&amp;"Calibri"&amp;10&amp;K000000OFFICIAL&amp;1#</oddHeader>
        <oddFooter>&amp;L&amp;1#&amp;"Calibri"&amp;10&amp;K000000OFFICIAL</oddFooter>
      </headerFooter>
    </customSheetView>
    <customSheetView guid="{97D58294-343B-4B62-A826-0DDDE29B5F0D}" scale="90" hiddenRows="1" state="hidden" topLeftCell="A2">
      <pane ySplit="4" topLeftCell="A6" activePane="bottomLeft" state="frozen"/>
      <selection pane="bottomLeft" activeCell="D15" sqref="D15"/>
      <pageMargins left="1.4173228346456694" right="0.23622047244094491" top="0.74803149606299213" bottom="0.74803149606299213" header="0.31496062992125984" footer="0.31496062992125984"/>
      <pageSetup paperSize="9" orientation="landscape" r:id="rId48"/>
      <headerFooter>
        <oddHeader>&amp;L&amp;"Calibri"&amp;10&amp;K000000OFFICIAL&amp;1#</oddHeader>
        <oddFooter>&amp;L&amp;1#&amp;"Calibri"&amp;10&amp;K000000OFFICIAL</oddFooter>
      </headerFooter>
    </customSheetView>
    <customSheetView guid="{BDCD1595-C0B8-4F6C-B01C-3472C895B827}" scale="90" hiddenRows="1" state="hidden" topLeftCell="A2">
      <pane ySplit="4" topLeftCell="A6" activePane="bottomLeft" state="frozen"/>
      <selection pane="bottomLeft" activeCell="D15" sqref="D15"/>
      <pageMargins left="1.4173228346456694" right="0.23622047244094491" top="0.74803149606299213" bottom="0.74803149606299213" header="0.31496062992125984" footer="0.31496062992125984"/>
      <pageSetup paperSize="9" orientation="landscape" r:id="rId49"/>
      <headerFooter>
        <oddHeader>&amp;L&amp;"Calibri"&amp;10&amp;K000000OFFICIAL&amp;1#</oddHeader>
        <oddFooter>&amp;L&amp;1#&amp;"Calibri"&amp;10&amp;K000000OFFICIAL</oddFooter>
      </headerFooter>
    </customSheetView>
    <customSheetView guid="{9355C9F4-9C07-4A93-B7F2-69F1D1526716}" scale="90" hiddenRows="1" state="hidden" topLeftCell="A2">
      <pane ySplit="4" topLeftCell="A6" activePane="bottomLeft" state="frozen"/>
      <selection pane="bottomLeft" activeCell="D15" sqref="D15"/>
      <pageMargins left="1.4173228346456694" right="0.23622047244094491" top="0.74803149606299213" bottom="0.74803149606299213" header="0.31496062992125984" footer="0.31496062992125984"/>
      <pageSetup paperSize="9" orientation="landscape" r:id="rId50"/>
      <headerFooter>
        <oddHeader>&amp;L&amp;"Calibri"&amp;10&amp;K000000OFFICIAL&amp;1#</oddHeader>
        <oddFooter>&amp;L&amp;1#&amp;"Calibri"&amp;10&amp;K000000OFFICIAL</oddFooter>
      </headerFooter>
    </customSheetView>
    <customSheetView guid="{F5FA2A23-9E46-4C2F-B1EE-B71787F95C57}" scale="90" hiddenRows="1" state="hidden" topLeftCell="A2">
      <pane ySplit="4" topLeftCell="A6" activePane="bottomLeft" state="frozen"/>
      <selection pane="bottomLeft" activeCell="D15" sqref="D15"/>
      <pageMargins left="1.4173228346456694" right="0.23622047244094491" top="0.74803149606299213" bottom="0.74803149606299213" header="0.31496062992125984" footer="0.31496062992125984"/>
      <pageSetup paperSize="9" orientation="landscape" r:id="rId51"/>
      <headerFooter>
        <oddHeader>&amp;L&amp;"Calibri"&amp;10&amp;K000000OFFICIAL&amp;1#</oddHeader>
        <oddFooter>&amp;L&amp;1#&amp;"Calibri"&amp;10&amp;K000000OFFICIAL</oddFooter>
      </headerFooter>
    </customSheetView>
    <customSheetView guid="{B95D32C7-1418-4EF6-8936-849885C54A4A}" scale="90" hiddenRows="1" state="hidden" topLeftCell="A2">
      <pane ySplit="4" topLeftCell="A6" activePane="bottomLeft" state="frozen"/>
      <selection pane="bottomLeft" activeCell="D15" sqref="D15"/>
      <pageMargins left="1.4173228346456694" right="0.23622047244094491" top="0.74803149606299213" bottom="0.74803149606299213" header="0.31496062992125984" footer="0.31496062992125984"/>
      <pageSetup paperSize="9" orientation="landscape" r:id="rId52"/>
      <headerFooter>
        <oddHeader>&amp;L&amp;"Calibri"&amp;10&amp;K000000OFFICIAL&amp;1#</oddHeader>
        <oddFooter>&amp;L&amp;1#&amp;"Calibri"&amp;10&amp;K000000OFFICIAL</oddFooter>
      </headerFooter>
    </customSheetView>
    <customSheetView guid="{602520CD-F98C-43A6-AA0D-88893E9CB6E8}" scale="90" hiddenRows="1" state="hidden" topLeftCell="A2">
      <pane ySplit="4" topLeftCell="A6" activePane="bottomLeft" state="frozen"/>
      <selection pane="bottomLeft" activeCell="D15" sqref="D15"/>
      <pageMargins left="1.4173228346456694" right="0.23622047244094491" top="0.74803149606299213" bottom="0.74803149606299213" header="0.31496062992125984" footer="0.31496062992125984"/>
      <pageSetup paperSize="9" orientation="landscape" r:id="rId53"/>
      <headerFooter>
        <oddHeader>&amp;L&amp;"Calibri"&amp;10&amp;K000000OFFICIAL&amp;1#</oddHeader>
        <oddFooter>&amp;L&amp;1#&amp;"Calibri"&amp;10&amp;K000000OFFICIAL</oddFooter>
      </headerFooter>
    </customSheetView>
    <customSheetView guid="{A8E976B8-D767-4DB4-82BD-ABE90880F33F}" scale="90" hiddenRows="1" state="hidden" topLeftCell="A2">
      <pane ySplit="4" topLeftCell="A6" activePane="bottomLeft" state="frozen"/>
      <selection pane="bottomLeft" activeCell="D15" sqref="D15"/>
      <pageMargins left="1.4173228346456694" right="0.23622047244094491" top="0.74803149606299213" bottom="0.74803149606299213" header="0.31496062992125984" footer="0.31496062992125984"/>
      <pageSetup paperSize="9" orientation="landscape" r:id="rId54"/>
      <headerFooter>
        <oddHeader>&amp;L&amp;"Calibri"&amp;10&amp;K000000OFFICIAL&amp;1#</oddHeader>
        <oddFooter>&amp;L&amp;1#&amp;"Calibri"&amp;10&amp;K000000OFFICIAL</oddFooter>
      </headerFooter>
    </customSheetView>
    <customSheetView guid="{D850720D-4A1C-48F2-8E1D-8E09B7414A1A}" scale="90" hiddenRows="1" state="hidden" topLeftCell="A2">
      <pane ySplit="4" topLeftCell="A6" activePane="bottomLeft" state="frozen"/>
      <selection pane="bottomLeft" activeCell="D15" sqref="D15"/>
      <pageMargins left="1.4173228346456694" right="0.23622047244094491" top="0.74803149606299213" bottom="0.74803149606299213" header="0.31496062992125984" footer="0.31496062992125984"/>
      <pageSetup paperSize="9" orientation="landscape" r:id="rId55"/>
      <headerFooter>
        <oddHeader>&amp;L&amp;"Calibri"&amp;10&amp;K000000OFFICIAL&amp;1#</oddHeader>
        <oddFooter>&amp;L&amp;1#&amp;"Calibri"&amp;10&amp;K000000OFFICIAL</oddFooter>
      </headerFooter>
    </customSheetView>
    <customSheetView guid="{C57A83F1-F5A3-470B-9579-6A222C54F4E8}" scale="90" hiddenRows="1" state="hidden" topLeftCell="A2">
      <pane ySplit="4" topLeftCell="A6" activePane="bottomLeft" state="frozen"/>
      <selection pane="bottomLeft" activeCell="D15" sqref="D15"/>
      <pageMargins left="1.4173228346456694" right="0.23622047244094491" top="0.74803149606299213" bottom="0.74803149606299213" header="0.31496062992125984" footer="0.31496062992125984"/>
      <pageSetup paperSize="9" orientation="landscape" r:id="rId56"/>
      <headerFooter>
        <oddHeader>&amp;L&amp;"Calibri"&amp;10&amp;K000000OFFICIAL&amp;1#</oddHeader>
        <oddFooter>&amp;L&amp;1#&amp;"Calibri"&amp;10&amp;K000000OFFICIAL</oddFooter>
      </headerFooter>
    </customSheetView>
    <customSheetView guid="{2608BE9B-66AC-4D4C-8EE0-E88C94E88140}" scale="90" hiddenRows="1" state="hidden" topLeftCell="A2">
      <pane ySplit="4.8157894736842106" topLeftCell="A6" activePane="bottomLeft" state="frozen"/>
      <selection pane="bottomLeft" activeCell="D15" sqref="D15"/>
      <pageMargins left="1.4173228346456694" right="0.23622047244094491" top="0.74803149606299213" bottom="0.74803149606299213" header="0.31496062992125984" footer="0.31496062992125984"/>
      <pageSetup paperSize="9" orientation="landscape" r:id="rId57"/>
      <headerFooter>
        <oddHeader>&amp;L&amp;"Calibri"&amp;10&amp;K000000OFFICIAL&amp;1#</oddHeader>
        <oddFooter>&amp;L&amp;1#&amp;"Calibri"&amp;10&amp;K000000OFFICIAL</oddFooter>
      </headerFooter>
    </customSheetView>
    <customSheetView guid="{EDD5A64E-02C0-4DD6-80BA-449123FCDAA2}" scale="90" hiddenRows="1" state="hidden" topLeftCell="A2">
      <pane ySplit="4" topLeftCell="A6" activePane="bottomLeft" state="frozen"/>
      <selection pane="bottomLeft" activeCell="D15" sqref="D15"/>
      <pageMargins left="1.4173228346456694" right="0.23622047244094491" top="0.74803149606299213" bottom="0.74803149606299213" header="0.31496062992125984" footer="0.31496062992125984"/>
      <pageSetup paperSize="9" orientation="landscape" r:id="rId58"/>
      <headerFooter>
        <oddHeader>&amp;L&amp;"Calibri"&amp;10&amp;K000000OFFICIAL&amp;1#</oddHeader>
        <oddFooter>&amp;L&amp;1#&amp;"Calibri"&amp;10&amp;K000000OFFICIAL</oddFooter>
      </headerFooter>
    </customSheetView>
    <customSheetView guid="{B8317A9A-0FFD-4A18-80F7-203DB2FC8CA5}" scale="90" hiddenRows="1" state="hidden" topLeftCell="A2">
      <pane ySplit="5.5384615384615383" topLeftCell="A6" activePane="bottomLeft" state="frozen"/>
      <selection pane="bottomLeft" activeCell="D15" sqref="D15"/>
      <pageMargins left="1.4173228346456694" right="0.23622047244094491" top="0.74803149606299213" bottom="0.74803149606299213" header="0.31496062992125984" footer="0.31496062992125984"/>
      <pageSetup paperSize="9" orientation="landscape" r:id="rId59"/>
      <headerFooter>
        <oddHeader>&amp;L&amp;"Calibri"&amp;10&amp;K000000OFFICIAL&amp;1#</oddHeader>
        <oddFooter>&amp;L&amp;1#&amp;"Calibri"&amp;10&amp;K000000OFFICIAL</oddFooter>
      </headerFooter>
    </customSheetView>
    <customSheetView guid="{7E571F1D-D438-4605-90D6-3F831F76D652}" scale="90" hiddenRows="1" state="hidden" topLeftCell="A2">
      <pane ySplit="4" topLeftCell="A6" activePane="bottomLeft" state="frozen"/>
      <selection pane="bottomLeft" activeCell="D15" sqref="D15"/>
      <pageMargins left="1.4173228346456694" right="0.23622047244094491" top="0.74803149606299213" bottom="0.74803149606299213" header="0.31496062992125984" footer="0.31496062992125984"/>
      <pageSetup paperSize="9" orientation="landscape" r:id="rId60"/>
      <headerFooter>
        <oddHeader>&amp;L&amp;"Calibri"&amp;10&amp;K000000OFFICIAL&amp;1#</oddHeader>
        <oddFooter>&amp;L&amp;1#&amp;"Calibri"&amp;10&amp;K000000OFFICIAL</oddFooter>
      </headerFooter>
    </customSheetView>
  </customSheetViews>
  <mergeCells count="10">
    <mergeCell ref="J3:K5"/>
    <mergeCell ref="B7:K7"/>
    <mergeCell ref="D4:E5"/>
    <mergeCell ref="F4:G5"/>
    <mergeCell ref="B3:B5"/>
    <mergeCell ref="C3:C5"/>
    <mergeCell ref="D3:E3"/>
    <mergeCell ref="F3:I3"/>
    <mergeCell ref="I4:I5"/>
    <mergeCell ref="H4:H5"/>
  </mergeCells>
  <conditionalFormatting sqref="D9:D18">
    <cfRule type="cellIs" dxfId="612" priority="21" operator="equal">
      <formula>"n/a"</formula>
    </cfRule>
    <cfRule type="cellIs" dxfId="611" priority="22" operator="equal">
      <formula>"G"</formula>
    </cfRule>
    <cfRule type="cellIs" dxfId="610" priority="23" operator="equal">
      <formula>"A"</formula>
    </cfRule>
    <cfRule type="cellIs" dxfId="609" priority="24" operator="equal">
      <formula>"R"</formula>
    </cfRule>
  </conditionalFormatting>
  <conditionalFormatting sqref="E9:E18 G9:G18 K9:K18">
    <cfRule type="iconSet" priority="1">
      <iconSet iconSet="3ArrowsGray" showValue="0">
        <cfvo type="percent" val="0"/>
        <cfvo type="num" val="0"/>
        <cfvo type="num" val="1"/>
      </iconSet>
    </cfRule>
  </conditionalFormatting>
  <conditionalFormatting sqref="F9:F18">
    <cfRule type="cellIs" dxfId="608" priority="11" operator="equal">
      <formula>""""""</formula>
    </cfRule>
    <cfRule type="cellIs" dxfId="607" priority="12" operator="equal">
      <formula>"n/a"</formula>
    </cfRule>
    <cfRule type="cellIs" dxfId="606" priority="13" operator="equal">
      <formula>"G"</formula>
    </cfRule>
    <cfRule type="cellIs" dxfId="605" priority="14" operator="equal">
      <formula>"A"</formula>
    </cfRule>
    <cfRule type="cellIs" dxfId="604" priority="15" operator="equal">
      <formula>"R"</formula>
    </cfRule>
  </conditionalFormatting>
  <conditionalFormatting sqref="H9:I18">
    <cfRule type="cellIs" dxfId="603" priority="103" stopIfTrue="1" operator="greaterThanOrEqual">
      <formula>1</formula>
    </cfRule>
    <cfRule type="cellIs" dxfId="602" priority="104" stopIfTrue="1" operator="lessThan">
      <formula>0.95</formula>
    </cfRule>
    <cfRule type="cellIs" dxfId="601" priority="105" operator="lessThan">
      <formula>1</formula>
    </cfRule>
  </conditionalFormatting>
  <conditionalFormatting sqref="J9:J18">
    <cfRule type="cellIs" dxfId="600" priority="16" operator="equal">
      <formula>""""""</formula>
    </cfRule>
    <cfRule type="cellIs" dxfId="599" priority="17" operator="equal">
      <formula>"n/a"</formula>
    </cfRule>
    <cfRule type="cellIs" dxfId="598" priority="18" operator="equal">
      <formula>"G"</formula>
    </cfRule>
    <cfRule type="cellIs" dxfId="597" priority="19" operator="equal">
      <formula>"A"</formula>
    </cfRule>
    <cfRule type="cellIs" dxfId="596" priority="20" operator="equal">
      <formula>"R"</formula>
    </cfRule>
  </conditionalFormatting>
  <dataValidations count="1">
    <dataValidation type="list" allowBlank="1" showInputMessage="1" showErrorMessage="1" sqref="J9:J18 D9:D18 F9:F18" xr:uid="{D4418151-A563-4CFF-B053-CFEB3D3635C3}">
      <formula1>"G, A, R, n/a"</formula1>
    </dataValidation>
  </dataValidations>
  <pageMargins left="1.4173228346456694" right="0.23622047244094491" top="0.74803149606299213" bottom="0.74803149606299213" header="0.31496062992125984" footer="0.31496062992125984"/>
  <pageSetup paperSize="9" orientation="landscape" r:id="rId61"/>
  <headerFooter>
    <oddHeader>&amp;L&amp;"Calibri"&amp;10&amp;K000000OFFICIAL&amp;1#</oddHeader>
    <oddFooter>&amp;L&amp;1#&amp;"Calibri"&amp;10&amp;K000000OFFICIAL</oddFooter>
  </headerFooter>
  <ignoredErrors>
    <ignoredError sqref="D9:D12 F9:F12 J9:J12 D14:D18 F14:F18 J14:J18" unlockedFormula="1"/>
  </ignoredErrors>
  <drawing r:id="rId6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688DB6-44D7-4DCF-B04E-EA475C207960}">
  <sheetPr codeName="Sheet14"/>
  <dimension ref="A1:BI322"/>
  <sheetViews>
    <sheetView topLeftCell="A55" zoomScale="40" zoomScaleNormal="40" workbookViewId="0">
      <selection activeCell="AC61" sqref="AC61"/>
    </sheetView>
  </sheetViews>
  <sheetFormatPr defaultColWidth="8.3828125" defaultRowHeight="14.6" x14ac:dyDescent="0.4"/>
  <cols>
    <col min="1" max="1" width="0.3828125" style="497" customWidth="1"/>
    <col min="2" max="2" width="28.84375" style="505" customWidth="1"/>
    <col min="3" max="3" width="0.84375" style="505" customWidth="1"/>
    <col min="4" max="4" width="5.4609375" style="505" customWidth="1"/>
    <col min="5" max="5" width="5.4609375" style="668" customWidth="1"/>
    <col min="6" max="6" width="0.4609375" style="505" customWidth="1"/>
    <col min="7" max="9" width="8.4609375" style="505" customWidth="1"/>
    <col min="10" max="11" width="9.4609375" style="505" customWidth="1"/>
    <col min="12" max="12" width="0.4609375" style="505" customWidth="1"/>
    <col min="13" max="14" width="8.4609375" style="505" customWidth="1"/>
    <col min="15" max="15" width="0.84375" style="505" customWidth="1"/>
    <col min="16" max="17" width="5.4609375" style="505" customWidth="1"/>
    <col min="18" max="18" width="0.4609375" style="505" customWidth="1"/>
    <col min="19" max="19" width="8.4609375" style="505" customWidth="1"/>
    <col min="20" max="20" width="0.4609375" style="505" customWidth="1"/>
    <col min="21" max="23" width="8.4609375" style="505" customWidth="1"/>
    <col min="24" max="24" width="0.4609375" style="505" customWidth="1"/>
    <col min="25" max="26" width="9.4609375" style="505" customWidth="1"/>
    <col min="27" max="27" width="8.4609375" style="505" customWidth="1"/>
    <col min="28" max="28" width="0.4609375" style="505" customWidth="1"/>
    <col min="29" max="31" width="9.4609375" style="655" customWidth="1"/>
    <col min="32" max="33" width="8.4609375" style="655" customWidth="1"/>
    <col min="34" max="35" width="7.4609375" style="655" customWidth="1"/>
    <col min="36" max="36" width="0.84375" style="655" customWidth="1"/>
    <col min="37" max="37" width="5.4609375" style="505" customWidth="1"/>
    <col min="38" max="38" width="0.53515625" style="505" customWidth="1"/>
    <col min="39" max="39" width="9.4609375" style="505" customWidth="1"/>
    <col min="40" max="41" width="8.53515625" style="505" customWidth="1"/>
    <col min="42" max="42" width="8.4609375" style="505"/>
    <col min="43" max="44" width="8.4609375" style="655"/>
    <col min="45" max="45" width="0.4609375" style="655" customWidth="1"/>
    <col min="46" max="46" width="8.4609375" style="655"/>
    <col min="47" max="47" width="0.84375" style="505" customWidth="1"/>
    <col min="48" max="48" width="8.4609375" style="655"/>
    <col min="49" max="49" width="0.4609375" style="655" customWidth="1"/>
    <col min="50" max="50" width="8.4609375" style="655"/>
    <col min="51" max="51" width="8.4609375" style="505"/>
    <col min="52" max="52" width="11.15234375" style="655" customWidth="1"/>
    <col min="53" max="53" width="10.84375" style="500" customWidth="1"/>
    <col min="54" max="54" width="8.4609375" style="505"/>
    <col min="55" max="57" width="11.15234375" style="655" customWidth="1"/>
    <col min="58" max="58" width="10.84375" style="500" customWidth="1"/>
    <col min="59" max="16384" width="8.3828125" style="505"/>
  </cols>
  <sheetData>
    <row r="1" spans="1:58" ht="11.6" x14ac:dyDescent="0.4">
      <c r="B1" s="506">
        <v>1</v>
      </c>
      <c r="C1" s="506">
        <v>2</v>
      </c>
      <c r="D1" s="506">
        <v>3</v>
      </c>
      <c r="E1" s="506">
        <v>4</v>
      </c>
      <c r="F1" s="506">
        <v>5</v>
      </c>
      <c r="G1" s="506">
        <v>6</v>
      </c>
      <c r="H1" s="506">
        <v>7</v>
      </c>
      <c r="I1" s="506">
        <v>8</v>
      </c>
      <c r="J1" s="506">
        <v>9</v>
      </c>
      <c r="K1" s="506">
        <v>10</v>
      </c>
      <c r="L1" s="506">
        <v>11</v>
      </c>
      <c r="M1" s="506">
        <v>12</v>
      </c>
      <c r="N1" s="506">
        <v>13</v>
      </c>
      <c r="O1" s="506">
        <v>14</v>
      </c>
      <c r="P1" s="506">
        <v>15</v>
      </c>
      <c r="Q1" s="506">
        <v>16</v>
      </c>
      <c r="R1" s="506">
        <v>17</v>
      </c>
      <c r="S1" s="506">
        <v>18</v>
      </c>
      <c r="T1" s="506">
        <v>19</v>
      </c>
      <c r="U1" s="506">
        <v>20</v>
      </c>
      <c r="V1" s="506">
        <v>21</v>
      </c>
      <c r="W1" s="506">
        <v>22</v>
      </c>
      <c r="X1" s="506">
        <v>23</v>
      </c>
      <c r="Y1" s="506">
        <v>24</v>
      </c>
      <c r="Z1" s="506">
        <v>25</v>
      </c>
      <c r="AA1" s="506">
        <v>26</v>
      </c>
      <c r="AB1" s="506">
        <v>27</v>
      </c>
      <c r="AC1" s="506">
        <v>28</v>
      </c>
      <c r="AD1" s="506">
        <v>29</v>
      </c>
      <c r="AE1" s="506">
        <v>30</v>
      </c>
      <c r="AF1" s="506">
        <v>31</v>
      </c>
      <c r="AG1" s="506">
        <v>32</v>
      </c>
      <c r="AH1" s="506">
        <v>33</v>
      </c>
      <c r="AI1" s="506">
        <v>34</v>
      </c>
      <c r="AJ1" s="506">
        <v>35</v>
      </c>
      <c r="AK1" s="506">
        <v>36</v>
      </c>
    </row>
    <row r="2" spans="1:58" ht="23.25" customHeight="1" x14ac:dyDescent="0.4">
      <c r="B2" s="813" t="s">
        <v>0</v>
      </c>
      <c r="D2" s="727" t="s">
        <v>47</v>
      </c>
      <c r="E2" s="727"/>
      <c r="F2" s="727"/>
      <c r="G2" s="727"/>
      <c r="H2" s="727"/>
      <c r="I2" s="727"/>
      <c r="J2" s="727"/>
      <c r="K2" s="727"/>
      <c r="L2" s="727"/>
      <c r="M2" s="727"/>
      <c r="N2" s="727"/>
      <c r="P2" s="703" t="s">
        <v>69</v>
      </c>
      <c r="Q2" s="703"/>
      <c r="R2" s="703"/>
      <c r="S2" s="703"/>
      <c r="T2" s="703"/>
      <c r="U2" s="703"/>
      <c r="V2" s="703"/>
      <c r="W2" s="703"/>
      <c r="X2" s="703"/>
      <c r="Y2" s="703"/>
      <c r="Z2" s="703"/>
      <c r="AA2" s="703"/>
      <c r="AB2" s="703"/>
      <c r="AC2" s="703"/>
      <c r="AD2" s="703"/>
      <c r="AE2" s="703"/>
      <c r="AF2" s="703"/>
      <c r="AG2" s="703"/>
      <c r="AH2" s="703"/>
      <c r="AI2" s="703"/>
      <c r="AK2" s="750" t="s">
        <v>70</v>
      </c>
      <c r="AM2" s="637"/>
      <c r="AN2" s="637"/>
      <c r="AO2" s="637"/>
      <c r="AQ2" s="807" t="s">
        <v>135</v>
      </c>
      <c r="AR2" s="808"/>
      <c r="AS2" s="808"/>
      <c r="AT2" s="809"/>
      <c r="AV2" s="807" t="s">
        <v>136</v>
      </c>
      <c r="AW2" s="808"/>
      <c r="AX2" s="809"/>
      <c r="AZ2" s="817" t="s">
        <v>137</v>
      </c>
      <c r="BA2" s="818"/>
      <c r="BC2" s="817" t="s">
        <v>147</v>
      </c>
      <c r="BD2" s="821"/>
      <c r="BE2" s="821"/>
      <c r="BF2" s="818"/>
    </row>
    <row r="3" spans="1:58" ht="23.25" customHeight="1" x14ac:dyDescent="0.4">
      <c r="B3" s="813"/>
      <c r="C3" s="655"/>
      <c r="D3" s="731" t="s">
        <v>396</v>
      </c>
      <c r="E3" s="732"/>
      <c r="F3" s="507"/>
      <c r="G3" s="713" t="s">
        <v>48</v>
      </c>
      <c r="H3" s="717"/>
      <c r="I3" s="717"/>
      <c r="J3" s="717"/>
      <c r="K3" s="717"/>
      <c r="L3" s="655"/>
      <c r="M3" s="823" t="s">
        <v>30</v>
      </c>
      <c r="N3" s="735"/>
      <c r="O3" s="655"/>
      <c r="P3" s="731" t="s">
        <v>71</v>
      </c>
      <c r="Q3" s="732"/>
      <c r="R3" s="508"/>
      <c r="S3" s="755" t="s">
        <v>72</v>
      </c>
      <c r="T3" s="508"/>
      <c r="U3" s="736" t="s">
        <v>33</v>
      </c>
      <c r="V3" s="823"/>
      <c r="W3" s="823"/>
      <c r="X3" s="823"/>
      <c r="Y3" s="823"/>
      <c r="Z3" s="823"/>
      <c r="AA3" s="735"/>
      <c r="AB3" s="509"/>
      <c r="AC3" s="713" t="s">
        <v>218</v>
      </c>
      <c r="AD3" s="717"/>
      <c r="AE3" s="717"/>
      <c r="AF3" s="717"/>
      <c r="AG3" s="717"/>
      <c r="AH3" s="717"/>
      <c r="AI3" s="717"/>
      <c r="AJ3" s="510"/>
      <c r="AK3" s="750"/>
      <c r="AM3" s="755" t="s">
        <v>492</v>
      </c>
      <c r="AN3" s="755" t="s">
        <v>493</v>
      </c>
      <c r="AO3" s="755" t="s">
        <v>494</v>
      </c>
      <c r="AQ3" s="810"/>
      <c r="AR3" s="811"/>
      <c r="AS3" s="811"/>
      <c r="AT3" s="812"/>
      <c r="AV3" s="810"/>
      <c r="AW3" s="811"/>
      <c r="AX3" s="812"/>
      <c r="AZ3" s="819"/>
      <c r="BA3" s="820"/>
      <c r="BC3" s="819"/>
      <c r="BD3" s="822"/>
      <c r="BE3" s="822"/>
      <c r="BF3" s="820"/>
    </row>
    <row r="4" spans="1:58" ht="23.25" customHeight="1" x14ac:dyDescent="0.4">
      <c r="B4" s="813"/>
      <c r="C4" s="655"/>
      <c r="D4" s="733"/>
      <c r="E4" s="734"/>
      <c r="F4" s="508"/>
      <c r="G4" s="724" t="s">
        <v>142</v>
      </c>
      <c r="H4" s="814" t="s">
        <v>73</v>
      </c>
      <c r="I4" s="815"/>
      <c r="J4" s="814" t="s">
        <v>74</v>
      </c>
      <c r="K4" s="815"/>
      <c r="L4" s="655"/>
      <c r="M4" s="732" t="s">
        <v>51</v>
      </c>
      <c r="N4" s="755" t="s">
        <v>2</v>
      </c>
      <c r="O4" s="655"/>
      <c r="P4" s="733"/>
      <c r="Q4" s="734"/>
      <c r="R4" s="508"/>
      <c r="S4" s="756"/>
      <c r="T4" s="508"/>
      <c r="U4" s="713" t="s">
        <v>73</v>
      </c>
      <c r="V4" s="717"/>
      <c r="W4" s="714"/>
      <c r="X4" s="511"/>
      <c r="Y4" s="713" t="s">
        <v>74</v>
      </c>
      <c r="Z4" s="717"/>
      <c r="AA4" s="714"/>
      <c r="AB4" s="509"/>
      <c r="AC4" s="755" t="s">
        <v>75</v>
      </c>
      <c r="AD4" s="755" t="s">
        <v>76</v>
      </c>
      <c r="AE4" s="755" t="s">
        <v>77</v>
      </c>
      <c r="AF4" s="724" t="s">
        <v>78</v>
      </c>
      <c r="AG4" s="724" t="s">
        <v>79</v>
      </c>
      <c r="AH4" s="713" t="s">
        <v>80</v>
      </c>
      <c r="AI4" s="717"/>
      <c r="AJ4" s="510"/>
      <c r="AK4" s="750"/>
      <c r="AM4" s="756"/>
      <c r="AN4" s="756"/>
      <c r="AO4" s="756"/>
      <c r="AQ4" s="810" t="s">
        <v>130</v>
      </c>
      <c r="AR4" s="811" t="s">
        <v>131</v>
      </c>
      <c r="AS4" s="508"/>
      <c r="AT4" s="812" t="s">
        <v>133</v>
      </c>
      <c r="AV4" s="810" t="s">
        <v>132</v>
      </c>
      <c r="AW4" s="508"/>
      <c r="AX4" s="812" t="s">
        <v>134</v>
      </c>
      <c r="AZ4" s="667" t="s">
        <v>160</v>
      </c>
      <c r="BA4" s="521" t="s">
        <v>161</v>
      </c>
      <c r="BC4" s="824" t="s">
        <v>73</v>
      </c>
      <c r="BD4" s="825"/>
      <c r="BE4" s="826" t="s">
        <v>74</v>
      </c>
      <c r="BF4" s="827"/>
    </row>
    <row r="5" spans="1:58" ht="55.3" customHeight="1" x14ac:dyDescent="0.4">
      <c r="B5" s="813"/>
      <c r="C5" s="655"/>
      <c r="D5" s="703"/>
      <c r="E5" s="704"/>
      <c r="F5" s="512"/>
      <c r="G5" s="749"/>
      <c r="H5" s="665" t="s">
        <v>222</v>
      </c>
      <c r="I5" s="665" t="s">
        <v>223</v>
      </c>
      <c r="J5" s="665" t="s">
        <v>178</v>
      </c>
      <c r="K5" s="665" t="s">
        <v>179</v>
      </c>
      <c r="L5" s="655"/>
      <c r="M5" s="734"/>
      <c r="N5" s="756"/>
      <c r="O5" s="655"/>
      <c r="P5" s="703"/>
      <c r="Q5" s="704"/>
      <c r="R5" s="512"/>
      <c r="S5" s="816"/>
      <c r="T5" s="512"/>
      <c r="U5" s="666" t="s">
        <v>81</v>
      </c>
      <c r="V5" s="666" t="s">
        <v>82</v>
      </c>
      <c r="W5" s="664" t="s">
        <v>83</v>
      </c>
      <c r="X5" s="512"/>
      <c r="Y5" s="666" t="s">
        <v>81</v>
      </c>
      <c r="Z5" s="666" t="s">
        <v>84</v>
      </c>
      <c r="AA5" s="664" t="s">
        <v>85</v>
      </c>
      <c r="AB5" s="513"/>
      <c r="AC5" s="756"/>
      <c r="AD5" s="756"/>
      <c r="AE5" s="756"/>
      <c r="AF5" s="746"/>
      <c r="AG5" s="746"/>
      <c r="AH5" s="666" t="s">
        <v>215</v>
      </c>
      <c r="AI5" s="528" t="s">
        <v>86</v>
      </c>
      <c r="AJ5" s="510"/>
      <c r="AK5" s="750"/>
      <c r="AM5" s="816"/>
      <c r="AN5" s="816"/>
      <c r="AO5" s="816"/>
      <c r="AQ5" s="828"/>
      <c r="AR5" s="829"/>
      <c r="AS5" s="512"/>
      <c r="AT5" s="830"/>
      <c r="AV5" s="828"/>
      <c r="AW5" s="512"/>
      <c r="AX5" s="830"/>
      <c r="AZ5" s="520" t="s">
        <v>87</v>
      </c>
      <c r="BA5" s="520" t="s">
        <v>162</v>
      </c>
      <c r="BC5" s="520" t="s">
        <v>148</v>
      </c>
      <c r="BD5" s="514" t="s">
        <v>149</v>
      </c>
      <c r="BE5" s="520" t="s">
        <v>148</v>
      </c>
      <c r="BF5" s="514" t="s">
        <v>149</v>
      </c>
    </row>
    <row r="6" spans="1:58" ht="5.25" customHeight="1" x14ac:dyDescent="0.4">
      <c r="B6" s="501"/>
      <c r="E6" s="505"/>
      <c r="U6" s="655"/>
      <c r="V6" s="655"/>
      <c r="W6" s="655"/>
      <c r="X6" s="655"/>
      <c r="Y6" s="655"/>
      <c r="Z6" s="655"/>
      <c r="AA6" s="655"/>
    </row>
    <row r="7" spans="1:58" ht="18" customHeight="1" x14ac:dyDescent="0.4">
      <c r="B7" s="524" t="s">
        <v>3</v>
      </c>
      <c r="C7" s="526"/>
      <c r="D7" s="526"/>
      <c r="E7" s="526"/>
      <c r="F7" s="526"/>
      <c r="G7" s="526"/>
      <c r="H7" s="526"/>
      <c r="I7" s="526"/>
      <c r="J7" s="526"/>
      <c r="K7" s="526"/>
      <c r="L7" s="526"/>
      <c r="M7" s="526"/>
      <c r="N7" s="526"/>
      <c r="O7" s="526"/>
      <c r="P7" s="526"/>
      <c r="Q7" s="526"/>
      <c r="R7" s="526"/>
      <c r="S7" s="526"/>
      <c r="T7" s="526"/>
      <c r="U7" s="525"/>
      <c r="V7" s="525"/>
      <c r="W7" s="525"/>
      <c r="X7" s="525"/>
      <c r="Y7" s="525"/>
      <c r="Z7" s="525"/>
      <c r="AA7" s="525"/>
      <c r="AB7" s="526"/>
      <c r="AC7" s="525"/>
      <c r="AD7" s="525"/>
      <c r="AE7" s="525"/>
      <c r="AF7" s="525"/>
      <c r="AG7" s="525"/>
      <c r="AH7" s="525"/>
      <c r="AI7" s="525"/>
      <c r="AJ7" s="525"/>
      <c r="AK7" s="526"/>
      <c r="AM7" s="525"/>
      <c r="AN7" s="525"/>
      <c r="AO7" s="525"/>
    </row>
    <row r="8" spans="1:58" ht="5.25" customHeight="1" thickBot="1" x14ac:dyDescent="0.45">
      <c r="B8" s="501"/>
      <c r="E8" s="505"/>
      <c r="U8" s="655"/>
      <c r="V8" s="655"/>
      <c r="W8" s="655"/>
      <c r="X8" s="655"/>
      <c r="Y8" s="655"/>
      <c r="Z8" s="655"/>
      <c r="AA8" s="655"/>
      <c r="AQ8" s="557"/>
      <c r="AR8" s="557"/>
      <c r="AV8" s="557"/>
      <c r="AZ8" s="557"/>
      <c r="BC8" s="557"/>
      <c r="BD8" s="570"/>
      <c r="BF8" s="527"/>
    </row>
    <row r="9" spans="1:58" ht="28.5" customHeight="1" x14ac:dyDescent="0.4">
      <c r="B9" s="534" t="s">
        <v>121</v>
      </c>
      <c r="C9" s="535"/>
      <c r="D9" s="244" t="s">
        <v>88</v>
      </c>
      <c r="E9" s="560">
        <v>0</v>
      </c>
      <c r="F9" s="536"/>
      <c r="G9" s="537" t="s">
        <v>322</v>
      </c>
      <c r="H9" s="48">
        <v>25.838000000000001</v>
      </c>
      <c r="I9" s="48">
        <v>31.94</v>
      </c>
      <c r="J9" s="538">
        <v>45058</v>
      </c>
      <c r="K9" s="538">
        <v>45412</v>
      </c>
      <c r="L9" s="535"/>
      <c r="M9" s="48">
        <v>31.9</v>
      </c>
      <c r="N9" s="48">
        <v>25.8</v>
      </c>
      <c r="O9" s="535"/>
      <c r="P9" s="244" t="s">
        <v>88</v>
      </c>
      <c r="Q9" s="560">
        <v>0</v>
      </c>
      <c r="R9" s="536"/>
      <c r="S9" s="554" t="s">
        <v>581</v>
      </c>
      <c r="T9" s="536"/>
      <c r="U9" s="49">
        <v>25.979194</v>
      </c>
      <c r="V9" s="49">
        <v>18.769073489999997</v>
      </c>
      <c r="W9" s="49">
        <f>ROUND((V9-AZ9),1)</f>
        <v>-7</v>
      </c>
      <c r="X9" s="50"/>
      <c r="Y9" s="538">
        <v>45058</v>
      </c>
      <c r="Z9" s="538">
        <v>46175</v>
      </c>
      <c r="AA9" s="51">
        <f>Z9-BA9</f>
        <v>0</v>
      </c>
      <c r="AB9" s="535"/>
      <c r="AC9" s="49">
        <v>19.634302820000002</v>
      </c>
      <c r="AD9" s="49">
        <v>19.634302982700003</v>
      </c>
      <c r="AE9" s="52">
        <v>16.96907349</v>
      </c>
      <c r="AF9" s="539">
        <v>1.1570639371837619</v>
      </c>
      <c r="AG9" s="539">
        <v>1.0000000082865179</v>
      </c>
      <c r="AH9" s="575">
        <v>0.75577028371242005</v>
      </c>
      <c r="AI9" s="574">
        <v>0.75577028997512397</v>
      </c>
      <c r="AJ9" s="540"/>
      <c r="AK9" s="247" t="s">
        <v>91</v>
      </c>
      <c r="AM9" s="586">
        <v>41821</v>
      </c>
      <c r="AN9" s="599">
        <f>(V9-I9)/I9</f>
        <v>-0.41236463713212285</v>
      </c>
      <c r="AO9" s="599">
        <f>((Z9-AM9)-(K9-AM9))/(K9-AM9)</f>
        <v>0.2124756335282651</v>
      </c>
      <c r="AQ9" s="561">
        <f>V9-I9</f>
        <v>-13.170926510000005</v>
      </c>
      <c r="AR9" s="562">
        <f>V9-M9</f>
        <v>-13.130926510000002</v>
      </c>
      <c r="AS9" s="541"/>
      <c r="AT9" s="540">
        <f>Z9-K9</f>
        <v>763</v>
      </c>
      <c r="AU9" s="535"/>
      <c r="AV9" s="563">
        <f>V9-U9</f>
        <v>-7.210120510000003</v>
      </c>
      <c r="AW9" s="541"/>
      <c r="AX9" s="542">
        <f>Z9-Y9</f>
        <v>1117</v>
      </c>
      <c r="AZ9" s="53">
        <v>25.76910247</v>
      </c>
      <c r="BA9" s="552">
        <v>46175</v>
      </c>
      <c r="BC9" s="53">
        <v>25.979194</v>
      </c>
      <c r="BD9" s="77">
        <f>U9-BC9</f>
        <v>0</v>
      </c>
      <c r="BE9" s="543">
        <v>45058</v>
      </c>
      <c r="BF9" s="544">
        <f>Y9-BE9</f>
        <v>0</v>
      </c>
    </row>
    <row r="10" spans="1:58" ht="99.75" customHeight="1" thickBot="1" x14ac:dyDescent="0.45">
      <c r="A10" s="497" t="str">
        <f>B9</f>
        <v>Enhanced CNC Airwave System (Encrypted Comms)</v>
      </c>
      <c r="B10" s="708" t="s">
        <v>548</v>
      </c>
      <c r="C10" s="711"/>
      <c r="D10" s="711"/>
      <c r="E10" s="711"/>
      <c r="F10" s="711"/>
      <c r="G10" s="711"/>
      <c r="H10" s="711"/>
      <c r="I10" s="711"/>
      <c r="J10" s="711"/>
      <c r="K10" s="711"/>
      <c r="L10" s="711"/>
      <c r="M10" s="711"/>
      <c r="N10" s="711"/>
      <c r="O10" s="711"/>
      <c r="P10" s="711"/>
      <c r="Q10" s="711"/>
      <c r="R10" s="711"/>
      <c r="S10" s="711"/>
      <c r="T10" s="711"/>
      <c r="U10" s="711"/>
      <c r="V10" s="711"/>
      <c r="W10" s="711"/>
      <c r="X10" s="711"/>
      <c r="Y10" s="711"/>
      <c r="Z10" s="711"/>
      <c r="AA10" s="711"/>
      <c r="AB10" s="711"/>
      <c r="AC10" s="711"/>
      <c r="AD10" s="711"/>
      <c r="AE10" s="711"/>
      <c r="AF10" s="711"/>
      <c r="AG10" s="711"/>
      <c r="AH10" s="711"/>
      <c r="AI10" s="711"/>
      <c r="AJ10" s="711"/>
      <c r="AK10" s="712"/>
      <c r="AQ10" s="564"/>
      <c r="AR10" s="565"/>
      <c r="AS10" s="545"/>
      <c r="AT10" s="545"/>
      <c r="AU10" s="546"/>
      <c r="AV10" s="566"/>
      <c r="AW10" s="545"/>
      <c r="AX10" s="548"/>
      <c r="AZ10" s="567"/>
      <c r="BA10" s="549"/>
      <c r="BC10" s="567"/>
      <c r="BD10" s="568"/>
      <c r="BE10" s="547"/>
      <c r="BF10" s="550"/>
    </row>
    <row r="11" spans="1:58" ht="5.25" customHeight="1" thickBot="1" x14ac:dyDescent="0.45">
      <c r="B11" s="502"/>
      <c r="D11" s="571"/>
      <c r="E11" s="515"/>
      <c r="F11" s="504"/>
      <c r="G11" s="503"/>
      <c r="H11" s="503"/>
      <c r="I11" s="576"/>
      <c r="J11" s="576"/>
      <c r="K11" s="503"/>
      <c r="M11" s="576"/>
      <c r="N11" s="577"/>
      <c r="R11" s="504"/>
      <c r="S11" s="504"/>
      <c r="T11" s="504"/>
      <c r="U11" s="576"/>
      <c r="V11" s="576"/>
      <c r="W11" s="578"/>
      <c r="X11" s="578"/>
      <c r="Y11" s="503"/>
      <c r="Z11" s="503"/>
      <c r="AA11" s="578"/>
      <c r="AC11" s="578"/>
      <c r="AD11" s="578"/>
      <c r="AE11" s="578"/>
      <c r="AF11" s="572"/>
      <c r="AG11" s="572"/>
      <c r="AH11" s="573"/>
      <c r="AI11" s="573"/>
      <c r="AK11" s="517"/>
      <c r="AQ11" s="557"/>
      <c r="AR11" s="557"/>
      <c r="AV11" s="557"/>
      <c r="AZ11" s="557"/>
      <c r="BC11" s="557"/>
      <c r="BD11" s="570"/>
      <c r="BF11" s="527"/>
    </row>
    <row r="12" spans="1:58" ht="28.5" customHeight="1" x14ac:dyDescent="0.4">
      <c r="B12" s="556" t="s">
        <v>234</v>
      </c>
      <c r="C12" s="535"/>
      <c r="D12" s="244" t="s">
        <v>90</v>
      </c>
      <c r="E12" s="560">
        <v>0</v>
      </c>
      <c r="F12" s="536"/>
      <c r="G12" s="537" t="s">
        <v>597</v>
      </c>
      <c r="H12" s="48">
        <v>75.099999999999994</v>
      </c>
      <c r="I12" s="48">
        <v>79.8</v>
      </c>
      <c r="J12" s="538">
        <v>47189</v>
      </c>
      <c r="K12" s="538">
        <v>47339</v>
      </c>
      <c r="L12" s="535"/>
      <c r="M12" s="48">
        <v>90.2</v>
      </c>
      <c r="N12" s="48">
        <v>90.2</v>
      </c>
      <c r="O12" s="535"/>
      <c r="P12" s="244" t="s">
        <v>88</v>
      </c>
      <c r="Q12" s="560">
        <v>0</v>
      </c>
      <c r="R12" s="536"/>
      <c r="S12" s="554" t="s">
        <v>582</v>
      </c>
      <c r="T12" s="536"/>
      <c r="U12" s="49">
        <v>57.796824000000001</v>
      </c>
      <c r="V12" s="49">
        <v>87.561964900000007</v>
      </c>
      <c r="W12" s="49">
        <f>ROUND((V12-AZ12),1)</f>
        <v>0</v>
      </c>
      <c r="X12" s="50"/>
      <c r="Y12" s="538">
        <v>46524</v>
      </c>
      <c r="Z12" s="538">
        <v>47189</v>
      </c>
      <c r="AA12" s="51">
        <f>Z12-BA12</f>
        <v>0</v>
      </c>
      <c r="AB12" s="535"/>
      <c r="AC12" s="49">
        <v>52.791888060000005</v>
      </c>
      <c r="AD12" s="49">
        <v>44.614723414399997</v>
      </c>
      <c r="AE12" s="52">
        <v>74.336655659999991</v>
      </c>
      <c r="AF12" s="539">
        <v>0.60017124819898038</v>
      </c>
      <c r="AG12" s="539">
        <v>0.84510566024260503</v>
      </c>
      <c r="AH12" s="575">
        <v>0.91340465455333675</v>
      </c>
      <c r="AI12" s="574">
        <v>0.77192344365496612</v>
      </c>
      <c r="AJ12" s="540"/>
      <c r="AK12" s="247" t="s">
        <v>90</v>
      </c>
      <c r="AM12" s="586">
        <v>40940</v>
      </c>
      <c r="AN12" s="599">
        <f>(V12-I12)/I12</f>
        <v>9.7267730576441225E-2</v>
      </c>
      <c r="AO12" s="599">
        <f>((Z12-AM12)-(K12-AM12))/(K12-AM12)</f>
        <v>-2.3441162681669011E-2</v>
      </c>
      <c r="AQ12" s="561">
        <f>V12-I12</f>
        <v>7.7619649000000095</v>
      </c>
      <c r="AR12" s="562">
        <f>V12-M12</f>
        <v>-2.6380350999999962</v>
      </c>
      <c r="AS12" s="541"/>
      <c r="AT12" s="540">
        <f>Z12-K12</f>
        <v>-150</v>
      </c>
      <c r="AU12" s="535"/>
      <c r="AV12" s="563">
        <f>V12-U12</f>
        <v>29.765140900000006</v>
      </c>
      <c r="AW12" s="541"/>
      <c r="AX12" s="542">
        <f>Z12-Y12</f>
        <v>665</v>
      </c>
      <c r="AZ12" s="53">
        <v>87.561272459999998</v>
      </c>
      <c r="BA12" s="552">
        <v>47189</v>
      </c>
      <c r="BC12" s="53">
        <v>57.796824000000001</v>
      </c>
      <c r="BD12" s="77">
        <f>U12-BC12</f>
        <v>0</v>
      </c>
      <c r="BE12" s="543">
        <v>46524</v>
      </c>
      <c r="BF12" s="544">
        <f>Y12-BE12</f>
        <v>0</v>
      </c>
    </row>
    <row r="13" spans="1:58" ht="50.25" customHeight="1" thickBot="1" x14ac:dyDescent="0.45">
      <c r="A13" s="497" t="str">
        <f>B12</f>
        <v>LAETP Floc Retrieval</v>
      </c>
      <c r="B13" s="742" t="s">
        <v>559</v>
      </c>
      <c r="C13" s="709"/>
      <c r="D13" s="709"/>
      <c r="E13" s="709"/>
      <c r="F13" s="709"/>
      <c r="G13" s="709"/>
      <c r="H13" s="709"/>
      <c r="I13" s="709"/>
      <c r="J13" s="709"/>
      <c r="K13" s="709"/>
      <c r="L13" s="709"/>
      <c r="M13" s="709"/>
      <c r="N13" s="709"/>
      <c r="O13" s="709"/>
      <c r="P13" s="709"/>
      <c r="Q13" s="709"/>
      <c r="R13" s="709"/>
      <c r="S13" s="709"/>
      <c r="T13" s="709"/>
      <c r="U13" s="709"/>
      <c r="V13" s="709"/>
      <c r="W13" s="709"/>
      <c r="X13" s="709"/>
      <c r="Y13" s="709"/>
      <c r="Z13" s="709"/>
      <c r="AA13" s="709"/>
      <c r="AB13" s="709"/>
      <c r="AC13" s="709"/>
      <c r="AD13" s="709"/>
      <c r="AE13" s="709"/>
      <c r="AF13" s="709"/>
      <c r="AG13" s="709"/>
      <c r="AH13" s="709"/>
      <c r="AI13" s="709"/>
      <c r="AJ13" s="709"/>
      <c r="AK13" s="710"/>
      <c r="AQ13" s="564"/>
      <c r="AR13" s="565"/>
      <c r="AS13" s="545"/>
      <c r="AT13" s="545"/>
      <c r="AU13" s="546"/>
      <c r="AV13" s="566"/>
      <c r="AW13" s="545"/>
      <c r="AX13" s="548"/>
      <c r="AZ13" s="567"/>
      <c r="BA13" s="549"/>
      <c r="BC13" s="567"/>
      <c r="BD13" s="568"/>
      <c r="BE13" s="547"/>
      <c r="BF13" s="550"/>
    </row>
    <row r="14" spans="1:58" ht="5.25" customHeight="1" thickBot="1" x14ac:dyDescent="0.45">
      <c r="B14" s="501"/>
      <c r="E14" s="505"/>
      <c r="U14" s="655"/>
      <c r="V14" s="655"/>
      <c r="W14" s="655"/>
      <c r="X14" s="655"/>
      <c r="Y14" s="655"/>
      <c r="Z14" s="655"/>
      <c r="AA14" s="655"/>
    </row>
    <row r="15" spans="1:58" ht="32.25" customHeight="1" x14ac:dyDescent="0.4">
      <c r="B15" s="551" t="s">
        <v>13</v>
      </c>
      <c r="C15" s="535"/>
      <c r="D15" s="244" t="s">
        <v>90</v>
      </c>
      <c r="E15" s="560">
        <v>0</v>
      </c>
      <c r="F15" s="536"/>
      <c r="G15" s="537" t="s">
        <v>14</v>
      </c>
      <c r="H15" s="48">
        <v>116.6</v>
      </c>
      <c r="I15" s="48">
        <v>122.6</v>
      </c>
      <c r="J15" s="538">
        <v>46874</v>
      </c>
      <c r="K15" s="538">
        <v>47239</v>
      </c>
      <c r="L15" s="535"/>
      <c r="M15" s="48">
        <v>139.6</v>
      </c>
      <c r="N15" s="48">
        <v>116.6</v>
      </c>
      <c r="O15" s="535"/>
      <c r="P15" s="244" t="s">
        <v>88</v>
      </c>
      <c r="Q15" s="560">
        <v>0</v>
      </c>
      <c r="R15" s="536"/>
      <c r="S15" s="554" t="s">
        <v>583</v>
      </c>
      <c r="T15" s="536"/>
      <c r="U15" s="49">
        <v>144.83407500000001</v>
      </c>
      <c r="V15" s="49">
        <v>148.9014076</v>
      </c>
      <c r="W15" s="49">
        <f>ROUND((V15-AZ15),1)</f>
        <v>0</v>
      </c>
      <c r="X15" s="50"/>
      <c r="Y15" s="538">
        <v>47882</v>
      </c>
      <c r="Z15" s="538">
        <v>48684</v>
      </c>
      <c r="AA15" s="51">
        <f>Z15-BA15</f>
        <v>0</v>
      </c>
      <c r="AB15" s="535"/>
      <c r="AC15" s="49">
        <v>112.60934551000001</v>
      </c>
      <c r="AD15" s="49">
        <v>100.76631037019999</v>
      </c>
      <c r="AE15" s="52">
        <v>100.5733872</v>
      </c>
      <c r="AF15" s="539">
        <v>1.0019182328006548</v>
      </c>
      <c r="AG15" s="539">
        <v>0.89483079680319866</v>
      </c>
      <c r="AH15" s="575">
        <v>0.7775058839572111</v>
      </c>
      <c r="AI15" s="574">
        <v>0.69573620966060645</v>
      </c>
      <c r="AJ15" s="540"/>
      <c r="AK15" s="247" t="s">
        <v>91</v>
      </c>
      <c r="AM15" s="586">
        <v>41275</v>
      </c>
      <c r="AN15" s="599">
        <f>(V15-I15)/I15</f>
        <v>0.21453024143556285</v>
      </c>
      <c r="AO15" s="599">
        <f>((Z15-AM15)-(K15-AM15))/(K15-AM15)</f>
        <v>0.24228705566733735</v>
      </c>
      <c r="AQ15" s="561">
        <f>V15-I15</f>
        <v>26.301407600000005</v>
      </c>
      <c r="AR15" s="562">
        <f>V15-M15</f>
        <v>9.3014076000000045</v>
      </c>
      <c r="AS15" s="541"/>
      <c r="AT15" s="540">
        <f>Z15-K15</f>
        <v>1445</v>
      </c>
      <c r="AU15" s="535"/>
      <c r="AV15" s="563">
        <f>V15-U15</f>
        <v>4.0673325999999861</v>
      </c>
      <c r="AW15" s="541"/>
      <c r="AX15" s="542">
        <f>Z15-Y15</f>
        <v>802</v>
      </c>
      <c r="AZ15" s="53">
        <v>148.90178813999998</v>
      </c>
      <c r="BA15" s="552">
        <v>48684</v>
      </c>
      <c r="BC15" s="53">
        <v>144.83407500000001</v>
      </c>
      <c r="BD15" s="77">
        <f>U15-BC15</f>
        <v>0</v>
      </c>
      <c r="BE15" s="543">
        <v>47882</v>
      </c>
      <c r="BF15" s="544">
        <f>Y15-BE15</f>
        <v>0</v>
      </c>
    </row>
    <row r="16" spans="1:58" ht="141" customHeight="1" thickBot="1" x14ac:dyDescent="0.45">
      <c r="A16" s="497" t="str">
        <f>B15</f>
        <v>Chimney Decommissioning Phase 2F</v>
      </c>
      <c r="B16" s="708" t="s">
        <v>560</v>
      </c>
      <c r="C16" s="711"/>
      <c r="D16" s="711"/>
      <c r="E16" s="711"/>
      <c r="F16" s="711"/>
      <c r="G16" s="711"/>
      <c r="H16" s="711"/>
      <c r="I16" s="711"/>
      <c r="J16" s="711"/>
      <c r="K16" s="711"/>
      <c r="L16" s="711"/>
      <c r="M16" s="711"/>
      <c r="N16" s="711"/>
      <c r="O16" s="711"/>
      <c r="P16" s="711"/>
      <c r="Q16" s="711"/>
      <c r="R16" s="711"/>
      <c r="S16" s="711"/>
      <c r="T16" s="711"/>
      <c r="U16" s="711"/>
      <c r="V16" s="711"/>
      <c r="W16" s="711"/>
      <c r="X16" s="711"/>
      <c r="Y16" s="711"/>
      <c r="Z16" s="711"/>
      <c r="AA16" s="711"/>
      <c r="AB16" s="711"/>
      <c r="AC16" s="711"/>
      <c r="AD16" s="711"/>
      <c r="AE16" s="711"/>
      <c r="AF16" s="711"/>
      <c r="AG16" s="711"/>
      <c r="AH16" s="711"/>
      <c r="AI16" s="711"/>
      <c r="AJ16" s="711"/>
      <c r="AK16" s="712"/>
      <c r="AQ16" s="564"/>
      <c r="AR16" s="565"/>
      <c r="AS16" s="545"/>
      <c r="AT16" s="545"/>
      <c r="AU16" s="546"/>
      <c r="AV16" s="566"/>
      <c r="AW16" s="545"/>
      <c r="AX16" s="548"/>
      <c r="AZ16" s="567"/>
      <c r="BA16" s="549"/>
      <c r="BC16" s="567"/>
      <c r="BD16" s="568"/>
      <c r="BE16" s="547"/>
      <c r="BF16" s="550"/>
    </row>
    <row r="17" spans="1:61" ht="5.25" customHeight="1" thickBot="1" x14ac:dyDescent="0.45">
      <c r="B17" s="501"/>
      <c r="E17" s="505"/>
      <c r="U17" s="655"/>
      <c r="V17" s="655"/>
      <c r="W17" s="655"/>
      <c r="X17" s="655"/>
      <c r="Y17" s="655"/>
      <c r="Z17" s="655"/>
      <c r="AA17" s="655"/>
      <c r="AQ17" s="557"/>
      <c r="AR17" s="557"/>
      <c r="AV17" s="557"/>
      <c r="AZ17" s="557"/>
      <c r="BC17" s="557"/>
      <c r="BD17" s="570"/>
      <c r="BF17" s="527"/>
    </row>
    <row r="18" spans="1:61" ht="28.5" customHeight="1" x14ac:dyDescent="0.4">
      <c r="B18" s="534" t="s">
        <v>332</v>
      </c>
      <c r="C18" s="535"/>
      <c r="D18" s="244" t="s">
        <v>90</v>
      </c>
      <c r="E18" s="560">
        <v>0</v>
      </c>
      <c r="F18" s="536"/>
      <c r="G18" s="537" t="s">
        <v>303</v>
      </c>
      <c r="H18" s="48">
        <v>130</v>
      </c>
      <c r="I18" s="48">
        <v>200</v>
      </c>
      <c r="J18" s="538" t="s">
        <v>331</v>
      </c>
      <c r="K18" s="538" t="s">
        <v>331</v>
      </c>
      <c r="L18" s="535"/>
      <c r="M18" s="48">
        <v>200</v>
      </c>
      <c r="N18" s="48">
        <v>200</v>
      </c>
      <c r="O18" s="535"/>
      <c r="P18" s="244" t="s">
        <v>90</v>
      </c>
      <c r="Q18" s="560">
        <v>0</v>
      </c>
      <c r="R18" s="536"/>
      <c r="S18" s="554" t="s">
        <v>584</v>
      </c>
      <c r="T18" s="536"/>
      <c r="U18" s="49">
        <v>127.732077</v>
      </c>
      <c r="V18" s="49">
        <v>141.51044787000001</v>
      </c>
      <c r="W18" s="49">
        <f>ROUND((V18-AZ18),1)</f>
        <v>0</v>
      </c>
      <c r="X18" s="50"/>
      <c r="Y18" s="538">
        <v>48935</v>
      </c>
      <c r="Z18" s="538">
        <v>48935</v>
      </c>
      <c r="AA18" s="51">
        <f>Z18-BA18</f>
        <v>0</v>
      </c>
      <c r="AB18" s="535"/>
      <c r="AC18" s="49">
        <v>0</v>
      </c>
      <c r="AD18" s="49">
        <v>0</v>
      </c>
      <c r="AE18" s="52">
        <v>34.480167899999998</v>
      </c>
      <c r="AF18" s="539">
        <v>0</v>
      </c>
      <c r="AG18" s="539">
        <v>0</v>
      </c>
      <c r="AH18" s="575">
        <v>0</v>
      </c>
      <c r="AI18" s="574">
        <v>0</v>
      </c>
      <c r="AJ18" s="540"/>
      <c r="AK18" s="247" t="s">
        <v>88</v>
      </c>
      <c r="AM18" s="586">
        <v>37987</v>
      </c>
      <c r="AN18" s="599">
        <f>(V18-I18)/I18</f>
        <v>-0.29244776064999994</v>
      </c>
      <c r="AO18" s="599" t="e">
        <f>((Z18-AM18)-(K18-AM18))/(K18-AM18)</f>
        <v>#VALUE!</v>
      </c>
      <c r="AQ18" s="561">
        <f>V18-I18</f>
        <v>-58.489552129999993</v>
      </c>
      <c r="AR18" s="562">
        <f>V18-M18</f>
        <v>-58.489552129999993</v>
      </c>
      <c r="AS18" s="541"/>
      <c r="AT18" s="540" t="e">
        <f>Z18-K18</f>
        <v>#VALUE!</v>
      </c>
      <c r="AU18" s="535"/>
      <c r="AV18" s="563">
        <f>V18-U18</f>
        <v>13.778370870000003</v>
      </c>
      <c r="AW18" s="541"/>
      <c r="AX18" s="542">
        <f>Z18-Y18</f>
        <v>0</v>
      </c>
      <c r="AZ18" s="53">
        <v>141.47171437</v>
      </c>
      <c r="BA18" s="552">
        <v>48935</v>
      </c>
      <c r="BC18" s="53">
        <v>127.732077</v>
      </c>
      <c r="BD18" s="77">
        <f>U18-BC18</f>
        <v>0</v>
      </c>
      <c r="BE18" s="543">
        <v>48935</v>
      </c>
      <c r="BF18" s="544">
        <f>Y18-BE18</f>
        <v>0</v>
      </c>
    </row>
    <row r="19" spans="1:61" ht="163.30000000000001" customHeight="1" thickBot="1" x14ac:dyDescent="0.45">
      <c r="A19" s="497" t="str">
        <f>B18</f>
        <v>MSSS 2nd and 3rd Extension Sub-Programme</v>
      </c>
      <c r="B19" s="708" t="s">
        <v>561</v>
      </c>
      <c r="C19" s="711"/>
      <c r="D19" s="711"/>
      <c r="E19" s="711"/>
      <c r="F19" s="711"/>
      <c r="G19" s="711"/>
      <c r="H19" s="711"/>
      <c r="I19" s="711"/>
      <c r="J19" s="711"/>
      <c r="K19" s="711"/>
      <c r="L19" s="711"/>
      <c r="M19" s="711"/>
      <c r="N19" s="711"/>
      <c r="O19" s="711"/>
      <c r="P19" s="711"/>
      <c r="Q19" s="711"/>
      <c r="R19" s="711"/>
      <c r="S19" s="711"/>
      <c r="T19" s="711"/>
      <c r="U19" s="711"/>
      <c r="V19" s="711"/>
      <c r="W19" s="711"/>
      <c r="X19" s="711"/>
      <c r="Y19" s="711"/>
      <c r="Z19" s="711"/>
      <c r="AA19" s="711"/>
      <c r="AB19" s="711"/>
      <c r="AC19" s="711"/>
      <c r="AD19" s="711"/>
      <c r="AE19" s="711"/>
      <c r="AF19" s="711"/>
      <c r="AG19" s="711"/>
      <c r="AH19" s="711"/>
      <c r="AI19" s="711"/>
      <c r="AJ19" s="711"/>
      <c r="AK19" s="712"/>
      <c r="AQ19" s="564"/>
      <c r="AR19" s="565"/>
      <c r="AS19" s="545"/>
      <c r="AT19" s="545"/>
      <c r="AU19" s="546"/>
      <c r="AV19" s="566"/>
      <c r="AW19" s="545"/>
      <c r="AX19" s="548"/>
      <c r="AZ19" s="567"/>
      <c r="BA19" s="549"/>
      <c r="BC19" s="567"/>
      <c r="BD19" s="568"/>
      <c r="BE19" s="547"/>
      <c r="BF19" s="550"/>
    </row>
    <row r="20" spans="1:61" ht="5.25" customHeight="1" thickBot="1" x14ac:dyDescent="0.45">
      <c r="B20" s="502"/>
      <c r="D20" s="578"/>
      <c r="E20" s="515"/>
      <c r="F20" s="504"/>
      <c r="G20" s="503"/>
      <c r="H20" s="503"/>
      <c r="I20" s="578"/>
      <c r="J20" s="578"/>
      <c r="K20" s="503"/>
      <c r="M20" s="578"/>
      <c r="N20" s="577"/>
      <c r="R20" s="504"/>
      <c r="S20" s="504"/>
      <c r="T20" s="504"/>
      <c r="U20" s="578"/>
      <c r="V20" s="578"/>
      <c r="W20" s="579"/>
      <c r="X20" s="580"/>
      <c r="Y20" s="503"/>
      <c r="Z20" s="503"/>
      <c r="AA20" s="580"/>
      <c r="AC20" s="578"/>
      <c r="AD20" s="578"/>
      <c r="AE20" s="578"/>
      <c r="AF20" s="553"/>
      <c r="AG20" s="553"/>
      <c r="AH20" s="516"/>
      <c r="AI20" s="516"/>
      <c r="AK20" s="517"/>
      <c r="AQ20" s="557"/>
      <c r="AR20" s="557"/>
      <c r="AV20" s="557"/>
      <c r="AZ20" s="557"/>
      <c r="BC20" s="557"/>
      <c r="BD20" s="570"/>
      <c r="BF20" s="527"/>
    </row>
    <row r="21" spans="1:61" ht="28.5" customHeight="1" x14ac:dyDescent="0.4">
      <c r="B21" s="534" t="s">
        <v>115</v>
      </c>
      <c r="C21" s="535"/>
      <c r="D21" s="244" t="s">
        <v>90</v>
      </c>
      <c r="E21" s="560">
        <v>0</v>
      </c>
      <c r="F21" s="536"/>
      <c r="G21" s="537" t="s">
        <v>253</v>
      </c>
      <c r="H21" s="48">
        <v>403.5</v>
      </c>
      <c r="I21" s="48">
        <v>430.4</v>
      </c>
      <c r="J21" s="538">
        <v>47362</v>
      </c>
      <c r="K21" s="538">
        <v>47665</v>
      </c>
      <c r="L21" s="535"/>
      <c r="M21" s="48">
        <v>430.4</v>
      </c>
      <c r="N21" s="48">
        <v>403.5</v>
      </c>
      <c r="O21" s="535"/>
      <c r="P21" s="244" t="s">
        <v>90</v>
      </c>
      <c r="Q21" s="560">
        <v>0</v>
      </c>
      <c r="R21" s="536"/>
      <c r="S21" s="554" t="s">
        <v>585</v>
      </c>
      <c r="T21" s="536"/>
      <c r="U21" s="49">
        <v>435.381978</v>
      </c>
      <c r="V21" s="49">
        <v>427.81347215</v>
      </c>
      <c r="W21" s="49">
        <f>ROUND((V21-AZ21),1)</f>
        <v>-0.1</v>
      </c>
      <c r="X21" s="50"/>
      <c r="Y21" s="538">
        <v>47364</v>
      </c>
      <c r="Z21" s="538">
        <v>47826</v>
      </c>
      <c r="AA21" s="51">
        <f>Z21-BA21</f>
        <v>0</v>
      </c>
      <c r="AB21" s="535"/>
      <c r="AC21" s="49">
        <v>335.61003177999999</v>
      </c>
      <c r="AD21" s="49">
        <v>300.59317753710002</v>
      </c>
      <c r="AE21" s="52">
        <v>297.43584556000002</v>
      </c>
      <c r="AF21" s="539">
        <v>1.0106151697054384</v>
      </c>
      <c r="AG21" s="539">
        <v>0.89566207524495467</v>
      </c>
      <c r="AH21" s="575">
        <v>0.77084043147968784</v>
      </c>
      <c r="AI21" s="574">
        <v>0.69041254054181367</v>
      </c>
      <c r="AJ21" s="540"/>
      <c r="AK21" s="247" t="s">
        <v>90</v>
      </c>
      <c r="AM21" s="586">
        <v>42395</v>
      </c>
      <c r="AN21" s="599">
        <f>(V21-I21)/I21</f>
        <v>-6.0095907295538613E-3</v>
      </c>
      <c r="AO21" s="599">
        <f>((Z21-AM21)-(K21-AM21))/(K21-AM21)</f>
        <v>3.0550284629981026E-2</v>
      </c>
      <c r="AQ21" s="561">
        <f>V21-I21</f>
        <v>-2.5865278499999818</v>
      </c>
      <c r="AR21" s="562">
        <f>V21-M21</f>
        <v>-2.5865278499999818</v>
      </c>
      <c r="AS21" s="541"/>
      <c r="AT21" s="540">
        <f>Z21-K21</f>
        <v>161</v>
      </c>
      <c r="AU21" s="535"/>
      <c r="AV21" s="563">
        <f>V21-U21</f>
        <v>-7.5685058500000082</v>
      </c>
      <c r="AW21" s="541"/>
      <c r="AX21" s="542">
        <f>Z21-Y21</f>
        <v>462</v>
      </c>
      <c r="AZ21" s="53">
        <v>427.90845478</v>
      </c>
      <c r="BA21" s="552">
        <v>47826</v>
      </c>
      <c r="BC21" s="53">
        <v>435.381978</v>
      </c>
      <c r="BD21" s="77">
        <f>U21-BC21</f>
        <v>0</v>
      </c>
      <c r="BE21" s="543">
        <v>47364</v>
      </c>
      <c r="BF21" s="544">
        <f>Y21-BE21</f>
        <v>0</v>
      </c>
    </row>
    <row r="22" spans="1:61" ht="60.75" customHeight="1" thickBot="1" x14ac:dyDescent="0.45">
      <c r="A22" s="497" t="str">
        <f>B21</f>
        <v>Electrical Supply - New Construction</v>
      </c>
      <c r="B22" s="708" t="s">
        <v>562</v>
      </c>
      <c r="C22" s="711"/>
      <c r="D22" s="711"/>
      <c r="E22" s="711"/>
      <c r="F22" s="711"/>
      <c r="G22" s="711"/>
      <c r="H22" s="711"/>
      <c r="I22" s="711"/>
      <c r="J22" s="711"/>
      <c r="K22" s="711"/>
      <c r="L22" s="711"/>
      <c r="M22" s="711"/>
      <c r="N22" s="711"/>
      <c r="O22" s="711"/>
      <c r="P22" s="711"/>
      <c r="Q22" s="711"/>
      <c r="R22" s="711"/>
      <c r="S22" s="711"/>
      <c r="T22" s="711"/>
      <c r="U22" s="711"/>
      <c r="V22" s="711"/>
      <c r="W22" s="711"/>
      <c r="X22" s="711"/>
      <c r="Y22" s="711"/>
      <c r="Z22" s="711"/>
      <c r="AA22" s="711"/>
      <c r="AB22" s="711"/>
      <c r="AC22" s="711"/>
      <c r="AD22" s="711"/>
      <c r="AE22" s="711"/>
      <c r="AF22" s="711"/>
      <c r="AG22" s="711"/>
      <c r="AH22" s="711"/>
      <c r="AI22" s="711"/>
      <c r="AJ22" s="711"/>
      <c r="AK22" s="712"/>
      <c r="AQ22" s="564"/>
      <c r="AR22" s="565"/>
      <c r="AS22" s="545"/>
      <c r="AT22" s="545"/>
      <c r="AU22" s="546"/>
      <c r="AV22" s="566"/>
      <c r="AW22" s="545"/>
      <c r="AX22" s="548"/>
      <c r="AZ22" s="567"/>
      <c r="BA22" s="549"/>
      <c r="BC22" s="567"/>
      <c r="BD22" s="568"/>
      <c r="BE22" s="547"/>
      <c r="BF22" s="550"/>
    </row>
    <row r="23" spans="1:61" ht="5.25" customHeight="1" thickBot="1" x14ac:dyDescent="0.45">
      <c r="B23" s="501"/>
      <c r="E23" s="505"/>
      <c r="U23" s="655"/>
      <c r="V23" s="655"/>
      <c r="W23" s="655"/>
      <c r="X23" s="655"/>
      <c r="Y23" s="655"/>
      <c r="Z23" s="655"/>
      <c r="AA23" s="655"/>
      <c r="AQ23" s="557"/>
      <c r="AR23" s="557"/>
      <c r="AV23" s="557"/>
      <c r="AZ23" s="557"/>
      <c r="BC23" s="557"/>
      <c r="BD23" s="570"/>
      <c r="BF23" s="527"/>
    </row>
    <row r="24" spans="1:61" ht="28.5" customHeight="1" x14ac:dyDescent="0.4">
      <c r="B24" s="551" t="s">
        <v>101</v>
      </c>
      <c r="C24" s="535"/>
      <c r="D24" s="244" t="s">
        <v>90</v>
      </c>
      <c r="E24" s="560">
        <v>0</v>
      </c>
      <c r="F24" s="536"/>
      <c r="G24" s="537" t="s">
        <v>389</v>
      </c>
      <c r="H24" s="48">
        <v>458.9</v>
      </c>
      <c r="I24" s="48">
        <v>466.4</v>
      </c>
      <c r="J24" s="538">
        <v>45244</v>
      </c>
      <c r="K24" s="538">
        <v>45361</v>
      </c>
      <c r="L24" s="535"/>
      <c r="M24" s="48">
        <v>466.4</v>
      </c>
      <c r="N24" s="48">
        <v>458.9</v>
      </c>
      <c r="O24" s="535"/>
      <c r="P24" s="244" t="s">
        <v>90</v>
      </c>
      <c r="Q24" s="560">
        <v>0</v>
      </c>
      <c r="R24" s="536"/>
      <c r="S24" s="554" t="s">
        <v>586</v>
      </c>
      <c r="T24" s="536"/>
      <c r="U24" s="49">
        <v>419.95363700000001</v>
      </c>
      <c r="V24" s="49">
        <v>458.24395555000001</v>
      </c>
      <c r="W24" s="49">
        <f>ROUND((V24-AZ24),1)</f>
        <v>0</v>
      </c>
      <c r="X24" s="50"/>
      <c r="Y24" s="538">
        <v>45050</v>
      </c>
      <c r="Z24" s="538">
        <v>46142</v>
      </c>
      <c r="AA24" s="51">
        <f>Z24-BA24</f>
        <v>0</v>
      </c>
      <c r="AB24" s="535"/>
      <c r="AC24" s="49">
        <v>419.95363750999996</v>
      </c>
      <c r="AD24" s="49">
        <v>419.90913127109997</v>
      </c>
      <c r="AE24" s="52">
        <v>458.19395555</v>
      </c>
      <c r="AF24" s="539">
        <v>0.91644406519299404</v>
      </c>
      <c r="AG24" s="539">
        <v>0.9998940210658398</v>
      </c>
      <c r="AH24" s="575">
        <v>1.0000000012144197</v>
      </c>
      <c r="AI24" s="574">
        <v>0.9998940222801308</v>
      </c>
      <c r="AJ24" s="540"/>
      <c r="AK24" s="247" t="s">
        <v>91</v>
      </c>
      <c r="AM24" s="586">
        <v>41518</v>
      </c>
      <c r="AN24" s="599">
        <f>(V24-I24)/I24</f>
        <v>-1.7487230810463054E-2</v>
      </c>
      <c r="AO24" s="599">
        <f>((Z24-AM24)-(K24-AM24))/(K24-AM24)</f>
        <v>0.20322664584959668</v>
      </c>
      <c r="AQ24" s="561">
        <f>V24-I24</f>
        <v>-8.1560444499999676</v>
      </c>
      <c r="AR24" s="562">
        <f>V24-M24</f>
        <v>-8.1560444499999676</v>
      </c>
      <c r="AS24" s="541"/>
      <c r="AT24" s="540">
        <f>Z24-K24</f>
        <v>781</v>
      </c>
      <c r="AU24" s="535"/>
      <c r="AV24" s="563">
        <f>V24-U24</f>
        <v>38.290318549999995</v>
      </c>
      <c r="AW24" s="541"/>
      <c r="AX24" s="542">
        <f>Z24-Y24</f>
        <v>1092</v>
      </c>
      <c r="AZ24" s="53">
        <v>458.2836949</v>
      </c>
      <c r="BA24" s="552">
        <v>46142</v>
      </c>
      <c r="BC24" s="53">
        <v>419.95363700000001</v>
      </c>
      <c r="BD24" s="77">
        <f>U24-BC24</f>
        <v>0</v>
      </c>
      <c r="BE24" s="543">
        <v>45050</v>
      </c>
      <c r="BF24" s="544">
        <f>Y24-BE24</f>
        <v>0</v>
      </c>
    </row>
    <row r="25" spans="1:61" s="501" customFormat="1" ht="71.25" customHeight="1" thickBot="1" x14ac:dyDescent="0.45">
      <c r="A25" s="497" t="str">
        <f>B24</f>
        <v>Box Encapsulation Plant Product Store Direct Import Facility</v>
      </c>
      <c r="B25" s="708" t="s">
        <v>549</v>
      </c>
      <c r="C25" s="711"/>
      <c r="D25" s="711"/>
      <c r="E25" s="711"/>
      <c r="F25" s="711"/>
      <c r="G25" s="711"/>
      <c r="H25" s="711"/>
      <c r="I25" s="711"/>
      <c r="J25" s="711"/>
      <c r="K25" s="711"/>
      <c r="L25" s="711"/>
      <c r="M25" s="711"/>
      <c r="N25" s="711"/>
      <c r="O25" s="711"/>
      <c r="P25" s="711"/>
      <c r="Q25" s="711"/>
      <c r="R25" s="711"/>
      <c r="S25" s="711"/>
      <c r="T25" s="711"/>
      <c r="U25" s="711"/>
      <c r="V25" s="711"/>
      <c r="W25" s="711"/>
      <c r="X25" s="711"/>
      <c r="Y25" s="711"/>
      <c r="Z25" s="711"/>
      <c r="AA25" s="711"/>
      <c r="AB25" s="711"/>
      <c r="AC25" s="711"/>
      <c r="AD25" s="711"/>
      <c r="AE25" s="711"/>
      <c r="AF25" s="711"/>
      <c r="AG25" s="711"/>
      <c r="AH25" s="711"/>
      <c r="AI25" s="711"/>
      <c r="AJ25" s="711"/>
      <c r="AK25" s="712"/>
      <c r="AL25" s="505"/>
      <c r="AM25" s="505"/>
      <c r="AN25" s="505"/>
      <c r="AO25" s="505"/>
      <c r="AQ25" s="564"/>
      <c r="AR25" s="565"/>
      <c r="AS25" s="545"/>
      <c r="AT25" s="545"/>
      <c r="AU25" s="546"/>
      <c r="AV25" s="566"/>
      <c r="AW25" s="545"/>
      <c r="AX25" s="548"/>
      <c r="AZ25" s="567"/>
      <c r="BA25" s="549"/>
      <c r="BC25" s="567"/>
      <c r="BD25" s="568"/>
      <c r="BE25" s="547"/>
      <c r="BF25" s="550"/>
      <c r="BG25" s="505"/>
      <c r="BH25" s="505"/>
      <c r="BI25" s="505"/>
    </row>
    <row r="26" spans="1:61" ht="5.25" customHeight="1" thickBot="1" x14ac:dyDescent="0.45">
      <c r="B26" s="522"/>
      <c r="C26" s="523"/>
      <c r="D26" s="523"/>
      <c r="E26" s="523"/>
      <c r="F26" s="523"/>
      <c r="G26" s="523"/>
      <c r="H26" s="523"/>
      <c r="I26" s="523"/>
      <c r="J26" s="523"/>
      <c r="K26" s="523"/>
      <c r="L26" s="523"/>
      <c r="M26" s="523"/>
      <c r="N26" s="523"/>
      <c r="O26" s="523"/>
      <c r="P26" s="523"/>
      <c r="Q26" s="523"/>
      <c r="R26" s="523"/>
      <c r="S26" s="523"/>
      <c r="T26" s="523"/>
      <c r="U26" s="523"/>
      <c r="V26" s="523"/>
      <c r="W26" s="523"/>
      <c r="X26" s="523"/>
      <c r="Y26" s="523"/>
      <c r="Z26" s="523"/>
      <c r="AA26" s="523"/>
      <c r="AB26" s="523"/>
      <c r="AC26" s="523"/>
      <c r="AD26" s="523"/>
      <c r="AE26" s="523"/>
      <c r="AF26" s="523"/>
      <c r="AG26" s="523"/>
      <c r="AH26" s="523"/>
      <c r="AI26" s="523"/>
      <c r="AJ26" s="523"/>
      <c r="AK26" s="523"/>
      <c r="AQ26" s="557"/>
      <c r="AR26" s="557"/>
      <c r="AV26" s="557"/>
      <c r="AZ26" s="557"/>
      <c r="BC26" s="557"/>
      <c r="BD26" s="570"/>
    </row>
    <row r="27" spans="1:61" ht="28.5" customHeight="1" x14ac:dyDescent="0.4">
      <c r="B27" s="534" t="s">
        <v>103</v>
      </c>
      <c r="C27" s="535"/>
      <c r="D27" s="244" t="s">
        <v>90</v>
      </c>
      <c r="E27" s="560">
        <v>0</v>
      </c>
      <c r="F27" s="536"/>
      <c r="G27" s="537" t="s">
        <v>379</v>
      </c>
      <c r="H27" s="48">
        <v>68.5</v>
      </c>
      <c r="I27" s="48">
        <v>74.599999999999994</v>
      </c>
      <c r="J27" s="538">
        <v>45834</v>
      </c>
      <c r="K27" s="538">
        <v>45911</v>
      </c>
      <c r="L27" s="535"/>
      <c r="M27" s="48" t="s">
        <v>164</v>
      </c>
      <c r="N27" s="48">
        <v>74.599999999999994</v>
      </c>
      <c r="O27" s="535"/>
      <c r="P27" s="244" t="s">
        <v>90</v>
      </c>
      <c r="Q27" s="560">
        <v>0</v>
      </c>
      <c r="R27" s="536"/>
      <c r="S27" s="554" t="s">
        <v>587</v>
      </c>
      <c r="T27" s="536"/>
      <c r="U27" s="49">
        <v>75.794335000000004</v>
      </c>
      <c r="V27" s="49">
        <v>72.459951750000002</v>
      </c>
      <c r="W27" s="49">
        <f>ROUND((V27-AZ27),1)</f>
        <v>-0.1</v>
      </c>
      <c r="X27" s="50"/>
      <c r="Y27" s="538">
        <v>45834</v>
      </c>
      <c r="Z27" s="538">
        <v>45988</v>
      </c>
      <c r="AA27" s="51">
        <f>Z27-BA27</f>
        <v>0</v>
      </c>
      <c r="AB27" s="535"/>
      <c r="AC27" s="49">
        <v>75.794335419999996</v>
      </c>
      <c r="AD27" s="49">
        <v>73.803318659799999</v>
      </c>
      <c r="AE27" s="52">
        <v>72.459951750000002</v>
      </c>
      <c r="AF27" s="539">
        <v>1.0185394397505929</v>
      </c>
      <c r="AG27" s="539">
        <v>0.97373132504999016</v>
      </c>
      <c r="AH27" s="575">
        <v>1.0000000055413112</v>
      </c>
      <c r="AI27" s="574">
        <v>0.97373133044573834</v>
      </c>
      <c r="AJ27" s="540"/>
      <c r="AK27" s="247" t="s">
        <v>91</v>
      </c>
      <c r="AM27" s="586">
        <v>43132</v>
      </c>
      <c r="AN27" s="599">
        <f>(V27-I27)/I27</f>
        <v>-2.8686973860589712E-2</v>
      </c>
      <c r="AO27" s="599">
        <f>((Z27-AM27)-(K27-AM27))/(K27-AM27)</f>
        <v>2.7707808564231738E-2</v>
      </c>
      <c r="AQ27" s="561">
        <f>V27-I27</f>
        <v>-2.1400482499999924</v>
      </c>
      <c r="AR27" s="562" t="e">
        <f>V27-M27</f>
        <v>#VALUE!</v>
      </c>
      <c r="AS27" s="541"/>
      <c r="AT27" s="540">
        <f>Z27-K27</f>
        <v>77</v>
      </c>
      <c r="AU27" s="535"/>
      <c r="AV27" s="563">
        <f>V27-U27</f>
        <v>-3.3343832500000019</v>
      </c>
      <c r="AW27" s="541"/>
      <c r="AX27" s="542">
        <f>Z27-Y27</f>
        <v>154</v>
      </c>
      <c r="AZ27" s="53">
        <v>72.527642560000004</v>
      </c>
      <c r="BA27" s="552">
        <v>45988</v>
      </c>
      <c r="BC27" s="53">
        <v>75.794335000000004</v>
      </c>
      <c r="BD27" s="77">
        <f>U27-BC27</f>
        <v>0</v>
      </c>
      <c r="BE27" s="543">
        <v>45834</v>
      </c>
      <c r="BF27" s="544">
        <f>Y27-BE27</f>
        <v>0</v>
      </c>
    </row>
    <row r="28" spans="1:61" ht="85.3" customHeight="1" thickBot="1" x14ac:dyDescent="0.45">
      <c r="A28" s="497" t="str">
        <f>B27</f>
        <v>PFCS Full Retrievals - Project 1</v>
      </c>
      <c r="B28" s="708" t="s">
        <v>563</v>
      </c>
      <c r="C28" s="709"/>
      <c r="D28" s="709"/>
      <c r="E28" s="709"/>
      <c r="F28" s="709"/>
      <c r="G28" s="709"/>
      <c r="H28" s="709"/>
      <c r="I28" s="709"/>
      <c r="J28" s="709"/>
      <c r="K28" s="709"/>
      <c r="L28" s="709"/>
      <c r="M28" s="709"/>
      <c r="N28" s="709"/>
      <c r="O28" s="709"/>
      <c r="P28" s="709"/>
      <c r="Q28" s="709"/>
      <c r="R28" s="709"/>
      <c r="S28" s="709"/>
      <c r="T28" s="709"/>
      <c r="U28" s="709"/>
      <c r="V28" s="709"/>
      <c r="W28" s="709"/>
      <c r="X28" s="709"/>
      <c r="Y28" s="709"/>
      <c r="Z28" s="709"/>
      <c r="AA28" s="709"/>
      <c r="AB28" s="709"/>
      <c r="AC28" s="709"/>
      <c r="AD28" s="709"/>
      <c r="AE28" s="709"/>
      <c r="AF28" s="709"/>
      <c r="AG28" s="709"/>
      <c r="AH28" s="709"/>
      <c r="AI28" s="709"/>
      <c r="AJ28" s="709"/>
      <c r="AK28" s="710"/>
      <c r="AQ28" s="564"/>
      <c r="AR28" s="565"/>
      <c r="AS28" s="545"/>
      <c r="AT28" s="545"/>
      <c r="AU28" s="546"/>
      <c r="AV28" s="566"/>
      <c r="AW28" s="545"/>
      <c r="AX28" s="548"/>
      <c r="AZ28" s="567"/>
      <c r="BA28" s="549"/>
      <c r="BC28" s="567"/>
      <c r="BD28" s="568"/>
      <c r="BE28" s="547"/>
      <c r="BF28" s="550"/>
      <c r="BG28" s="501"/>
      <c r="BH28" s="501"/>
      <c r="BI28" s="501"/>
    </row>
    <row r="29" spans="1:61" ht="5.25" customHeight="1" thickBot="1" x14ac:dyDescent="0.45">
      <c r="B29" s="502"/>
      <c r="D29" s="517"/>
      <c r="E29" s="515"/>
      <c r="F29" s="504"/>
      <c r="G29" s="503"/>
      <c r="H29" s="503"/>
      <c r="I29" s="578"/>
      <c r="J29" s="578"/>
      <c r="K29" s="503"/>
      <c r="M29" s="578"/>
      <c r="N29" s="577"/>
      <c r="R29" s="504"/>
      <c r="S29" s="504"/>
      <c r="T29" s="504"/>
      <c r="U29" s="581"/>
      <c r="V29" s="581"/>
      <c r="W29" s="582"/>
      <c r="X29" s="583"/>
      <c r="Y29" s="503"/>
      <c r="Z29" s="503"/>
      <c r="AA29" s="583"/>
      <c r="AC29" s="580"/>
      <c r="AD29" s="580"/>
      <c r="AE29" s="580"/>
      <c r="AF29" s="553"/>
      <c r="AG29" s="553"/>
      <c r="AH29" s="516"/>
      <c r="AI29" s="516"/>
      <c r="AK29" s="517"/>
      <c r="AQ29" s="557"/>
      <c r="AR29" s="557"/>
      <c r="AV29" s="557"/>
      <c r="AZ29" s="557"/>
      <c r="BC29" s="557"/>
      <c r="BD29" s="570"/>
      <c r="BF29" s="527"/>
    </row>
    <row r="30" spans="1:61" ht="28.5" customHeight="1" x14ac:dyDescent="0.4">
      <c r="B30" s="551" t="s">
        <v>7</v>
      </c>
      <c r="C30" s="535"/>
      <c r="D30" s="244" t="s">
        <v>90</v>
      </c>
      <c r="E30" s="560">
        <v>0</v>
      </c>
      <c r="F30" s="536"/>
      <c r="G30" s="537" t="s">
        <v>303</v>
      </c>
      <c r="H30" s="48">
        <v>866.7</v>
      </c>
      <c r="I30" s="48">
        <v>897.9</v>
      </c>
      <c r="J30" s="538">
        <v>46505</v>
      </c>
      <c r="K30" s="538">
        <v>47053</v>
      </c>
      <c r="L30" s="535"/>
      <c r="M30" s="48">
        <v>897.9</v>
      </c>
      <c r="N30" s="48">
        <v>897.9</v>
      </c>
      <c r="O30" s="535"/>
      <c r="P30" s="244" t="s">
        <v>90</v>
      </c>
      <c r="Q30" s="560">
        <v>0</v>
      </c>
      <c r="R30" s="536"/>
      <c r="S30" s="554" t="s">
        <v>588</v>
      </c>
      <c r="T30" s="536"/>
      <c r="U30" s="49">
        <v>803.03225499999996</v>
      </c>
      <c r="V30" s="49">
        <v>887.19569248000005</v>
      </c>
      <c r="W30" s="49">
        <f>ROUND((V30-AZ30),1)</f>
        <v>0.1</v>
      </c>
      <c r="X30" s="50"/>
      <c r="Y30" s="538">
        <v>46505</v>
      </c>
      <c r="Z30" s="538">
        <v>46717</v>
      </c>
      <c r="AA30" s="51">
        <f>Z30-BA30</f>
        <v>0</v>
      </c>
      <c r="AB30" s="535"/>
      <c r="AC30" s="49">
        <v>798.33897067999999</v>
      </c>
      <c r="AD30" s="49">
        <v>785.30333896529999</v>
      </c>
      <c r="AE30" s="52">
        <v>869.84960576999993</v>
      </c>
      <c r="AF30" s="539">
        <v>0.90280358093643243</v>
      </c>
      <c r="AG30" s="539">
        <v>0.98367155783013238</v>
      </c>
      <c r="AH30" s="575">
        <v>0.99415554694001673</v>
      </c>
      <c r="AI30" s="574">
        <v>0.97792253558395359</v>
      </c>
      <c r="AJ30" s="540"/>
      <c r="AK30" s="247" t="s">
        <v>91</v>
      </c>
      <c r="AM30" s="586">
        <v>41000</v>
      </c>
      <c r="AN30" s="599">
        <f>(V30-I30)/I30</f>
        <v>-1.1921491836507328E-2</v>
      </c>
      <c r="AO30" s="599">
        <f>((Z30-AM30)-(K30-AM30))/(K30-AM30)</f>
        <v>-5.5509664629109536E-2</v>
      </c>
      <c r="AQ30" s="561">
        <f>V30-I30</f>
        <v>-10.704307519999929</v>
      </c>
      <c r="AR30" s="562">
        <f>V30-M30</f>
        <v>-10.704307519999929</v>
      </c>
      <c r="AS30" s="541"/>
      <c r="AT30" s="540">
        <f>Z30-K30</f>
        <v>-336</v>
      </c>
      <c r="AU30" s="535"/>
      <c r="AV30" s="563">
        <f>V30-U30</f>
        <v>84.163437480000084</v>
      </c>
      <c r="AW30" s="541"/>
      <c r="AX30" s="542">
        <f>Z30-Y30</f>
        <v>212</v>
      </c>
      <c r="AZ30" s="53">
        <v>887.10816310000007</v>
      </c>
      <c r="BA30" s="552">
        <v>46717</v>
      </c>
      <c r="BC30" s="53">
        <v>803.03225499999996</v>
      </c>
      <c r="BD30" s="77">
        <f>U30-BC30</f>
        <v>0</v>
      </c>
      <c r="BE30" s="543">
        <v>46505</v>
      </c>
      <c r="BF30" s="544">
        <f>Y30-BE30</f>
        <v>0</v>
      </c>
    </row>
    <row r="31" spans="1:61" ht="109.3" customHeight="1" thickBot="1" x14ac:dyDescent="0.45">
      <c r="A31" s="497" t="str">
        <f>B30</f>
        <v>SEP Solid Waste Storage Retrievals</v>
      </c>
      <c r="B31" s="708" t="s">
        <v>564</v>
      </c>
      <c r="C31" s="709"/>
      <c r="D31" s="709"/>
      <c r="E31" s="709"/>
      <c r="F31" s="709"/>
      <c r="G31" s="709"/>
      <c r="H31" s="709"/>
      <c r="I31" s="709"/>
      <c r="J31" s="709"/>
      <c r="K31" s="709"/>
      <c r="L31" s="709"/>
      <c r="M31" s="709"/>
      <c r="N31" s="709"/>
      <c r="O31" s="709"/>
      <c r="P31" s="709"/>
      <c r="Q31" s="709"/>
      <c r="R31" s="709"/>
      <c r="S31" s="709"/>
      <c r="T31" s="709"/>
      <c r="U31" s="709"/>
      <c r="V31" s="709"/>
      <c r="W31" s="709"/>
      <c r="X31" s="709"/>
      <c r="Y31" s="709"/>
      <c r="Z31" s="709"/>
      <c r="AA31" s="709"/>
      <c r="AB31" s="709"/>
      <c r="AC31" s="709"/>
      <c r="AD31" s="709"/>
      <c r="AE31" s="709"/>
      <c r="AF31" s="709"/>
      <c r="AG31" s="709"/>
      <c r="AH31" s="709"/>
      <c r="AI31" s="709"/>
      <c r="AJ31" s="709"/>
      <c r="AK31" s="710"/>
      <c r="AQ31" s="564"/>
      <c r="AR31" s="565"/>
      <c r="AS31" s="545"/>
      <c r="AT31" s="545"/>
      <c r="AU31" s="546"/>
      <c r="AV31" s="566"/>
      <c r="AW31" s="545"/>
      <c r="AX31" s="548"/>
      <c r="AZ31" s="567"/>
      <c r="BA31" s="549"/>
      <c r="BC31" s="567"/>
      <c r="BD31" s="568"/>
      <c r="BE31" s="547"/>
      <c r="BF31" s="550"/>
    </row>
    <row r="32" spans="1:61" ht="5.25" customHeight="1" thickBot="1" x14ac:dyDescent="0.45">
      <c r="B32" s="501"/>
      <c r="E32" s="505"/>
      <c r="U32" s="655"/>
      <c r="V32" s="655"/>
      <c r="W32" s="655"/>
      <c r="X32" s="655"/>
      <c r="Y32" s="655"/>
      <c r="Z32" s="655"/>
      <c r="AA32" s="655"/>
    </row>
    <row r="33" spans="1:58" ht="28.5" customHeight="1" x14ac:dyDescent="0.4">
      <c r="B33" s="551" t="s">
        <v>5</v>
      </c>
      <c r="C33" s="535"/>
      <c r="D33" s="244" t="s">
        <v>91</v>
      </c>
      <c r="E33" s="560">
        <v>0</v>
      </c>
      <c r="F33" s="536"/>
      <c r="G33" s="537" t="s">
        <v>6</v>
      </c>
      <c r="H33" s="48">
        <v>305.90000000000003</v>
      </c>
      <c r="I33" s="48">
        <v>315.39999999999998</v>
      </c>
      <c r="J33" s="538">
        <v>46053</v>
      </c>
      <c r="K33" s="538">
        <v>46112</v>
      </c>
      <c r="L33" s="535"/>
      <c r="M33" s="48">
        <v>315.39999999999998</v>
      </c>
      <c r="N33" s="48">
        <v>315.39999999999998</v>
      </c>
      <c r="O33" s="535"/>
      <c r="P33" s="244" t="s">
        <v>88</v>
      </c>
      <c r="Q33" s="560">
        <v>0</v>
      </c>
      <c r="R33" s="536"/>
      <c r="S33" s="554" t="s">
        <v>589</v>
      </c>
      <c r="T33" s="536"/>
      <c r="U33" s="49">
        <v>297.38168000000002</v>
      </c>
      <c r="V33" s="49">
        <v>315.08360672000003</v>
      </c>
      <c r="W33" s="49">
        <f>ROUND((V33-AZ33),1)</f>
        <v>0.1</v>
      </c>
      <c r="X33" s="50"/>
      <c r="Y33" s="538">
        <v>46107</v>
      </c>
      <c r="Z33" s="538">
        <v>46107</v>
      </c>
      <c r="AA33" s="51">
        <f>Z33-BA33</f>
        <v>0</v>
      </c>
      <c r="AB33" s="535"/>
      <c r="AC33" s="49">
        <v>292.98492132999996</v>
      </c>
      <c r="AD33" s="49">
        <v>292.39722021009999</v>
      </c>
      <c r="AE33" s="52">
        <v>312.99395022000004</v>
      </c>
      <c r="AF33" s="539">
        <v>0.93419447885359197</v>
      </c>
      <c r="AG33" s="539">
        <v>0.9979940908998588</v>
      </c>
      <c r="AH33" s="575">
        <v>0.98521509909420102</v>
      </c>
      <c r="AI33" s="574">
        <v>0.98323884716133148</v>
      </c>
      <c r="AJ33" s="540"/>
      <c r="AK33" s="247" t="s">
        <v>90</v>
      </c>
      <c r="AM33" s="586">
        <v>41821</v>
      </c>
      <c r="AN33" s="599">
        <f>(V33-I33)/I33</f>
        <v>-1.0031492707670987E-3</v>
      </c>
      <c r="AO33" s="599">
        <f>((Z33-AM33)-(K33-AM33))/(K33-AM33)</f>
        <v>-1.1652295502213937E-3</v>
      </c>
      <c r="AQ33" s="561">
        <f>V33-I33</f>
        <v>-0.31639327999994293</v>
      </c>
      <c r="AR33" s="562">
        <f>V33-M33</f>
        <v>-0.31639327999994293</v>
      </c>
      <c r="AS33" s="541"/>
      <c r="AT33" s="540">
        <f>Z33-K33</f>
        <v>-5</v>
      </c>
      <c r="AU33" s="535"/>
      <c r="AV33" s="563">
        <f>V33-U33</f>
        <v>17.701926720000017</v>
      </c>
      <c r="AW33" s="541"/>
      <c r="AX33" s="542">
        <f>Z33-Y33</f>
        <v>0</v>
      </c>
      <c r="AZ33" s="53">
        <v>314.93655337000001</v>
      </c>
      <c r="BA33" s="552">
        <v>46107</v>
      </c>
      <c r="BC33" s="53">
        <v>297.38168000000002</v>
      </c>
      <c r="BD33" s="77">
        <f>U33-BC33</f>
        <v>0</v>
      </c>
      <c r="BE33" s="543">
        <v>46107</v>
      </c>
      <c r="BF33" s="544">
        <f>Y33-BE33</f>
        <v>0</v>
      </c>
    </row>
    <row r="34" spans="1:58" ht="96" customHeight="1" thickBot="1" x14ac:dyDescent="0.45">
      <c r="A34" s="497" t="str">
        <f>B33</f>
        <v>Security Systems Architecture Upgrade (SSAU)</v>
      </c>
      <c r="B34" s="708" t="s">
        <v>550</v>
      </c>
      <c r="C34" s="709"/>
      <c r="D34" s="709"/>
      <c r="E34" s="709"/>
      <c r="F34" s="709"/>
      <c r="G34" s="709"/>
      <c r="H34" s="709"/>
      <c r="I34" s="709"/>
      <c r="J34" s="709"/>
      <c r="K34" s="709"/>
      <c r="L34" s="709"/>
      <c r="M34" s="709"/>
      <c r="N34" s="709"/>
      <c r="O34" s="709"/>
      <c r="P34" s="709"/>
      <c r="Q34" s="709"/>
      <c r="R34" s="709"/>
      <c r="S34" s="709"/>
      <c r="T34" s="709"/>
      <c r="U34" s="709"/>
      <c r="V34" s="709"/>
      <c r="W34" s="709"/>
      <c r="X34" s="709"/>
      <c r="Y34" s="709"/>
      <c r="Z34" s="709"/>
      <c r="AA34" s="709"/>
      <c r="AB34" s="709"/>
      <c r="AC34" s="709"/>
      <c r="AD34" s="709"/>
      <c r="AE34" s="709"/>
      <c r="AF34" s="709"/>
      <c r="AG34" s="709"/>
      <c r="AH34" s="709"/>
      <c r="AI34" s="709"/>
      <c r="AJ34" s="709"/>
      <c r="AK34" s="710"/>
      <c r="AQ34" s="564"/>
      <c r="AR34" s="565"/>
      <c r="AS34" s="545"/>
      <c r="AT34" s="545"/>
      <c r="AU34" s="546"/>
      <c r="AV34" s="566"/>
      <c r="AW34" s="545"/>
      <c r="AX34" s="548"/>
      <c r="AZ34" s="567"/>
      <c r="BA34" s="549"/>
      <c r="BC34" s="567"/>
      <c r="BD34" s="568"/>
      <c r="BE34" s="547"/>
      <c r="BF34" s="550"/>
    </row>
    <row r="35" spans="1:58" ht="5.25" customHeight="1" thickBot="1" x14ac:dyDescent="0.45">
      <c r="B35" s="501"/>
      <c r="E35" s="505"/>
      <c r="U35" s="655"/>
      <c r="V35" s="655"/>
      <c r="W35" s="655"/>
      <c r="X35" s="655"/>
      <c r="Y35" s="655"/>
      <c r="Z35" s="655"/>
      <c r="AA35" s="655"/>
      <c r="AQ35" s="557"/>
      <c r="AR35" s="557"/>
      <c r="AV35" s="557"/>
      <c r="AZ35" s="557"/>
      <c r="BC35" s="557"/>
      <c r="BD35" s="570"/>
      <c r="BF35" s="527"/>
    </row>
    <row r="36" spans="1:58" ht="28.5" customHeight="1" x14ac:dyDescent="0.4">
      <c r="B36" s="534" t="s">
        <v>307</v>
      </c>
      <c r="C36" s="535"/>
      <c r="D36" s="244" t="s">
        <v>91</v>
      </c>
      <c r="E36" s="560">
        <v>0</v>
      </c>
      <c r="F36" s="536"/>
      <c r="G36" s="537" t="s">
        <v>325</v>
      </c>
      <c r="H36" s="48">
        <v>54</v>
      </c>
      <c r="I36" s="48">
        <v>65</v>
      </c>
      <c r="J36" s="538">
        <v>47480</v>
      </c>
      <c r="K36" s="538">
        <v>47831</v>
      </c>
      <c r="L36" s="535"/>
      <c r="M36" s="48" t="s">
        <v>164</v>
      </c>
      <c r="N36" s="48">
        <v>11</v>
      </c>
      <c r="O36" s="535"/>
      <c r="P36" s="244" t="s">
        <v>91</v>
      </c>
      <c r="Q36" s="560">
        <v>1</v>
      </c>
      <c r="R36" s="536"/>
      <c r="S36" s="554" t="s">
        <v>590</v>
      </c>
      <c r="T36" s="536"/>
      <c r="U36" s="49">
        <v>53.217953000000001</v>
      </c>
      <c r="V36" s="49">
        <v>53.218374470000001</v>
      </c>
      <c r="W36" s="49">
        <f>ROUND((V36-AZ36),1)</f>
        <v>0</v>
      </c>
      <c r="X36" s="50"/>
      <c r="Y36" s="538">
        <v>47465</v>
      </c>
      <c r="Z36" s="538">
        <v>47528</v>
      </c>
      <c r="AA36" s="51">
        <f>Z36-BA36</f>
        <v>0</v>
      </c>
      <c r="AB36" s="535"/>
      <c r="AC36" s="49">
        <v>6.2677562800000004</v>
      </c>
      <c r="AD36" s="49">
        <v>4.0485381242999994</v>
      </c>
      <c r="AE36" s="52">
        <v>4.8793046200000001</v>
      </c>
      <c r="AF36" s="539">
        <v>0.82973670217376183</v>
      </c>
      <c r="AG36" s="539">
        <v>0.64593100679722026</v>
      </c>
      <c r="AH36" s="575">
        <v>0.11777522295906422</v>
      </c>
      <c r="AI36" s="574">
        <v>7.6074668341715432E-2</v>
      </c>
      <c r="AJ36" s="540"/>
      <c r="AK36" s="247" t="s">
        <v>91</v>
      </c>
      <c r="AM36" s="586">
        <v>44589</v>
      </c>
      <c r="AN36" s="599">
        <f>(V36-I36)/I36</f>
        <v>-0.18125577738461537</v>
      </c>
      <c r="AO36" s="599">
        <f>((Z36-AM36)-(K36-AM36))/(K36-AM36)</f>
        <v>-9.346082665021592E-2</v>
      </c>
      <c r="AQ36" s="561">
        <f>V36-I36</f>
        <v>-11.781625529999999</v>
      </c>
      <c r="AR36" s="562" t="e">
        <f>V36-M36</f>
        <v>#VALUE!</v>
      </c>
      <c r="AS36" s="541"/>
      <c r="AT36" s="540">
        <f>Z36-K36</f>
        <v>-303</v>
      </c>
      <c r="AU36" s="535"/>
      <c r="AV36" s="563">
        <f>V36-U36</f>
        <v>4.2146999999914669E-4</v>
      </c>
      <c r="AW36" s="541"/>
      <c r="AX36" s="542">
        <f>Z36-Y36</f>
        <v>63</v>
      </c>
      <c r="AZ36" s="53">
        <v>53.196199560000004</v>
      </c>
      <c r="BA36" s="552">
        <v>47528</v>
      </c>
      <c r="BC36" s="53">
        <v>53.195810000000002</v>
      </c>
      <c r="BD36" s="77">
        <f>U36-BC36</f>
        <v>2.2142999999999802E-2</v>
      </c>
      <c r="BE36" s="543">
        <v>47296</v>
      </c>
      <c r="BF36" s="544">
        <f>Y36-BE36</f>
        <v>169</v>
      </c>
    </row>
    <row r="37" spans="1:58" ht="81.75" customHeight="1" thickBot="1" x14ac:dyDescent="0.45">
      <c r="A37" s="497" t="str">
        <f>B36</f>
        <v>Heat Exchanger Deplanting - Main Project</v>
      </c>
      <c r="B37" s="742" t="s">
        <v>565</v>
      </c>
      <c r="C37" s="831"/>
      <c r="D37" s="831"/>
      <c r="E37" s="831"/>
      <c r="F37" s="831"/>
      <c r="G37" s="831"/>
      <c r="H37" s="831"/>
      <c r="I37" s="831"/>
      <c r="J37" s="831"/>
      <c r="K37" s="831"/>
      <c r="L37" s="831"/>
      <c r="M37" s="831"/>
      <c r="N37" s="831"/>
      <c r="O37" s="831"/>
      <c r="P37" s="831"/>
      <c r="Q37" s="831"/>
      <c r="R37" s="831"/>
      <c r="S37" s="831"/>
      <c r="T37" s="831"/>
      <c r="U37" s="831"/>
      <c r="V37" s="831"/>
      <c r="W37" s="831"/>
      <c r="X37" s="831"/>
      <c r="Y37" s="831"/>
      <c r="Z37" s="831"/>
      <c r="AA37" s="831"/>
      <c r="AB37" s="831"/>
      <c r="AC37" s="831"/>
      <c r="AD37" s="831"/>
      <c r="AE37" s="831"/>
      <c r="AF37" s="831"/>
      <c r="AG37" s="831"/>
      <c r="AH37" s="831"/>
      <c r="AI37" s="831"/>
      <c r="AJ37" s="831"/>
      <c r="AK37" s="832"/>
      <c r="AQ37" s="564"/>
      <c r="AR37" s="565"/>
      <c r="AS37" s="545"/>
      <c r="AT37" s="545"/>
      <c r="AU37" s="546"/>
      <c r="AV37" s="566"/>
      <c r="AW37" s="545"/>
      <c r="AX37" s="548"/>
      <c r="AZ37" s="567"/>
      <c r="BA37" s="549"/>
      <c r="BC37" s="567"/>
      <c r="BD37" s="568"/>
      <c r="BE37" s="547"/>
      <c r="BF37" s="550"/>
    </row>
    <row r="38" spans="1:58" ht="5.25" customHeight="1" thickBot="1" x14ac:dyDescent="0.45">
      <c r="B38" s="501"/>
      <c r="E38" s="505"/>
      <c r="U38" s="655"/>
      <c r="V38" s="655"/>
      <c r="W38" s="655"/>
      <c r="X38" s="655"/>
      <c r="Y38" s="655"/>
      <c r="Z38" s="655"/>
      <c r="AA38" s="655"/>
      <c r="AQ38" s="557"/>
      <c r="AR38" s="557"/>
      <c r="AV38" s="557"/>
      <c r="AZ38" s="557"/>
      <c r="BC38" s="557"/>
      <c r="BD38" s="570"/>
      <c r="BF38" s="527"/>
    </row>
    <row r="39" spans="1:58" ht="28.5" customHeight="1" x14ac:dyDescent="0.4">
      <c r="B39" s="551" t="s">
        <v>98</v>
      </c>
      <c r="C39" s="535"/>
      <c r="D39" s="244" t="s">
        <v>90</v>
      </c>
      <c r="E39" s="560">
        <v>-1</v>
      </c>
      <c r="F39" s="536"/>
      <c r="G39" s="537" t="s">
        <v>185</v>
      </c>
      <c r="H39" s="48">
        <v>1316</v>
      </c>
      <c r="I39" s="48">
        <v>1512</v>
      </c>
      <c r="J39" s="538">
        <v>46332</v>
      </c>
      <c r="K39" s="538">
        <v>46847</v>
      </c>
      <c r="L39" s="535"/>
      <c r="M39" s="48">
        <v>1512</v>
      </c>
      <c r="N39" s="48">
        <v>1389.2</v>
      </c>
      <c r="O39" s="535"/>
      <c r="P39" s="244" t="s">
        <v>90</v>
      </c>
      <c r="Q39" s="560">
        <v>0</v>
      </c>
      <c r="R39" s="536"/>
      <c r="S39" s="554" t="s">
        <v>591</v>
      </c>
      <c r="T39" s="536"/>
      <c r="U39" s="49">
        <v>1335.4604200000001</v>
      </c>
      <c r="V39" s="49">
        <v>1445.0750578699999</v>
      </c>
      <c r="W39" s="49">
        <f>ROUND((V39-AZ39),1)</f>
        <v>0</v>
      </c>
      <c r="X39" s="50"/>
      <c r="Y39" s="538">
        <v>46402</v>
      </c>
      <c r="Z39" s="538">
        <v>46609</v>
      </c>
      <c r="AA39" s="51">
        <f>Z39-BA39</f>
        <v>0</v>
      </c>
      <c r="AB39" s="535"/>
      <c r="AC39" s="49">
        <v>1268.0732876300001</v>
      </c>
      <c r="AD39" s="49">
        <v>1213.6179299946</v>
      </c>
      <c r="AE39" s="52">
        <v>1338.8088684900001</v>
      </c>
      <c r="AF39" s="539">
        <v>0.90649080578873154</v>
      </c>
      <c r="AG39" s="539">
        <v>0.95705661639070105</v>
      </c>
      <c r="AH39" s="575">
        <v>0.94954015007797843</v>
      </c>
      <c r="AI39" s="574">
        <v>0.9087636831607484</v>
      </c>
      <c r="AJ39" s="540"/>
      <c r="AK39" s="247" t="s">
        <v>91</v>
      </c>
      <c r="AM39" s="586">
        <v>41621</v>
      </c>
      <c r="AN39" s="599">
        <f>(V39-I39)/I39</f>
        <v>-4.4262527863756673E-2</v>
      </c>
      <c r="AO39" s="599">
        <f>((Z39-AM39)-(K39-AM39))/(K39-AM39)</f>
        <v>-4.5541523153463451E-2</v>
      </c>
      <c r="AQ39" s="561">
        <f>V39-I39</f>
        <v>-66.92494213000009</v>
      </c>
      <c r="AR39" s="562">
        <f>V39-M39</f>
        <v>-66.92494213000009</v>
      </c>
      <c r="AS39" s="541"/>
      <c r="AT39" s="540">
        <f>Z39-K39</f>
        <v>-238</v>
      </c>
      <c r="AU39" s="535"/>
      <c r="AV39" s="563">
        <f>V39-U39</f>
        <v>109.6146378699998</v>
      </c>
      <c r="AW39" s="541"/>
      <c r="AX39" s="542">
        <f>Z39-Y39</f>
        <v>207</v>
      </c>
      <c r="AZ39" s="53">
        <v>1445.07505715</v>
      </c>
      <c r="BA39" s="552">
        <v>46609</v>
      </c>
      <c r="BC39" s="53">
        <v>1335.4604200000001</v>
      </c>
      <c r="BD39" s="77">
        <f>U39-BC39</f>
        <v>0</v>
      </c>
      <c r="BE39" s="543">
        <v>46402</v>
      </c>
      <c r="BF39" s="544">
        <f>Y39-BE39</f>
        <v>0</v>
      </c>
    </row>
    <row r="40" spans="1:58" ht="93.75" customHeight="1" thickBot="1" x14ac:dyDescent="0.45">
      <c r="A40" s="497" t="str">
        <f>B39</f>
        <v>Box Encapsulation Plant</v>
      </c>
      <c r="B40" s="708" t="s">
        <v>566</v>
      </c>
      <c r="C40" s="711"/>
      <c r="D40" s="711"/>
      <c r="E40" s="711"/>
      <c r="F40" s="711"/>
      <c r="G40" s="711"/>
      <c r="H40" s="711"/>
      <c r="I40" s="711"/>
      <c r="J40" s="711"/>
      <c r="K40" s="711"/>
      <c r="L40" s="711"/>
      <c r="M40" s="711"/>
      <c r="N40" s="711"/>
      <c r="O40" s="711"/>
      <c r="P40" s="711"/>
      <c r="Q40" s="711"/>
      <c r="R40" s="711"/>
      <c r="S40" s="711"/>
      <c r="T40" s="711"/>
      <c r="U40" s="711"/>
      <c r="V40" s="711"/>
      <c r="W40" s="711"/>
      <c r="X40" s="711"/>
      <c r="Y40" s="711"/>
      <c r="Z40" s="711"/>
      <c r="AA40" s="711"/>
      <c r="AB40" s="711"/>
      <c r="AC40" s="711"/>
      <c r="AD40" s="711"/>
      <c r="AE40" s="711"/>
      <c r="AF40" s="711"/>
      <c r="AG40" s="711"/>
      <c r="AH40" s="711"/>
      <c r="AI40" s="711"/>
      <c r="AJ40" s="711"/>
      <c r="AK40" s="712"/>
      <c r="AQ40" s="564"/>
      <c r="AR40" s="565"/>
      <c r="AS40" s="545"/>
      <c r="AT40" s="545"/>
      <c r="AU40" s="546"/>
      <c r="AV40" s="566"/>
      <c r="AW40" s="545"/>
      <c r="AX40" s="548"/>
      <c r="AZ40" s="567"/>
      <c r="BA40" s="549"/>
      <c r="BC40" s="567"/>
      <c r="BD40" s="568"/>
      <c r="BE40" s="547"/>
      <c r="BF40" s="550"/>
    </row>
    <row r="41" spans="1:58" ht="5.25" customHeight="1" thickBot="1" x14ac:dyDescent="0.45">
      <c r="B41" s="522"/>
      <c r="C41" s="569"/>
      <c r="D41" s="569"/>
      <c r="E41" s="569"/>
      <c r="F41" s="569"/>
      <c r="G41" s="569"/>
      <c r="H41" s="569"/>
      <c r="I41" s="569"/>
      <c r="J41" s="569"/>
      <c r="K41" s="569"/>
      <c r="L41" s="569"/>
      <c r="M41" s="569"/>
      <c r="N41" s="569"/>
      <c r="O41" s="569"/>
      <c r="P41" s="569"/>
      <c r="Q41" s="569"/>
      <c r="R41" s="569"/>
      <c r="S41" s="569"/>
      <c r="T41" s="569"/>
      <c r="U41" s="569"/>
      <c r="V41" s="569"/>
      <c r="W41" s="569"/>
      <c r="X41" s="569"/>
      <c r="Y41" s="569"/>
      <c r="Z41" s="569"/>
      <c r="AA41" s="569"/>
      <c r="AB41" s="569"/>
      <c r="AC41" s="569"/>
      <c r="AD41" s="569"/>
      <c r="AE41" s="569"/>
      <c r="AF41" s="569"/>
      <c r="AG41" s="569"/>
      <c r="AH41" s="569"/>
      <c r="AI41" s="569"/>
      <c r="AJ41" s="569"/>
      <c r="AK41" s="569"/>
      <c r="AM41" s="94"/>
      <c r="AN41" s="94"/>
      <c r="AO41" s="94"/>
      <c r="AQ41" s="557"/>
      <c r="AR41" s="557"/>
      <c r="AV41" s="557"/>
      <c r="AZ41" s="557"/>
      <c r="BC41" s="557"/>
      <c r="BD41" s="557"/>
    </row>
    <row r="42" spans="1:58" ht="28.5" customHeight="1" x14ac:dyDescent="0.4">
      <c r="B42" s="534" t="s">
        <v>111</v>
      </c>
      <c r="C42" s="535"/>
      <c r="D42" s="244" t="s">
        <v>90</v>
      </c>
      <c r="E42" s="560">
        <v>-1</v>
      </c>
      <c r="F42" s="536"/>
      <c r="G42" s="537" t="s">
        <v>15</v>
      </c>
      <c r="H42" s="48">
        <v>1335.43</v>
      </c>
      <c r="I42" s="48">
        <v>1673</v>
      </c>
      <c r="J42" s="538">
        <v>47400</v>
      </c>
      <c r="K42" s="538">
        <v>48274</v>
      </c>
      <c r="L42" s="535"/>
      <c r="M42" s="48">
        <v>1673</v>
      </c>
      <c r="N42" s="48">
        <v>1482.9</v>
      </c>
      <c r="O42" s="535"/>
      <c r="P42" s="244" t="s">
        <v>90</v>
      </c>
      <c r="Q42" s="560">
        <v>-1</v>
      </c>
      <c r="R42" s="536"/>
      <c r="S42" s="554" t="s">
        <v>592</v>
      </c>
      <c r="T42" s="536"/>
      <c r="U42" s="49">
        <v>1479.319029</v>
      </c>
      <c r="V42" s="49">
        <v>1466.5527000100001</v>
      </c>
      <c r="W42" s="49">
        <f>ROUND((V42-AZ42),1)</f>
        <v>0</v>
      </c>
      <c r="X42" s="50"/>
      <c r="Y42" s="538">
        <v>47574</v>
      </c>
      <c r="Z42" s="538">
        <v>47574</v>
      </c>
      <c r="AA42" s="51">
        <f>Z42-BA42</f>
        <v>0</v>
      </c>
      <c r="AB42" s="535"/>
      <c r="AC42" s="49">
        <v>1122.4111965999998</v>
      </c>
      <c r="AD42" s="49">
        <v>976.10643689879998</v>
      </c>
      <c r="AE42" s="52">
        <v>1030.0308059199999</v>
      </c>
      <c r="AF42" s="539">
        <v>0.9476478094526154</v>
      </c>
      <c r="AG42" s="539">
        <v>0.86965137184626695</v>
      </c>
      <c r="AH42" s="575">
        <v>0.75873504943604686</v>
      </c>
      <c r="AI42" s="574">
        <v>0.65983497660990342</v>
      </c>
      <c r="AJ42" s="540"/>
      <c r="AK42" s="247" t="s">
        <v>90</v>
      </c>
      <c r="AM42" s="586">
        <v>42272</v>
      </c>
      <c r="AN42" s="599">
        <f>(V42-I42)/I42</f>
        <v>-0.12339946203825458</v>
      </c>
      <c r="AO42" s="599">
        <f>((Z42-AM42)-(K42-AM42))/(K42-AM42)</f>
        <v>-0.1166277907364212</v>
      </c>
      <c r="AQ42" s="561">
        <f>V42-I42</f>
        <v>-206.44729998999992</v>
      </c>
      <c r="AR42" s="562">
        <f>V42-M42</f>
        <v>-206.44729998999992</v>
      </c>
      <c r="AS42" s="541"/>
      <c r="AT42" s="540">
        <f>Z42-K42</f>
        <v>-700</v>
      </c>
      <c r="AU42" s="535"/>
      <c r="AV42" s="563">
        <f>V42-U42</f>
        <v>-12.76632898999992</v>
      </c>
      <c r="AW42" s="541"/>
      <c r="AX42" s="542">
        <f>Z42-Y42</f>
        <v>0</v>
      </c>
      <c r="AZ42" s="53">
        <v>1466.54995661</v>
      </c>
      <c r="BA42" s="552">
        <v>47574</v>
      </c>
      <c r="BC42" s="53">
        <v>1479.3190300000001</v>
      </c>
      <c r="BD42" s="77">
        <f>U42-BC42</f>
        <v>-1.0000001111620804E-6</v>
      </c>
      <c r="BE42" s="543">
        <v>47574</v>
      </c>
      <c r="BF42" s="544">
        <f>Y42-BE42</f>
        <v>0</v>
      </c>
    </row>
    <row r="43" spans="1:58" ht="111" customHeight="1" thickBot="1" x14ac:dyDescent="0.45">
      <c r="A43" s="497" t="str">
        <f>B42</f>
        <v>Sellafield Product &amp; Residue Store Retreatment Plant</v>
      </c>
      <c r="B43" s="708" t="s">
        <v>567</v>
      </c>
      <c r="C43" s="711"/>
      <c r="D43" s="711"/>
      <c r="E43" s="711"/>
      <c r="F43" s="711"/>
      <c r="G43" s="711"/>
      <c r="H43" s="711"/>
      <c r="I43" s="711"/>
      <c r="J43" s="711"/>
      <c r="K43" s="711"/>
      <c r="L43" s="711"/>
      <c r="M43" s="711"/>
      <c r="N43" s="711"/>
      <c r="O43" s="711"/>
      <c r="P43" s="711"/>
      <c r="Q43" s="711"/>
      <c r="R43" s="711"/>
      <c r="S43" s="711"/>
      <c r="T43" s="711"/>
      <c r="U43" s="711"/>
      <c r="V43" s="711"/>
      <c r="W43" s="711"/>
      <c r="X43" s="711"/>
      <c r="Y43" s="711"/>
      <c r="Z43" s="711"/>
      <c r="AA43" s="711"/>
      <c r="AB43" s="711"/>
      <c r="AC43" s="711"/>
      <c r="AD43" s="711"/>
      <c r="AE43" s="711"/>
      <c r="AF43" s="711"/>
      <c r="AG43" s="711"/>
      <c r="AH43" s="711"/>
      <c r="AI43" s="711"/>
      <c r="AJ43" s="711"/>
      <c r="AK43" s="712"/>
      <c r="AQ43" s="564"/>
      <c r="AR43" s="565"/>
      <c r="AS43" s="545"/>
      <c r="AT43" s="545"/>
      <c r="AU43" s="546"/>
      <c r="AV43" s="566"/>
      <c r="AW43" s="545"/>
      <c r="AX43" s="548"/>
      <c r="AZ43" s="567"/>
      <c r="BA43" s="549"/>
      <c r="BC43" s="567"/>
      <c r="BD43" s="568"/>
      <c r="BE43" s="547"/>
      <c r="BF43" s="550"/>
    </row>
    <row r="44" spans="1:58" ht="5.25" customHeight="1" thickBot="1" x14ac:dyDescent="0.45">
      <c r="B44" s="522"/>
      <c r="C44" s="569"/>
      <c r="D44" s="569"/>
      <c r="E44" s="569"/>
      <c r="F44" s="569"/>
      <c r="G44" s="569"/>
      <c r="H44" s="569"/>
      <c r="I44" s="569"/>
      <c r="J44" s="569"/>
      <c r="K44" s="569"/>
      <c r="L44" s="569"/>
      <c r="M44" s="569"/>
      <c r="N44" s="569"/>
      <c r="O44" s="569"/>
      <c r="P44" s="569"/>
      <c r="Q44" s="569"/>
      <c r="R44" s="569"/>
      <c r="S44" s="569"/>
      <c r="T44" s="569"/>
      <c r="U44" s="569"/>
      <c r="V44" s="569"/>
      <c r="W44" s="569"/>
      <c r="X44" s="569"/>
      <c r="Y44" s="569"/>
      <c r="Z44" s="569"/>
      <c r="AA44" s="569"/>
      <c r="AB44" s="569"/>
      <c r="AC44" s="569"/>
      <c r="AD44" s="569"/>
      <c r="AE44" s="569"/>
      <c r="AF44" s="569"/>
      <c r="AG44" s="569"/>
      <c r="AH44" s="569"/>
      <c r="AI44" s="569"/>
      <c r="AJ44" s="569"/>
      <c r="AK44" s="569"/>
      <c r="AM44" s="94"/>
      <c r="AN44" s="94"/>
      <c r="AO44" s="94"/>
      <c r="AQ44" s="557"/>
      <c r="AR44" s="557"/>
      <c r="AV44" s="557"/>
      <c r="AZ44" s="557"/>
      <c r="BC44" s="557"/>
      <c r="BD44" s="557"/>
    </row>
    <row r="45" spans="1:58" ht="28.5" customHeight="1" x14ac:dyDescent="0.4">
      <c r="B45" s="534" t="s">
        <v>119</v>
      </c>
      <c r="C45" s="535"/>
      <c r="D45" s="244" t="s">
        <v>91</v>
      </c>
      <c r="E45" s="560">
        <v>0</v>
      </c>
      <c r="F45" s="536"/>
      <c r="G45" s="537" t="s">
        <v>382</v>
      </c>
      <c r="H45" s="48">
        <v>72.599999999999994</v>
      </c>
      <c r="I45" s="48">
        <v>79</v>
      </c>
      <c r="J45" s="538">
        <v>46106</v>
      </c>
      <c r="K45" s="538">
        <v>46234</v>
      </c>
      <c r="L45" s="535"/>
      <c r="M45" s="48">
        <v>72.599999999999994</v>
      </c>
      <c r="N45" s="48">
        <v>72.599999999999994</v>
      </c>
      <c r="O45" s="535"/>
      <c r="P45" s="244" t="s">
        <v>91</v>
      </c>
      <c r="Q45" s="560">
        <v>0</v>
      </c>
      <c r="R45" s="536"/>
      <c r="S45" s="554" t="s">
        <v>593</v>
      </c>
      <c r="T45" s="536"/>
      <c r="U45" s="49">
        <v>72.672543000000005</v>
      </c>
      <c r="V45" s="49">
        <v>71.07906328</v>
      </c>
      <c r="W45" s="49">
        <f>ROUND((V45-AZ45),1)</f>
        <v>0</v>
      </c>
      <c r="X45" s="50"/>
      <c r="Y45" s="538">
        <v>46106</v>
      </c>
      <c r="Z45" s="538">
        <v>46106</v>
      </c>
      <c r="AA45" s="51">
        <f>Z45-BA45</f>
        <v>0</v>
      </c>
      <c r="AB45" s="535"/>
      <c r="AC45" s="49">
        <v>72.620399569999989</v>
      </c>
      <c r="AD45" s="49">
        <v>64.523049697899992</v>
      </c>
      <c r="AE45" s="52">
        <v>69.601769540000006</v>
      </c>
      <c r="AF45" s="539">
        <v>0.92703174250216058</v>
      </c>
      <c r="AG45" s="539">
        <v>0.88849758580170257</v>
      </c>
      <c r="AH45" s="575">
        <v>0.99928248788541763</v>
      </c>
      <c r="AI45" s="574">
        <v>0.88786007802011269</v>
      </c>
      <c r="AJ45" s="540"/>
      <c r="AK45" s="247" t="s">
        <v>91</v>
      </c>
      <c r="AM45" s="586">
        <v>41821</v>
      </c>
      <c r="AN45" s="599">
        <f>(V45-I45)/I45</f>
        <v>-0.10026502177215191</v>
      </c>
      <c r="AO45" s="599">
        <f>((Z45-AM45)-(K45-AM45))/(K45-AM45)</f>
        <v>-2.9005211874008612E-2</v>
      </c>
      <c r="AQ45" s="561">
        <f>V45-I45</f>
        <v>-7.9209367200000003</v>
      </c>
      <c r="AR45" s="562">
        <f>V45-M45</f>
        <v>-1.5209367199999946</v>
      </c>
      <c r="AS45" s="541"/>
      <c r="AT45" s="540">
        <f>Z45-K45</f>
        <v>-128</v>
      </c>
      <c r="AU45" s="535"/>
      <c r="AV45" s="563">
        <f>V45-U45</f>
        <v>-1.5934797200000048</v>
      </c>
      <c r="AW45" s="541"/>
      <c r="AX45" s="542">
        <f>Z45-Y45</f>
        <v>0</v>
      </c>
      <c r="AZ45" s="53">
        <v>71.110653310000004</v>
      </c>
      <c r="BA45" s="552">
        <v>46106</v>
      </c>
      <c r="BC45" s="53">
        <v>72.672543000000005</v>
      </c>
      <c r="BD45" s="77">
        <f>U45-BC45</f>
        <v>0</v>
      </c>
      <c r="BE45" s="543">
        <v>46106</v>
      </c>
      <c r="BF45" s="544">
        <f>Y45-BE45</f>
        <v>0</v>
      </c>
    </row>
    <row r="46" spans="1:58" ht="165.75" customHeight="1" thickBot="1" x14ac:dyDescent="0.45">
      <c r="A46" s="497" t="str">
        <f>B45</f>
        <v>CNC Operational Unit</v>
      </c>
      <c r="B46" s="708" t="s">
        <v>551</v>
      </c>
      <c r="C46" s="711"/>
      <c r="D46" s="711"/>
      <c r="E46" s="711"/>
      <c r="F46" s="711"/>
      <c r="G46" s="711"/>
      <c r="H46" s="711"/>
      <c r="I46" s="711"/>
      <c r="J46" s="711"/>
      <c r="K46" s="711"/>
      <c r="L46" s="711"/>
      <c r="M46" s="711"/>
      <c r="N46" s="711"/>
      <c r="O46" s="711"/>
      <c r="P46" s="711"/>
      <c r="Q46" s="711"/>
      <c r="R46" s="711"/>
      <c r="S46" s="711"/>
      <c r="T46" s="711"/>
      <c r="U46" s="711"/>
      <c r="V46" s="711"/>
      <c r="W46" s="711"/>
      <c r="X46" s="711"/>
      <c r="Y46" s="711"/>
      <c r="Z46" s="711"/>
      <c r="AA46" s="711"/>
      <c r="AB46" s="711"/>
      <c r="AC46" s="711"/>
      <c r="AD46" s="711"/>
      <c r="AE46" s="711"/>
      <c r="AF46" s="711"/>
      <c r="AG46" s="711"/>
      <c r="AH46" s="711"/>
      <c r="AI46" s="711"/>
      <c r="AJ46" s="711"/>
      <c r="AK46" s="712"/>
      <c r="AQ46" s="564"/>
      <c r="AR46" s="565"/>
      <c r="AS46" s="545"/>
      <c r="AT46" s="545"/>
      <c r="AU46" s="546"/>
      <c r="AV46" s="566"/>
      <c r="AW46" s="545"/>
      <c r="AX46" s="548"/>
      <c r="AZ46" s="567"/>
      <c r="BA46" s="549"/>
      <c r="BC46" s="567"/>
      <c r="BD46" s="568"/>
      <c r="BE46" s="547"/>
      <c r="BF46" s="550"/>
    </row>
    <row r="47" spans="1:58" ht="5.25" customHeight="1" thickBot="1" x14ac:dyDescent="0.45">
      <c r="B47" s="501"/>
      <c r="E47" s="505"/>
      <c r="U47" s="655"/>
      <c r="V47" s="655"/>
      <c r="W47" s="655"/>
      <c r="X47" s="655"/>
      <c r="Y47" s="655"/>
      <c r="Z47" s="655"/>
      <c r="AA47" s="655"/>
      <c r="AQ47" s="557"/>
      <c r="AR47" s="557"/>
      <c r="AV47" s="557"/>
      <c r="AZ47" s="557"/>
      <c r="BC47" s="557"/>
      <c r="BD47" s="570"/>
      <c r="BF47" s="527"/>
    </row>
    <row r="48" spans="1:58" ht="32.25" customHeight="1" x14ac:dyDescent="0.4">
      <c r="B48" s="534" t="s">
        <v>236</v>
      </c>
      <c r="C48" s="535"/>
      <c r="D48" s="244" t="s">
        <v>91</v>
      </c>
      <c r="E48" s="560">
        <v>0</v>
      </c>
      <c r="F48" s="536"/>
      <c r="G48" s="537" t="s">
        <v>597</v>
      </c>
      <c r="H48" s="48">
        <v>69.099999999999994</v>
      </c>
      <c r="I48" s="48">
        <v>75.8</v>
      </c>
      <c r="J48" s="538">
        <v>46295</v>
      </c>
      <c r="K48" s="538">
        <v>46446</v>
      </c>
      <c r="L48" s="535"/>
      <c r="M48" s="48" t="s">
        <v>164</v>
      </c>
      <c r="N48" s="48">
        <v>69.099999999999994</v>
      </c>
      <c r="O48" s="535"/>
      <c r="P48" s="244" t="s">
        <v>91</v>
      </c>
      <c r="Q48" s="560">
        <v>0</v>
      </c>
      <c r="R48" s="536"/>
      <c r="S48" s="554" t="s">
        <v>594</v>
      </c>
      <c r="T48" s="536"/>
      <c r="U48" s="49">
        <v>67.414677999999995</v>
      </c>
      <c r="V48" s="49">
        <v>35.500378959999999</v>
      </c>
      <c r="W48" s="49">
        <f>ROUND((V48-AZ48),1)</f>
        <v>0</v>
      </c>
      <c r="X48" s="50"/>
      <c r="Y48" s="538">
        <v>46266</v>
      </c>
      <c r="Z48" s="538">
        <v>46112</v>
      </c>
      <c r="AA48" s="51">
        <f>Z48-BA48</f>
        <v>0</v>
      </c>
      <c r="AB48" s="535"/>
      <c r="AC48" s="49">
        <v>61.064990479999999</v>
      </c>
      <c r="AD48" s="49">
        <v>60.1199256373</v>
      </c>
      <c r="AE48" s="52">
        <v>35.120399119999995</v>
      </c>
      <c r="AF48" s="539">
        <v>1.7118235311586629</v>
      </c>
      <c r="AG48" s="539">
        <v>0.98452362253279102</v>
      </c>
      <c r="AH48" s="575">
        <v>0.9058114982022164</v>
      </c>
      <c r="AI48" s="574">
        <v>0.89179281754190087</v>
      </c>
      <c r="AJ48" s="540"/>
      <c r="AK48" s="247" t="s">
        <v>91</v>
      </c>
      <c r="AM48" s="586">
        <v>44280</v>
      </c>
      <c r="AN48" s="599">
        <f>(V48-I48)/I48</f>
        <v>-0.53165726965699212</v>
      </c>
      <c r="AO48" s="599">
        <f>((Z48-AM48)-(K48-AM48))/(K48-AM48)</f>
        <v>-0.15420129270544783</v>
      </c>
      <c r="AQ48" s="561">
        <f>V48-I48</f>
        <v>-40.299621039999998</v>
      </c>
      <c r="AR48" s="562" t="e">
        <f>V48-M48</f>
        <v>#VALUE!</v>
      </c>
      <c r="AS48" s="541"/>
      <c r="AT48" s="540">
        <f>Z48-K48</f>
        <v>-334</v>
      </c>
      <c r="AU48" s="535"/>
      <c r="AV48" s="563">
        <f>V48-U48</f>
        <v>-31.914299039999996</v>
      </c>
      <c r="AW48" s="541"/>
      <c r="AX48" s="542">
        <f>Z48-Y48</f>
        <v>-154</v>
      </c>
      <c r="AZ48" s="53">
        <v>35.500879740000002</v>
      </c>
      <c r="BA48" s="552">
        <v>46112</v>
      </c>
      <c r="BC48" s="53">
        <v>67.414677999999995</v>
      </c>
      <c r="BD48" s="77">
        <f>U48-BC48</f>
        <v>0</v>
      </c>
      <c r="BE48" s="543">
        <v>46266</v>
      </c>
      <c r="BF48" s="544">
        <f>Y48-BE48</f>
        <v>0</v>
      </c>
    </row>
    <row r="49" spans="1:58" ht="82.5" customHeight="1" thickBot="1" x14ac:dyDescent="0.45">
      <c r="A49" s="497" t="str">
        <f>B48</f>
        <v>ILW East Land Excavation</v>
      </c>
      <c r="B49" s="708" t="s">
        <v>552</v>
      </c>
      <c r="C49" s="711"/>
      <c r="D49" s="711"/>
      <c r="E49" s="711"/>
      <c r="F49" s="711"/>
      <c r="G49" s="711"/>
      <c r="H49" s="711"/>
      <c r="I49" s="711"/>
      <c r="J49" s="711"/>
      <c r="K49" s="711"/>
      <c r="L49" s="711"/>
      <c r="M49" s="711"/>
      <c r="N49" s="711"/>
      <c r="O49" s="711"/>
      <c r="P49" s="711"/>
      <c r="Q49" s="711"/>
      <c r="R49" s="711"/>
      <c r="S49" s="711"/>
      <c r="T49" s="711"/>
      <c r="U49" s="711"/>
      <c r="V49" s="711"/>
      <c r="W49" s="711"/>
      <c r="X49" s="711"/>
      <c r="Y49" s="711"/>
      <c r="Z49" s="711"/>
      <c r="AA49" s="711"/>
      <c r="AB49" s="711"/>
      <c r="AC49" s="711"/>
      <c r="AD49" s="711"/>
      <c r="AE49" s="711"/>
      <c r="AF49" s="711"/>
      <c r="AG49" s="711"/>
      <c r="AH49" s="711"/>
      <c r="AI49" s="711"/>
      <c r="AJ49" s="711"/>
      <c r="AK49" s="712"/>
      <c r="AQ49" s="564"/>
      <c r="AR49" s="565"/>
      <c r="AS49" s="545"/>
      <c r="AT49" s="545"/>
      <c r="AU49" s="546"/>
      <c r="AV49" s="566"/>
      <c r="AW49" s="545"/>
      <c r="AX49" s="548"/>
      <c r="AZ49" s="567"/>
      <c r="BA49" s="549"/>
      <c r="BC49" s="567"/>
      <c r="BD49" s="568"/>
      <c r="BE49" s="547"/>
      <c r="BF49" s="550"/>
    </row>
    <row r="50" spans="1:58" ht="5.25" customHeight="1" thickBot="1" x14ac:dyDescent="0.45">
      <c r="B50" s="501"/>
      <c r="E50" s="505"/>
      <c r="U50" s="655"/>
      <c r="V50" s="655"/>
      <c r="W50" s="655"/>
      <c r="X50" s="655"/>
      <c r="Y50" s="655"/>
      <c r="Z50" s="655"/>
      <c r="AA50" s="655"/>
      <c r="AQ50" s="557"/>
      <c r="AR50" s="557"/>
      <c r="AV50" s="557"/>
      <c r="AZ50" s="557"/>
      <c r="BC50" s="557"/>
      <c r="BD50" s="570"/>
      <c r="BF50" s="527"/>
    </row>
    <row r="51" spans="1:58" ht="28.5" customHeight="1" x14ac:dyDescent="0.4">
      <c r="B51" s="534" t="s">
        <v>113</v>
      </c>
      <c r="C51" s="535"/>
      <c r="D51" s="244" t="s">
        <v>91</v>
      </c>
      <c r="E51" s="560">
        <v>0</v>
      </c>
      <c r="F51" s="536"/>
      <c r="G51" s="537" t="s">
        <v>16</v>
      </c>
      <c r="H51" s="48">
        <v>1007</v>
      </c>
      <c r="I51" s="48">
        <v>1182</v>
      </c>
      <c r="J51" s="538">
        <v>47849</v>
      </c>
      <c r="K51" s="538">
        <v>48611</v>
      </c>
      <c r="L51" s="535"/>
      <c r="M51" s="48">
        <v>1182</v>
      </c>
      <c r="N51" s="48">
        <v>1150.7</v>
      </c>
      <c r="O51" s="535"/>
      <c r="P51" s="244" t="s">
        <v>91</v>
      </c>
      <c r="Q51" s="560">
        <v>0</v>
      </c>
      <c r="R51" s="536"/>
      <c r="S51" s="554" t="s">
        <v>595</v>
      </c>
      <c r="T51" s="536"/>
      <c r="U51" s="49">
        <v>1133.0636360000001</v>
      </c>
      <c r="V51" s="49">
        <v>1120.8756530999999</v>
      </c>
      <c r="W51" s="49">
        <f>ROUND((V51-AZ51),1)</f>
        <v>0</v>
      </c>
      <c r="X51" s="50"/>
      <c r="Y51" s="538">
        <v>48142</v>
      </c>
      <c r="Z51" s="538">
        <v>48142</v>
      </c>
      <c r="AA51" s="51">
        <f>Z51-BA51</f>
        <v>0</v>
      </c>
      <c r="AB51" s="535"/>
      <c r="AC51" s="49">
        <v>759.67016635000004</v>
      </c>
      <c r="AD51" s="49">
        <v>718.60177281899996</v>
      </c>
      <c r="AE51" s="52">
        <v>744.39202245000001</v>
      </c>
      <c r="AF51" s="539">
        <v>0.96535394140023534</v>
      </c>
      <c r="AG51" s="539">
        <v>0.94593917814579709</v>
      </c>
      <c r="AH51" s="575">
        <v>0.67045675301329677</v>
      </c>
      <c r="AI51" s="574">
        <v>0.6342113099276977</v>
      </c>
      <c r="AJ51" s="540"/>
      <c r="AK51" s="247" t="s">
        <v>91</v>
      </c>
      <c r="AM51" s="586">
        <v>41778</v>
      </c>
      <c r="AN51" s="599">
        <f>(V51-I51)/I51</f>
        <v>-5.1712645431472158E-2</v>
      </c>
      <c r="AO51" s="599">
        <f>((Z51-AM51)-(K51-AM51))/(K51-AM51)</f>
        <v>-6.863749451192741E-2</v>
      </c>
      <c r="AQ51" s="561">
        <f>V51-I51</f>
        <v>-61.124346900000091</v>
      </c>
      <c r="AR51" s="562">
        <f>V51-M51</f>
        <v>-61.124346900000091</v>
      </c>
      <c r="AS51" s="541"/>
      <c r="AT51" s="540">
        <f>Z51-K51</f>
        <v>-469</v>
      </c>
      <c r="AU51" s="535"/>
      <c r="AV51" s="563">
        <f>V51-U51</f>
        <v>-12.187982900000179</v>
      </c>
      <c r="AW51" s="541"/>
      <c r="AX51" s="542">
        <f>Z51-Y51</f>
        <v>0</v>
      </c>
      <c r="AZ51" s="53">
        <v>1120.8916416900001</v>
      </c>
      <c r="BA51" s="552">
        <v>48142</v>
      </c>
      <c r="BC51" s="53">
        <v>1133.0636360000001</v>
      </c>
      <c r="BD51" s="77">
        <f>U51-BC51</f>
        <v>0</v>
      </c>
      <c r="BE51" s="543">
        <v>48142</v>
      </c>
      <c r="BF51" s="544">
        <f>Y51-BE51</f>
        <v>0</v>
      </c>
    </row>
    <row r="52" spans="1:58" ht="57" customHeight="1" thickBot="1" x14ac:dyDescent="0.45">
      <c r="A52" s="497" t="str">
        <f>B51</f>
        <v>SIXEP Continuity Plant</v>
      </c>
      <c r="B52" s="708" t="s">
        <v>553</v>
      </c>
      <c r="C52" s="711"/>
      <c r="D52" s="711"/>
      <c r="E52" s="711"/>
      <c r="F52" s="711"/>
      <c r="G52" s="711"/>
      <c r="H52" s="711"/>
      <c r="I52" s="711"/>
      <c r="J52" s="711"/>
      <c r="K52" s="711"/>
      <c r="L52" s="711"/>
      <c r="M52" s="711"/>
      <c r="N52" s="711"/>
      <c r="O52" s="711"/>
      <c r="P52" s="711"/>
      <c r="Q52" s="711"/>
      <c r="R52" s="711"/>
      <c r="S52" s="711"/>
      <c r="T52" s="711"/>
      <c r="U52" s="711"/>
      <c r="V52" s="711"/>
      <c r="W52" s="711"/>
      <c r="X52" s="711"/>
      <c r="Y52" s="711"/>
      <c r="Z52" s="711"/>
      <c r="AA52" s="711"/>
      <c r="AB52" s="711"/>
      <c r="AC52" s="711"/>
      <c r="AD52" s="711"/>
      <c r="AE52" s="711"/>
      <c r="AF52" s="711"/>
      <c r="AG52" s="711"/>
      <c r="AH52" s="711"/>
      <c r="AI52" s="711"/>
      <c r="AJ52" s="711"/>
      <c r="AK52" s="712"/>
      <c r="AQ52" s="564"/>
      <c r="AR52" s="565"/>
      <c r="AS52" s="545"/>
      <c r="AT52" s="545"/>
      <c r="AU52" s="546"/>
      <c r="AV52" s="566"/>
      <c r="AW52" s="545"/>
      <c r="AX52" s="548"/>
      <c r="AZ52" s="567"/>
      <c r="BA52" s="549"/>
      <c r="BC52" s="567"/>
      <c r="BD52" s="568"/>
      <c r="BE52" s="547"/>
      <c r="BF52" s="550"/>
    </row>
    <row r="53" spans="1:58" ht="5.25" customHeight="1" thickBot="1" x14ac:dyDescent="0.45">
      <c r="B53" s="501"/>
      <c r="E53" s="505"/>
      <c r="U53" s="655"/>
      <c r="V53" s="655"/>
      <c r="W53" s="655"/>
      <c r="X53" s="655"/>
      <c r="Y53" s="655"/>
      <c r="Z53" s="655"/>
      <c r="AA53" s="655"/>
      <c r="AQ53" s="557"/>
      <c r="AR53" s="557"/>
      <c r="AV53" s="557"/>
      <c r="AZ53" s="557"/>
      <c r="BC53" s="557"/>
      <c r="BD53" s="570"/>
      <c r="BF53" s="527"/>
    </row>
    <row r="54" spans="1:58" ht="28.5" customHeight="1" x14ac:dyDescent="0.4">
      <c r="B54" s="534" t="s">
        <v>96</v>
      </c>
      <c r="C54" s="535"/>
      <c r="D54" s="244" t="s">
        <v>91</v>
      </c>
      <c r="E54" s="560">
        <v>0</v>
      </c>
      <c r="F54" s="536"/>
      <c r="G54" s="537" t="s">
        <v>298</v>
      </c>
      <c r="H54" s="48">
        <v>776</v>
      </c>
      <c r="I54" s="48">
        <v>837</v>
      </c>
      <c r="J54" s="538">
        <v>49490</v>
      </c>
      <c r="K54" s="538">
        <v>49795</v>
      </c>
      <c r="L54" s="535"/>
      <c r="M54" s="48">
        <v>382</v>
      </c>
      <c r="N54" s="48">
        <v>186</v>
      </c>
      <c r="O54" s="535"/>
      <c r="P54" s="244" t="s">
        <v>91</v>
      </c>
      <c r="Q54" s="560">
        <v>0</v>
      </c>
      <c r="R54" s="536"/>
      <c r="S54" s="554" t="s">
        <v>596</v>
      </c>
      <c r="T54" s="536"/>
      <c r="U54" s="49">
        <v>751.17471699999999</v>
      </c>
      <c r="V54" s="49">
        <v>749.16802775999997</v>
      </c>
      <c r="W54" s="49">
        <f>ROUND((V54-AZ54),1)</f>
        <v>0</v>
      </c>
      <c r="X54" s="50"/>
      <c r="Y54" s="538">
        <v>49490</v>
      </c>
      <c r="Z54" s="538">
        <v>49490</v>
      </c>
      <c r="AA54" s="51">
        <f>Z54-BA54</f>
        <v>0</v>
      </c>
      <c r="AB54" s="535"/>
      <c r="AC54" s="49">
        <v>120.8994974</v>
      </c>
      <c r="AD54" s="49">
        <v>111.5626258745</v>
      </c>
      <c r="AE54" s="52">
        <v>100.76854828</v>
      </c>
      <c r="AF54" s="539">
        <v>1.1071175260410331</v>
      </c>
      <c r="AG54" s="539">
        <v>0.92277162662960743</v>
      </c>
      <c r="AH54" s="575">
        <v>0.16094723992154811</v>
      </c>
      <c r="AI54" s="574">
        <v>0.14851754638395265</v>
      </c>
      <c r="AJ54" s="540"/>
      <c r="AK54" s="247" t="s">
        <v>91</v>
      </c>
      <c r="AM54" s="586">
        <v>43636</v>
      </c>
      <c r="AN54" s="599">
        <f>(V54-I54)/I54</f>
        <v>-0.10493664544802871</v>
      </c>
      <c r="AO54" s="599">
        <f>((Z54-AM54)-(K54-AM54))/(K54-AM54)</f>
        <v>-4.9521026140607244E-2</v>
      </c>
      <c r="AQ54" s="561">
        <f>V54-I54</f>
        <v>-87.831972240000027</v>
      </c>
      <c r="AR54" s="562">
        <f>V54-M54</f>
        <v>367.16802775999997</v>
      </c>
      <c r="AS54" s="541"/>
      <c r="AT54" s="540">
        <f>Z54-K54</f>
        <v>-305</v>
      </c>
      <c r="AU54" s="535"/>
      <c r="AV54" s="563">
        <f>V54-U54</f>
        <v>-2.0066892400000143</v>
      </c>
      <c r="AW54" s="541"/>
      <c r="AX54" s="542">
        <f>Z54-Y54</f>
        <v>0</v>
      </c>
      <c r="AZ54" s="53">
        <v>749.16802827000004</v>
      </c>
      <c r="BA54" s="552">
        <v>49490</v>
      </c>
      <c r="BC54" s="53">
        <v>751.17471699999999</v>
      </c>
      <c r="BD54" s="77">
        <f>U54-BC54</f>
        <v>0</v>
      </c>
      <c r="BE54" s="543">
        <v>49490</v>
      </c>
      <c r="BF54" s="544">
        <f>Y54-BE54</f>
        <v>0</v>
      </c>
    </row>
    <row r="55" spans="1:58" ht="123.75" customHeight="1" thickBot="1" x14ac:dyDescent="0.45">
      <c r="A55" s="497" t="str">
        <f>B54</f>
        <v>BEPPS2</v>
      </c>
      <c r="B55" s="742" t="s">
        <v>568</v>
      </c>
      <c r="C55" s="709"/>
      <c r="D55" s="709"/>
      <c r="E55" s="709"/>
      <c r="F55" s="709"/>
      <c r="G55" s="709"/>
      <c r="H55" s="709"/>
      <c r="I55" s="709"/>
      <c r="J55" s="709"/>
      <c r="K55" s="709"/>
      <c r="L55" s="709"/>
      <c r="M55" s="709"/>
      <c r="N55" s="709"/>
      <c r="O55" s="709"/>
      <c r="P55" s="709"/>
      <c r="Q55" s="709"/>
      <c r="R55" s="709"/>
      <c r="S55" s="709"/>
      <c r="T55" s="709"/>
      <c r="U55" s="709"/>
      <c r="V55" s="709"/>
      <c r="W55" s="709"/>
      <c r="X55" s="709"/>
      <c r="Y55" s="709"/>
      <c r="Z55" s="709"/>
      <c r="AA55" s="709"/>
      <c r="AB55" s="709"/>
      <c r="AC55" s="709"/>
      <c r="AD55" s="709"/>
      <c r="AE55" s="709"/>
      <c r="AF55" s="709"/>
      <c r="AG55" s="709"/>
      <c r="AH55" s="709"/>
      <c r="AI55" s="709"/>
      <c r="AJ55" s="709"/>
      <c r="AK55" s="710"/>
      <c r="AQ55" s="564"/>
      <c r="AR55" s="565"/>
      <c r="AS55" s="545"/>
      <c r="AT55" s="545"/>
      <c r="AU55" s="546"/>
      <c r="AV55" s="566"/>
      <c r="AW55" s="545"/>
      <c r="AX55" s="548"/>
      <c r="AZ55" s="567"/>
      <c r="BA55" s="549"/>
      <c r="BC55" s="567"/>
      <c r="BD55" s="568"/>
      <c r="BE55" s="547"/>
      <c r="BF55" s="550"/>
    </row>
    <row r="56" spans="1:58" ht="5.25" customHeight="1" thickBot="1" x14ac:dyDescent="0.45">
      <c r="B56" s="501"/>
      <c r="E56" s="505"/>
      <c r="U56" s="655"/>
      <c r="V56" s="655"/>
      <c r="W56" s="655"/>
      <c r="X56" s="655"/>
      <c r="Y56" s="655"/>
      <c r="Z56" s="655"/>
      <c r="AA56" s="655"/>
      <c r="AQ56" s="557"/>
      <c r="AR56" s="557"/>
      <c r="AV56" s="557"/>
      <c r="AZ56" s="557"/>
      <c r="BC56" s="557"/>
      <c r="BD56" s="570"/>
      <c r="BF56" s="527"/>
    </row>
    <row r="57" spans="1:58" ht="28.5" customHeight="1" x14ac:dyDescent="0.4">
      <c r="B57" s="534" t="s">
        <v>311</v>
      </c>
      <c r="C57" s="535"/>
      <c r="D57" s="244" t="s">
        <v>91</v>
      </c>
      <c r="E57" s="560">
        <v>0</v>
      </c>
      <c r="F57" s="536"/>
      <c r="G57" s="537" t="s">
        <v>598</v>
      </c>
      <c r="H57" s="48">
        <v>904</v>
      </c>
      <c r="I57" s="48">
        <v>921.8</v>
      </c>
      <c r="J57" s="538">
        <v>46022</v>
      </c>
      <c r="K57" s="538">
        <v>46234</v>
      </c>
      <c r="L57" s="535"/>
      <c r="M57" s="48">
        <v>921.8</v>
      </c>
      <c r="N57" s="48">
        <v>921.8</v>
      </c>
      <c r="O57" s="535"/>
      <c r="P57" s="244" t="s">
        <v>95</v>
      </c>
      <c r="Q57" s="560">
        <v>0</v>
      </c>
      <c r="R57" s="536"/>
      <c r="S57" s="554" t="s">
        <v>333</v>
      </c>
      <c r="T57" s="536"/>
      <c r="U57" s="49" t="s">
        <v>331</v>
      </c>
      <c r="V57" s="49">
        <v>914.56678155999998</v>
      </c>
      <c r="W57" s="49">
        <f>ROUND((V57-AZ57),1)</f>
        <v>-6.9</v>
      </c>
      <c r="X57" s="50"/>
      <c r="Y57" s="49" t="s">
        <v>331</v>
      </c>
      <c r="Z57" s="538">
        <v>46234</v>
      </c>
      <c r="AA57" s="51">
        <f>Z57-BA57</f>
        <v>0</v>
      </c>
      <c r="AB57" s="535"/>
      <c r="AC57" s="49">
        <v>0</v>
      </c>
      <c r="AD57" s="49">
        <v>0</v>
      </c>
      <c r="AE57" s="52">
        <v>909.09983131999991</v>
      </c>
      <c r="AF57" s="539">
        <v>0</v>
      </c>
      <c r="AG57" s="539">
        <v>0</v>
      </c>
      <c r="AH57" s="575">
        <v>0</v>
      </c>
      <c r="AI57" s="574">
        <v>0</v>
      </c>
      <c r="AJ57" s="540"/>
      <c r="AK57" s="247" t="s">
        <v>95</v>
      </c>
      <c r="AM57" s="586">
        <v>41821</v>
      </c>
      <c r="AN57" s="599">
        <f>(V57-I57)/I57</f>
        <v>-7.8468414406595507E-3</v>
      </c>
      <c r="AO57" s="599">
        <f>((Z57-AM57)-(K57-AM57))/(K57-AM57)</f>
        <v>0</v>
      </c>
      <c r="AQ57" s="561">
        <f>V57-I57</f>
        <v>-7.2332184399999733</v>
      </c>
      <c r="AR57" s="562">
        <f>V57-M57</f>
        <v>-7.2332184399999733</v>
      </c>
      <c r="AS57" s="541"/>
      <c r="AT57" s="540">
        <f>Z57-K57</f>
        <v>0</v>
      </c>
      <c r="AU57" s="535"/>
      <c r="AV57" s="563" t="e">
        <f>V57-U57</f>
        <v>#VALUE!</v>
      </c>
      <c r="AW57" s="541"/>
      <c r="AX57" s="542" t="e">
        <f>Z57-Y57</f>
        <v>#VALUE!</v>
      </c>
      <c r="AZ57" s="53">
        <v>921.42967320000002</v>
      </c>
      <c r="BA57" s="552">
        <v>46234</v>
      </c>
      <c r="BC57" s="53">
        <v>0</v>
      </c>
      <c r="BD57" s="77">
        <v>0</v>
      </c>
      <c r="BE57" s="649" t="s">
        <v>331</v>
      </c>
      <c r="BF57" s="544">
        <v>0</v>
      </c>
    </row>
    <row r="58" spans="1:58" ht="99.75" customHeight="1" thickBot="1" x14ac:dyDescent="0.45">
      <c r="A58" s="497" t="str">
        <f>B57</f>
        <v>Sellafield Security Enhancement Programme (SSEP)</v>
      </c>
      <c r="B58" s="708" t="s">
        <v>554</v>
      </c>
      <c r="C58" s="711"/>
      <c r="D58" s="711"/>
      <c r="E58" s="711"/>
      <c r="F58" s="711"/>
      <c r="G58" s="711"/>
      <c r="H58" s="711"/>
      <c r="I58" s="711"/>
      <c r="J58" s="711"/>
      <c r="K58" s="711"/>
      <c r="L58" s="711"/>
      <c r="M58" s="711"/>
      <c r="N58" s="711"/>
      <c r="O58" s="711"/>
      <c r="P58" s="711"/>
      <c r="Q58" s="711"/>
      <c r="R58" s="711"/>
      <c r="S58" s="711"/>
      <c r="T58" s="711"/>
      <c r="U58" s="711"/>
      <c r="V58" s="711"/>
      <c r="W58" s="711"/>
      <c r="X58" s="711"/>
      <c r="Y58" s="711"/>
      <c r="Z58" s="711"/>
      <c r="AA58" s="711"/>
      <c r="AB58" s="711"/>
      <c r="AC58" s="711"/>
      <c r="AD58" s="711"/>
      <c r="AE58" s="711"/>
      <c r="AF58" s="711"/>
      <c r="AG58" s="711"/>
      <c r="AH58" s="711"/>
      <c r="AI58" s="711"/>
      <c r="AJ58" s="711"/>
      <c r="AK58" s="712"/>
      <c r="AQ58" s="564"/>
      <c r="AR58" s="565"/>
      <c r="AS58" s="545"/>
      <c r="AT58" s="545"/>
      <c r="AU58" s="546"/>
      <c r="AV58" s="566"/>
      <c r="AW58" s="545"/>
      <c r="AX58" s="548"/>
      <c r="AZ58" s="567"/>
      <c r="BA58" s="549"/>
      <c r="BC58" s="567"/>
      <c r="BD58" s="568"/>
      <c r="BE58" s="547"/>
      <c r="BF58" s="550"/>
    </row>
    <row r="59" spans="1:58" ht="5.25" customHeight="1" x14ac:dyDescent="0.4">
      <c r="B59" s="522"/>
      <c r="C59" s="559"/>
      <c r="D59" s="559"/>
      <c r="E59" s="559"/>
      <c r="F59" s="559"/>
      <c r="G59" s="559"/>
      <c r="H59" s="559"/>
      <c r="I59" s="559"/>
      <c r="J59" s="559"/>
      <c r="K59" s="559"/>
      <c r="L59" s="559"/>
      <c r="M59" s="559"/>
      <c r="N59" s="559"/>
      <c r="O59" s="559"/>
      <c r="P59" s="559"/>
      <c r="Q59" s="559"/>
      <c r="R59" s="559"/>
      <c r="S59" s="559"/>
      <c r="T59" s="559"/>
      <c r="U59" s="559"/>
      <c r="V59" s="559"/>
      <c r="W59" s="559"/>
      <c r="X59" s="559"/>
      <c r="Y59" s="559"/>
      <c r="Z59" s="559"/>
      <c r="AA59" s="559"/>
      <c r="AB59" s="559"/>
      <c r="AC59" s="559"/>
      <c r="AD59" s="559"/>
      <c r="AE59" s="559"/>
      <c r="AF59" s="559"/>
      <c r="AG59" s="559"/>
      <c r="AH59" s="559"/>
      <c r="AI59" s="559"/>
      <c r="AJ59" s="559"/>
      <c r="AK59" s="559"/>
      <c r="AQ59" s="557"/>
      <c r="AR59" s="557"/>
      <c r="AV59" s="557"/>
      <c r="AZ59" s="557"/>
      <c r="BC59" s="557"/>
      <c r="BD59" s="570"/>
      <c r="BF59" s="527"/>
    </row>
    <row r="60" spans="1:58" ht="28.5" customHeight="1" x14ac:dyDescent="0.4">
      <c r="B60" s="833" t="s">
        <v>203</v>
      </c>
      <c r="C60" s="833"/>
      <c r="D60" s="833"/>
      <c r="E60" s="833"/>
      <c r="F60" s="833"/>
      <c r="G60" s="833"/>
      <c r="H60" s="833"/>
      <c r="I60" s="833"/>
      <c r="J60" s="833"/>
    </row>
    <row r="61" spans="1:58" ht="132" customHeight="1" x14ac:dyDescent="0.4">
      <c r="A61" s="497" t="str">
        <f>B60</f>
        <v>Table of Changes (vs Last Period)</v>
      </c>
      <c r="B61" s="834" t="s">
        <v>0</v>
      </c>
      <c r="C61" s="835"/>
      <c r="D61" s="835"/>
      <c r="E61" s="836"/>
      <c r="F61" s="529"/>
      <c r="G61" s="656" t="s">
        <v>204</v>
      </c>
      <c r="H61" s="656" t="s">
        <v>205</v>
      </c>
      <c r="I61" s="656" t="s">
        <v>206</v>
      </c>
      <c r="J61" s="656" t="s">
        <v>207</v>
      </c>
    </row>
    <row r="62" spans="1:58" ht="6" customHeight="1" x14ac:dyDescent="0.4">
      <c r="B62" s="806" t="str">
        <f>B30</f>
        <v>SEP Solid Waste Storage Retrievals</v>
      </c>
      <c r="C62" s="806"/>
      <c r="D62" s="806"/>
      <c r="E62" s="806"/>
      <c r="F62" s="530"/>
      <c r="G62" s="558">
        <f>W30</f>
        <v>0.1</v>
      </c>
      <c r="H62" s="533">
        <f>AA30</f>
        <v>0</v>
      </c>
      <c r="I62" s="558">
        <f>BD30</f>
        <v>0</v>
      </c>
      <c r="J62" s="533">
        <f>BF30</f>
        <v>0</v>
      </c>
    </row>
    <row r="63" spans="1:58" ht="21" hidden="1" customHeight="1" x14ac:dyDescent="0.4">
      <c r="B63" s="806" t="str">
        <f>B21</f>
        <v>Electrical Supply - New Construction</v>
      </c>
      <c r="C63" s="806"/>
      <c r="D63" s="806"/>
      <c r="E63" s="806"/>
      <c r="F63" s="530"/>
      <c r="G63" s="558">
        <f>W21</f>
        <v>-0.1</v>
      </c>
      <c r="H63" s="533">
        <f>AA21</f>
        <v>0</v>
      </c>
      <c r="I63" s="558">
        <f>BD21</f>
        <v>0</v>
      </c>
      <c r="J63" s="533">
        <f>BF21</f>
        <v>0</v>
      </c>
    </row>
    <row r="64" spans="1:58" ht="11.8" hidden="1" customHeight="1" x14ac:dyDescent="0.4">
      <c r="B64" s="806" t="str">
        <f>B15</f>
        <v>Chimney Decommissioning Phase 2F</v>
      </c>
      <c r="C64" s="806"/>
      <c r="D64" s="806"/>
      <c r="E64" s="806"/>
      <c r="F64" s="531"/>
      <c r="G64" s="558">
        <f>W15</f>
        <v>0</v>
      </c>
      <c r="H64" s="533">
        <f>AA15</f>
        <v>0</v>
      </c>
      <c r="I64" s="558">
        <f>BD15</f>
        <v>0</v>
      </c>
      <c r="J64" s="533">
        <f>BF15</f>
        <v>0</v>
      </c>
      <c r="K64" s="503"/>
      <c r="M64" s="578"/>
      <c r="N64" s="577"/>
      <c r="R64" s="504"/>
      <c r="S64" s="504"/>
      <c r="T64" s="504"/>
      <c r="U64" s="578"/>
      <c r="V64" s="578"/>
      <c r="W64" s="579"/>
      <c r="X64" s="580"/>
      <c r="Y64" s="503"/>
      <c r="Z64" s="503"/>
      <c r="AA64" s="577"/>
      <c r="AC64" s="578"/>
      <c r="AD64" s="578"/>
      <c r="AE64" s="578"/>
      <c r="AF64" s="519"/>
      <c r="AG64" s="519"/>
      <c r="AH64" s="516"/>
      <c r="AI64" s="516"/>
      <c r="AK64" s="517"/>
    </row>
    <row r="65" spans="2:37" ht="19.5" hidden="1" customHeight="1" x14ac:dyDescent="0.4">
      <c r="B65" s="806" t="str">
        <f>B33</f>
        <v>Security Systems Architecture Upgrade (SSAU)</v>
      </c>
      <c r="C65" s="806"/>
      <c r="D65" s="806"/>
      <c r="E65" s="806"/>
      <c r="F65" s="531"/>
      <c r="G65" s="558">
        <f>W33</f>
        <v>0.1</v>
      </c>
      <c r="H65" s="533">
        <f>AA33</f>
        <v>0</v>
      </c>
      <c r="I65" s="558">
        <f>BD33</f>
        <v>0</v>
      </c>
      <c r="J65" s="533">
        <f>BF33</f>
        <v>0</v>
      </c>
      <c r="K65" s="503"/>
      <c r="M65" s="578"/>
      <c r="N65" s="577"/>
      <c r="R65" s="504"/>
      <c r="S65" s="504"/>
      <c r="T65" s="504"/>
      <c r="U65" s="578"/>
      <c r="V65" s="578"/>
      <c r="W65" s="579"/>
      <c r="X65" s="580"/>
      <c r="Y65" s="503"/>
      <c r="Z65" s="503"/>
      <c r="AA65" s="577"/>
      <c r="AC65" s="578"/>
      <c r="AD65" s="578"/>
      <c r="AE65" s="578"/>
      <c r="AF65" s="519"/>
      <c r="AG65" s="519"/>
      <c r="AH65" s="516"/>
      <c r="AI65" s="516"/>
      <c r="AK65" s="517"/>
    </row>
    <row r="66" spans="2:37" ht="19.5" hidden="1" customHeight="1" x14ac:dyDescent="0.4">
      <c r="B66" s="806" t="str">
        <f>B27</f>
        <v>PFCS Full Retrievals - Project 1</v>
      </c>
      <c r="C66" s="806"/>
      <c r="D66" s="806"/>
      <c r="E66" s="806"/>
      <c r="F66" s="531"/>
      <c r="G66" s="558">
        <f>W27</f>
        <v>-0.1</v>
      </c>
      <c r="H66" s="533">
        <f>AA27</f>
        <v>0</v>
      </c>
      <c r="I66" s="558">
        <f>BD27</f>
        <v>0</v>
      </c>
      <c r="J66" s="533">
        <f>BF27</f>
        <v>0</v>
      </c>
      <c r="K66" s="503"/>
      <c r="M66" s="578"/>
      <c r="N66" s="577"/>
      <c r="R66" s="504"/>
      <c r="S66" s="504"/>
      <c r="T66" s="504"/>
      <c r="U66" s="578"/>
      <c r="V66" s="578"/>
      <c r="W66" s="579"/>
      <c r="X66" s="580"/>
      <c r="Y66" s="503"/>
      <c r="Z66" s="503"/>
      <c r="AA66" s="577"/>
      <c r="AC66" s="578"/>
      <c r="AD66" s="578"/>
      <c r="AE66" s="578"/>
      <c r="AF66" s="519"/>
      <c r="AG66" s="519"/>
      <c r="AH66" s="516"/>
      <c r="AI66" s="516"/>
      <c r="AK66" s="517"/>
    </row>
    <row r="67" spans="2:37" ht="19.5" hidden="1" customHeight="1" x14ac:dyDescent="0.4">
      <c r="B67" s="806" t="str">
        <f>B24</f>
        <v>Box Encapsulation Plant Product Store Direct Import Facility</v>
      </c>
      <c r="C67" s="806"/>
      <c r="D67" s="806"/>
      <c r="E67" s="806"/>
      <c r="F67" s="531"/>
      <c r="G67" s="558">
        <f>W24</f>
        <v>0</v>
      </c>
      <c r="H67" s="533">
        <f>AA24</f>
        <v>0</v>
      </c>
      <c r="I67" s="558">
        <f>BD24</f>
        <v>0</v>
      </c>
      <c r="J67" s="533">
        <f>BF24</f>
        <v>0</v>
      </c>
      <c r="K67" s="503"/>
      <c r="M67" s="578"/>
      <c r="N67" s="577"/>
      <c r="R67" s="504"/>
      <c r="S67" s="504"/>
      <c r="T67" s="504"/>
      <c r="U67" s="578"/>
      <c r="V67" s="578"/>
      <c r="W67" s="579"/>
      <c r="X67" s="580"/>
      <c r="Y67" s="503"/>
      <c r="Z67" s="503"/>
      <c r="AA67" s="577"/>
      <c r="AC67" s="578"/>
      <c r="AD67" s="578"/>
      <c r="AE67" s="578"/>
      <c r="AF67" s="519"/>
      <c r="AG67" s="519"/>
      <c r="AH67" s="516"/>
      <c r="AI67" s="516"/>
      <c r="AK67" s="517"/>
    </row>
    <row r="68" spans="2:37" ht="19.5" hidden="1" customHeight="1" x14ac:dyDescent="0.4">
      <c r="B68" s="806" t="str">
        <f>B39</f>
        <v>Box Encapsulation Plant</v>
      </c>
      <c r="C68" s="806"/>
      <c r="D68" s="806"/>
      <c r="E68" s="806"/>
      <c r="F68" s="531"/>
      <c r="G68" s="558">
        <f>W39</f>
        <v>0</v>
      </c>
      <c r="H68" s="533">
        <f>AA39</f>
        <v>0</v>
      </c>
      <c r="I68" s="558">
        <f>BD39</f>
        <v>0</v>
      </c>
      <c r="J68" s="533">
        <f>BF39</f>
        <v>0</v>
      </c>
      <c r="K68" s="503"/>
      <c r="M68" s="578"/>
      <c r="N68" s="577"/>
      <c r="R68" s="504"/>
      <c r="S68" s="504"/>
      <c r="T68" s="504"/>
      <c r="U68" s="578"/>
      <c r="V68" s="578"/>
      <c r="W68" s="579"/>
      <c r="X68" s="580"/>
      <c r="Y68" s="503"/>
      <c r="Z68" s="503"/>
      <c r="AA68" s="577"/>
      <c r="AC68" s="578"/>
      <c r="AD68" s="578"/>
      <c r="AE68" s="578"/>
      <c r="AF68" s="519"/>
      <c r="AG68" s="519"/>
      <c r="AH68" s="516"/>
      <c r="AI68" s="516"/>
      <c r="AK68" s="517"/>
    </row>
    <row r="69" spans="2:37" ht="19.5" hidden="1" customHeight="1" x14ac:dyDescent="0.4">
      <c r="B69" s="806" t="str">
        <f>B42</f>
        <v>Sellafield Product &amp; Residue Store Retreatment Plant</v>
      </c>
      <c r="C69" s="806"/>
      <c r="D69" s="806"/>
      <c r="E69" s="806"/>
      <c r="F69" s="531"/>
      <c r="G69" s="558">
        <f>W42</f>
        <v>0</v>
      </c>
      <c r="H69" s="533">
        <f>AA42</f>
        <v>0</v>
      </c>
      <c r="I69" s="558">
        <f>BD42</f>
        <v>-1.0000001111620804E-6</v>
      </c>
      <c r="J69" s="533">
        <f>BF42</f>
        <v>0</v>
      </c>
      <c r="K69" s="503"/>
      <c r="M69" s="578"/>
      <c r="N69" s="577"/>
      <c r="R69" s="504"/>
      <c r="S69" s="504"/>
      <c r="T69" s="504"/>
      <c r="U69" s="578"/>
      <c r="V69" s="578"/>
      <c r="W69" s="579"/>
      <c r="X69" s="580"/>
      <c r="Y69" s="503"/>
      <c r="Z69" s="503"/>
      <c r="AA69" s="577"/>
      <c r="AC69" s="578"/>
      <c r="AD69" s="578"/>
      <c r="AE69" s="578"/>
      <c r="AF69" s="519"/>
      <c r="AG69" s="519"/>
      <c r="AH69" s="516"/>
      <c r="AI69" s="516"/>
      <c r="AK69" s="517"/>
    </row>
    <row r="70" spans="2:37" ht="19.5" hidden="1" customHeight="1" x14ac:dyDescent="0.4">
      <c r="B70" s="806" t="str">
        <f>B51</f>
        <v>SIXEP Continuity Plant</v>
      </c>
      <c r="C70" s="806"/>
      <c r="D70" s="806"/>
      <c r="E70" s="806"/>
      <c r="F70" s="532"/>
      <c r="G70" s="558">
        <f>W51</f>
        <v>0</v>
      </c>
      <c r="H70" s="533">
        <f>AA51</f>
        <v>0</v>
      </c>
      <c r="I70" s="558">
        <f>BD51</f>
        <v>0</v>
      </c>
      <c r="J70" s="533">
        <f>BF51</f>
        <v>0</v>
      </c>
      <c r="K70" s="503"/>
      <c r="M70" s="578"/>
      <c r="N70" s="577"/>
      <c r="R70" s="504"/>
      <c r="S70" s="504"/>
      <c r="T70" s="504"/>
      <c r="U70" s="578"/>
      <c r="V70" s="578"/>
      <c r="W70" s="579"/>
      <c r="X70" s="580"/>
      <c r="Y70" s="503"/>
      <c r="Z70" s="503"/>
      <c r="AA70" s="577"/>
      <c r="AC70" s="578"/>
      <c r="AD70" s="578"/>
      <c r="AE70" s="578"/>
      <c r="AF70" s="519"/>
      <c r="AG70" s="519"/>
      <c r="AH70" s="516"/>
      <c r="AI70" s="516"/>
      <c r="AK70" s="517"/>
    </row>
    <row r="71" spans="2:37" ht="19.5" hidden="1" customHeight="1" x14ac:dyDescent="0.4">
      <c r="B71" s="806" t="str">
        <f>B12</f>
        <v>LAETP Floc Retrieval</v>
      </c>
      <c r="C71" s="806"/>
      <c r="D71" s="806"/>
      <c r="E71" s="806"/>
      <c r="F71" s="532"/>
      <c r="G71" s="558">
        <f>W12</f>
        <v>0</v>
      </c>
      <c r="H71" s="533">
        <f>AA12</f>
        <v>0</v>
      </c>
      <c r="I71" s="558">
        <f>BD12</f>
        <v>0</v>
      </c>
      <c r="J71" s="533">
        <f>BF12</f>
        <v>0</v>
      </c>
    </row>
    <row r="72" spans="2:37" ht="19.5" hidden="1" customHeight="1" x14ac:dyDescent="0.4">
      <c r="B72" s="806" t="s">
        <v>96</v>
      </c>
      <c r="C72" s="806"/>
      <c r="D72" s="806"/>
      <c r="E72" s="806"/>
      <c r="F72" s="532"/>
      <c r="G72" s="558">
        <f>W54</f>
        <v>0</v>
      </c>
      <c r="H72" s="533">
        <f>AA54</f>
        <v>0</v>
      </c>
      <c r="I72" s="558">
        <f>BD54</f>
        <v>0</v>
      </c>
      <c r="J72" s="533">
        <f>BF54</f>
        <v>0</v>
      </c>
      <c r="K72" s="503"/>
      <c r="M72" s="578"/>
      <c r="N72" s="577"/>
      <c r="R72" s="504"/>
      <c r="S72" s="504"/>
      <c r="T72" s="504"/>
      <c r="U72" s="578"/>
      <c r="V72" s="578"/>
      <c r="W72" s="579"/>
      <c r="X72" s="580"/>
      <c r="Y72" s="503"/>
      <c r="Z72" s="503"/>
      <c r="AA72" s="577"/>
      <c r="AC72" s="578"/>
      <c r="AD72" s="578"/>
      <c r="AE72" s="578"/>
      <c r="AF72" s="519"/>
      <c r="AG72" s="519"/>
      <c r="AH72" s="516"/>
      <c r="AI72" s="516"/>
      <c r="AK72" s="517"/>
    </row>
    <row r="73" spans="2:37" ht="19.5" hidden="1" customHeight="1" x14ac:dyDescent="0.4">
      <c r="B73" s="806" t="s">
        <v>236</v>
      </c>
      <c r="C73" s="806"/>
      <c r="D73" s="806"/>
      <c r="E73" s="806"/>
      <c r="F73" s="532"/>
      <c r="G73" s="558">
        <f>W48</f>
        <v>0</v>
      </c>
      <c r="H73" s="533">
        <f>AA48</f>
        <v>0</v>
      </c>
      <c r="I73" s="558">
        <f>BD48</f>
        <v>0</v>
      </c>
      <c r="J73" s="533">
        <f>BF48</f>
        <v>0</v>
      </c>
      <c r="K73" s="503"/>
      <c r="M73" s="578"/>
      <c r="N73" s="577"/>
      <c r="R73" s="504"/>
      <c r="S73" s="504"/>
      <c r="T73" s="504"/>
      <c r="U73" s="578"/>
      <c r="V73" s="578"/>
      <c r="W73" s="579"/>
      <c r="X73" s="580"/>
      <c r="Y73" s="503"/>
      <c r="Z73" s="503"/>
      <c r="AA73" s="577"/>
      <c r="AC73" s="578"/>
      <c r="AD73" s="578"/>
      <c r="AE73" s="578"/>
      <c r="AF73" s="519"/>
      <c r="AG73" s="519"/>
      <c r="AH73" s="516"/>
      <c r="AI73" s="516"/>
      <c r="AK73" s="517"/>
    </row>
    <row r="74" spans="2:37" ht="19.5" hidden="1" customHeight="1" x14ac:dyDescent="0.4">
      <c r="B74" s="806" t="str">
        <f>B9</f>
        <v>Enhanced CNC Airwave System (Encrypted Comms)</v>
      </c>
      <c r="C74" s="806"/>
      <c r="D74" s="806"/>
      <c r="E74" s="806"/>
      <c r="F74" s="532"/>
      <c r="G74" s="558">
        <f>W9</f>
        <v>-7</v>
      </c>
      <c r="H74" s="533">
        <f>AA9</f>
        <v>0</v>
      </c>
      <c r="I74" s="558">
        <f>BD9</f>
        <v>0</v>
      </c>
      <c r="J74" s="533">
        <f>BF9</f>
        <v>0</v>
      </c>
    </row>
    <row r="75" spans="2:37" ht="19.5" hidden="1" customHeight="1" x14ac:dyDescent="0.4">
      <c r="B75" s="806" t="str">
        <f>B45</f>
        <v>CNC Operational Unit</v>
      </c>
      <c r="C75" s="806"/>
      <c r="D75" s="806"/>
      <c r="E75" s="806"/>
      <c r="F75" s="532"/>
      <c r="G75" s="558">
        <f>W45</f>
        <v>0</v>
      </c>
      <c r="H75" s="533">
        <f>AA45</f>
        <v>0</v>
      </c>
      <c r="I75" s="558">
        <f>BD45</f>
        <v>0</v>
      </c>
      <c r="J75" s="533">
        <f>BF45</f>
        <v>0</v>
      </c>
    </row>
    <row r="76" spans="2:37" ht="19.5" hidden="1" customHeight="1" x14ac:dyDescent="0.4">
      <c r="B76" s="806" t="str">
        <f>B36</f>
        <v>Heat Exchanger Deplanting - Main Project</v>
      </c>
      <c r="C76" s="806"/>
      <c r="D76" s="806"/>
      <c r="E76" s="806"/>
      <c r="F76" s="532"/>
      <c r="G76" s="558">
        <f>W36</f>
        <v>0</v>
      </c>
      <c r="H76" s="533">
        <f>AA36</f>
        <v>0</v>
      </c>
      <c r="I76" s="558">
        <f>BD36</f>
        <v>2.2142999999999802E-2</v>
      </c>
      <c r="J76" s="533">
        <f>BF36</f>
        <v>169</v>
      </c>
    </row>
    <row r="77" spans="2:37" ht="20.25" hidden="1" customHeight="1" x14ac:dyDescent="0.4">
      <c r="B77" s="806" t="str">
        <f>B57</f>
        <v>Sellafield Security Enhancement Programme (SSEP)</v>
      </c>
      <c r="C77" s="806"/>
      <c r="D77" s="806"/>
      <c r="E77" s="806"/>
      <c r="F77" s="532"/>
      <c r="G77" s="558">
        <f>W57</f>
        <v>-6.9</v>
      </c>
      <c r="H77" s="533">
        <f>AA57</f>
        <v>0</v>
      </c>
      <c r="I77" s="558">
        <f>BD57</f>
        <v>0</v>
      </c>
      <c r="J77" s="533">
        <f>BF57</f>
        <v>0</v>
      </c>
    </row>
    <row r="78" spans="2:37" ht="20.25" hidden="1" customHeight="1" x14ac:dyDescent="0.4">
      <c r="B78" s="806" t="str">
        <f>B18</f>
        <v>MSSS 2nd and 3rd Extension Sub-Programme</v>
      </c>
      <c r="C78" s="806"/>
      <c r="D78" s="806"/>
      <c r="E78" s="806"/>
      <c r="F78" s="532"/>
      <c r="G78" s="558">
        <f>W18</f>
        <v>0</v>
      </c>
      <c r="H78" s="533">
        <f>AA18</f>
        <v>0</v>
      </c>
      <c r="I78" s="558">
        <f>BD18</f>
        <v>0</v>
      </c>
      <c r="J78" s="533">
        <f>BF18</f>
        <v>0</v>
      </c>
    </row>
    <row r="79" spans="2:37" ht="20.25" hidden="1" customHeight="1" x14ac:dyDescent="0.4">
      <c r="E79" s="518"/>
    </row>
    <row r="80" spans="2:37" ht="20.25" hidden="1" customHeight="1" x14ac:dyDescent="0.4">
      <c r="E80" s="518"/>
    </row>
    <row r="81" spans="5:5" ht="20.25" hidden="1" customHeight="1" x14ac:dyDescent="0.4">
      <c r="E81" s="518"/>
    </row>
    <row r="82" spans="5:5" ht="20.25" hidden="1" customHeight="1" x14ac:dyDescent="0.4">
      <c r="E82" s="518"/>
    </row>
    <row r="83" spans="5:5" ht="11.8" hidden="1" customHeight="1" x14ac:dyDescent="0.4">
      <c r="E83" s="518"/>
    </row>
    <row r="84" spans="5:5" ht="14.8" hidden="1" customHeight="1" x14ac:dyDescent="0.4">
      <c r="E84" s="518"/>
    </row>
    <row r="85" spans="5:5" ht="14.8" hidden="1" customHeight="1" x14ac:dyDescent="0.4">
      <c r="E85" s="518"/>
    </row>
    <row r="86" spans="5:5" ht="14.8" hidden="1" customHeight="1" x14ac:dyDescent="0.4">
      <c r="E86" s="518"/>
    </row>
    <row r="87" spans="5:5" ht="14.8" hidden="1" customHeight="1" x14ac:dyDescent="0.4">
      <c r="E87" s="518"/>
    </row>
    <row r="88" spans="5:5" ht="14.8" hidden="1" customHeight="1" x14ac:dyDescent="0.4">
      <c r="E88" s="518"/>
    </row>
    <row r="89" spans="5:5" ht="14.8" hidden="1" customHeight="1" x14ac:dyDescent="0.4">
      <c r="E89" s="518"/>
    </row>
    <row r="90" spans="5:5" ht="14.8" hidden="1" customHeight="1" x14ac:dyDescent="0.4">
      <c r="E90" s="518"/>
    </row>
    <row r="91" spans="5:5" ht="14.8" hidden="1" customHeight="1" x14ac:dyDescent="0.4">
      <c r="E91" s="518"/>
    </row>
    <row r="92" spans="5:5" ht="14.8" hidden="1" customHeight="1" x14ac:dyDescent="0.4">
      <c r="E92" s="518"/>
    </row>
    <row r="93" spans="5:5" ht="14.8" hidden="1" customHeight="1" x14ac:dyDescent="0.4">
      <c r="E93" s="518"/>
    </row>
    <row r="94" spans="5:5" ht="14.8" hidden="1" customHeight="1" x14ac:dyDescent="0.4">
      <c r="E94" s="518"/>
    </row>
    <row r="95" spans="5:5" ht="14.8" hidden="1" customHeight="1" x14ac:dyDescent="0.4">
      <c r="E95" s="518"/>
    </row>
    <row r="96" spans="5:5" ht="14.8" hidden="1" customHeight="1" x14ac:dyDescent="0.4">
      <c r="E96" s="518"/>
    </row>
    <row r="97" spans="5:5" ht="14.8" hidden="1" customHeight="1" x14ac:dyDescent="0.4">
      <c r="E97" s="518"/>
    </row>
    <row r="98" spans="5:5" ht="14.8" hidden="1" customHeight="1" x14ac:dyDescent="0.4">
      <c r="E98" s="518"/>
    </row>
    <row r="99" spans="5:5" ht="14.8" hidden="1" customHeight="1" x14ac:dyDescent="0.4">
      <c r="E99" s="518"/>
    </row>
    <row r="100" spans="5:5" ht="14.8" hidden="1" customHeight="1" x14ac:dyDescent="0.4">
      <c r="E100" s="518"/>
    </row>
    <row r="101" spans="5:5" ht="14.8" hidden="1" customHeight="1" x14ac:dyDescent="0.4">
      <c r="E101" s="518"/>
    </row>
    <row r="102" spans="5:5" x14ac:dyDescent="0.4">
      <c r="E102" s="518"/>
    </row>
    <row r="103" spans="5:5" x14ac:dyDescent="0.4">
      <c r="E103" s="518"/>
    </row>
    <row r="104" spans="5:5" x14ac:dyDescent="0.4">
      <c r="E104" s="518"/>
    </row>
    <row r="105" spans="5:5" x14ac:dyDescent="0.4">
      <c r="E105" s="518"/>
    </row>
    <row r="106" spans="5:5" x14ac:dyDescent="0.4">
      <c r="E106" s="518"/>
    </row>
    <row r="107" spans="5:5" x14ac:dyDescent="0.4">
      <c r="E107" s="518"/>
    </row>
    <row r="108" spans="5:5" x14ac:dyDescent="0.4">
      <c r="E108" s="518"/>
    </row>
    <row r="109" spans="5:5" x14ac:dyDescent="0.4">
      <c r="E109" s="518"/>
    </row>
    <row r="110" spans="5:5" x14ac:dyDescent="0.4">
      <c r="E110" s="518"/>
    </row>
    <row r="111" spans="5:5" x14ac:dyDescent="0.4">
      <c r="E111" s="518"/>
    </row>
    <row r="112" spans="5:5" x14ac:dyDescent="0.4">
      <c r="E112" s="518"/>
    </row>
    <row r="113" spans="5:5" x14ac:dyDescent="0.4">
      <c r="E113" s="518"/>
    </row>
    <row r="114" spans="5:5" x14ac:dyDescent="0.4">
      <c r="E114" s="518"/>
    </row>
    <row r="115" spans="5:5" x14ac:dyDescent="0.4">
      <c r="E115" s="518"/>
    </row>
    <row r="116" spans="5:5" x14ac:dyDescent="0.4">
      <c r="E116" s="518"/>
    </row>
    <row r="117" spans="5:5" x14ac:dyDescent="0.4">
      <c r="E117" s="518"/>
    </row>
    <row r="118" spans="5:5" x14ac:dyDescent="0.4">
      <c r="E118" s="518"/>
    </row>
    <row r="119" spans="5:5" x14ac:dyDescent="0.4">
      <c r="E119" s="518"/>
    </row>
    <row r="120" spans="5:5" x14ac:dyDescent="0.4">
      <c r="E120" s="518"/>
    </row>
    <row r="121" spans="5:5" x14ac:dyDescent="0.4">
      <c r="E121" s="518"/>
    </row>
    <row r="122" spans="5:5" x14ac:dyDescent="0.4">
      <c r="E122" s="518"/>
    </row>
    <row r="123" spans="5:5" x14ac:dyDescent="0.4">
      <c r="E123" s="518"/>
    </row>
    <row r="124" spans="5:5" x14ac:dyDescent="0.4">
      <c r="E124" s="518"/>
    </row>
    <row r="125" spans="5:5" x14ac:dyDescent="0.4">
      <c r="E125" s="518"/>
    </row>
    <row r="126" spans="5:5" x14ac:dyDescent="0.4">
      <c r="E126" s="518"/>
    </row>
    <row r="127" spans="5:5" x14ac:dyDescent="0.4">
      <c r="E127" s="518"/>
    </row>
    <row r="128" spans="5:5" x14ac:dyDescent="0.4">
      <c r="E128" s="518"/>
    </row>
    <row r="129" spans="5:5" x14ac:dyDescent="0.4">
      <c r="E129" s="518"/>
    </row>
    <row r="130" spans="5:5" x14ac:dyDescent="0.4">
      <c r="E130" s="518"/>
    </row>
    <row r="131" spans="5:5" x14ac:dyDescent="0.4">
      <c r="E131" s="518"/>
    </row>
    <row r="132" spans="5:5" x14ac:dyDescent="0.4">
      <c r="E132" s="518"/>
    </row>
    <row r="133" spans="5:5" x14ac:dyDescent="0.4">
      <c r="E133" s="518"/>
    </row>
    <row r="134" spans="5:5" x14ac:dyDescent="0.4">
      <c r="E134" s="518"/>
    </row>
    <row r="135" spans="5:5" x14ac:dyDescent="0.4">
      <c r="E135" s="518"/>
    </row>
    <row r="136" spans="5:5" x14ac:dyDescent="0.4">
      <c r="E136" s="518"/>
    </row>
    <row r="137" spans="5:5" x14ac:dyDescent="0.4">
      <c r="E137" s="518"/>
    </row>
    <row r="138" spans="5:5" x14ac:dyDescent="0.4">
      <c r="E138" s="518"/>
    </row>
    <row r="139" spans="5:5" x14ac:dyDescent="0.4">
      <c r="E139" s="518"/>
    </row>
    <row r="140" spans="5:5" x14ac:dyDescent="0.4">
      <c r="E140" s="518"/>
    </row>
    <row r="141" spans="5:5" x14ac:dyDescent="0.4">
      <c r="E141" s="518"/>
    </row>
    <row r="142" spans="5:5" x14ac:dyDescent="0.4">
      <c r="E142" s="518"/>
    </row>
    <row r="143" spans="5:5" x14ac:dyDescent="0.4">
      <c r="E143" s="518"/>
    </row>
    <row r="144" spans="5:5" x14ac:dyDescent="0.4">
      <c r="E144" s="518"/>
    </row>
    <row r="145" spans="5:5" x14ac:dyDescent="0.4">
      <c r="E145" s="518"/>
    </row>
    <row r="146" spans="5:5" x14ac:dyDescent="0.4">
      <c r="E146" s="518"/>
    </row>
    <row r="147" spans="5:5" x14ac:dyDescent="0.4">
      <c r="E147" s="518"/>
    </row>
    <row r="148" spans="5:5" x14ac:dyDescent="0.4">
      <c r="E148" s="518"/>
    </row>
    <row r="149" spans="5:5" x14ac:dyDescent="0.4">
      <c r="E149" s="518"/>
    </row>
    <row r="150" spans="5:5" x14ac:dyDescent="0.4">
      <c r="E150" s="518"/>
    </row>
    <row r="151" spans="5:5" x14ac:dyDescent="0.4">
      <c r="E151" s="518"/>
    </row>
    <row r="152" spans="5:5" x14ac:dyDescent="0.4">
      <c r="E152" s="518"/>
    </row>
    <row r="153" spans="5:5" x14ac:dyDescent="0.4">
      <c r="E153" s="518"/>
    </row>
    <row r="154" spans="5:5" x14ac:dyDescent="0.4">
      <c r="E154" s="518"/>
    </row>
    <row r="155" spans="5:5" x14ac:dyDescent="0.4">
      <c r="E155" s="518"/>
    </row>
    <row r="156" spans="5:5" x14ac:dyDescent="0.4">
      <c r="E156" s="518"/>
    </row>
    <row r="157" spans="5:5" x14ac:dyDescent="0.4">
      <c r="E157" s="518"/>
    </row>
    <row r="158" spans="5:5" x14ac:dyDescent="0.4">
      <c r="E158" s="518"/>
    </row>
    <row r="159" spans="5:5" x14ac:dyDescent="0.4">
      <c r="E159" s="518"/>
    </row>
    <row r="160" spans="5:5" x14ac:dyDescent="0.4">
      <c r="E160" s="518"/>
    </row>
    <row r="161" spans="5:5" x14ac:dyDescent="0.4">
      <c r="E161" s="518"/>
    </row>
    <row r="162" spans="5:5" x14ac:dyDescent="0.4">
      <c r="E162" s="518"/>
    </row>
    <row r="163" spans="5:5" x14ac:dyDescent="0.4">
      <c r="E163" s="518"/>
    </row>
    <row r="164" spans="5:5" x14ac:dyDescent="0.4">
      <c r="E164" s="518"/>
    </row>
    <row r="165" spans="5:5" x14ac:dyDescent="0.4">
      <c r="E165" s="518"/>
    </row>
    <row r="166" spans="5:5" x14ac:dyDescent="0.4">
      <c r="E166" s="518"/>
    </row>
    <row r="167" spans="5:5" x14ac:dyDescent="0.4">
      <c r="E167" s="518"/>
    </row>
    <row r="168" spans="5:5" x14ac:dyDescent="0.4">
      <c r="E168" s="518"/>
    </row>
    <row r="169" spans="5:5" x14ac:dyDescent="0.4">
      <c r="E169" s="518"/>
    </row>
    <row r="170" spans="5:5" x14ac:dyDescent="0.4">
      <c r="E170" s="518"/>
    </row>
    <row r="171" spans="5:5" x14ac:dyDescent="0.4">
      <c r="E171" s="518"/>
    </row>
    <row r="172" spans="5:5" x14ac:dyDescent="0.4">
      <c r="E172" s="518"/>
    </row>
    <row r="173" spans="5:5" x14ac:dyDescent="0.4">
      <c r="E173" s="518"/>
    </row>
    <row r="174" spans="5:5" x14ac:dyDescent="0.4">
      <c r="E174" s="518"/>
    </row>
    <row r="175" spans="5:5" x14ac:dyDescent="0.4">
      <c r="E175" s="518"/>
    </row>
    <row r="176" spans="5:5" x14ac:dyDescent="0.4">
      <c r="E176" s="518"/>
    </row>
    <row r="177" spans="5:5" x14ac:dyDescent="0.4">
      <c r="E177" s="518"/>
    </row>
    <row r="178" spans="5:5" x14ac:dyDescent="0.4">
      <c r="E178" s="518"/>
    </row>
    <row r="179" spans="5:5" x14ac:dyDescent="0.4">
      <c r="E179" s="518"/>
    </row>
    <row r="180" spans="5:5" x14ac:dyDescent="0.4">
      <c r="E180" s="518"/>
    </row>
    <row r="181" spans="5:5" x14ac:dyDescent="0.4">
      <c r="E181" s="518"/>
    </row>
    <row r="182" spans="5:5" x14ac:dyDescent="0.4">
      <c r="E182" s="518"/>
    </row>
    <row r="183" spans="5:5" x14ac:dyDescent="0.4">
      <c r="E183" s="518"/>
    </row>
    <row r="184" spans="5:5" x14ac:dyDescent="0.4">
      <c r="E184" s="518"/>
    </row>
    <row r="185" spans="5:5" x14ac:dyDescent="0.4">
      <c r="E185" s="518"/>
    </row>
    <row r="186" spans="5:5" x14ac:dyDescent="0.4">
      <c r="E186" s="518"/>
    </row>
    <row r="187" spans="5:5" x14ac:dyDescent="0.4">
      <c r="E187" s="518"/>
    </row>
    <row r="188" spans="5:5" x14ac:dyDescent="0.4">
      <c r="E188" s="518"/>
    </row>
    <row r="189" spans="5:5" x14ac:dyDescent="0.4">
      <c r="E189" s="518"/>
    </row>
    <row r="190" spans="5:5" x14ac:dyDescent="0.4">
      <c r="E190" s="518"/>
    </row>
    <row r="191" spans="5:5" x14ac:dyDescent="0.4">
      <c r="E191" s="518"/>
    </row>
    <row r="192" spans="5:5" x14ac:dyDescent="0.4">
      <c r="E192" s="518"/>
    </row>
    <row r="193" spans="5:5" x14ac:dyDescent="0.4">
      <c r="E193" s="518"/>
    </row>
    <row r="194" spans="5:5" x14ac:dyDescent="0.4">
      <c r="E194" s="518"/>
    </row>
    <row r="195" spans="5:5" x14ac:dyDescent="0.4">
      <c r="E195" s="518"/>
    </row>
    <row r="196" spans="5:5" x14ac:dyDescent="0.4">
      <c r="E196" s="518"/>
    </row>
    <row r="197" spans="5:5" x14ac:dyDescent="0.4">
      <c r="E197" s="518"/>
    </row>
    <row r="198" spans="5:5" x14ac:dyDescent="0.4">
      <c r="E198" s="518"/>
    </row>
    <row r="199" spans="5:5" x14ac:dyDescent="0.4">
      <c r="E199" s="518"/>
    </row>
    <row r="200" spans="5:5" x14ac:dyDescent="0.4">
      <c r="E200" s="518"/>
    </row>
    <row r="201" spans="5:5" x14ac:dyDescent="0.4">
      <c r="E201" s="518"/>
    </row>
    <row r="202" spans="5:5" x14ac:dyDescent="0.4">
      <c r="E202" s="518"/>
    </row>
    <row r="203" spans="5:5" x14ac:dyDescent="0.4">
      <c r="E203" s="518"/>
    </row>
    <row r="204" spans="5:5" x14ac:dyDescent="0.4">
      <c r="E204" s="518"/>
    </row>
    <row r="205" spans="5:5" x14ac:dyDescent="0.4">
      <c r="E205" s="518"/>
    </row>
    <row r="206" spans="5:5" x14ac:dyDescent="0.4">
      <c r="E206" s="518"/>
    </row>
    <row r="207" spans="5:5" x14ac:dyDescent="0.4">
      <c r="E207" s="518"/>
    </row>
    <row r="208" spans="5:5" x14ac:dyDescent="0.4">
      <c r="E208" s="518"/>
    </row>
    <row r="209" spans="5:5" x14ac:dyDescent="0.4">
      <c r="E209" s="518"/>
    </row>
    <row r="210" spans="5:5" x14ac:dyDescent="0.4">
      <c r="E210" s="518"/>
    </row>
    <row r="211" spans="5:5" x14ac:dyDescent="0.4">
      <c r="E211" s="518"/>
    </row>
    <row r="212" spans="5:5" x14ac:dyDescent="0.4">
      <c r="E212" s="518"/>
    </row>
    <row r="213" spans="5:5" x14ac:dyDescent="0.4">
      <c r="E213" s="518"/>
    </row>
    <row r="214" spans="5:5" x14ac:dyDescent="0.4">
      <c r="E214" s="518"/>
    </row>
    <row r="215" spans="5:5" x14ac:dyDescent="0.4">
      <c r="E215" s="518"/>
    </row>
    <row r="216" spans="5:5" x14ac:dyDescent="0.4">
      <c r="E216" s="518"/>
    </row>
    <row r="217" spans="5:5" x14ac:dyDescent="0.4">
      <c r="E217" s="518"/>
    </row>
    <row r="218" spans="5:5" x14ac:dyDescent="0.4">
      <c r="E218" s="518"/>
    </row>
    <row r="219" spans="5:5" x14ac:dyDescent="0.4">
      <c r="E219" s="518"/>
    </row>
    <row r="220" spans="5:5" x14ac:dyDescent="0.4">
      <c r="E220" s="518"/>
    </row>
    <row r="221" spans="5:5" x14ac:dyDescent="0.4">
      <c r="E221" s="518"/>
    </row>
    <row r="222" spans="5:5" x14ac:dyDescent="0.4">
      <c r="E222" s="518"/>
    </row>
    <row r="223" spans="5:5" x14ac:dyDescent="0.4">
      <c r="E223" s="518"/>
    </row>
    <row r="224" spans="5:5" x14ac:dyDescent="0.4">
      <c r="E224" s="518"/>
    </row>
    <row r="225" spans="5:5" x14ac:dyDescent="0.4">
      <c r="E225" s="518"/>
    </row>
    <row r="226" spans="5:5" x14ac:dyDescent="0.4">
      <c r="E226" s="518"/>
    </row>
    <row r="227" spans="5:5" x14ac:dyDescent="0.4">
      <c r="E227" s="518"/>
    </row>
    <row r="228" spans="5:5" x14ac:dyDescent="0.4">
      <c r="E228" s="518"/>
    </row>
    <row r="229" spans="5:5" x14ac:dyDescent="0.4">
      <c r="E229" s="518"/>
    </row>
    <row r="230" spans="5:5" x14ac:dyDescent="0.4">
      <c r="E230" s="518"/>
    </row>
    <row r="231" spans="5:5" x14ac:dyDescent="0.4">
      <c r="E231" s="518"/>
    </row>
    <row r="232" spans="5:5" x14ac:dyDescent="0.4">
      <c r="E232" s="518"/>
    </row>
    <row r="233" spans="5:5" x14ac:dyDescent="0.4">
      <c r="E233" s="518"/>
    </row>
    <row r="234" spans="5:5" x14ac:dyDescent="0.4">
      <c r="E234" s="518"/>
    </row>
    <row r="235" spans="5:5" x14ac:dyDescent="0.4">
      <c r="E235" s="518"/>
    </row>
    <row r="236" spans="5:5" x14ac:dyDescent="0.4">
      <c r="E236" s="518"/>
    </row>
    <row r="237" spans="5:5" x14ac:dyDescent="0.4">
      <c r="E237" s="518"/>
    </row>
    <row r="238" spans="5:5" x14ac:dyDescent="0.4">
      <c r="E238" s="518"/>
    </row>
    <row r="239" spans="5:5" x14ac:dyDescent="0.4">
      <c r="E239" s="518"/>
    </row>
    <row r="240" spans="5:5" x14ac:dyDescent="0.4">
      <c r="E240" s="518"/>
    </row>
    <row r="241" spans="5:5" x14ac:dyDescent="0.4">
      <c r="E241" s="518"/>
    </row>
    <row r="242" spans="5:5" x14ac:dyDescent="0.4">
      <c r="E242" s="518"/>
    </row>
    <row r="243" spans="5:5" x14ac:dyDescent="0.4">
      <c r="E243" s="518"/>
    </row>
    <row r="244" spans="5:5" x14ac:dyDescent="0.4">
      <c r="E244" s="518"/>
    </row>
    <row r="245" spans="5:5" x14ac:dyDescent="0.4">
      <c r="E245" s="518"/>
    </row>
    <row r="246" spans="5:5" x14ac:dyDescent="0.4">
      <c r="E246" s="518"/>
    </row>
    <row r="247" spans="5:5" x14ac:dyDescent="0.4">
      <c r="E247" s="518"/>
    </row>
    <row r="248" spans="5:5" x14ac:dyDescent="0.4">
      <c r="E248" s="518"/>
    </row>
    <row r="249" spans="5:5" x14ac:dyDescent="0.4">
      <c r="E249" s="518"/>
    </row>
    <row r="250" spans="5:5" x14ac:dyDescent="0.4">
      <c r="E250" s="518"/>
    </row>
    <row r="251" spans="5:5" x14ac:dyDescent="0.4">
      <c r="E251" s="518"/>
    </row>
    <row r="252" spans="5:5" x14ac:dyDescent="0.4">
      <c r="E252" s="518"/>
    </row>
    <row r="253" spans="5:5" x14ac:dyDescent="0.4">
      <c r="E253" s="518"/>
    </row>
    <row r="254" spans="5:5" x14ac:dyDescent="0.4">
      <c r="E254" s="518"/>
    </row>
    <row r="255" spans="5:5" x14ac:dyDescent="0.4">
      <c r="E255" s="518"/>
    </row>
    <row r="256" spans="5:5" x14ac:dyDescent="0.4">
      <c r="E256" s="518"/>
    </row>
    <row r="257" spans="5:5" x14ac:dyDescent="0.4">
      <c r="E257" s="518"/>
    </row>
    <row r="258" spans="5:5" x14ac:dyDescent="0.4">
      <c r="E258" s="518"/>
    </row>
    <row r="259" spans="5:5" x14ac:dyDescent="0.4">
      <c r="E259" s="518"/>
    </row>
    <row r="260" spans="5:5" x14ac:dyDescent="0.4">
      <c r="E260" s="518"/>
    </row>
    <row r="261" spans="5:5" x14ac:dyDescent="0.4">
      <c r="E261" s="518"/>
    </row>
    <row r="262" spans="5:5" x14ac:dyDescent="0.4">
      <c r="E262" s="518"/>
    </row>
    <row r="263" spans="5:5" x14ac:dyDescent="0.4">
      <c r="E263" s="518"/>
    </row>
    <row r="264" spans="5:5" x14ac:dyDescent="0.4">
      <c r="E264" s="518"/>
    </row>
    <row r="265" spans="5:5" x14ac:dyDescent="0.4">
      <c r="E265" s="518"/>
    </row>
    <row r="266" spans="5:5" x14ac:dyDescent="0.4">
      <c r="E266" s="518"/>
    </row>
    <row r="267" spans="5:5" x14ac:dyDescent="0.4">
      <c r="E267" s="518"/>
    </row>
    <row r="268" spans="5:5" x14ac:dyDescent="0.4">
      <c r="E268" s="518"/>
    </row>
    <row r="269" spans="5:5" x14ac:dyDescent="0.4">
      <c r="E269" s="518"/>
    </row>
    <row r="270" spans="5:5" x14ac:dyDescent="0.4">
      <c r="E270" s="518"/>
    </row>
    <row r="271" spans="5:5" x14ac:dyDescent="0.4">
      <c r="E271" s="518"/>
    </row>
    <row r="272" spans="5:5" x14ac:dyDescent="0.4">
      <c r="E272" s="518"/>
    </row>
    <row r="273" spans="5:5" x14ac:dyDescent="0.4">
      <c r="E273" s="518"/>
    </row>
    <row r="274" spans="5:5" x14ac:dyDescent="0.4">
      <c r="E274" s="518"/>
    </row>
    <row r="275" spans="5:5" x14ac:dyDescent="0.4">
      <c r="E275" s="518"/>
    </row>
    <row r="276" spans="5:5" x14ac:dyDescent="0.4">
      <c r="E276" s="518"/>
    </row>
    <row r="277" spans="5:5" x14ac:dyDescent="0.4">
      <c r="E277" s="518"/>
    </row>
    <row r="278" spans="5:5" x14ac:dyDescent="0.4">
      <c r="E278" s="518"/>
    </row>
    <row r="279" spans="5:5" x14ac:dyDescent="0.4">
      <c r="E279" s="518"/>
    </row>
    <row r="280" spans="5:5" x14ac:dyDescent="0.4">
      <c r="E280" s="518"/>
    </row>
    <row r="281" spans="5:5" x14ac:dyDescent="0.4">
      <c r="E281" s="518"/>
    </row>
    <row r="282" spans="5:5" x14ac:dyDescent="0.4">
      <c r="E282" s="518"/>
    </row>
    <row r="283" spans="5:5" x14ac:dyDescent="0.4">
      <c r="E283" s="518"/>
    </row>
    <row r="284" spans="5:5" x14ac:dyDescent="0.4">
      <c r="E284" s="518"/>
    </row>
    <row r="285" spans="5:5" x14ac:dyDescent="0.4">
      <c r="E285" s="518"/>
    </row>
    <row r="286" spans="5:5" x14ac:dyDescent="0.4">
      <c r="E286" s="518"/>
    </row>
    <row r="287" spans="5:5" x14ac:dyDescent="0.4">
      <c r="E287" s="518"/>
    </row>
    <row r="288" spans="5:5" x14ac:dyDescent="0.4">
      <c r="E288" s="518"/>
    </row>
    <row r="289" spans="5:5" x14ac:dyDescent="0.4">
      <c r="E289" s="518"/>
    </row>
    <row r="290" spans="5:5" x14ac:dyDescent="0.4">
      <c r="E290" s="518"/>
    </row>
    <row r="291" spans="5:5" x14ac:dyDescent="0.4">
      <c r="E291" s="518"/>
    </row>
    <row r="292" spans="5:5" x14ac:dyDescent="0.4">
      <c r="E292" s="518"/>
    </row>
    <row r="293" spans="5:5" x14ac:dyDescent="0.4">
      <c r="E293" s="518"/>
    </row>
    <row r="294" spans="5:5" x14ac:dyDescent="0.4">
      <c r="E294" s="518"/>
    </row>
    <row r="295" spans="5:5" x14ac:dyDescent="0.4">
      <c r="E295" s="518"/>
    </row>
    <row r="296" spans="5:5" x14ac:dyDescent="0.4">
      <c r="E296" s="518"/>
    </row>
    <row r="297" spans="5:5" x14ac:dyDescent="0.4">
      <c r="E297" s="518"/>
    </row>
    <row r="298" spans="5:5" x14ac:dyDescent="0.4">
      <c r="E298" s="518"/>
    </row>
    <row r="299" spans="5:5" x14ac:dyDescent="0.4">
      <c r="E299" s="518"/>
    </row>
    <row r="300" spans="5:5" x14ac:dyDescent="0.4">
      <c r="E300" s="518"/>
    </row>
    <row r="301" spans="5:5" x14ac:dyDescent="0.4">
      <c r="E301" s="518"/>
    </row>
    <row r="302" spans="5:5" x14ac:dyDescent="0.4">
      <c r="E302" s="518"/>
    </row>
    <row r="303" spans="5:5" x14ac:dyDescent="0.4">
      <c r="E303" s="518"/>
    </row>
    <row r="304" spans="5:5" x14ac:dyDescent="0.4">
      <c r="E304" s="518"/>
    </row>
    <row r="305" spans="5:5" x14ac:dyDescent="0.4">
      <c r="E305" s="518"/>
    </row>
    <row r="306" spans="5:5" x14ac:dyDescent="0.4">
      <c r="E306" s="518"/>
    </row>
    <row r="307" spans="5:5" x14ac:dyDescent="0.4">
      <c r="E307" s="518"/>
    </row>
    <row r="308" spans="5:5" x14ac:dyDescent="0.4">
      <c r="E308" s="518"/>
    </row>
    <row r="309" spans="5:5" x14ac:dyDescent="0.4">
      <c r="E309" s="518"/>
    </row>
    <row r="310" spans="5:5" x14ac:dyDescent="0.4">
      <c r="E310" s="518"/>
    </row>
    <row r="311" spans="5:5" x14ac:dyDescent="0.4">
      <c r="E311" s="518"/>
    </row>
    <row r="312" spans="5:5" x14ac:dyDescent="0.4">
      <c r="E312" s="518"/>
    </row>
    <row r="313" spans="5:5" x14ac:dyDescent="0.4">
      <c r="E313" s="518"/>
    </row>
    <row r="314" spans="5:5" x14ac:dyDescent="0.4">
      <c r="E314" s="518"/>
    </row>
    <row r="315" spans="5:5" x14ac:dyDescent="0.4">
      <c r="E315" s="518"/>
    </row>
    <row r="316" spans="5:5" x14ac:dyDescent="0.4">
      <c r="E316" s="518"/>
    </row>
    <row r="317" spans="5:5" x14ac:dyDescent="0.4">
      <c r="E317" s="518"/>
    </row>
    <row r="318" spans="5:5" x14ac:dyDescent="0.4">
      <c r="E318" s="518"/>
    </row>
    <row r="319" spans="5:5" x14ac:dyDescent="0.4">
      <c r="E319" s="518"/>
    </row>
    <row r="320" spans="5:5" x14ac:dyDescent="0.4">
      <c r="E320" s="518"/>
    </row>
    <row r="321" spans="5:5" x14ac:dyDescent="0.4">
      <c r="E321" s="518"/>
    </row>
    <row r="322" spans="5:5" x14ac:dyDescent="0.4">
      <c r="E322" s="518"/>
    </row>
  </sheetData>
  <protectedRanges>
    <protectedRange algorithmName="SHA-512" hashValue="cT0m3qEFplMypQbXArr/5LTUIvEkZhEqkCgj1B5n2RDvtZy7nWmUHUqg/l+OCnEFvEqVO8iZftO4YR8R4GCQoA==" saltValue="HR+wz+LuI/MriuN3WA8pzg==" spinCount="100000" sqref="P2:AI2" name="Full Report_1"/>
  </protectedRanges>
  <customSheetViews>
    <customSheetView guid="{800416AC-1374-44AC-811C-612C85EF24E6}" scale="55" hiddenRows="1">
      <selection activeCell="Z9" sqref="Z9"/>
      <pageMargins left="0.7" right="0.7" top="0.75" bottom="0.75" header="0.3" footer="0.3"/>
      <pageSetup paperSize="9" orientation="portrait" r:id="rId1"/>
    </customSheetView>
    <customSheetView guid="{FBC63E8F-69FE-4648-B709-FA1212EFFB29}" scale="55" hiddenRows="1">
      <selection activeCell="Z9" sqref="Z9"/>
      <pageMargins left="0.7" right="0.7" top="0.75" bottom="0.75" header="0.3" footer="0.3"/>
      <pageSetup paperSize="9" orientation="portrait" r:id="rId2"/>
    </customSheetView>
    <customSheetView guid="{C7C13768-4A8D-4CBA-978C-F4A7B5550C00}" scale="55" hiddenRows="1">
      <selection activeCell="B10" sqref="B10:AK10"/>
      <pageMargins left="0.7" right="0.7" top="0.75" bottom="0.75" header="0.3" footer="0.3"/>
      <pageSetup paperSize="9" orientation="portrait" r:id="rId3"/>
    </customSheetView>
    <customSheetView guid="{466708C2-41CE-4656-AB81-E1E49DF5945D}" scale="55" hiddenRows="1">
      <selection activeCell="B10" sqref="B10:AK10"/>
      <pageMargins left="0.7" right="0.7" top="0.75" bottom="0.75" header="0.3" footer="0.3"/>
      <pageSetup paperSize="9" orientation="portrait" r:id="rId4"/>
    </customSheetView>
    <customSheetView guid="{E3A3AE56-8881-4A6F-9299-803C489AD1B4}" scale="55" hiddenRows="1">
      <selection activeCell="B10" sqref="B10:AK10"/>
      <pageMargins left="0.7" right="0.7" top="0.75" bottom="0.75" header="0.3" footer="0.3"/>
      <pageSetup paperSize="9" orientation="portrait" r:id="rId5"/>
    </customSheetView>
    <customSheetView guid="{83044EFE-7F92-4F81-B034-85D9567158C2}" scale="55" hiddenRows="1">
      <selection activeCell="B10" sqref="B10:AK10"/>
      <pageMargins left="0.7" right="0.7" top="0.75" bottom="0.75" header="0.3" footer="0.3"/>
      <pageSetup paperSize="9" orientation="portrait" r:id="rId6"/>
    </customSheetView>
    <customSheetView guid="{E4713981-DD11-40CE-BE52-873D93BDDE05}" scale="55" hiddenRows="1">
      <selection activeCell="B10" sqref="B10:AK10"/>
      <pageMargins left="0.7" right="0.7" top="0.75" bottom="0.75" header="0.3" footer="0.3"/>
      <pageSetup paperSize="9" orientation="portrait" r:id="rId7"/>
    </customSheetView>
    <customSheetView guid="{442F9A23-CA6E-4109-B10C-ACF5FD36B859}" scale="55" hiddenRows="1">
      <selection activeCell="B10" sqref="B10:AK10"/>
      <pageMargins left="0.7" right="0.7" top="0.75" bottom="0.75" header="0.3" footer="0.3"/>
      <pageSetup paperSize="9" orientation="portrait" r:id="rId8"/>
    </customSheetView>
    <customSheetView guid="{B434A8A8-5A4C-48C0-82E7-2458B9D2EEEF}" scale="55" hiddenRows="1">
      <selection activeCell="B10" sqref="B10:AK10"/>
      <pageMargins left="0.7" right="0.7" top="0.75" bottom="0.75" header="0.3" footer="0.3"/>
      <pageSetup paperSize="9" orientation="portrait" r:id="rId9"/>
    </customSheetView>
    <customSheetView guid="{3827E543-57D2-48C8-B786-7077EA079DD2}" scale="55" hiddenRows="1">
      <selection activeCell="B10" sqref="B10:AK10"/>
      <pageMargins left="0.7" right="0.7" top="0.75" bottom="0.75" header="0.3" footer="0.3"/>
      <pageSetup paperSize="9" orientation="portrait" r:id="rId10"/>
    </customSheetView>
    <customSheetView guid="{2EA8DBF7-9763-457C-AA9F-1EEB2F136D1F}" scale="55" hiddenRows="1">
      <selection activeCell="B10" sqref="B10:AK10"/>
      <pageMargins left="0.7" right="0.7" top="0.75" bottom="0.75" header="0.3" footer="0.3"/>
      <pageSetup paperSize="9" orientation="portrait" r:id="rId11"/>
    </customSheetView>
    <customSheetView guid="{70582C04-BB53-4A99-A3C1-673011D9AE1C}" scale="55" hiddenRows="1">
      <pageMargins left="0.7" right="0.7" top="0.75" bottom="0.75" header="0.3" footer="0.3"/>
      <pageSetup paperSize="9" orientation="portrait" r:id="rId12"/>
    </customSheetView>
    <customSheetView guid="{37F5A0AB-EB39-4832-9D67-F67D908BF486}" scale="55" hiddenRows="1">
      <pageMargins left="0.7" right="0.7" top="0.75" bottom="0.75" header="0.3" footer="0.3"/>
      <pageSetup paperSize="9" orientation="portrait" r:id="rId13"/>
    </customSheetView>
    <customSheetView guid="{78AA4A71-CE17-4C4D-849E-E3E1A44EA907}" scale="110" hiddenRows="1" topLeftCell="A9">
      <selection activeCell="B19" sqref="B19:AK19"/>
      <pageMargins left="0.7" right="0.7" top="0.75" bottom="0.75" header="0.3" footer="0.3"/>
      <pageSetup paperSize="9" orientation="portrait" r:id="rId14"/>
    </customSheetView>
    <customSheetView guid="{51DFD3D6-BC25-47B4-B28F-D640534DB3A9}" scale="110" hiddenRows="1" topLeftCell="A39">
      <selection activeCell="B46" sqref="B46:AK46"/>
      <pageMargins left="0.7" right="0.7" top="0.75" bottom="0.75" header="0.3" footer="0.3"/>
      <pageSetup paperSize="9" orientation="portrait" r:id="rId15"/>
    </customSheetView>
    <customSheetView guid="{CA7E8063-5145-49E1-8E00-2E1025705A81}" scale="70" hiddenRows="1" topLeftCell="A31">
      <selection activeCell="B58" sqref="B58:AK58"/>
      <pageMargins left="0.7" right="0.7" top="0.75" bottom="0.75" header="0.3" footer="0.3"/>
      <pageSetup paperSize="9" orientation="portrait" r:id="rId16"/>
    </customSheetView>
    <customSheetView guid="{75EE3B92-AF4D-4E93-A70E-6ADE60CC674F}" scale="70" hiddenRows="1" topLeftCell="A58">
      <selection activeCell="B1" sqref="B1:BF1048576"/>
      <pageMargins left="0.7" right="0.7" top="0.75" bottom="0.75" header="0.3" footer="0.3"/>
      <pageSetup paperSize="9" orientation="portrait" r:id="rId17"/>
    </customSheetView>
    <customSheetView guid="{29AC9BE3-332A-4738-949C-1F8C0D32BAEE}" scale="70" hiddenRows="1">
      <selection activeCell="B55" sqref="B55:AK55"/>
      <pageMargins left="0.7" right="0.7" top="0.75" bottom="0.75" header="0.3" footer="0.3"/>
      <pageSetup paperSize="9" orientation="portrait" r:id="rId18"/>
    </customSheetView>
    <customSheetView guid="{42B0E8B1-ADFA-49AE-A83B-82D384737703}" hiddenRows="1">
      <selection activeCell="B16" sqref="B16:AK16"/>
      <pageMargins left="0.7" right="0.7" top="0.75" bottom="0.75" header="0.3" footer="0.3"/>
      <pageSetup paperSize="9" orientation="portrait" r:id="rId19"/>
    </customSheetView>
    <customSheetView guid="{D59DDBAA-620D-43B7-A6D9-759808D3397A}" hiddenRows="1">
      <selection activeCell="B16" sqref="B16:AK16"/>
      <pageMargins left="0.7" right="0.7" top="0.75" bottom="0.75" header="0.3" footer="0.3"/>
      <pageSetup paperSize="9" orientation="portrait" r:id="rId20"/>
    </customSheetView>
    <customSheetView guid="{F4A6298C-1A75-4FA9-A6A4-2BE13CCFE545}" scale="86" hiddenRows="1" topLeftCell="B1">
      <selection activeCell="I15" sqref="I15"/>
      <pageMargins left="0.7" right="0.7" top="0.75" bottom="0.75" header="0.3" footer="0.3"/>
      <pageSetup paperSize="9" orientation="portrait" r:id="rId21"/>
    </customSheetView>
    <customSheetView guid="{9F91FBC4-6A13-42C2-A2D9-42A2AC814E28}" scale="55" hiddenRows="1" topLeftCell="A58">
      <selection activeCell="AA9" sqref="AA9"/>
      <pageMargins left="0.7" right="0.7" top="0.75" bottom="0.75" header="0.3" footer="0.3"/>
      <pageSetup paperSize="9" orientation="portrait" r:id="rId22"/>
    </customSheetView>
    <customSheetView guid="{DF265C7B-1EEB-47EB-982A-6938E81F7AC2}" scale="55" hiddenRows="1">
      <selection activeCell="E9" sqref="E9"/>
      <pageMargins left="0.7" right="0.7" top="0.75" bottom="0.75" header="0.3" footer="0.3"/>
    </customSheetView>
    <customSheetView guid="{8263C9D2-452D-46FA-AFA0-452B42DC0298}" scale="70" hiddenRows="1" topLeftCell="A11">
      <selection activeCell="BI66" sqref="BI66"/>
      <pageMargins left="0.7" right="0.7" top="0.75" bottom="0.75" header="0.3" footer="0.3"/>
    </customSheetView>
    <customSheetView guid="{151EB58C-4EFD-4330-8D1A-8AACF5F7C679}" scale="70" hiddenRows="1" topLeftCell="A11">
      <selection activeCell="BI66" sqref="BI66"/>
      <pageMargins left="0.7" right="0.7" top="0.75" bottom="0.75" header="0.3" footer="0.3"/>
    </customSheetView>
    <customSheetView guid="{8CB67476-3FD4-42E0-ACD6-62ACA9412843}" scale="55" hiddenRows="1" topLeftCell="A54">
      <selection activeCell="B1" sqref="B1:B1048576"/>
      <pageMargins left="0.7" right="0.7" top="0.75" bottom="0.75" header="0.3" footer="0.3"/>
    </customSheetView>
    <customSheetView guid="{51B3083F-A103-41AB-A137-63549C54B838}" scale="110" hiddenRows="1" topLeftCell="A3">
      <selection activeCell="H9" sqref="H9"/>
      <pageMargins left="0.7" right="0.7" top="0.75" bottom="0.75" header="0.3" footer="0.3"/>
    </customSheetView>
    <customSheetView guid="{E06B4FE8-6127-47B2-A6A5-4FAC9EEB4538}" scale="80" hiddenRows="1" topLeftCell="A48">
      <selection activeCell="B58" sqref="B58:AK58"/>
      <pageMargins left="0.7" right="0.7" top="0.75" bottom="0.75" header="0.3" footer="0.3"/>
    </customSheetView>
    <customSheetView guid="{593284E7-E32C-4D6C-8C2F-3DEEF9DEE1DF}" scale="80" hiddenRows="1" topLeftCell="A48">
      <selection activeCell="B58" sqref="B58:AK58"/>
      <pageMargins left="0.7" right="0.7" top="0.75" bottom="0.75" header="0.3" footer="0.3"/>
    </customSheetView>
    <customSheetView guid="{351EFD38-BF62-4E34-A37F-0EEB3E165043}" scale="62" hiddenRows="1" topLeftCell="A20">
      <selection activeCell="AO28" sqref="AO28"/>
      <pageMargins left="0.7" right="0.7" top="0.75" bottom="0.75" header="0.3" footer="0.3"/>
    </customSheetView>
    <customSheetView guid="{EB96DBE4-2D64-4388-853C-CB52A0CB79BA}" scale="90" hiddenRows="1" topLeftCell="A21">
      <selection activeCell="A10" sqref="A10"/>
      <pageMargins left="0.7" right="0.7" top="0.75" bottom="0.75" header="0.3" footer="0.3"/>
    </customSheetView>
    <customSheetView guid="{016CEBB2-C827-48F4-95E1-85D8C5129F41}" scale="85" hiddenRows="1" state="hidden" topLeftCell="B47">
      <selection activeCell="V102" sqref="V102"/>
      <pageMargins left="0.7" right="0.7" top="0.75" bottom="0.75" header="0.3" footer="0.3"/>
    </customSheetView>
    <customSheetView guid="{D27C51BB-BB54-4F37-8171-98067C39697C}" scale="70" hiddenRows="1">
      <selection activeCell="B13" sqref="B13:AK13"/>
      <pageMargins left="0.7" right="0.7" top="0.75" bottom="0.75" header="0.3" footer="0.3"/>
    </customSheetView>
    <customSheetView guid="{008CCD98-7480-4C51-806A-4B55C801DDC2}" scale="115" hiddenRows="1" topLeftCell="B51">
      <selection activeCell="B55" sqref="B55:AK55"/>
      <pageMargins left="0.7" right="0.7" top="0.75" bottom="0.75" header="0.3" footer="0.3"/>
    </customSheetView>
    <customSheetView guid="{4E6F9C2D-76F2-4884-BBF6-E02A7BAE11EF}" scale="85" hiddenRows="1" state="hidden" topLeftCell="B47">
      <selection activeCell="V102" sqref="V102"/>
      <pageMargins left="0.7" right="0.7" top="0.75" bottom="0.75" header="0.3" footer="0.3"/>
    </customSheetView>
    <customSheetView guid="{C39AE06A-FC0A-4D7D-B287-2FA9CA174191}" scale="55" hiddenRows="1" topLeftCell="A25">
      <selection activeCell="B34" sqref="B34:AK34"/>
      <pageMargins left="0.7" right="0.7" top="0.75" bottom="0.75" header="0.3" footer="0.3"/>
    </customSheetView>
    <customSheetView guid="{D16D941B-FC89-4FEC-A49B-5FA2532584DE}" scale="62" hiddenRows="1" topLeftCell="A20">
      <selection activeCell="AO28" sqref="AO28"/>
      <pageMargins left="0.7" right="0.7" top="0.75" bottom="0.75" header="0.3" footer="0.3"/>
    </customSheetView>
    <customSheetView guid="{3BB18945-69B5-4B22-8D55-989F8F233459}" scale="80" hiddenRows="1" topLeftCell="A48">
      <selection activeCell="B58" sqref="B58:AK58"/>
      <pageMargins left="0.7" right="0.7" top="0.75" bottom="0.75" header="0.3" footer="0.3"/>
    </customSheetView>
    <customSheetView guid="{B84DA703-8C5B-4100-91A4-8807E303D379}" scale="110" hiddenRows="1" topLeftCell="B20">
      <selection activeCell="B32" sqref="B32"/>
      <pageMargins left="0.7" right="0.7" top="0.75" bottom="0.75" header="0.3" footer="0.3"/>
      <pageSetup paperSize="9" orientation="portrait" r:id="rId23"/>
    </customSheetView>
    <customSheetView guid="{B0A28FD4-D7F6-428C-A7F7-92132DCD74BB}" scale="110" hiddenRows="1" topLeftCell="A11">
      <selection activeCell="A19" sqref="A19"/>
      <pageMargins left="0.7" right="0.7" top="0.75" bottom="0.75" header="0.3" footer="0.3"/>
    </customSheetView>
    <customSheetView guid="{3C97F0B0-2F3C-4E03-96E0-0C4FEC2F24AC}" scale="110" hiddenRows="1" topLeftCell="A11">
      <selection activeCell="A19" sqref="A19"/>
      <pageMargins left="0.7" right="0.7" top="0.75" bottom="0.75" header="0.3" footer="0.3"/>
    </customSheetView>
    <customSheetView guid="{A03C6B09-6B58-4DDE-A3B2-41A27A7049D9}" scale="55" hiddenRows="1" topLeftCell="A54">
      <selection activeCell="B1" sqref="B1:B1048576"/>
      <pageMargins left="0.7" right="0.7" top="0.75" bottom="0.75" header="0.3" footer="0.3"/>
    </customSheetView>
    <customSheetView guid="{4EBEE699-7DEF-4A50-9CB7-490835CF0B98}" scale="55" hiddenRows="1" topLeftCell="A29">
      <selection activeCell="BK61" sqref="BK61"/>
      <pageMargins left="0.7" right="0.7" top="0.75" bottom="0.75" header="0.3" footer="0.3"/>
    </customSheetView>
    <customSheetView guid="{451730E2-FFE9-4FCE-B8B5-64952C26C672}" scale="55" hiddenRows="1" topLeftCell="A10">
      <selection activeCell="BK61" sqref="BK61"/>
      <pageMargins left="0.7" right="0.7" top="0.75" bottom="0.75" header="0.3" footer="0.3"/>
    </customSheetView>
    <customSheetView guid="{9AF6E233-883D-48B4-95AB-42B37199AB9E}" scale="80" hiddenRows="1" topLeftCell="B1">
      <pane xSplit="2" ySplit="6" topLeftCell="D31" activePane="bottomRight" state="frozen"/>
      <selection pane="bottomRight" activeCell="B34" sqref="B34:AK34"/>
      <pageMargins left="0.7" right="0.7" top="0.75" bottom="0.75" header="0.3" footer="0.3"/>
    </customSheetView>
    <customSheetView guid="{1ECD6E30-299B-4354-A416-2DAFF33C7022}" scale="86" hiddenRows="1" topLeftCell="B1">
      <selection activeCell="I15" sqref="I15"/>
      <pageMargins left="0.7" right="0.7" top="0.75" bottom="0.75" header="0.3" footer="0.3"/>
      <pageSetup paperSize="9" orientation="portrait" r:id="rId24"/>
    </customSheetView>
    <customSheetView guid="{97D58294-343B-4B62-A826-0DDDE29B5F0D}" scale="86" hiddenRows="1" topLeftCell="B1">
      <selection activeCell="I15" sqref="I15"/>
      <pageMargins left="0.7" right="0.7" top="0.75" bottom="0.75" header="0.3" footer="0.3"/>
      <pageSetup paperSize="9" orientation="portrait" r:id="rId25"/>
    </customSheetView>
    <customSheetView guid="{BDCD1595-C0B8-4F6C-B01C-3472C895B827}" scale="40" hiddenRows="1">
      <pageMargins left="0.7" right="0.7" top="0.75" bottom="0.75" header="0.3" footer="0.3"/>
      <pageSetup paperSize="9" orientation="portrait" r:id="rId26"/>
    </customSheetView>
    <customSheetView guid="{9355C9F4-9C07-4A93-B7F2-69F1D1526716}" scale="40" hiddenRows="1">
      <pageMargins left="0.7" right="0.7" top="0.75" bottom="0.75" header="0.3" footer="0.3"/>
      <pageSetup paperSize="9" orientation="portrait" r:id="rId27"/>
    </customSheetView>
    <customSheetView guid="{F5FA2A23-9E46-4C2F-B1EE-B71787F95C57}" scale="70" hiddenRows="1">
      <selection activeCell="B55" sqref="B55:AK55"/>
      <pageMargins left="0.7" right="0.7" top="0.75" bottom="0.75" header="0.3" footer="0.3"/>
      <pageSetup paperSize="9" orientation="portrait" r:id="rId28"/>
    </customSheetView>
    <customSheetView guid="{B95D32C7-1418-4EF6-8936-849885C54A4A}" scale="70" hiddenRows="1">
      <selection activeCell="B16" sqref="B16:AK16"/>
      <pageMargins left="0.7" right="0.7" top="0.75" bottom="0.75" header="0.3" footer="0.3"/>
      <pageSetup paperSize="9" orientation="portrait" r:id="rId29"/>
    </customSheetView>
    <customSheetView guid="{602520CD-F98C-43A6-AA0D-88893E9CB6E8}" scale="55" hiddenRows="1">
      <selection activeCell="B10" sqref="B10:AK10"/>
      <pageMargins left="0.7" right="0.7" top="0.75" bottom="0.75" header="0.3" footer="0.3"/>
      <pageSetup paperSize="9" orientation="portrait" r:id="rId30"/>
    </customSheetView>
    <customSheetView guid="{A8E976B8-D767-4DB4-82BD-ABE90880F33F}" scale="55" hiddenRows="1">
      <selection activeCell="B10" sqref="B10:AK10"/>
      <pageMargins left="0.7" right="0.7" top="0.75" bottom="0.75" header="0.3" footer="0.3"/>
      <pageSetup paperSize="9" orientation="portrait" r:id="rId31"/>
    </customSheetView>
    <customSheetView guid="{D850720D-4A1C-48F2-8E1D-8E09B7414A1A}" scale="55" hiddenRows="1">
      <selection activeCell="B10" sqref="B10:AK10"/>
      <pageMargins left="0.7" right="0.7" top="0.75" bottom="0.75" header="0.3" footer="0.3"/>
      <pageSetup paperSize="9" orientation="portrait" r:id="rId32"/>
    </customSheetView>
    <customSheetView guid="{C57A83F1-F5A3-470B-9579-6A222C54F4E8}" scale="55" hiddenRows="1">
      <selection activeCell="B10" sqref="B10:AK10"/>
      <pageMargins left="0.7" right="0.7" top="0.75" bottom="0.75" header="0.3" footer="0.3"/>
      <pageSetup paperSize="9" orientation="portrait" r:id="rId33"/>
    </customSheetView>
    <customSheetView guid="{2608BE9B-66AC-4D4C-8EE0-E88C94E88140}" scale="55" hiddenRows="1">
      <selection activeCell="B10" sqref="B10:AK10"/>
      <pageMargins left="0.7" right="0.7" top="0.75" bottom="0.75" header="0.3" footer="0.3"/>
      <pageSetup paperSize="9" orientation="portrait" r:id="rId34"/>
    </customSheetView>
    <customSheetView guid="{EDD5A64E-02C0-4DD6-80BA-449123FCDAA2}" scale="55" hiddenRows="1">
      <selection activeCell="B10" sqref="B10:AK10"/>
      <pageMargins left="0.7" right="0.7" top="0.75" bottom="0.75" header="0.3" footer="0.3"/>
      <pageSetup paperSize="9" orientation="portrait" r:id="rId35"/>
    </customSheetView>
    <customSheetView guid="{B8317A9A-0FFD-4A18-80F7-203DB2FC8CA5}" scale="55" hiddenRows="1" topLeftCell="A40">
      <selection activeCell="B40" sqref="B40:AK40"/>
      <pageMargins left="0.7" right="0.7" top="0.75" bottom="0.75" header="0.3" footer="0.3"/>
      <pageSetup paperSize="9" orientation="portrait" r:id="rId36"/>
    </customSheetView>
    <customSheetView guid="{7E571F1D-D438-4605-90D6-3F831F76D652}" scale="55" hiddenRows="1">
      <selection activeCell="Z9" sqref="Z9"/>
      <pageMargins left="0.7" right="0.7" top="0.75" bottom="0.75" header="0.3" footer="0.3"/>
      <pageSetup paperSize="9" orientation="portrait" r:id="rId37"/>
    </customSheetView>
  </customSheetViews>
  <mergeCells count="74">
    <mergeCell ref="B63:E63"/>
    <mergeCell ref="AV4:AV5"/>
    <mergeCell ref="B49:AK49"/>
    <mergeCell ref="B52:AK52"/>
    <mergeCell ref="B55:AK55"/>
    <mergeCell ref="B31:AK31"/>
    <mergeCell ref="B34:AK34"/>
    <mergeCell ref="B37:AK37"/>
    <mergeCell ref="B40:AK40"/>
    <mergeCell ref="B43:AK43"/>
    <mergeCell ref="B46:AK46"/>
    <mergeCell ref="AK2:AK5"/>
    <mergeCell ref="AV2:AX3"/>
    <mergeCell ref="B60:J60"/>
    <mergeCell ref="B61:E61"/>
    <mergeCell ref="B62:E62"/>
    <mergeCell ref="AR4:AR5"/>
    <mergeCell ref="AT4:AT5"/>
    <mergeCell ref="AX4:AX5"/>
    <mergeCell ref="J4:K4"/>
    <mergeCell ref="M4:M5"/>
    <mergeCell ref="N4:N5"/>
    <mergeCell ref="U4:W4"/>
    <mergeCell ref="Y4:AA4"/>
    <mergeCell ref="AC4:AC5"/>
    <mergeCell ref="AD4:AD5"/>
    <mergeCell ref="AE4:AE5"/>
    <mergeCell ref="AF4:AF5"/>
    <mergeCell ref="AG4:AG5"/>
    <mergeCell ref="AH4:AI4"/>
    <mergeCell ref="AM3:AM5"/>
    <mergeCell ref="AN3:AN5"/>
    <mergeCell ref="AO3:AO5"/>
    <mergeCell ref="B25:AK25"/>
    <mergeCell ref="B28:AK28"/>
    <mergeCell ref="AZ2:BA3"/>
    <mergeCell ref="BC2:BF3"/>
    <mergeCell ref="D3:E5"/>
    <mergeCell ref="G3:K3"/>
    <mergeCell ref="M3:N3"/>
    <mergeCell ref="P3:Q5"/>
    <mergeCell ref="S3:S5"/>
    <mergeCell ref="U3:AA3"/>
    <mergeCell ref="AC3:AI3"/>
    <mergeCell ref="G4:G5"/>
    <mergeCell ref="BC4:BD4"/>
    <mergeCell ref="BE4:BF4"/>
    <mergeCell ref="AQ4:AQ5"/>
    <mergeCell ref="B66:E66"/>
    <mergeCell ref="B67:E67"/>
    <mergeCell ref="B68:E68"/>
    <mergeCell ref="B65:E65"/>
    <mergeCell ref="AQ2:AT3"/>
    <mergeCell ref="B64:E64"/>
    <mergeCell ref="B2:B5"/>
    <mergeCell ref="D2:N2"/>
    <mergeCell ref="P2:AI2"/>
    <mergeCell ref="H4:I4"/>
    <mergeCell ref="B58:AK58"/>
    <mergeCell ref="B10:AK10"/>
    <mergeCell ref="B13:AK13"/>
    <mergeCell ref="B16:AK16"/>
    <mergeCell ref="B19:AK19"/>
    <mergeCell ref="B22:AK22"/>
    <mergeCell ref="B78:E78"/>
    <mergeCell ref="B69:E69"/>
    <mergeCell ref="B70:E70"/>
    <mergeCell ref="B71:E71"/>
    <mergeCell ref="B72:E72"/>
    <mergeCell ref="B73:E73"/>
    <mergeCell ref="B74:E74"/>
    <mergeCell ref="B75:E75"/>
    <mergeCell ref="B76:E76"/>
    <mergeCell ref="B77:E77"/>
  </mergeCells>
  <conditionalFormatting sqref="D9">
    <cfRule type="cellIs" dxfId="595" priority="346" operator="equal">
      <formula>"n/a"</formula>
    </cfRule>
    <cfRule type="cellIs" dxfId="594" priority="347" operator="equal">
      <formula>"G"</formula>
    </cfRule>
    <cfRule type="cellIs" dxfId="593" priority="348" operator="equal">
      <formula>"A"</formula>
    </cfRule>
    <cfRule type="cellIs" dxfId="592" priority="349" operator="equal">
      <formula>"R"</formula>
    </cfRule>
  </conditionalFormatting>
  <conditionalFormatting sqref="D12">
    <cfRule type="cellIs" dxfId="591" priority="80" operator="equal">
      <formula>"R"</formula>
    </cfRule>
    <cfRule type="cellIs" dxfId="590" priority="78" operator="equal">
      <formula>"G"</formula>
    </cfRule>
    <cfRule type="cellIs" dxfId="589" priority="77" operator="equal">
      <formula>"n/a"</formula>
    </cfRule>
    <cfRule type="cellIs" dxfId="588" priority="79" operator="equal">
      <formula>"A"</formula>
    </cfRule>
  </conditionalFormatting>
  <conditionalFormatting sqref="D15">
    <cfRule type="cellIs" dxfId="587" priority="72" operator="equal">
      <formula>"n/a"</formula>
    </cfRule>
    <cfRule type="cellIs" dxfId="586" priority="74" operator="equal">
      <formula>"A"</formula>
    </cfRule>
    <cfRule type="cellIs" dxfId="585" priority="75" operator="equal">
      <formula>"R"</formula>
    </cfRule>
    <cfRule type="cellIs" dxfId="584" priority="73" operator="equal">
      <formula>"G"</formula>
    </cfRule>
  </conditionalFormatting>
  <conditionalFormatting sqref="D18">
    <cfRule type="cellIs" dxfId="583" priority="7" operator="equal">
      <formula>"n/a"</formula>
    </cfRule>
    <cfRule type="cellIs" dxfId="582" priority="8" operator="equal">
      <formula>"G"</formula>
    </cfRule>
    <cfRule type="cellIs" dxfId="581" priority="9" operator="equal">
      <formula>"A"</formula>
    </cfRule>
    <cfRule type="cellIs" dxfId="580" priority="10" operator="equal">
      <formula>"R"</formula>
    </cfRule>
  </conditionalFormatting>
  <conditionalFormatting sqref="D21">
    <cfRule type="cellIs" dxfId="579" priority="47" operator="equal">
      <formula>"n/a"</formula>
    </cfRule>
    <cfRule type="cellIs" dxfId="578" priority="50" operator="equal">
      <formula>"R"</formula>
    </cfRule>
    <cfRule type="cellIs" dxfId="577" priority="49" operator="equal">
      <formula>"A"</formula>
    </cfRule>
    <cfRule type="cellIs" dxfId="576" priority="48" operator="equal">
      <formula>"G"</formula>
    </cfRule>
  </conditionalFormatting>
  <conditionalFormatting sqref="D24">
    <cfRule type="cellIs" dxfId="575" priority="68" operator="equal">
      <formula>"G"</formula>
    </cfRule>
    <cfRule type="cellIs" dxfId="574" priority="69" operator="equal">
      <formula>"A"</formula>
    </cfRule>
    <cfRule type="cellIs" dxfId="573" priority="67" operator="equal">
      <formula>"n/a"</formula>
    </cfRule>
    <cfRule type="cellIs" dxfId="572" priority="70" operator="equal">
      <formula>"R"</formula>
    </cfRule>
  </conditionalFormatting>
  <conditionalFormatting sqref="D27">
    <cfRule type="cellIs" dxfId="571" priority="65" operator="equal">
      <formula>"R"</formula>
    </cfRule>
    <cfRule type="cellIs" dxfId="570" priority="63" operator="equal">
      <formula>"G"</formula>
    </cfRule>
    <cfRule type="cellIs" dxfId="569" priority="64" operator="equal">
      <formula>"A"</formula>
    </cfRule>
    <cfRule type="cellIs" dxfId="568" priority="62" operator="equal">
      <formula>"n/a"</formula>
    </cfRule>
  </conditionalFormatting>
  <conditionalFormatting sqref="D30">
    <cfRule type="cellIs" dxfId="567" priority="37" operator="equal">
      <formula>"n/a"</formula>
    </cfRule>
    <cfRule type="cellIs" dxfId="566" priority="40" operator="equal">
      <formula>"R"</formula>
    </cfRule>
    <cfRule type="cellIs" dxfId="565" priority="39" operator="equal">
      <formula>"A"</formula>
    </cfRule>
    <cfRule type="cellIs" dxfId="564" priority="38" operator="equal">
      <formula>"G"</formula>
    </cfRule>
  </conditionalFormatting>
  <conditionalFormatting sqref="D33">
    <cfRule type="cellIs" dxfId="563" priority="58" operator="equal">
      <formula>"G"</formula>
    </cfRule>
    <cfRule type="cellIs" dxfId="562" priority="60" operator="equal">
      <formula>"R"</formula>
    </cfRule>
    <cfRule type="cellIs" dxfId="561" priority="57" operator="equal">
      <formula>"n/a"</formula>
    </cfRule>
    <cfRule type="cellIs" dxfId="560" priority="59" operator="equal">
      <formula>"A"</formula>
    </cfRule>
  </conditionalFormatting>
  <conditionalFormatting sqref="D36">
    <cfRule type="cellIs" dxfId="559" priority="55" operator="equal">
      <formula>"R"</formula>
    </cfRule>
    <cfRule type="cellIs" dxfId="558" priority="52" operator="equal">
      <formula>"n/a"</formula>
    </cfRule>
    <cfRule type="cellIs" dxfId="557" priority="53" operator="equal">
      <formula>"G"</formula>
    </cfRule>
    <cfRule type="cellIs" dxfId="556" priority="54" operator="equal">
      <formula>"A"</formula>
    </cfRule>
  </conditionalFormatting>
  <conditionalFormatting sqref="D39">
    <cfRule type="cellIs" dxfId="555" priority="42" operator="equal">
      <formula>"n/a"</formula>
    </cfRule>
    <cfRule type="cellIs" dxfId="554" priority="43" operator="equal">
      <formula>"G"</formula>
    </cfRule>
    <cfRule type="cellIs" dxfId="553" priority="44" operator="equal">
      <formula>"A"</formula>
    </cfRule>
    <cfRule type="cellIs" dxfId="552" priority="45" operator="equal">
      <formula>"R"</formula>
    </cfRule>
  </conditionalFormatting>
  <conditionalFormatting sqref="D42">
    <cfRule type="cellIs" dxfId="551" priority="32" operator="equal">
      <formula>"n/a"</formula>
    </cfRule>
    <cfRule type="cellIs" dxfId="550" priority="35" operator="equal">
      <formula>"R"</formula>
    </cfRule>
    <cfRule type="cellIs" dxfId="549" priority="34" operator="equal">
      <formula>"A"</formula>
    </cfRule>
    <cfRule type="cellIs" dxfId="548" priority="33" operator="equal">
      <formula>"G"</formula>
    </cfRule>
  </conditionalFormatting>
  <conditionalFormatting sqref="D45">
    <cfRule type="cellIs" dxfId="547" priority="30" operator="equal">
      <formula>"R"</formula>
    </cfRule>
    <cfRule type="cellIs" dxfId="546" priority="29" operator="equal">
      <formula>"A"</formula>
    </cfRule>
    <cfRule type="cellIs" dxfId="545" priority="27" operator="equal">
      <formula>"n/a"</formula>
    </cfRule>
    <cfRule type="cellIs" dxfId="544" priority="28" operator="equal">
      <formula>"G"</formula>
    </cfRule>
  </conditionalFormatting>
  <conditionalFormatting sqref="D48">
    <cfRule type="cellIs" dxfId="543" priority="22" operator="equal">
      <formula>"n/a"</formula>
    </cfRule>
    <cfRule type="cellIs" dxfId="542" priority="25" operator="equal">
      <formula>"R"</formula>
    </cfRule>
    <cfRule type="cellIs" dxfId="541" priority="24" operator="equal">
      <formula>"A"</formula>
    </cfRule>
    <cfRule type="cellIs" dxfId="540" priority="23" operator="equal">
      <formula>"G"</formula>
    </cfRule>
  </conditionalFormatting>
  <conditionalFormatting sqref="D51">
    <cfRule type="cellIs" dxfId="539" priority="20" operator="equal">
      <formula>"R"</formula>
    </cfRule>
    <cfRule type="cellIs" dxfId="538" priority="17" operator="equal">
      <formula>"n/a"</formula>
    </cfRule>
    <cfRule type="cellIs" dxfId="537" priority="19" operator="equal">
      <formula>"A"</formula>
    </cfRule>
    <cfRule type="cellIs" dxfId="536" priority="18" operator="equal">
      <formula>"G"</formula>
    </cfRule>
  </conditionalFormatting>
  <conditionalFormatting sqref="D54">
    <cfRule type="cellIs" dxfId="535" priority="15" operator="equal">
      <formula>"R"</formula>
    </cfRule>
    <cfRule type="cellIs" dxfId="534" priority="14" operator="equal">
      <formula>"A"</formula>
    </cfRule>
    <cfRule type="cellIs" dxfId="533" priority="13" operator="equal">
      <formula>"G"</formula>
    </cfRule>
    <cfRule type="cellIs" dxfId="532" priority="12" operator="equal">
      <formula>"n/a"</formula>
    </cfRule>
  </conditionalFormatting>
  <conditionalFormatting sqref="D57">
    <cfRule type="cellIs" dxfId="531" priority="5" operator="equal">
      <formula>"R"</formula>
    </cfRule>
    <cfRule type="cellIs" dxfId="530" priority="4" operator="equal">
      <formula>"A"</formula>
    </cfRule>
    <cfRule type="cellIs" dxfId="529" priority="3" operator="equal">
      <formula>"G"</formula>
    </cfRule>
    <cfRule type="cellIs" dxfId="528" priority="2" operator="equal">
      <formula>"n/a"</formula>
    </cfRule>
  </conditionalFormatting>
  <conditionalFormatting sqref="E9">
    <cfRule type="iconSet" priority="335">
      <iconSet iconSet="3ArrowsGray" showValue="0">
        <cfvo type="percent" val="0"/>
        <cfvo type="num" val="0"/>
        <cfvo type="num" val="1"/>
      </iconSet>
    </cfRule>
  </conditionalFormatting>
  <conditionalFormatting sqref="E12">
    <cfRule type="iconSet" priority="76">
      <iconSet iconSet="3ArrowsGray" showValue="0">
        <cfvo type="percent" val="0"/>
        <cfvo type="num" val="0"/>
        <cfvo type="num" val="1"/>
      </iconSet>
    </cfRule>
  </conditionalFormatting>
  <conditionalFormatting sqref="E15">
    <cfRule type="iconSet" priority="71">
      <iconSet iconSet="3ArrowsGray" showValue="0">
        <cfvo type="percent" val="0"/>
        <cfvo type="num" val="0"/>
        <cfvo type="num" val="1"/>
      </iconSet>
    </cfRule>
  </conditionalFormatting>
  <conditionalFormatting sqref="E18">
    <cfRule type="iconSet" priority="6">
      <iconSet iconSet="3ArrowsGray" showValue="0">
        <cfvo type="percent" val="0"/>
        <cfvo type="num" val="0"/>
        <cfvo type="num" val="1"/>
      </iconSet>
    </cfRule>
  </conditionalFormatting>
  <conditionalFormatting sqref="E21">
    <cfRule type="iconSet" priority="46">
      <iconSet iconSet="3ArrowsGray" showValue="0">
        <cfvo type="percent" val="0"/>
        <cfvo type="num" val="0"/>
        <cfvo type="num" val="1"/>
      </iconSet>
    </cfRule>
  </conditionalFormatting>
  <conditionalFormatting sqref="E24">
    <cfRule type="iconSet" priority="66">
      <iconSet iconSet="3ArrowsGray" showValue="0">
        <cfvo type="percent" val="0"/>
        <cfvo type="num" val="0"/>
        <cfvo type="num" val="1"/>
      </iconSet>
    </cfRule>
  </conditionalFormatting>
  <conditionalFormatting sqref="E27">
    <cfRule type="iconSet" priority="61">
      <iconSet iconSet="3ArrowsGray" showValue="0">
        <cfvo type="percent" val="0"/>
        <cfvo type="num" val="0"/>
        <cfvo type="num" val="1"/>
      </iconSet>
    </cfRule>
  </conditionalFormatting>
  <conditionalFormatting sqref="E30">
    <cfRule type="iconSet" priority="36">
      <iconSet iconSet="3ArrowsGray" showValue="0">
        <cfvo type="percent" val="0"/>
        <cfvo type="num" val="0"/>
        <cfvo type="num" val="1"/>
      </iconSet>
    </cfRule>
  </conditionalFormatting>
  <conditionalFormatting sqref="E33">
    <cfRule type="iconSet" priority="56">
      <iconSet iconSet="3ArrowsGray" showValue="0">
        <cfvo type="percent" val="0"/>
        <cfvo type="num" val="0"/>
        <cfvo type="num" val="1"/>
      </iconSet>
    </cfRule>
  </conditionalFormatting>
  <conditionalFormatting sqref="E36">
    <cfRule type="iconSet" priority="51">
      <iconSet iconSet="3ArrowsGray" showValue="0">
        <cfvo type="percent" val="0"/>
        <cfvo type="num" val="0"/>
        <cfvo type="num" val="1"/>
      </iconSet>
    </cfRule>
  </conditionalFormatting>
  <conditionalFormatting sqref="E39">
    <cfRule type="iconSet" priority="41">
      <iconSet iconSet="3ArrowsGray" showValue="0">
        <cfvo type="percent" val="0"/>
        <cfvo type="num" val="0"/>
        <cfvo type="num" val="1"/>
      </iconSet>
    </cfRule>
  </conditionalFormatting>
  <conditionalFormatting sqref="E42">
    <cfRule type="iconSet" priority="31">
      <iconSet iconSet="3ArrowsGray" showValue="0">
        <cfvo type="percent" val="0"/>
        <cfvo type="num" val="0"/>
        <cfvo type="num" val="1"/>
      </iconSet>
    </cfRule>
  </conditionalFormatting>
  <conditionalFormatting sqref="E45">
    <cfRule type="iconSet" priority="26">
      <iconSet iconSet="3ArrowsGray" showValue="0">
        <cfvo type="percent" val="0"/>
        <cfvo type="num" val="0"/>
        <cfvo type="num" val="1"/>
      </iconSet>
    </cfRule>
  </conditionalFormatting>
  <conditionalFormatting sqref="E48">
    <cfRule type="iconSet" priority="21">
      <iconSet iconSet="3ArrowsGray" showValue="0">
        <cfvo type="percent" val="0"/>
        <cfvo type="num" val="0"/>
        <cfvo type="num" val="1"/>
      </iconSet>
    </cfRule>
  </conditionalFormatting>
  <conditionalFormatting sqref="E51">
    <cfRule type="iconSet" priority="16">
      <iconSet iconSet="3ArrowsGray" showValue="0">
        <cfvo type="percent" val="0"/>
        <cfvo type="num" val="0"/>
        <cfvo type="num" val="1"/>
      </iconSet>
    </cfRule>
  </conditionalFormatting>
  <conditionalFormatting sqref="E54">
    <cfRule type="iconSet" priority="11">
      <iconSet iconSet="3ArrowsGray" showValue="0">
        <cfvo type="percent" val="0"/>
        <cfvo type="num" val="0"/>
        <cfvo type="num" val="1"/>
      </iconSet>
    </cfRule>
  </conditionalFormatting>
  <conditionalFormatting sqref="E57">
    <cfRule type="iconSet" priority="1">
      <iconSet iconSet="3ArrowsGray" showValue="0">
        <cfvo type="percent" val="0"/>
        <cfvo type="num" val="0"/>
        <cfvo type="num" val="1"/>
      </iconSet>
    </cfRule>
  </conditionalFormatting>
  <conditionalFormatting sqref="G62:J78">
    <cfRule type="cellIs" dxfId="527" priority="325" operator="notEqual">
      <formula>0</formula>
    </cfRule>
  </conditionalFormatting>
  <conditionalFormatting sqref="P9">
    <cfRule type="cellIs" dxfId="526" priority="342" operator="equal">
      <formula>"n/a"</formula>
    </cfRule>
    <cfRule type="cellIs" dxfId="525" priority="341" operator="equal">
      <formula>""""""</formula>
    </cfRule>
    <cfRule type="cellIs" dxfId="524" priority="345" operator="equal">
      <formula>"R"</formula>
    </cfRule>
    <cfRule type="cellIs" dxfId="523" priority="344" operator="equal">
      <formula>"A"</formula>
    </cfRule>
    <cfRule type="cellIs" dxfId="522" priority="343" operator="equal">
      <formula>"G"</formula>
    </cfRule>
  </conditionalFormatting>
  <conditionalFormatting sqref="P12">
    <cfRule type="cellIs" dxfId="521" priority="303" operator="equal">
      <formula>"A"</formula>
    </cfRule>
    <cfRule type="cellIs" dxfId="520" priority="304" operator="equal">
      <formula>"R"</formula>
    </cfRule>
    <cfRule type="cellIs" dxfId="519" priority="302" operator="equal">
      <formula>"G"</formula>
    </cfRule>
    <cfRule type="cellIs" dxfId="518" priority="301" operator="equal">
      <formula>"n/a"</formula>
    </cfRule>
    <cfRule type="cellIs" dxfId="517" priority="300" operator="equal">
      <formula>""""""</formula>
    </cfRule>
  </conditionalFormatting>
  <conditionalFormatting sqref="P15">
    <cfRule type="cellIs" dxfId="516" priority="290" operator="equal">
      <formula>"R"</formula>
    </cfRule>
    <cfRule type="cellIs" dxfId="515" priority="289" operator="equal">
      <formula>"A"</formula>
    </cfRule>
    <cfRule type="cellIs" dxfId="514" priority="288" operator="equal">
      <formula>"G"</formula>
    </cfRule>
    <cfRule type="cellIs" dxfId="513" priority="287" operator="equal">
      <formula>"n/a"</formula>
    </cfRule>
    <cfRule type="cellIs" dxfId="512" priority="286" operator="equal">
      <formula>""""""</formula>
    </cfRule>
  </conditionalFormatting>
  <conditionalFormatting sqref="P18">
    <cfRule type="cellIs" dxfId="511" priority="108" operator="equal">
      <formula>"R"</formula>
    </cfRule>
    <cfRule type="cellIs" dxfId="510" priority="107" operator="equal">
      <formula>"A"</formula>
    </cfRule>
    <cfRule type="cellIs" dxfId="509" priority="106" operator="equal">
      <formula>"G"</formula>
    </cfRule>
    <cfRule type="cellIs" dxfId="508" priority="105" operator="equal">
      <formula>"n/a"</formula>
    </cfRule>
    <cfRule type="cellIs" dxfId="507" priority="104" operator="equal">
      <formula>""""""</formula>
    </cfRule>
  </conditionalFormatting>
  <conditionalFormatting sqref="P21">
    <cfRule type="cellIs" dxfId="506" priority="216" operator="equal">
      <formula>""""""</formula>
    </cfRule>
    <cfRule type="cellIs" dxfId="505" priority="220" operator="equal">
      <formula>"R"</formula>
    </cfRule>
    <cfRule type="cellIs" dxfId="504" priority="219" operator="equal">
      <formula>"A"</formula>
    </cfRule>
    <cfRule type="cellIs" dxfId="503" priority="218" operator="equal">
      <formula>"G"</formula>
    </cfRule>
    <cfRule type="cellIs" dxfId="502" priority="217" operator="equal">
      <formula>"n/a"</formula>
    </cfRule>
  </conditionalFormatting>
  <conditionalFormatting sqref="P24">
    <cfRule type="cellIs" dxfId="501" priority="276" operator="equal">
      <formula>"R"</formula>
    </cfRule>
    <cfRule type="cellIs" dxfId="500" priority="275" operator="equal">
      <formula>"A"</formula>
    </cfRule>
    <cfRule type="cellIs" dxfId="499" priority="274" operator="equal">
      <formula>"G"</formula>
    </cfRule>
    <cfRule type="cellIs" dxfId="498" priority="273" operator="equal">
      <formula>"n/a"</formula>
    </cfRule>
    <cfRule type="cellIs" dxfId="497" priority="272" operator="equal">
      <formula>""""""</formula>
    </cfRule>
  </conditionalFormatting>
  <conditionalFormatting sqref="P27">
    <cfRule type="cellIs" dxfId="496" priority="262" operator="equal">
      <formula>"R"</formula>
    </cfRule>
    <cfRule type="cellIs" dxfId="495" priority="261" operator="equal">
      <formula>"A"</formula>
    </cfRule>
    <cfRule type="cellIs" dxfId="494" priority="260" operator="equal">
      <formula>"G"</formula>
    </cfRule>
    <cfRule type="cellIs" dxfId="493" priority="259" operator="equal">
      <formula>"n/a"</formula>
    </cfRule>
    <cfRule type="cellIs" dxfId="492" priority="258" operator="equal">
      <formula>""""""</formula>
    </cfRule>
  </conditionalFormatting>
  <conditionalFormatting sqref="P30">
    <cfRule type="cellIs" dxfId="491" priority="190" operator="equal">
      <formula>"G"</formula>
    </cfRule>
    <cfRule type="cellIs" dxfId="490" priority="191" operator="equal">
      <formula>"A"</formula>
    </cfRule>
    <cfRule type="cellIs" dxfId="489" priority="192" operator="equal">
      <formula>"R"</formula>
    </cfRule>
    <cfRule type="cellIs" dxfId="488" priority="188" operator="equal">
      <formula>""""""</formula>
    </cfRule>
    <cfRule type="cellIs" dxfId="487" priority="189" operator="equal">
      <formula>"n/a"</formula>
    </cfRule>
  </conditionalFormatting>
  <conditionalFormatting sqref="P33">
    <cfRule type="cellIs" dxfId="486" priority="244" operator="equal">
      <formula>""""""</formula>
    </cfRule>
    <cfRule type="cellIs" dxfId="485" priority="248" operator="equal">
      <formula>"R"</formula>
    </cfRule>
    <cfRule type="cellIs" dxfId="484" priority="247" operator="equal">
      <formula>"A"</formula>
    </cfRule>
    <cfRule type="cellIs" dxfId="483" priority="246" operator="equal">
      <formula>"G"</formula>
    </cfRule>
    <cfRule type="cellIs" dxfId="482" priority="245" operator="equal">
      <formula>"n/a"</formula>
    </cfRule>
  </conditionalFormatting>
  <conditionalFormatting sqref="P36">
    <cfRule type="cellIs" dxfId="481" priority="233" operator="equal">
      <formula>"A"</formula>
    </cfRule>
    <cfRule type="cellIs" dxfId="480" priority="234" operator="equal">
      <formula>"R"</formula>
    </cfRule>
    <cfRule type="cellIs" dxfId="479" priority="230" operator="equal">
      <formula>""""""</formula>
    </cfRule>
    <cfRule type="cellIs" dxfId="478" priority="231" operator="equal">
      <formula>"n/a"</formula>
    </cfRule>
    <cfRule type="cellIs" dxfId="477" priority="232" operator="equal">
      <formula>"G"</formula>
    </cfRule>
  </conditionalFormatting>
  <conditionalFormatting sqref="P39">
    <cfRule type="cellIs" dxfId="476" priority="206" operator="equal">
      <formula>"R"</formula>
    </cfRule>
    <cfRule type="cellIs" dxfId="475" priority="205" operator="equal">
      <formula>"A"</formula>
    </cfRule>
    <cfRule type="cellIs" dxfId="474" priority="204" operator="equal">
      <formula>"G"</formula>
    </cfRule>
    <cfRule type="cellIs" dxfId="473" priority="203" operator="equal">
      <formula>"n/a"</formula>
    </cfRule>
    <cfRule type="cellIs" dxfId="472" priority="202" operator="equal">
      <formula>""""""</formula>
    </cfRule>
  </conditionalFormatting>
  <conditionalFormatting sqref="P42">
    <cfRule type="cellIs" dxfId="471" priority="177" operator="equal">
      <formula>"A"</formula>
    </cfRule>
    <cfRule type="cellIs" dxfId="470" priority="178" operator="equal">
      <formula>"R"</formula>
    </cfRule>
    <cfRule type="cellIs" dxfId="469" priority="174" operator="equal">
      <formula>""""""</formula>
    </cfRule>
    <cfRule type="cellIs" dxfId="468" priority="175" operator="equal">
      <formula>"n/a"</formula>
    </cfRule>
    <cfRule type="cellIs" dxfId="467" priority="176" operator="equal">
      <formula>"G"</formula>
    </cfRule>
  </conditionalFormatting>
  <conditionalFormatting sqref="P45">
    <cfRule type="cellIs" dxfId="466" priority="160" operator="equal">
      <formula>""""""</formula>
    </cfRule>
    <cfRule type="cellIs" dxfId="465" priority="161" operator="equal">
      <formula>"n/a"</formula>
    </cfRule>
    <cfRule type="cellIs" dxfId="464" priority="162" operator="equal">
      <formula>"G"</formula>
    </cfRule>
    <cfRule type="cellIs" dxfId="463" priority="163" operator="equal">
      <formula>"A"</formula>
    </cfRule>
    <cfRule type="cellIs" dxfId="462" priority="164" operator="equal">
      <formula>"R"</formula>
    </cfRule>
  </conditionalFormatting>
  <conditionalFormatting sqref="P48">
    <cfRule type="cellIs" dxfId="461" priority="146" operator="equal">
      <formula>""""""</formula>
    </cfRule>
    <cfRule type="cellIs" dxfId="460" priority="148" operator="equal">
      <formula>"G"</formula>
    </cfRule>
    <cfRule type="cellIs" dxfId="459" priority="149" operator="equal">
      <formula>"A"</formula>
    </cfRule>
    <cfRule type="cellIs" dxfId="458" priority="150" operator="equal">
      <formula>"R"</formula>
    </cfRule>
    <cfRule type="cellIs" dxfId="457" priority="147" operator="equal">
      <formula>"n/a"</formula>
    </cfRule>
  </conditionalFormatting>
  <conditionalFormatting sqref="P51">
    <cfRule type="cellIs" dxfId="456" priority="136" operator="equal">
      <formula>"R"</formula>
    </cfRule>
    <cfRule type="cellIs" dxfId="455" priority="132" operator="equal">
      <formula>""""""</formula>
    </cfRule>
    <cfRule type="cellIs" dxfId="454" priority="133" operator="equal">
      <formula>"n/a"</formula>
    </cfRule>
    <cfRule type="cellIs" dxfId="453" priority="134" operator="equal">
      <formula>"G"</formula>
    </cfRule>
    <cfRule type="cellIs" dxfId="452" priority="135" operator="equal">
      <formula>"A"</formula>
    </cfRule>
  </conditionalFormatting>
  <conditionalFormatting sqref="P54">
    <cfRule type="cellIs" dxfId="451" priority="118" operator="equal">
      <formula>""""""</formula>
    </cfRule>
    <cfRule type="cellIs" dxfId="450" priority="122" operator="equal">
      <formula>"R"</formula>
    </cfRule>
    <cfRule type="cellIs" dxfId="449" priority="121" operator="equal">
      <formula>"A"</formula>
    </cfRule>
    <cfRule type="cellIs" dxfId="448" priority="120" operator="equal">
      <formula>"G"</formula>
    </cfRule>
    <cfRule type="cellIs" dxfId="447" priority="119" operator="equal">
      <formula>"n/a"</formula>
    </cfRule>
  </conditionalFormatting>
  <conditionalFormatting sqref="P57">
    <cfRule type="cellIs" dxfId="446" priority="91" operator="equal">
      <formula>"n/a"</formula>
    </cfRule>
    <cfRule type="cellIs" dxfId="445" priority="90" operator="equal">
      <formula>""""""</formula>
    </cfRule>
    <cfRule type="cellIs" dxfId="444" priority="92" operator="equal">
      <formula>"G"</formula>
    </cfRule>
    <cfRule type="cellIs" dxfId="443" priority="93" operator="equal">
      <formula>"A"</formula>
    </cfRule>
    <cfRule type="cellIs" dxfId="442" priority="94" operator="equal">
      <formula>"R"</formula>
    </cfRule>
  </conditionalFormatting>
  <conditionalFormatting sqref="Q9">
    <cfRule type="iconSet" priority="334">
      <iconSet iconSet="3ArrowsGray" showValue="0">
        <cfvo type="percent" val="0"/>
        <cfvo type="num" val="0"/>
        <cfvo type="num" val="1"/>
      </iconSet>
    </cfRule>
  </conditionalFormatting>
  <conditionalFormatting sqref="Q12">
    <cfRule type="iconSet" priority="294">
      <iconSet iconSet="3ArrowsGray" showValue="0">
        <cfvo type="percent" val="0"/>
        <cfvo type="num" val="0"/>
        <cfvo type="num" val="1"/>
      </iconSet>
    </cfRule>
  </conditionalFormatting>
  <conditionalFormatting sqref="Q15">
    <cfRule type="iconSet" priority="280">
      <iconSet iconSet="3ArrowsGray" showValue="0">
        <cfvo type="percent" val="0"/>
        <cfvo type="num" val="0"/>
        <cfvo type="num" val="1"/>
      </iconSet>
    </cfRule>
  </conditionalFormatting>
  <conditionalFormatting sqref="Q18">
    <cfRule type="iconSet" priority="98">
      <iconSet iconSet="3ArrowsGray" showValue="0">
        <cfvo type="percent" val="0"/>
        <cfvo type="num" val="0"/>
        <cfvo type="num" val="1"/>
      </iconSet>
    </cfRule>
  </conditionalFormatting>
  <conditionalFormatting sqref="Q21">
    <cfRule type="iconSet" priority="210">
      <iconSet iconSet="3ArrowsGray" showValue="0">
        <cfvo type="percent" val="0"/>
        <cfvo type="num" val="0"/>
        <cfvo type="num" val="1"/>
      </iconSet>
    </cfRule>
  </conditionalFormatting>
  <conditionalFormatting sqref="Q24">
    <cfRule type="iconSet" priority="266">
      <iconSet iconSet="3ArrowsGray" showValue="0">
        <cfvo type="percent" val="0"/>
        <cfvo type="num" val="0"/>
        <cfvo type="num" val="1"/>
      </iconSet>
    </cfRule>
  </conditionalFormatting>
  <conditionalFormatting sqref="Q27">
    <cfRule type="iconSet" priority="252">
      <iconSet iconSet="3ArrowsGray" showValue="0">
        <cfvo type="percent" val="0"/>
        <cfvo type="num" val="0"/>
        <cfvo type="num" val="1"/>
      </iconSet>
    </cfRule>
  </conditionalFormatting>
  <conditionalFormatting sqref="Q30">
    <cfRule type="iconSet" priority="182">
      <iconSet iconSet="3ArrowsGray" showValue="0">
        <cfvo type="percent" val="0"/>
        <cfvo type="num" val="0"/>
        <cfvo type="num" val="1"/>
      </iconSet>
    </cfRule>
  </conditionalFormatting>
  <conditionalFormatting sqref="Q33">
    <cfRule type="iconSet" priority="238">
      <iconSet iconSet="3ArrowsGray" showValue="0">
        <cfvo type="percent" val="0"/>
        <cfvo type="num" val="0"/>
        <cfvo type="num" val="1"/>
      </iconSet>
    </cfRule>
  </conditionalFormatting>
  <conditionalFormatting sqref="Q36">
    <cfRule type="iconSet" priority="224">
      <iconSet iconSet="3ArrowsGray" showValue="0">
        <cfvo type="percent" val="0"/>
        <cfvo type="num" val="0"/>
        <cfvo type="num" val="1"/>
      </iconSet>
    </cfRule>
  </conditionalFormatting>
  <conditionalFormatting sqref="Q39">
    <cfRule type="iconSet" priority="196">
      <iconSet iconSet="3ArrowsGray" showValue="0">
        <cfvo type="percent" val="0"/>
        <cfvo type="num" val="0"/>
        <cfvo type="num" val="1"/>
      </iconSet>
    </cfRule>
  </conditionalFormatting>
  <conditionalFormatting sqref="Q42">
    <cfRule type="iconSet" priority="168">
      <iconSet iconSet="3ArrowsGray" showValue="0">
        <cfvo type="percent" val="0"/>
        <cfvo type="num" val="0"/>
        <cfvo type="num" val="1"/>
      </iconSet>
    </cfRule>
  </conditionalFormatting>
  <conditionalFormatting sqref="Q45">
    <cfRule type="iconSet" priority="154">
      <iconSet iconSet="3ArrowsGray" showValue="0">
        <cfvo type="percent" val="0"/>
        <cfvo type="num" val="0"/>
        <cfvo type="num" val="1"/>
      </iconSet>
    </cfRule>
  </conditionalFormatting>
  <conditionalFormatting sqref="Q48">
    <cfRule type="iconSet" priority="140">
      <iconSet iconSet="3ArrowsGray" showValue="0">
        <cfvo type="percent" val="0"/>
        <cfvo type="num" val="0"/>
        <cfvo type="num" val="1"/>
      </iconSet>
    </cfRule>
  </conditionalFormatting>
  <conditionalFormatting sqref="Q51">
    <cfRule type="iconSet" priority="126">
      <iconSet iconSet="3ArrowsGray" showValue="0">
        <cfvo type="percent" val="0"/>
        <cfvo type="num" val="0"/>
        <cfvo type="num" val="1"/>
      </iconSet>
    </cfRule>
  </conditionalFormatting>
  <conditionalFormatting sqref="Q54">
    <cfRule type="iconSet" priority="112">
      <iconSet iconSet="3ArrowsGray" showValue="0">
        <cfvo type="percent" val="0"/>
        <cfvo type="num" val="0"/>
        <cfvo type="num" val="1"/>
      </iconSet>
    </cfRule>
  </conditionalFormatting>
  <conditionalFormatting sqref="Q57">
    <cfRule type="iconSet" priority="84">
      <iconSet iconSet="3ArrowsGray" showValue="0">
        <cfvo type="percent" val="0"/>
        <cfvo type="num" val="0"/>
        <cfvo type="num" val="1"/>
      </iconSet>
    </cfRule>
  </conditionalFormatting>
  <conditionalFormatting sqref="AF9:AG9">
    <cfRule type="cellIs" dxfId="441" priority="323" stopIfTrue="1" operator="lessThan">
      <formula>0.9</formula>
    </cfRule>
    <cfRule type="cellIs" dxfId="440" priority="322" operator="greaterThanOrEqual">
      <formula>0.95</formula>
    </cfRule>
    <cfRule type="cellIs" dxfId="439" priority="324" stopIfTrue="1" operator="lessThan">
      <formula>0.95</formula>
    </cfRule>
  </conditionalFormatting>
  <conditionalFormatting sqref="AF12:AG12">
    <cfRule type="cellIs" dxfId="438" priority="293" stopIfTrue="1" operator="lessThan">
      <formula>0.95</formula>
    </cfRule>
    <cfRule type="cellIs" dxfId="437" priority="292" stopIfTrue="1" operator="lessThan">
      <formula>0.9</formula>
    </cfRule>
    <cfRule type="cellIs" dxfId="436" priority="291" operator="greaterThanOrEqual">
      <formula>0.95</formula>
    </cfRule>
  </conditionalFormatting>
  <conditionalFormatting sqref="AF15:AG15">
    <cfRule type="cellIs" dxfId="435" priority="278" stopIfTrue="1" operator="lessThan">
      <formula>0.9</formula>
    </cfRule>
    <cfRule type="cellIs" dxfId="434" priority="279" stopIfTrue="1" operator="lessThan">
      <formula>0.95</formula>
    </cfRule>
    <cfRule type="cellIs" dxfId="433" priority="277" operator="greaterThanOrEqual">
      <formula>0.95</formula>
    </cfRule>
  </conditionalFormatting>
  <conditionalFormatting sqref="AF18:AG18">
    <cfRule type="cellIs" dxfId="432" priority="96" stopIfTrue="1" operator="lessThan">
      <formula>0.9</formula>
    </cfRule>
    <cfRule type="cellIs" dxfId="431" priority="95" operator="greaterThanOrEqual">
      <formula>0.95</formula>
    </cfRule>
    <cfRule type="cellIs" dxfId="430" priority="97" stopIfTrue="1" operator="lessThan">
      <formula>0.95</formula>
    </cfRule>
  </conditionalFormatting>
  <conditionalFormatting sqref="AF21:AG21">
    <cfRule type="cellIs" dxfId="429" priority="209" stopIfTrue="1" operator="lessThan">
      <formula>0.95</formula>
    </cfRule>
    <cfRule type="cellIs" dxfId="428" priority="208" stopIfTrue="1" operator="lessThan">
      <formula>0.9</formula>
    </cfRule>
    <cfRule type="cellIs" dxfId="427" priority="207" operator="greaterThanOrEqual">
      <formula>0.95</formula>
    </cfRule>
  </conditionalFormatting>
  <conditionalFormatting sqref="AF24:AG24">
    <cfRule type="cellIs" dxfId="426" priority="263" operator="greaterThanOrEqual">
      <formula>0.95</formula>
    </cfRule>
    <cfRule type="cellIs" dxfId="425" priority="265" stopIfTrue="1" operator="lessThan">
      <formula>0.95</formula>
    </cfRule>
    <cfRule type="cellIs" dxfId="424" priority="264" stopIfTrue="1" operator="lessThan">
      <formula>0.9</formula>
    </cfRule>
  </conditionalFormatting>
  <conditionalFormatting sqref="AF27:AG27">
    <cfRule type="cellIs" dxfId="423" priority="249" operator="greaterThanOrEqual">
      <formula>0.95</formula>
    </cfRule>
    <cfRule type="cellIs" dxfId="422" priority="250" stopIfTrue="1" operator="lessThan">
      <formula>0.9</formula>
    </cfRule>
    <cfRule type="cellIs" dxfId="421" priority="251" stopIfTrue="1" operator="lessThan">
      <formula>0.95</formula>
    </cfRule>
  </conditionalFormatting>
  <conditionalFormatting sqref="AF30:AG30">
    <cfRule type="cellIs" dxfId="420" priority="180" stopIfTrue="1" operator="lessThan">
      <formula>0.9</formula>
    </cfRule>
    <cfRule type="cellIs" dxfId="419" priority="179" operator="greaterThanOrEqual">
      <formula>0.95</formula>
    </cfRule>
    <cfRule type="cellIs" dxfId="418" priority="181" stopIfTrue="1" operator="lessThan">
      <formula>0.95</formula>
    </cfRule>
  </conditionalFormatting>
  <conditionalFormatting sqref="AF33:AG33">
    <cfRule type="cellIs" dxfId="417" priority="237" stopIfTrue="1" operator="lessThan">
      <formula>0.95</formula>
    </cfRule>
    <cfRule type="cellIs" dxfId="416" priority="236" stopIfTrue="1" operator="lessThan">
      <formula>0.9</formula>
    </cfRule>
    <cfRule type="cellIs" dxfId="415" priority="235" operator="greaterThanOrEqual">
      <formula>0.95</formula>
    </cfRule>
  </conditionalFormatting>
  <conditionalFormatting sqref="AF36:AG36">
    <cfRule type="cellIs" dxfId="414" priority="221" operator="greaterThanOrEqual">
      <formula>0.95</formula>
    </cfRule>
    <cfRule type="cellIs" dxfId="413" priority="223" stopIfTrue="1" operator="lessThan">
      <formula>0.95</formula>
    </cfRule>
    <cfRule type="cellIs" dxfId="412" priority="222" stopIfTrue="1" operator="lessThan">
      <formula>0.9</formula>
    </cfRule>
  </conditionalFormatting>
  <conditionalFormatting sqref="AF39:AG39">
    <cfRule type="cellIs" dxfId="411" priority="195" stopIfTrue="1" operator="lessThan">
      <formula>0.95</formula>
    </cfRule>
    <cfRule type="cellIs" dxfId="410" priority="193" operator="greaterThanOrEqual">
      <formula>0.95</formula>
    </cfRule>
    <cfRule type="cellIs" dxfId="409" priority="194" stopIfTrue="1" operator="lessThan">
      <formula>0.9</formula>
    </cfRule>
  </conditionalFormatting>
  <conditionalFormatting sqref="AF42:AG42">
    <cfRule type="cellIs" dxfId="408" priority="165" operator="greaterThanOrEqual">
      <formula>0.95</formula>
    </cfRule>
    <cfRule type="cellIs" dxfId="407" priority="166" stopIfTrue="1" operator="lessThan">
      <formula>0.9</formula>
    </cfRule>
    <cfRule type="cellIs" dxfId="406" priority="167" stopIfTrue="1" operator="lessThan">
      <formula>0.95</formula>
    </cfRule>
  </conditionalFormatting>
  <conditionalFormatting sqref="AF45:AG45">
    <cfRule type="cellIs" dxfId="405" priority="151" operator="greaterThanOrEqual">
      <formula>0.95</formula>
    </cfRule>
    <cfRule type="cellIs" dxfId="404" priority="152" stopIfTrue="1" operator="lessThan">
      <formula>0.9</formula>
    </cfRule>
    <cfRule type="cellIs" dxfId="403" priority="153" stopIfTrue="1" operator="lessThan">
      <formula>0.95</formula>
    </cfRule>
  </conditionalFormatting>
  <conditionalFormatting sqref="AF48:AG48">
    <cfRule type="cellIs" dxfId="402" priority="137" operator="greaterThanOrEqual">
      <formula>0.95</formula>
    </cfRule>
    <cfRule type="cellIs" dxfId="401" priority="139" stopIfTrue="1" operator="lessThan">
      <formula>0.95</formula>
    </cfRule>
    <cfRule type="cellIs" dxfId="400" priority="138" stopIfTrue="1" operator="lessThan">
      <formula>0.9</formula>
    </cfRule>
  </conditionalFormatting>
  <conditionalFormatting sqref="AF51:AG51">
    <cfRule type="cellIs" dxfId="399" priority="123" operator="greaterThanOrEqual">
      <formula>0.95</formula>
    </cfRule>
    <cfRule type="cellIs" dxfId="398" priority="124" stopIfTrue="1" operator="lessThan">
      <formula>0.9</formula>
    </cfRule>
    <cfRule type="cellIs" dxfId="397" priority="125" stopIfTrue="1" operator="lessThan">
      <formula>0.95</formula>
    </cfRule>
  </conditionalFormatting>
  <conditionalFormatting sqref="AF54:AG54">
    <cfRule type="cellIs" dxfId="396" priority="110" stopIfTrue="1" operator="lessThan">
      <formula>0.9</formula>
    </cfRule>
    <cfRule type="cellIs" dxfId="395" priority="111" stopIfTrue="1" operator="lessThan">
      <formula>0.95</formula>
    </cfRule>
    <cfRule type="cellIs" dxfId="394" priority="109" operator="greaterThanOrEqual">
      <formula>0.95</formula>
    </cfRule>
  </conditionalFormatting>
  <conditionalFormatting sqref="AF57:AG57">
    <cfRule type="cellIs" dxfId="393" priority="83" stopIfTrue="1" operator="lessThan">
      <formula>0.95</formula>
    </cfRule>
    <cfRule type="cellIs" dxfId="392" priority="81" operator="greaterThanOrEqual">
      <formula>0.95</formula>
    </cfRule>
    <cfRule type="cellIs" dxfId="391" priority="82" stopIfTrue="1" operator="lessThan">
      <formula>0.9</formula>
    </cfRule>
  </conditionalFormatting>
  <conditionalFormatting sqref="AK9">
    <cfRule type="cellIs" dxfId="390" priority="337" operator="equal">
      <formula>"n/a"</formula>
    </cfRule>
    <cfRule type="cellIs" dxfId="389" priority="339" operator="equal">
      <formula>"A"</formula>
    </cfRule>
    <cfRule type="cellIs" dxfId="388" priority="340" operator="equal">
      <formula>"R"</formula>
    </cfRule>
    <cfRule type="cellIs" dxfId="387" priority="338" operator="equal">
      <formula>"G"</formula>
    </cfRule>
    <cfRule type="cellIs" dxfId="386" priority="336" operator="equal">
      <formula>""""""</formula>
    </cfRule>
  </conditionalFormatting>
  <conditionalFormatting sqref="AK12">
    <cfRule type="cellIs" dxfId="385" priority="296" operator="equal">
      <formula>"n/a"</formula>
    </cfRule>
    <cfRule type="cellIs" dxfId="384" priority="297" operator="equal">
      <formula>"G"</formula>
    </cfRule>
    <cfRule type="cellIs" dxfId="383" priority="298" operator="equal">
      <formula>"A"</formula>
    </cfRule>
    <cfRule type="cellIs" dxfId="382" priority="299" operator="equal">
      <formula>"R"</formula>
    </cfRule>
    <cfRule type="cellIs" dxfId="381" priority="295" operator="equal">
      <formula>""""""</formula>
    </cfRule>
  </conditionalFormatting>
  <conditionalFormatting sqref="AK15">
    <cfRule type="cellIs" dxfId="380" priority="283" operator="equal">
      <formula>"G"</formula>
    </cfRule>
    <cfRule type="cellIs" dxfId="379" priority="284" operator="equal">
      <formula>"A"</formula>
    </cfRule>
    <cfRule type="cellIs" dxfId="378" priority="285" operator="equal">
      <formula>"R"</formula>
    </cfRule>
    <cfRule type="cellIs" dxfId="377" priority="281" operator="equal">
      <formula>""""""</formula>
    </cfRule>
    <cfRule type="cellIs" dxfId="376" priority="282" operator="equal">
      <formula>"n/a"</formula>
    </cfRule>
  </conditionalFormatting>
  <conditionalFormatting sqref="AK18">
    <cfRule type="cellIs" dxfId="375" priority="100" operator="equal">
      <formula>"n/a"</formula>
    </cfRule>
    <cfRule type="cellIs" dxfId="374" priority="103" operator="equal">
      <formula>"R"</formula>
    </cfRule>
    <cfRule type="cellIs" dxfId="373" priority="102" operator="equal">
      <formula>"A"</formula>
    </cfRule>
    <cfRule type="cellIs" dxfId="372" priority="101" operator="equal">
      <formula>"G"</formula>
    </cfRule>
    <cfRule type="cellIs" dxfId="371" priority="99" operator="equal">
      <formula>""""""</formula>
    </cfRule>
  </conditionalFormatting>
  <conditionalFormatting sqref="AK21">
    <cfRule type="cellIs" dxfId="370" priority="213" operator="equal">
      <formula>"G"</formula>
    </cfRule>
    <cfRule type="cellIs" dxfId="369" priority="214" operator="equal">
      <formula>"A"</formula>
    </cfRule>
    <cfRule type="cellIs" dxfId="368" priority="211" operator="equal">
      <formula>""""""</formula>
    </cfRule>
    <cfRule type="cellIs" dxfId="367" priority="212" operator="equal">
      <formula>"n/a"</formula>
    </cfRule>
    <cfRule type="cellIs" dxfId="366" priority="215" operator="equal">
      <formula>"R"</formula>
    </cfRule>
  </conditionalFormatting>
  <conditionalFormatting sqref="AK24">
    <cfRule type="cellIs" dxfId="365" priority="271" operator="equal">
      <formula>"R"</formula>
    </cfRule>
    <cfRule type="cellIs" dxfId="364" priority="270" operator="equal">
      <formula>"A"</formula>
    </cfRule>
    <cfRule type="cellIs" dxfId="363" priority="267" operator="equal">
      <formula>""""""</formula>
    </cfRule>
    <cfRule type="cellIs" dxfId="362" priority="268" operator="equal">
      <formula>"n/a"</formula>
    </cfRule>
    <cfRule type="cellIs" dxfId="361" priority="269" operator="equal">
      <formula>"G"</formula>
    </cfRule>
  </conditionalFormatting>
  <conditionalFormatting sqref="AK27">
    <cfRule type="cellIs" dxfId="360" priority="255" operator="equal">
      <formula>"G"</formula>
    </cfRule>
    <cfRule type="cellIs" dxfId="359" priority="256" operator="equal">
      <formula>"A"</formula>
    </cfRule>
    <cfRule type="cellIs" dxfId="358" priority="257" operator="equal">
      <formula>"R"</formula>
    </cfRule>
    <cfRule type="cellIs" dxfId="357" priority="253" operator="equal">
      <formula>""""""</formula>
    </cfRule>
    <cfRule type="cellIs" dxfId="356" priority="254" operator="equal">
      <formula>"n/a"</formula>
    </cfRule>
  </conditionalFormatting>
  <conditionalFormatting sqref="AK30">
    <cfRule type="cellIs" dxfId="355" priority="184" operator="equal">
      <formula>"n/a"</formula>
    </cfRule>
    <cfRule type="cellIs" dxfId="354" priority="185" operator="equal">
      <formula>"G"</formula>
    </cfRule>
    <cfRule type="cellIs" dxfId="353" priority="183" operator="equal">
      <formula>""""""</formula>
    </cfRule>
    <cfRule type="cellIs" dxfId="352" priority="187" operator="equal">
      <formula>"R"</formula>
    </cfRule>
    <cfRule type="cellIs" dxfId="351" priority="186" operator="equal">
      <formula>"A"</formula>
    </cfRule>
  </conditionalFormatting>
  <conditionalFormatting sqref="AK33">
    <cfRule type="cellIs" dxfId="350" priority="241" operator="equal">
      <formula>"G"</formula>
    </cfRule>
    <cfRule type="cellIs" dxfId="349" priority="240" operator="equal">
      <formula>"n/a"</formula>
    </cfRule>
    <cfRule type="cellIs" dxfId="348" priority="243" operator="equal">
      <formula>"R"</formula>
    </cfRule>
    <cfRule type="cellIs" dxfId="347" priority="239" operator="equal">
      <formula>""""""</formula>
    </cfRule>
    <cfRule type="cellIs" dxfId="346" priority="242" operator="equal">
      <formula>"A"</formula>
    </cfRule>
  </conditionalFormatting>
  <conditionalFormatting sqref="AK36">
    <cfRule type="cellIs" dxfId="345" priority="225" operator="equal">
      <formula>""""""</formula>
    </cfRule>
    <cfRule type="cellIs" dxfId="344" priority="229" operator="equal">
      <formula>"R"</formula>
    </cfRule>
    <cfRule type="cellIs" dxfId="343" priority="227" operator="equal">
      <formula>"G"</formula>
    </cfRule>
    <cfRule type="cellIs" dxfId="342" priority="226" operator="equal">
      <formula>"n/a"</formula>
    </cfRule>
    <cfRule type="cellIs" dxfId="341" priority="228" operator="equal">
      <formula>"A"</formula>
    </cfRule>
  </conditionalFormatting>
  <conditionalFormatting sqref="AK39">
    <cfRule type="cellIs" dxfId="340" priority="201" operator="equal">
      <formula>"R"</formula>
    </cfRule>
    <cfRule type="cellIs" dxfId="339" priority="200" operator="equal">
      <formula>"A"</formula>
    </cfRule>
    <cfRule type="cellIs" dxfId="338" priority="199" operator="equal">
      <formula>"G"</formula>
    </cfRule>
    <cfRule type="cellIs" dxfId="337" priority="198" operator="equal">
      <formula>"n/a"</formula>
    </cfRule>
    <cfRule type="cellIs" dxfId="336" priority="197" operator="equal">
      <formula>""""""</formula>
    </cfRule>
  </conditionalFormatting>
  <conditionalFormatting sqref="AK42">
    <cfRule type="cellIs" dxfId="335" priority="173" operator="equal">
      <formula>"R"</formula>
    </cfRule>
    <cfRule type="cellIs" dxfId="334" priority="169" operator="equal">
      <formula>""""""</formula>
    </cfRule>
    <cfRule type="cellIs" dxfId="333" priority="172" operator="equal">
      <formula>"A"</formula>
    </cfRule>
    <cfRule type="cellIs" dxfId="332" priority="171" operator="equal">
      <formula>"G"</formula>
    </cfRule>
    <cfRule type="cellIs" dxfId="331" priority="170" operator="equal">
      <formula>"n/a"</formula>
    </cfRule>
  </conditionalFormatting>
  <conditionalFormatting sqref="AK45">
    <cfRule type="cellIs" dxfId="330" priority="159" operator="equal">
      <formula>"R"</formula>
    </cfRule>
    <cfRule type="cellIs" dxfId="329" priority="158" operator="equal">
      <formula>"A"</formula>
    </cfRule>
    <cfRule type="cellIs" dxfId="328" priority="157" operator="equal">
      <formula>"G"</formula>
    </cfRule>
    <cfRule type="cellIs" dxfId="327" priority="156" operator="equal">
      <formula>"n/a"</formula>
    </cfRule>
    <cfRule type="cellIs" dxfId="326" priority="155" operator="equal">
      <formula>""""""</formula>
    </cfRule>
  </conditionalFormatting>
  <conditionalFormatting sqref="AK48">
    <cfRule type="cellIs" dxfId="325" priority="141" operator="equal">
      <formula>""""""</formula>
    </cfRule>
    <cfRule type="cellIs" dxfId="324" priority="143" operator="equal">
      <formula>"G"</formula>
    </cfRule>
    <cfRule type="cellIs" dxfId="323" priority="144" operator="equal">
      <formula>"A"</formula>
    </cfRule>
    <cfRule type="cellIs" dxfId="322" priority="145" operator="equal">
      <formula>"R"</formula>
    </cfRule>
    <cfRule type="cellIs" dxfId="321" priority="142" operator="equal">
      <formula>"n/a"</formula>
    </cfRule>
  </conditionalFormatting>
  <conditionalFormatting sqref="AK51">
    <cfRule type="cellIs" dxfId="320" priority="130" operator="equal">
      <formula>"A"</formula>
    </cfRule>
    <cfRule type="cellIs" dxfId="319" priority="131" operator="equal">
      <formula>"R"</formula>
    </cfRule>
    <cfRule type="cellIs" dxfId="318" priority="129" operator="equal">
      <formula>"G"</formula>
    </cfRule>
    <cfRule type="cellIs" dxfId="317" priority="128" operator="equal">
      <formula>"n/a"</formula>
    </cfRule>
    <cfRule type="cellIs" dxfId="316" priority="127" operator="equal">
      <formula>""""""</formula>
    </cfRule>
  </conditionalFormatting>
  <conditionalFormatting sqref="AK54">
    <cfRule type="cellIs" dxfId="315" priority="115" operator="equal">
      <formula>"G"</formula>
    </cfRule>
    <cfRule type="cellIs" dxfId="314" priority="117" operator="equal">
      <formula>"R"</formula>
    </cfRule>
    <cfRule type="cellIs" dxfId="313" priority="116" operator="equal">
      <formula>"A"</formula>
    </cfRule>
    <cfRule type="cellIs" dxfId="312" priority="114" operator="equal">
      <formula>"n/a"</formula>
    </cfRule>
    <cfRule type="cellIs" dxfId="311" priority="113" operator="equal">
      <formula>""""""</formula>
    </cfRule>
  </conditionalFormatting>
  <conditionalFormatting sqref="AK57">
    <cfRule type="cellIs" dxfId="310" priority="89" operator="equal">
      <formula>"R"</formula>
    </cfRule>
    <cfRule type="cellIs" dxfId="309" priority="88" operator="equal">
      <formula>"A"</formula>
    </cfRule>
    <cfRule type="cellIs" dxfId="308" priority="87" operator="equal">
      <formula>"G"</formula>
    </cfRule>
    <cfRule type="cellIs" dxfId="307" priority="86" operator="equal">
      <formula>"n/a"</formula>
    </cfRule>
    <cfRule type="cellIs" dxfId="306" priority="85" operator="equal">
      <formula>""""""</formula>
    </cfRule>
  </conditionalFormatting>
  <conditionalFormatting sqref="AN9:AO9">
    <cfRule type="cellIs" dxfId="305" priority="306" operator="greaterThanOrEqual">
      <formula>0.5</formula>
    </cfRule>
  </conditionalFormatting>
  <conditionalFormatting sqref="AN12:AO12">
    <cfRule type="cellIs" dxfId="304" priority="305" operator="greaterThanOrEqual">
      <formula>0.5</formula>
    </cfRule>
  </conditionalFormatting>
  <conditionalFormatting sqref="AN15:AO15">
    <cfRule type="cellIs" dxfId="303" priority="321" operator="greaterThanOrEqual">
      <formula>0.5</formula>
    </cfRule>
  </conditionalFormatting>
  <conditionalFormatting sqref="AN18:AO18">
    <cfRule type="cellIs" dxfId="302" priority="308" operator="greaterThanOrEqual">
      <formula>0.5</formula>
    </cfRule>
  </conditionalFormatting>
  <conditionalFormatting sqref="AN21:AO21">
    <cfRule type="cellIs" dxfId="301" priority="316" operator="greaterThanOrEqual">
      <formula>0.5</formula>
    </cfRule>
  </conditionalFormatting>
  <conditionalFormatting sqref="AN24:AO24">
    <cfRule type="cellIs" dxfId="300" priority="320" operator="greaterThanOrEqual">
      <formula>0.5</formula>
    </cfRule>
  </conditionalFormatting>
  <conditionalFormatting sqref="AN27:AO27">
    <cfRule type="cellIs" dxfId="299" priority="319" operator="greaterThanOrEqual">
      <formula>0.5</formula>
    </cfRule>
  </conditionalFormatting>
  <conditionalFormatting sqref="AN30:AO30">
    <cfRule type="cellIs" dxfId="298" priority="314" operator="greaterThanOrEqual">
      <formula>0.5</formula>
    </cfRule>
  </conditionalFormatting>
  <conditionalFormatting sqref="AN33:AO33">
    <cfRule type="cellIs" dxfId="297" priority="318" operator="greaterThanOrEqual">
      <formula>0.5</formula>
    </cfRule>
  </conditionalFormatting>
  <conditionalFormatting sqref="AN36:AO36">
    <cfRule type="cellIs" dxfId="296" priority="317" operator="greaterThanOrEqual">
      <formula>0.5</formula>
    </cfRule>
  </conditionalFormatting>
  <conditionalFormatting sqref="AN39:AO39">
    <cfRule type="cellIs" dxfId="295" priority="315" operator="greaterThanOrEqual">
      <formula>0.5</formula>
    </cfRule>
  </conditionalFormatting>
  <conditionalFormatting sqref="AN42:AO42">
    <cfRule type="cellIs" dxfId="294" priority="313" operator="greaterThanOrEqual">
      <formula>0.5</formula>
    </cfRule>
  </conditionalFormatting>
  <conditionalFormatting sqref="AN45:AO45">
    <cfRule type="cellIs" dxfId="293" priority="312" operator="greaterThanOrEqual">
      <formula>0.5</formula>
    </cfRule>
  </conditionalFormatting>
  <conditionalFormatting sqref="AN48:AO48">
    <cfRule type="cellIs" dxfId="292" priority="311" operator="greaterThanOrEqual">
      <formula>0.5</formula>
    </cfRule>
  </conditionalFormatting>
  <conditionalFormatting sqref="AN51:AO51">
    <cfRule type="cellIs" dxfId="291" priority="310" operator="greaterThanOrEqual">
      <formula>0.5</formula>
    </cfRule>
  </conditionalFormatting>
  <conditionalFormatting sqref="AN54:AO54">
    <cfRule type="cellIs" dxfId="290" priority="309" operator="greaterThanOrEqual">
      <formula>0.5</formula>
    </cfRule>
  </conditionalFormatting>
  <conditionalFormatting sqref="AN57:AO57">
    <cfRule type="cellIs" dxfId="289" priority="307" operator="greaterThanOrEqual">
      <formula>0.5</formula>
    </cfRule>
  </conditionalFormatting>
  <conditionalFormatting sqref="AQ9:AX9">
    <cfRule type="cellIs" dxfId="288" priority="350" stopIfTrue="1" operator="lessThan">
      <formula>0</formula>
    </cfRule>
    <cfRule type="cellIs" dxfId="287" priority="351" operator="greaterThan">
      <formula>0</formula>
    </cfRule>
  </conditionalFormatting>
  <conditionalFormatting sqref="AQ12:AX12">
    <cfRule type="cellIs" dxfId="286" priority="356" stopIfTrue="1" operator="lessThan">
      <formula>0</formula>
    </cfRule>
    <cfRule type="cellIs" dxfId="285" priority="357" operator="greaterThan">
      <formula>0</formula>
    </cfRule>
  </conditionalFormatting>
  <conditionalFormatting sqref="AQ15:AX15">
    <cfRule type="cellIs" dxfId="284" priority="365" operator="greaterThan">
      <formula>0</formula>
    </cfRule>
    <cfRule type="cellIs" dxfId="283" priority="364" stopIfTrue="1" operator="lessThan">
      <formula>0</formula>
    </cfRule>
  </conditionalFormatting>
  <conditionalFormatting sqref="AQ18:AX18">
    <cfRule type="cellIs" dxfId="282" priority="326" stopIfTrue="1" operator="lessThan">
      <formula>0</formula>
    </cfRule>
    <cfRule type="cellIs" dxfId="281" priority="327" operator="greaterThan">
      <formula>0</formula>
    </cfRule>
  </conditionalFormatting>
  <conditionalFormatting sqref="AQ21:AX21">
    <cfRule type="cellIs" dxfId="280" priority="373" operator="greaterThan">
      <formula>0</formula>
    </cfRule>
    <cfRule type="cellIs" dxfId="279" priority="372" stopIfTrue="1" operator="lessThan">
      <formula>0</formula>
    </cfRule>
  </conditionalFormatting>
  <conditionalFormatting sqref="AQ24:AX24">
    <cfRule type="cellIs" dxfId="278" priority="371" operator="greaterThan">
      <formula>0</formula>
    </cfRule>
    <cfRule type="cellIs" dxfId="277" priority="370" stopIfTrue="1" operator="lessThan">
      <formula>0</formula>
    </cfRule>
  </conditionalFormatting>
  <conditionalFormatting sqref="AQ27:AX27">
    <cfRule type="cellIs" dxfId="276" priority="358" stopIfTrue="1" operator="lessThan">
      <formula>0</formula>
    </cfRule>
    <cfRule type="cellIs" dxfId="275" priority="359" operator="greaterThan">
      <formula>0</formula>
    </cfRule>
  </conditionalFormatting>
  <conditionalFormatting sqref="AQ30:AX30">
    <cfRule type="cellIs" dxfId="274" priority="375" operator="greaterThan">
      <formula>0</formula>
    </cfRule>
    <cfRule type="cellIs" dxfId="273" priority="374" stopIfTrue="1" operator="lessThan">
      <formula>0</formula>
    </cfRule>
  </conditionalFormatting>
  <conditionalFormatting sqref="AQ33:AX33">
    <cfRule type="cellIs" dxfId="272" priority="366" stopIfTrue="1" operator="lessThan">
      <formula>0</formula>
    </cfRule>
    <cfRule type="cellIs" dxfId="271" priority="367" operator="greaterThan">
      <formula>0</formula>
    </cfRule>
  </conditionalFormatting>
  <conditionalFormatting sqref="AQ36:AX36">
    <cfRule type="cellIs" dxfId="270" priority="330" stopIfTrue="1" operator="lessThan">
      <formula>0</formula>
    </cfRule>
    <cfRule type="cellIs" dxfId="269" priority="331" operator="greaterThan">
      <formula>0</formula>
    </cfRule>
  </conditionalFormatting>
  <conditionalFormatting sqref="AQ39:AX39">
    <cfRule type="cellIs" dxfId="268" priority="360" stopIfTrue="1" operator="lessThan">
      <formula>0</formula>
    </cfRule>
    <cfRule type="cellIs" dxfId="267" priority="361" operator="greaterThan">
      <formula>0</formula>
    </cfRule>
  </conditionalFormatting>
  <conditionalFormatting sqref="AQ42:AX42">
    <cfRule type="cellIs" dxfId="266" priority="362" stopIfTrue="1" operator="lessThan">
      <formula>0</formula>
    </cfRule>
    <cfRule type="cellIs" dxfId="265" priority="363" operator="greaterThan">
      <formula>0</formula>
    </cfRule>
  </conditionalFormatting>
  <conditionalFormatting sqref="AQ45:AX45">
    <cfRule type="cellIs" dxfId="264" priority="333" operator="greaterThan">
      <formula>0</formula>
    </cfRule>
    <cfRule type="cellIs" dxfId="263" priority="332" stopIfTrue="1" operator="lessThan">
      <formula>0</formula>
    </cfRule>
  </conditionalFormatting>
  <conditionalFormatting sqref="AQ48:AX48">
    <cfRule type="cellIs" dxfId="262" priority="353" operator="greaterThan">
      <formula>0</formula>
    </cfRule>
    <cfRule type="cellIs" dxfId="261" priority="352" stopIfTrue="1" operator="lessThan">
      <formula>0</formula>
    </cfRule>
  </conditionalFormatting>
  <conditionalFormatting sqref="AQ51:AX51">
    <cfRule type="cellIs" dxfId="260" priority="368" stopIfTrue="1" operator="lessThan">
      <formula>0</formula>
    </cfRule>
    <cfRule type="cellIs" dxfId="259" priority="369" operator="greaterThan">
      <formula>0</formula>
    </cfRule>
  </conditionalFormatting>
  <conditionalFormatting sqref="AQ54:AX54">
    <cfRule type="cellIs" dxfId="258" priority="355" operator="greaterThan">
      <formula>0</formula>
    </cfRule>
    <cfRule type="cellIs" dxfId="257" priority="354" stopIfTrue="1" operator="lessThan">
      <formula>0</formula>
    </cfRule>
  </conditionalFormatting>
  <conditionalFormatting sqref="AQ57:AX57">
    <cfRule type="cellIs" dxfId="256" priority="328" stopIfTrue="1" operator="lessThan">
      <formula>0</formula>
    </cfRule>
    <cfRule type="cellIs" dxfId="255" priority="329" operator="greaterThan">
      <formula>0</formula>
    </cfRule>
  </conditionalFormatting>
  <dataValidations count="1">
    <dataValidation type="list" allowBlank="1" showInputMessage="1" showErrorMessage="1" sqref="AN48:AO48 AN9:AO9 AN12:AO12 AN15:AO15 AN24:AO24 AN27:AO27 AN33:AO33 AN36:AO36 AN21:AO21 AN39:AO39 AN30:AO30 AN51:AO51 AN54:AO54 AN18:AO18 AN57:AO57 AN42:AO42 AN45:AO45" xr:uid="{38D9C592-8CE0-4C4F-BECB-F52B71666BFA}">
      <formula1>"Yes, No"</formula1>
    </dataValidation>
  </dataValidations>
  <pageMargins left="0.7" right="0.7" top="0.75" bottom="0.75" header="0.3" footer="0.3"/>
  <pageSetup paperSize="9" orientation="portrait" r:id="rId38"/>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B7759B-556A-4A60-AACD-FA35D11C4D3A}">
  <sheetPr codeName="Sheet11">
    <pageSetUpPr fitToPage="1"/>
  </sheetPr>
  <dimension ref="B1:BK100"/>
  <sheetViews>
    <sheetView showGridLines="0" zoomScale="55" zoomScaleNormal="55" workbookViewId="0">
      <selection activeCell="BG13" sqref="BG13"/>
    </sheetView>
  </sheetViews>
  <sheetFormatPr defaultColWidth="8.53515625" defaultRowHeight="14.6" outlineLevelCol="2" x14ac:dyDescent="0.4"/>
  <cols>
    <col min="1" max="1" width="1.3828125" style="91" customWidth="1"/>
    <col min="2" max="2" width="11.53515625" style="91" customWidth="1" outlineLevel="1"/>
    <col min="3" max="3" width="60.61328125" style="91" customWidth="1" outlineLevel="1"/>
    <col min="4" max="4" width="0.53515625" style="91" customWidth="1" outlineLevel="1"/>
    <col min="5" max="11" width="6.53515625" style="91" customWidth="1" outlineLevel="2"/>
    <col min="12" max="12" width="0.53515625" style="91" customWidth="1" outlineLevel="2"/>
    <col min="13" max="19" width="6.53515625" style="91" customWidth="1" outlineLevel="2"/>
    <col min="20" max="20" width="0.53515625" style="91" customWidth="1" outlineLevel="2"/>
    <col min="21" max="26" width="6.53515625" style="91" customWidth="1" outlineLevel="2"/>
    <col min="27" max="27" width="6.61328125" style="91" customWidth="1" outlineLevel="2"/>
    <col min="28" max="34" width="8.53515625" style="91" hidden="1" customWidth="1" outlineLevel="1"/>
    <col min="35" max="35" width="0.53515625" style="91" hidden="1" customWidth="1"/>
    <col min="36" max="36" width="9" style="91" hidden="1" customWidth="1" outlineLevel="1"/>
    <col min="37" max="47" width="8.53515625" style="91" hidden="1" customWidth="1" outlineLevel="1"/>
    <col min="48" max="48" width="14.3828125" style="91" hidden="1" customWidth="1" outlineLevel="1"/>
    <col min="49" max="49" width="9.3828125" style="91" hidden="1" customWidth="1" outlineLevel="1"/>
    <col min="50" max="50" width="12.3828125" style="91" hidden="1" customWidth="1" outlineLevel="1"/>
    <col min="51" max="51" width="14.53515625" style="91" hidden="1" customWidth="1" outlineLevel="1"/>
    <col min="52" max="52" width="12.53515625" style="91" hidden="1" customWidth="1" outlineLevel="1"/>
    <col min="53" max="53" width="12" style="91" hidden="1" customWidth="1" collapsed="1"/>
    <col min="54" max="54" width="8.53515625" style="91" hidden="1" customWidth="1"/>
    <col min="55" max="55" width="23.53515625" style="91" hidden="1" customWidth="1"/>
    <col min="56" max="56" width="22.23046875" style="91" hidden="1" customWidth="1"/>
    <col min="57" max="57" width="3.23046875" style="91" customWidth="1"/>
    <col min="58" max="16384" width="8.53515625" style="91"/>
  </cols>
  <sheetData>
    <row r="1" spans="2:55" ht="15" customHeight="1" thickBot="1" x14ac:dyDescent="0.45">
      <c r="B1" s="125"/>
      <c r="C1" s="125"/>
      <c r="D1" s="126"/>
      <c r="E1" s="126"/>
      <c r="F1" s="127"/>
      <c r="G1" s="127"/>
      <c r="H1" s="127"/>
      <c r="I1" s="127"/>
      <c r="J1" s="127"/>
      <c r="K1" s="128"/>
      <c r="L1" s="129"/>
      <c r="M1" s="127"/>
      <c r="N1" s="127"/>
      <c r="O1" s="127"/>
      <c r="P1" s="127"/>
      <c r="Q1" s="127"/>
      <c r="R1" s="127"/>
      <c r="S1" s="128"/>
      <c r="T1" s="129"/>
      <c r="U1" s="130"/>
      <c r="V1" s="130"/>
      <c r="W1" s="130"/>
      <c r="X1" s="131"/>
      <c r="Y1" s="127"/>
      <c r="Z1" s="127"/>
      <c r="AA1" s="127"/>
      <c r="AB1" s="28"/>
      <c r="AC1" s="28"/>
      <c r="AD1" s="28"/>
      <c r="AE1" s="28"/>
      <c r="AF1" s="28"/>
      <c r="AG1" s="28"/>
      <c r="AH1" s="132"/>
      <c r="AI1" s="45"/>
      <c r="AJ1" s="841" t="s">
        <v>80</v>
      </c>
      <c r="AK1" s="842"/>
      <c r="AL1" s="842"/>
      <c r="AM1" s="842"/>
      <c r="AN1" s="842"/>
      <c r="AO1" s="842"/>
      <c r="AP1" s="842"/>
      <c r="AQ1" s="842"/>
      <c r="AR1" s="842"/>
      <c r="AS1" s="842"/>
      <c r="AT1" s="842"/>
      <c r="AU1" s="842"/>
      <c r="AV1" s="842"/>
      <c r="AW1" s="842"/>
      <c r="AX1" s="842"/>
      <c r="AY1" s="842"/>
      <c r="AZ1" s="842"/>
      <c r="BA1" s="843"/>
    </row>
    <row r="2" spans="2:55" ht="22.5" customHeight="1" thickBot="1" x14ac:dyDescent="0.45">
      <c r="B2" s="125"/>
      <c r="C2" s="125"/>
      <c r="D2" s="122"/>
      <c r="E2" s="851" t="s">
        <v>237</v>
      </c>
      <c r="F2" s="852"/>
      <c r="G2" s="852"/>
      <c r="H2" s="852"/>
      <c r="I2" s="852"/>
      <c r="J2" s="852"/>
      <c r="K2" s="853"/>
      <c r="L2" s="133"/>
      <c r="M2" s="851" t="s">
        <v>68</v>
      </c>
      <c r="N2" s="852"/>
      <c r="O2" s="852"/>
      <c r="P2" s="852"/>
      <c r="Q2" s="852"/>
      <c r="R2" s="852"/>
      <c r="S2" s="853"/>
      <c r="T2" s="133"/>
      <c r="U2" s="851" t="s">
        <v>70</v>
      </c>
      <c r="V2" s="852"/>
      <c r="W2" s="852"/>
      <c r="X2" s="852"/>
      <c r="Y2" s="852"/>
      <c r="Z2" s="852"/>
      <c r="AA2" s="853"/>
      <c r="AB2" s="844" t="s">
        <v>238</v>
      </c>
      <c r="AC2" s="845"/>
      <c r="AD2" s="845"/>
      <c r="AE2" s="846"/>
      <c r="AF2" s="846"/>
      <c r="AG2" s="847"/>
      <c r="AH2" s="124" t="s">
        <v>239</v>
      </c>
      <c r="AI2" s="47"/>
      <c r="AJ2" s="124" t="s">
        <v>240</v>
      </c>
      <c r="AK2" s="55" t="s">
        <v>86</v>
      </c>
      <c r="AL2" s="131"/>
      <c r="AM2" s="124" t="s">
        <v>240</v>
      </c>
      <c r="AN2" s="55" t="s">
        <v>86</v>
      </c>
      <c r="AO2" s="131"/>
      <c r="AP2" s="124" t="s">
        <v>240</v>
      </c>
      <c r="AQ2" s="55" t="s">
        <v>86</v>
      </c>
      <c r="AR2" s="131"/>
      <c r="AS2" s="124" t="s">
        <v>240</v>
      </c>
      <c r="AT2" s="55" t="s">
        <v>86</v>
      </c>
      <c r="AU2" s="131"/>
      <c r="AV2" s="124" t="s">
        <v>240</v>
      </c>
      <c r="AW2" s="55" t="s">
        <v>86</v>
      </c>
      <c r="AX2" s="131"/>
      <c r="AY2" s="124" t="s">
        <v>240</v>
      </c>
      <c r="AZ2" s="55" t="s">
        <v>86</v>
      </c>
    </row>
    <row r="3" spans="2:55" ht="3" customHeight="1" x14ac:dyDescent="0.4">
      <c r="B3" s="136"/>
      <c r="C3" s="136"/>
      <c r="D3" s="136"/>
      <c r="E3" s="136"/>
      <c r="F3" s="136"/>
      <c r="G3" s="136"/>
      <c r="H3" s="136"/>
      <c r="I3" s="136"/>
      <c r="J3" s="136"/>
      <c r="K3" s="136"/>
      <c r="L3" s="136"/>
      <c r="M3" s="136"/>
      <c r="N3" s="136"/>
      <c r="O3" s="136"/>
      <c r="P3" s="136"/>
      <c r="Q3" s="136"/>
      <c r="R3" s="136"/>
      <c r="S3" s="136"/>
      <c r="T3" s="136"/>
      <c r="U3" s="136"/>
      <c r="V3" s="136"/>
      <c r="W3" s="136"/>
      <c r="X3" s="136"/>
      <c r="Y3" s="136"/>
      <c r="Z3" s="136"/>
      <c r="AA3" s="136"/>
      <c r="AB3" s="136"/>
      <c r="AC3" s="136"/>
      <c r="AD3" s="136"/>
      <c r="AE3" s="136"/>
      <c r="AF3" s="136"/>
      <c r="AG3" s="136"/>
      <c r="AH3" s="136"/>
      <c r="AI3" s="136"/>
      <c r="AJ3" s="136"/>
      <c r="AK3" s="136"/>
      <c r="AL3" s="136"/>
      <c r="AM3" s="136"/>
      <c r="AN3" s="136"/>
      <c r="AO3" s="136"/>
      <c r="AP3" s="136"/>
      <c r="AQ3" s="136"/>
      <c r="AR3" s="136"/>
      <c r="AS3" s="136"/>
      <c r="AT3" s="136"/>
      <c r="AU3" s="136"/>
      <c r="AV3" s="136"/>
      <c r="AW3" s="136"/>
      <c r="AX3" s="136"/>
      <c r="AY3" s="136"/>
      <c r="AZ3" s="136"/>
    </row>
    <row r="4" spans="2:55" ht="36" customHeight="1" x14ac:dyDescent="0.4">
      <c r="B4" s="215" t="s">
        <v>173</v>
      </c>
      <c r="C4" s="137" t="s">
        <v>0</v>
      </c>
      <c r="D4" s="138"/>
      <c r="E4" s="648" t="s">
        <v>496</v>
      </c>
      <c r="F4" s="657" t="s">
        <v>505</v>
      </c>
      <c r="G4" s="657" t="s">
        <v>528</v>
      </c>
      <c r="H4" s="657" t="s">
        <v>529</v>
      </c>
      <c r="I4" s="657" t="s">
        <v>531</v>
      </c>
      <c r="J4" s="657" t="s">
        <v>532</v>
      </c>
      <c r="K4" s="139" t="s">
        <v>533</v>
      </c>
      <c r="L4" s="140"/>
      <c r="M4" s="657" t="s">
        <v>496</v>
      </c>
      <c r="N4" s="657" t="s">
        <v>505</v>
      </c>
      <c r="O4" s="657" t="s">
        <v>528</v>
      </c>
      <c r="P4" s="657" t="s">
        <v>529</v>
      </c>
      <c r="Q4" s="657" t="s">
        <v>531</v>
      </c>
      <c r="R4" s="657" t="s">
        <v>532</v>
      </c>
      <c r="S4" s="657" t="s">
        <v>533</v>
      </c>
      <c r="T4" s="142"/>
      <c r="U4" s="657" t="s">
        <v>496</v>
      </c>
      <c r="V4" s="657" t="s">
        <v>505</v>
      </c>
      <c r="W4" s="657" t="s">
        <v>528</v>
      </c>
      <c r="X4" s="657" t="s">
        <v>529</v>
      </c>
      <c r="Y4" s="657" t="s">
        <v>531</v>
      </c>
      <c r="Z4" s="657" t="s">
        <v>532</v>
      </c>
      <c r="AA4" s="657" t="s">
        <v>533</v>
      </c>
      <c r="AB4" s="141" t="s">
        <v>245</v>
      </c>
      <c r="AC4" s="141" t="s">
        <v>241</v>
      </c>
      <c r="AD4" s="141" t="s">
        <v>242</v>
      </c>
      <c r="AE4" s="141" t="s">
        <v>243</v>
      </c>
      <c r="AF4" s="141" t="s">
        <v>244</v>
      </c>
      <c r="AG4" s="141" t="s">
        <v>246</v>
      </c>
      <c r="AH4" s="141" t="s">
        <v>247</v>
      </c>
      <c r="AI4" s="142"/>
      <c r="AJ4" s="854" t="s">
        <v>245</v>
      </c>
      <c r="AK4" s="855"/>
      <c r="AL4" s="139" t="s">
        <v>248</v>
      </c>
      <c r="AM4" s="854" t="s">
        <v>241</v>
      </c>
      <c r="AN4" s="855"/>
      <c r="AO4" s="139" t="s">
        <v>248</v>
      </c>
      <c r="AP4" s="854" t="s">
        <v>242</v>
      </c>
      <c r="AQ4" s="855"/>
      <c r="AR4" s="139" t="s">
        <v>248</v>
      </c>
      <c r="AS4" s="854" t="s">
        <v>243</v>
      </c>
      <c r="AT4" s="855"/>
      <c r="AU4" s="139" t="s">
        <v>248</v>
      </c>
      <c r="AV4" s="837" t="s">
        <v>244</v>
      </c>
      <c r="AW4" s="838"/>
      <c r="AX4" s="139" t="s">
        <v>248</v>
      </c>
      <c r="AY4" s="839" t="s">
        <v>246</v>
      </c>
      <c r="AZ4" s="840"/>
      <c r="BA4" s="139" t="s">
        <v>248</v>
      </c>
      <c r="BC4" s="291" t="s">
        <v>369</v>
      </c>
    </row>
    <row r="5" spans="2:55" s="198" customFormat="1" ht="3" customHeight="1" thickBot="1" x14ac:dyDescent="0.45">
      <c r="B5" s="199"/>
      <c r="C5" s="199"/>
      <c r="D5" s="200"/>
      <c r="E5" s="201"/>
      <c r="F5" s="201"/>
      <c r="G5" s="201"/>
      <c r="H5" s="201"/>
      <c r="I5" s="201"/>
      <c r="J5" s="201"/>
      <c r="K5" s="201"/>
      <c r="L5" s="202"/>
      <c r="M5" s="201"/>
      <c r="N5" s="201"/>
      <c r="O5" s="201"/>
      <c r="P5" s="201"/>
      <c r="Q5" s="201"/>
      <c r="R5" s="201"/>
      <c r="S5" s="201"/>
      <c r="T5" s="200"/>
      <c r="U5" s="201"/>
      <c r="V5" s="201"/>
      <c r="W5" s="201"/>
      <c r="X5" s="201"/>
      <c r="Y5" s="201"/>
      <c r="Z5" s="201"/>
      <c r="AA5" s="201"/>
      <c r="AB5" s="201"/>
      <c r="AC5" s="201"/>
      <c r="AD5" s="201"/>
      <c r="AE5" s="201"/>
      <c r="AF5" s="201"/>
      <c r="AG5" s="201"/>
      <c r="AH5" s="201"/>
      <c r="AI5" s="200"/>
      <c r="AJ5" s="201"/>
      <c r="AK5" s="201"/>
      <c r="AL5" s="201"/>
      <c r="AM5" s="201"/>
      <c r="AN5" s="201"/>
      <c r="AO5" s="201"/>
      <c r="AP5" s="201"/>
      <c r="AQ5" s="201"/>
      <c r="AR5" s="201"/>
      <c r="AS5" s="201"/>
      <c r="AT5" s="201"/>
      <c r="AU5" s="201"/>
      <c r="AV5" s="201"/>
      <c r="AW5" s="203"/>
      <c r="AX5" s="201"/>
      <c r="AY5" s="201"/>
      <c r="AZ5" s="203"/>
      <c r="BA5" s="201"/>
    </row>
    <row r="6" spans="2:55" ht="15" customHeight="1" thickBot="1" x14ac:dyDescent="0.45">
      <c r="B6" s="848" t="s">
        <v>193</v>
      </c>
      <c r="C6" s="849"/>
      <c r="D6" s="849"/>
      <c r="E6" s="849"/>
      <c r="F6" s="849"/>
      <c r="G6" s="849"/>
      <c r="H6" s="849"/>
      <c r="I6" s="849"/>
      <c r="J6" s="849"/>
      <c r="K6" s="849"/>
      <c r="L6" s="849"/>
      <c r="M6" s="849"/>
      <c r="N6" s="849"/>
      <c r="O6" s="849"/>
      <c r="P6" s="849"/>
      <c r="Q6" s="849"/>
      <c r="R6" s="849"/>
      <c r="S6" s="849"/>
      <c r="T6" s="849"/>
      <c r="U6" s="849"/>
      <c r="V6" s="849"/>
      <c r="W6" s="849"/>
      <c r="X6" s="849"/>
      <c r="Y6" s="849"/>
      <c r="Z6" s="849"/>
      <c r="AA6" s="850"/>
      <c r="AB6" s="134"/>
      <c r="AC6" s="134"/>
      <c r="AD6" s="134"/>
      <c r="AE6" s="134"/>
      <c r="AF6" s="134"/>
      <c r="AG6" s="134"/>
      <c r="AH6" s="134"/>
      <c r="AI6" s="134"/>
      <c r="AJ6" s="134"/>
      <c r="AK6" s="134"/>
      <c r="AL6" s="134"/>
      <c r="AM6" s="134"/>
      <c r="AN6" s="134"/>
      <c r="AO6" s="134"/>
      <c r="AP6" s="134"/>
      <c r="AQ6" s="134"/>
      <c r="AR6" s="134"/>
      <c r="AS6" s="134"/>
      <c r="AT6" s="134"/>
      <c r="AU6" s="134"/>
      <c r="AV6" s="134"/>
      <c r="AW6" s="134"/>
      <c r="AX6" s="134"/>
      <c r="AY6" s="134"/>
      <c r="AZ6" s="134"/>
      <c r="BA6" s="135"/>
      <c r="BC6" s="91" t="s">
        <v>368</v>
      </c>
    </row>
    <row r="7" spans="2:55" s="198" customFormat="1" ht="3" customHeight="1" x14ac:dyDescent="0.4">
      <c r="B7" s="204"/>
      <c r="C7" s="204"/>
      <c r="D7" s="204"/>
      <c r="E7" s="204"/>
      <c r="F7" s="204"/>
      <c r="G7" s="204"/>
      <c r="H7" s="204"/>
      <c r="I7" s="204"/>
      <c r="J7" s="204"/>
      <c r="K7" s="204"/>
      <c r="L7" s="204"/>
      <c r="M7" s="204"/>
      <c r="N7" s="204"/>
      <c r="O7" s="204"/>
      <c r="P7" s="204"/>
      <c r="Q7" s="204"/>
      <c r="R7" s="204"/>
      <c r="S7" s="204"/>
      <c r="T7" s="204"/>
      <c r="U7" s="204"/>
      <c r="V7" s="204"/>
      <c r="W7" s="204"/>
      <c r="X7" s="204"/>
      <c r="Y7" s="204"/>
      <c r="Z7" s="204"/>
      <c r="AA7" s="204"/>
      <c r="AB7" s="205"/>
      <c r="AC7" s="205"/>
      <c r="AD7" s="205"/>
      <c r="AE7" s="205"/>
      <c r="AF7" s="205"/>
      <c r="AG7" s="205"/>
      <c r="AH7" s="205"/>
      <c r="AI7" s="205"/>
      <c r="AJ7" s="205"/>
      <c r="AK7" s="205"/>
      <c r="AL7" s="205"/>
      <c r="AM7" s="205"/>
      <c r="AN7" s="205"/>
      <c r="AO7" s="205"/>
      <c r="AP7" s="205"/>
      <c r="AQ7" s="205"/>
      <c r="AR7" s="205"/>
      <c r="AS7" s="205"/>
      <c r="AT7" s="205"/>
      <c r="AU7" s="205"/>
      <c r="AV7" s="205"/>
      <c r="AW7" s="205"/>
      <c r="AX7" s="205"/>
      <c r="AY7" s="205"/>
      <c r="AZ7" s="205"/>
      <c r="BA7" s="206"/>
    </row>
    <row r="8" spans="2:55" ht="16.5" customHeight="1" x14ac:dyDescent="0.4">
      <c r="B8" s="143" t="s">
        <v>122</v>
      </c>
      <c r="C8" s="144" t="s">
        <v>169</v>
      </c>
      <c r="D8" s="145"/>
      <c r="E8" s="147" t="s">
        <v>88</v>
      </c>
      <c r="F8" s="147" t="s">
        <v>88</v>
      </c>
      <c r="G8" s="147" t="s">
        <v>88</v>
      </c>
      <c r="H8" s="147" t="s">
        <v>88</v>
      </c>
      <c r="I8" s="147" t="s">
        <v>88</v>
      </c>
      <c r="J8" s="147" t="str">
        <f>VLOOKUP(B8,'1) Report'!$B$11:$AM$141,5,FALSE)</f>
        <v>R</v>
      </c>
      <c r="K8" s="148" t="s">
        <v>89</v>
      </c>
      <c r="L8" s="13"/>
      <c r="M8" s="217" t="s">
        <v>88</v>
      </c>
      <c r="N8" s="147" t="s">
        <v>88</v>
      </c>
      <c r="O8" s="147" t="s">
        <v>88</v>
      </c>
      <c r="P8" s="147" t="s">
        <v>88</v>
      </c>
      <c r="Q8" s="147" t="s">
        <v>88</v>
      </c>
      <c r="R8" s="147" t="str">
        <f>VLOOKUP(B8,'1) Report'!$B$11:$AM$141,17,FALSE)</f>
        <v>R</v>
      </c>
      <c r="S8" s="148" t="s">
        <v>89</v>
      </c>
      <c r="T8" s="150"/>
      <c r="U8" s="146" t="s">
        <v>91</v>
      </c>
      <c r="V8" s="146" t="s">
        <v>91</v>
      </c>
      <c r="W8" s="147" t="s">
        <v>91</v>
      </c>
      <c r="X8" s="147" t="s">
        <v>91</v>
      </c>
      <c r="Y8" s="147" t="s">
        <v>91</v>
      </c>
      <c r="Z8" s="147" t="str">
        <f>VLOOKUP(B8,'1) Report'!$B$11:$AM$141,38,FALSE)</f>
        <v>G</v>
      </c>
      <c r="AA8" s="148" t="s">
        <v>89</v>
      </c>
      <c r="AB8" s="151">
        <v>-0.17443878999999995</v>
      </c>
      <c r="AC8" s="151">
        <v>-2.2437999999997515E-2</v>
      </c>
      <c r="AD8" s="151">
        <v>6.0398019999997388E-2</v>
      </c>
      <c r="AE8" s="151">
        <v>0.14588607999999681</v>
      </c>
      <c r="AF8" s="151"/>
      <c r="AG8" s="151"/>
      <c r="AH8" s="152"/>
      <c r="AI8" s="153"/>
      <c r="AJ8" s="154">
        <v>0.96701482172726794</v>
      </c>
      <c r="AK8" s="155">
        <v>0.72146403888666333</v>
      </c>
      <c r="AL8" s="146" t="s">
        <v>88</v>
      </c>
      <c r="AM8" s="154">
        <v>0.97948169917453509</v>
      </c>
      <c r="AN8" s="155">
        <v>0.73533962635333405</v>
      </c>
      <c r="AO8" s="146" t="s">
        <v>88</v>
      </c>
      <c r="AP8" s="154">
        <v>0.99110757199481792</v>
      </c>
      <c r="AQ8" s="155">
        <v>0.74400390278745543</v>
      </c>
      <c r="AR8" s="146" t="s">
        <v>88</v>
      </c>
      <c r="AS8" s="154">
        <v>0.97948169917453509</v>
      </c>
      <c r="AT8" s="155">
        <v>0.73533962635333405</v>
      </c>
      <c r="AU8" s="146" t="s">
        <v>88</v>
      </c>
      <c r="AV8" s="154"/>
      <c r="AW8" s="155"/>
      <c r="AX8" s="146"/>
      <c r="AY8" s="154"/>
      <c r="AZ8" s="155"/>
      <c r="BA8" s="146"/>
      <c r="BC8" s="292" t="s">
        <v>366</v>
      </c>
    </row>
    <row r="9" spans="2:55" ht="16.5" customHeight="1" x14ac:dyDescent="0.4">
      <c r="B9" s="143" t="s">
        <v>99</v>
      </c>
      <c r="C9" s="157" t="s">
        <v>98</v>
      </c>
      <c r="D9" s="145"/>
      <c r="E9" s="147" t="s">
        <v>91</v>
      </c>
      <c r="F9" s="147" t="s">
        <v>91</v>
      </c>
      <c r="G9" s="147" t="s">
        <v>91</v>
      </c>
      <c r="H9" s="147" t="s">
        <v>91</v>
      </c>
      <c r="I9" s="147" t="s">
        <v>91</v>
      </c>
      <c r="J9" s="147" t="str">
        <f>VLOOKUP(B9,'1) Report'!$B$11:$AM$141,5,FALSE)</f>
        <v>A</v>
      </c>
      <c r="K9" s="148" t="s">
        <v>555</v>
      </c>
      <c r="L9" s="13"/>
      <c r="M9" s="146" t="s">
        <v>90</v>
      </c>
      <c r="N9" s="146" t="s">
        <v>90</v>
      </c>
      <c r="O9" s="147" t="s">
        <v>90</v>
      </c>
      <c r="P9" s="147" t="s">
        <v>90</v>
      </c>
      <c r="Q9" s="147" t="s">
        <v>90</v>
      </c>
      <c r="R9" s="147" t="str">
        <f>VLOOKUP(B9,'1) Report'!$B$11:$AM$141,17,FALSE)</f>
        <v>A</v>
      </c>
      <c r="S9" s="148" t="s">
        <v>89</v>
      </c>
      <c r="T9" s="150"/>
      <c r="U9" s="146" t="s">
        <v>91</v>
      </c>
      <c r="V9" s="146" t="s">
        <v>91</v>
      </c>
      <c r="W9" s="147" t="s">
        <v>91</v>
      </c>
      <c r="X9" s="147" t="s">
        <v>91</v>
      </c>
      <c r="Y9" s="147" t="s">
        <v>91</v>
      </c>
      <c r="Z9" s="147" t="str">
        <f>VLOOKUP(B9,'1) Report'!$B$11:$AM$141,38,FALSE)</f>
        <v>G</v>
      </c>
      <c r="AA9" s="148" t="s">
        <v>89</v>
      </c>
      <c r="AB9" s="151">
        <v>4.2306099999223079E-3</v>
      </c>
      <c r="AC9" s="151">
        <v>4.2306400000597932E-3</v>
      </c>
      <c r="AD9" s="151">
        <v>4.2308900001444272E-3</v>
      </c>
      <c r="AE9" s="151">
        <v>4.2309400000704045E-3</v>
      </c>
      <c r="AF9" s="151"/>
      <c r="AG9" s="151"/>
      <c r="AH9" s="152"/>
      <c r="AI9" s="153"/>
      <c r="AJ9" s="154">
        <v>0.67263312466189928</v>
      </c>
      <c r="AK9" s="155">
        <v>0.66197057922564184</v>
      </c>
      <c r="AL9" s="146" t="s">
        <v>91</v>
      </c>
      <c r="AM9" s="154">
        <v>0.68285493890159055</v>
      </c>
      <c r="AN9" s="155">
        <v>0.67083688328358893</v>
      </c>
      <c r="AO9" s="146" t="s">
        <v>91</v>
      </c>
      <c r="AP9" s="154">
        <v>0.69240274562145143</v>
      </c>
      <c r="AQ9" s="155">
        <v>0.68005480541574703</v>
      </c>
      <c r="AR9" s="146" t="s">
        <v>91</v>
      </c>
      <c r="AS9" s="154">
        <v>0.68285493890159055</v>
      </c>
      <c r="AT9" s="155">
        <v>0.67083688328358893</v>
      </c>
      <c r="AU9" s="146" t="s">
        <v>91</v>
      </c>
      <c r="AV9" s="154"/>
      <c r="AW9" s="155"/>
      <c r="AX9" s="146"/>
      <c r="AY9" s="154"/>
      <c r="AZ9" s="155"/>
      <c r="BA9" s="146"/>
      <c r="BC9" s="292" t="s">
        <v>366</v>
      </c>
    </row>
    <row r="10" spans="2:55" ht="16.5" customHeight="1" x14ac:dyDescent="0.4">
      <c r="B10" s="143" t="s">
        <v>112</v>
      </c>
      <c r="C10" s="156" t="s">
        <v>250</v>
      </c>
      <c r="D10" s="145"/>
      <c r="E10" s="147" t="s">
        <v>91</v>
      </c>
      <c r="F10" s="147" t="s">
        <v>91</v>
      </c>
      <c r="G10" s="147" t="s">
        <v>91</v>
      </c>
      <c r="H10" s="147" t="s">
        <v>91</v>
      </c>
      <c r="I10" s="147" t="s">
        <v>91</v>
      </c>
      <c r="J10" s="147" t="str">
        <f>VLOOKUP(B10,'1) Report'!$B$11:$AM$141,5,FALSE)</f>
        <v>A</v>
      </c>
      <c r="K10" s="148" t="s">
        <v>555</v>
      </c>
      <c r="L10" s="13"/>
      <c r="M10" s="146" t="s">
        <v>91</v>
      </c>
      <c r="N10" s="146" t="s">
        <v>91</v>
      </c>
      <c r="O10" s="147" t="s">
        <v>91</v>
      </c>
      <c r="P10" s="147" t="s">
        <v>91</v>
      </c>
      <c r="Q10" s="147" t="s">
        <v>91</v>
      </c>
      <c r="R10" s="147" t="str">
        <f>VLOOKUP(B10,'1) Report'!$B$11:$AM$141,17,FALSE)</f>
        <v>A</v>
      </c>
      <c r="S10" s="148" t="s">
        <v>555</v>
      </c>
      <c r="T10" s="150"/>
      <c r="U10" s="146" t="s">
        <v>90</v>
      </c>
      <c r="V10" s="146" t="s">
        <v>90</v>
      </c>
      <c r="W10" s="147" t="s">
        <v>90</v>
      </c>
      <c r="X10" s="147" t="s">
        <v>90</v>
      </c>
      <c r="Y10" s="147" t="s">
        <v>90</v>
      </c>
      <c r="Z10" s="147" t="str">
        <f>VLOOKUP(B10,'1) Report'!$B$11:$AM$141,38,FALSE)</f>
        <v>A</v>
      </c>
      <c r="AA10" s="148" t="s">
        <v>89</v>
      </c>
      <c r="AB10" s="151">
        <v>0.20000000000004547</v>
      </c>
      <c r="AC10" s="151">
        <v>-0.28953544999990299</v>
      </c>
      <c r="AD10" s="151">
        <v>3.0095354499999303</v>
      </c>
      <c r="AE10" s="158">
        <v>5.6195354500000576</v>
      </c>
      <c r="AF10" s="151"/>
      <c r="AG10" s="151"/>
      <c r="AH10" s="152"/>
      <c r="AI10" s="153"/>
      <c r="AJ10" s="154">
        <v>0.3310063990692263</v>
      </c>
      <c r="AK10" s="155">
        <v>0.32414350013241711</v>
      </c>
      <c r="AL10" s="146" t="s">
        <v>91</v>
      </c>
      <c r="AM10" s="154">
        <v>0.34591332169866201</v>
      </c>
      <c r="AN10" s="155">
        <v>0.33658706237027336</v>
      </c>
      <c r="AO10" s="146" t="s">
        <v>91</v>
      </c>
      <c r="AP10" s="154">
        <v>0.35531119055381671</v>
      </c>
      <c r="AQ10" s="155">
        <v>0.34705057419840024</v>
      </c>
      <c r="AR10" s="146" t="s">
        <v>91</v>
      </c>
      <c r="AS10" s="154">
        <v>0.34591332169866201</v>
      </c>
      <c r="AT10" s="155">
        <v>0.33658706237027336</v>
      </c>
      <c r="AU10" s="146" t="s">
        <v>91</v>
      </c>
      <c r="AV10" s="154"/>
      <c r="AW10" s="155"/>
      <c r="AX10" s="146"/>
      <c r="AY10" s="154"/>
      <c r="AZ10" s="155"/>
      <c r="BA10" s="146"/>
      <c r="BC10" s="292" t="s">
        <v>366</v>
      </c>
    </row>
    <row r="11" spans="2:55" ht="16.5" customHeight="1" x14ac:dyDescent="0.4">
      <c r="B11" s="143" t="s">
        <v>123</v>
      </c>
      <c r="C11" s="157" t="s">
        <v>5</v>
      </c>
      <c r="D11" s="145"/>
      <c r="E11" s="147" t="s">
        <v>91</v>
      </c>
      <c r="F11" s="147" t="s">
        <v>91</v>
      </c>
      <c r="G11" s="147" t="s">
        <v>91</v>
      </c>
      <c r="H11" s="147" t="s">
        <v>91</v>
      </c>
      <c r="I11" s="147" t="s">
        <v>91</v>
      </c>
      <c r="J11" s="147" t="str">
        <f>VLOOKUP(B11,'1) Report'!$B$11:$AM$141,5,FALSE)</f>
        <v>G</v>
      </c>
      <c r="K11" s="148" t="s">
        <v>89</v>
      </c>
      <c r="L11" s="13"/>
      <c r="M11" s="146" t="s">
        <v>88</v>
      </c>
      <c r="N11" s="146" t="s">
        <v>88</v>
      </c>
      <c r="O11" s="147" t="s">
        <v>88</v>
      </c>
      <c r="P11" s="147" t="s">
        <v>88</v>
      </c>
      <c r="Q11" s="147" t="s">
        <v>88</v>
      </c>
      <c r="R11" s="147" t="str">
        <f>VLOOKUP(B11,'1) Report'!$B$11:$AM$141,17,FALSE)</f>
        <v>R</v>
      </c>
      <c r="S11" s="148" t="s">
        <v>89</v>
      </c>
      <c r="T11" s="150"/>
      <c r="U11" s="146" t="s">
        <v>90</v>
      </c>
      <c r="V11" s="146" t="s">
        <v>90</v>
      </c>
      <c r="W11" s="147" t="s">
        <v>90</v>
      </c>
      <c r="X11" s="147" t="s">
        <v>90</v>
      </c>
      <c r="Y11" s="147" t="s">
        <v>90</v>
      </c>
      <c r="Z11" s="147" t="str">
        <f>VLOOKUP(B11,'1) Report'!$B$11:$AM$141,38,FALSE)</f>
        <v>A</v>
      </c>
      <c r="AA11" s="148" t="s">
        <v>89</v>
      </c>
      <c r="AB11" s="151">
        <v>5.3498980000028951E-2</v>
      </c>
      <c r="AC11" s="151">
        <v>-1.2529210000082003E-2</v>
      </c>
      <c r="AD11" s="151">
        <v>-1.147481000003836E-2</v>
      </c>
      <c r="AE11" s="151">
        <v>-5.1089400000137175E-3</v>
      </c>
      <c r="AF11" s="151"/>
      <c r="AG11" s="151"/>
      <c r="AH11" s="152"/>
      <c r="AI11" s="153"/>
      <c r="AJ11" s="154">
        <v>0.93096158456393741</v>
      </c>
      <c r="AK11" s="155">
        <v>0.91011050199833765</v>
      </c>
      <c r="AL11" s="146" t="s">
        <v>91</v>
      </c>
      <c r="AM11" s="154">
        <v>0.93511862924313183</v>
      </c>
      <c r="AN11" s="155">
        <v>0.91267777206925871</v>
      </c>
      <c r="AO11" s="146" t="s">
        <v>91</v>
      </c>
      <c r="AP11" s="154">
        <v>0.93985191397568202</v>
      </c>
      <c r="AQ11" s="155">
        <v>0.91907460710055455</v>
      </c>
      <c r="AR11" s="146" t="s">
        <v>91</v>
      </c>
      <c r="AS11" s="154">
        <v>0.93511862924313183</v>
      </c>
      <c r="AT11" s="155">
        <v>0.91267777206925871</v>
      </c>
      <c r="AU11" s="146" t="s">
        <v>91</v>
      </c>
      <c r="AV11" s="154"/>
      <c r="AW11" s="155"/>
      <c r="AX11" s="146"/>
      <c r="AY11" s="154"/>
      <c r="AZ11" s="155"/>
      <c r="BA11" s="146"/>
      <c r="BC11" s="292" t="s">
        <v>366</v>
      </c>
    </row>
    <row r="12" spans="2:55" ht="16.5" customHeight="1" x14ac:dyDescent="0.4">
      <c r="B12" s="143" t="s">
        <v>120</v>
      </c>
      <c r="C12" s="144" t="s">
        <v>119</v>
      </c>
      <c r="D12" s="145"/>
      <c r="E12" s="147" t="s">
        <v>91</v>
      </c>
      <c r="F12" s="147" t="s">
        <v>91</v>
      </c>
      <c r="G12" s="147" t="s">
        <v>91</v>
      </c>
      <c r="H12" s="147" t="s">
        <v>91</v>
      </c>
      <c r="I12" s="147" t="s">
        <v>91</v>
      </c>
      <c r="J12" s="147" t="str">
        <f>VLOOKUP(B12,'1) Report'!$B$11:$AM$141,5,FALSE)</f>
        <v>G</v>
      </c>
      <c r="K12" s="148" t="s">
        <v>89</v>
      </c>
      <c r="L12" s="13"/>
      <c r="M12" s="147" t="s">
        <v>91</v>
      </c>
      <c r="N12" s="147" t="s">
        <v>91</v>
      </c>
      <c r="O12" s="147" t="s">
        <v>91</v>
      </c>
      <c r="P12" s="147" t="s">
        <v>91</v>
      </c>
      <c r="Q12" s="147" t="s">
        <v>91</v>
      </c>
      <c r="R12" s="147" t="str">
        <f>VLOOKUP(B12,'1) Report'!$B$11:$AM$141,17,FALSE)</f>
        <v>G</v>
      </c>
      <c r="S12" s="148" t="s">
        <v>89</v>
      </c>
      <c r="T12" s="150"/>
      <c r="U12" s="147" t="s">
        <v>91</v>
      </c>
      <c r="V12" s="147" t="s">
        <v>91</v>
      </c>
      <c r="W12" s="147" t="s">
        <v>91</v>
      </c>
      <c r="X12" s="147" t="s">
        <v>91</v>
      </c>
      <c r="Y12" s="147" t="s">
        <v>91</v>
      </c>
      <c r="Z12" s="147" t="str">
        <f>VLOOKUP(B12,'1) Report'!$B$11:$AM$141,38,FALSE)</f>
        <v>G</v>
      </c>
      <c r="AA12" s="148" t="s">
        <v>89</v>
      </c>
      <c r="AB12" s="151">
        <v>12.315202569999997</v>
      </c>
      <c r="AC12" s="151">
        <v>2.9647000000210255E-4</v>
      </c>
      <c r="AD12" s="151">
        <v>3.6768480000006321E-2</v>
      </c>
      <c r="AE12" s="151">
        <v>6.3984700000006001E-3</v>
      </c>
      <c r="AF12" s="151"/>
      <c r="AG12" s="151"/>
      <c r="AH12" s="152"/>
      <c r="AI12" s="153"/>
      <c r="AJ12" s="154">
        <v>0.96750161375346178</v>
      </c>
      <c r="AK12" s="155">
        <v>0.45837402340721939</v>
      </c>
      <c r="AL12" s="146" t="s">
        <v>88</v>
      </c>
      <c r="AM12" s="154">
        <v>0.98260794469024437</v>
      </c>
      <c r="AN12" s="155">
        <v>0.46332736019416598</v>
      </c>
      <c r="AO12" s="146" t="s">
        <v>88</v>
      </c>
      <c r="AP12" s="154">
        <v>0.98592109289445096</v>
      </c>
      <c r="AQ12" s="155">
        <v>0.469271628941138</v>
      </c>
      <c r="AR12" s="146" t="s">
        <v>88</v>
      </c>
      <c r="AS12" s="154">
        <v>0.98260794469024437</v>
      </c>
      <c r="AT12" s="155">
        <v>0.46332736019416598</v>
      </c>
      <c r="AU12" s="146" t="s">
        <v>88</v>
      </c>
      <c r="AV12" s="154"/>
      <c r="AW12" s="155"/>
      <c r="AX12" s="146"/>
      <c r="AY12" s="154"/>
      <c r="AZ12" s="155"/>
      <c r="BA12" s="146"/>
      <c r="BC12" s="91" t="s">
        <v>366</v>
      </c>
    </row>
    <row r="13" spans="2:55" ht="16.5" customHeight="1" x14ac:dyDescent="0.4">
      <c r="B13" s="143" t="s">
        <v>97</v>
      </c>
      <c r="C13" s="144" t="s">
        <v>96</v>
      </c>
      <c r="D13" s="145"/>
      <c r="E13" s="147" t="s">
        <v>91</v>
      </c>
      <c r="F13" s="147" t="s">
        <v>91</v>
      </c>
      <c r="G13" s="147" t="s">
        <v>91</v>
      </c>
      <c r="H13" s="147" t="s">
        <v>91</v>
      </c>
      <c r="I13" s="147" t="s">
        <v>91</v>
      </c>
      <c r="J13" s="147" t="str">
        <f>VLOOKUP(B13,'1) Report'!$B$11:$AM$141,5,FALSE)</f>
        <v>G</v>
      </c>
      <c r="K13" s="148" t="s">
        <v>89</v>
      </c>
      <c r="L13" s="13"/>
      <c r="M13" s="147" t="s">
        <v>91</v>
      </c>
      <c r="N13" s="147" t="s">
        <v>91</v>
      </c>
      <c r="O13" s="147" t="s">
        <v>91</v>
      </c>
      <c r="P13" s="147" t="s">
        <v>91</v>
      </c>
      <c r="Q13" s="147" t="s">
        <v>91</v>
      </c>
      <c r="R13" s="147" t="str">
        <f>VLOOKUP(B13,'1) Report'!$B$11:$AM$141,17,FALSE)</f>
        <v>G</v>
      </c>
      <c r="S13" s="148" t="s">
        <v>89</v>
      </c>
      <c r="T13" s="150"/>
      <c r="U13" s="147" t="s">
        <v>91</v>
      </c>
      <c r="V13" s="147" t="s">
        <v>91</v>
      </c>
      <c r="W13" s="147" t="s">
        <v>91</v>
      </c>
      <c r="X13" s="147" t="s">
        <v>91</v>
      </c>
      <c r="Y13" s="147" t="s">
        <v>91</v>
      </c>
      <c r="Z13" s="147" t="str">
        <f>VLOOKUP(B13,'1) Report'!$B$11:$AM$141,38,FALSE)</f>
        <v>G</v>
      </c>
      <c r="AA13" s="148" t="s">
        <v>89</v>
      </c>
      <c r="AB13" s="151">
        <v>5.3277000000662156E-4</v>
      </c>
      <c r="AC13" s="151">
        <v>-3.7369999995462422E-4</v>
      </c>
      <c r="AD13" s="151">
        <v>-3.737600000022212E-4</v>
      </c>
      <c r="AE13" s="151">
        <v>-3.7373999998635554E-4</v>
      </c>
      <c r="AF13" s="151"/>
      <c r="AG13" s="151"/>
      <c r="AH13" s="152"/>
      <c r="AI13" s="153"/>
      <c r="AJ13" s="154">
        <v>0.1460496036503241</v>
      </c>
      <c r="AK13" s="155">
        <v>8.9582532511490245E-2</v>
      </c>
      <c r="AL13" s="146" t="s">
        <v>88</v>
      </c>
      <c r="AM13" s="154">
        <v>0.15350430311031482</v>
      </c>
      <c r="AN13" s="155">
        <v>9.2628586815100639E-2</v>
      </c>
      <c r="AO13" s="146" t="s">
        <v>88</v>
      </c>
      <c r="AP13" s="154">
        <v>0.16068193755967386</v>
      </c>
      <c r="AQ13" s="155">
        <v>9.5335749037178896E-2</v>
      </c>
      <c r="AR13" s="146" t="s">
        <v>88</v>
      </c>
      <c r="AS13" s="154">
        <v>0.15350430311031482</v>
      </c>
      <c r="AT13" s="155">
        <v>9.2628586815100639E-2</v>
      </c>
      <c r="AU13" s="146" t="s">
        <v>88</v>
      </c>
      <c r="AV13" s="154"/>
      <c r="AW13" s="155"/>
      <c r="AX13" s="146"/>
      <c r="AY13" s="154"/>
      <c r="AZ13" s="155"/>
      <c r="BA13" s="146"/>
      <c r="BC13" s="292" t="s">
        <v>366</v>
      </c>
    </row>
    <row r="14" spans="2:55" ht="16.5" customHeight="1" x14ac:dyDescent="0.4">
      <c r="B14" s="143" t="s">
        <v>114</v>
      </c>
      <c r="C14" s="156" t="s">
        <v>113</v>
      </c>
      <c r="D14" s="145"/>
      <c r="E14" s="147" t="s">
        <v>91</v>
      </c>
      <c r="F14" s="147" t="s">
        <v>91</v>
      </c>
      <c r="G14" s="147" t="s">
        <v>91</v>
      </c>
      <c r="H14" s="147" t="s">
        <v>91</v>
      </c>
      <c r="I14" s="147" t="s">
        <v>91</v>
      </c>
      <c r="J14" s="147" t="str">
        <f>VLOOKUP(B14,'1) Report'!$B$11:$AM$141,5,FALSE)</f>
        <v>G</v>
      </c>
      <c r="K14" s="148" t="s">
        <v>89</v>
      </c>
      <c r="L14" s="13"/>
      <c r="M14" s="146" t="s">
        <v>91</v>
      </c>
      <c r="N14" s="146" t="s">
        <v>91</v>
      </c>
      <c r="O14" s="147" t="s">
        <v>91</v>
      </c>
      <c r="P14" s="147" t="s">
        <v>91</v>
      </c>
      <c r="Q14" s="147" t="s">
        <v>91</v>
      </c>
      <c r="R14" s="147" t="str">
        <f>VLOOKUP(B14,'1) Report'!$B$11:$AM$141,17,FALSE)</f>
        <v>G</v>
      </c>
      <c r="S14" s="148" t="s">
        <v>89</v>
      </c>
      <c r="T14" s="150"/>
      <c r="U14" s="146" t="s">
        <v>91</v>
      </c>
      <c r="V14" s="146" t="s">
        <v>91</v>
      </c>
      <c r="W14" s="147" t="s">
        <v>91</v>
      </c>
      <c r="X14" s="147" t="s">
        <v>91</v>
      </c>
      <c r="Y14" s="147" t="s">
        <v>91</v>
      </c>
      <c r="Z14" s="147" t="str">
        <f>VLOOKUP(B14,'1) Report'!$B$11:$AM$141,38,FALSE)</f>
        <v>G</v>
      </c>
      <c r="AA14" s="148" t="s">
        <v>89</v>
      </c>
      <c r="AB14" s="151">
        <v>0</v>
      </c>
      <c r="AC14" s="151">
        <v>-1.2747799999942799E-2</v>
      </c>
      <c r="AD14" s="151">
        <v>-1.2747799999942799E-2</v>
      </c>
      <c r="AE14" s="151">
        <v>-1.2747799999942799E-2</v>
      </c>
      <c r="AF14" s="151"/>
      <c r="AG14" s="151"/>
      <c r="AH14" s="152"/>
      <c r="AI14" s="153"/>
      <c r="AJ14" s="154">
        <v>0.33610600638359606</v>
      </c>
      <c r="AK14" s="155">
        <v>0.29380780629606346</v>
      </c>
      <c r="AL14" s="146" t="s">
        <v>90</v>
      </c>
      <c r="AM14" s="154">
        <v>0.35264532353225647</v>
      </c>
      <c r="AN14" s="155">
        <v>0.30750412560160556</v>
      </c>
      <c r="AO14" s="146" t="s">
        <v>90</v>
      </c>
      <c r="AP14" s="154">
        <v>0.36880975881880707</v>
      </c>
      <c r="AQ14" s="155">
        <v>0.31881495466460968</v>
      </c>
      <c r="AR14" s="146" t="s">
        <v>90</v>
      </c>
      <c r="AS14" s="154">
        <v>0.35264532353225647</v>
      </c>
      <c r="AT14" s="155">
        <v>0.30750412560160556</v>
      </c>
      <c r="AU14" s="146" t="s">
        <v>90</v>
      </c>
      <c r="AV14" s="154"/>
      <c r="AW14" s="155"/>
      <c r="AX14" s="146"/>
      <c r="AY14" s="154"/>
      <c r="AZ14" s="155"/>
      <c r="BA14" s="146"/>
      <c r="BC14" s="292" t="s">
        <v>366</v>
      </c>
    </row>
    <row r="15" spans="2:55" s="173" customFormat="1" ht="16.5" customHeight="1" x14ac:dyDescent="0.4">
      <c r="B15" s="143" t="s">
        <v>172</v>
      </c>
      <c r="C15" s="144" t="s">
        <v>168</v>
      </c>
      <c r="D15" s="162"/>
      <c r="E15" s="146" t="s">
        <v>91</v>
      </c>
      <c r="F15" s="147" t="s">
        <v>91</v>
      </c>
      <c r="G15" s="147" t="s">
        <v>91</v>
      </c>
      <c r="H15" s="147" t="s">
        <v>91</v>
      </c>
      <c r="I15" s="147" t="s">
        <v>91</v>
      </c>
      <c r="J15" s="147" t="str">
        <f>VLOOKUP(B15,'1) Report'!$B$11:$AM$141,5,FALSE)</f>
        <v>G</v>
      </c>
      <c r="K15" s="148" t="s">
        <v>89</v>
      </c>
      <c r="L15" s="150"/>
      <c r="M15" s="146" t="s">
        <v>91</v>
      </c>
      <c r="N15" s="146" t="s">
        <v>91</v>
      </c>
      <c r="O15" s="147" t="s">
        <v>91</v>
      </c>
      <c r="P15" s="147" t="s">
        <v>91</v>
      </c>
      <c r="Q15" s="147" t="s">
        <v>91</v>
      </c>
      <c r="R15" s="147" t="str">
        <f>VLOOKUP(B15,'1) Report'!$B$11:$AM$141,17,FALSE)</f>
        <v>G</v>
      </c>
      <c r="S15" s="148" t="s">
        <v>89</v>
      </c>
      <c r="T15" s="13"/>
      <c r="U15" s="146" t="s">
        <v>91</v>
      </c>
      <c r="V15" s="146" t="s">
        <v>91</v>
      </c>
      <c r="W15" s="147" t="s">
        <v>91</v>
      </c>
      <c r="X15" s="147" t="s">
        <v>91</v>
      </c>
      <c r="Y15" s="147" t="s">
        <v>91</v>
      </c>
      <c r="Z15" s="147" t="str">
        <f>VLOOKUP(B15,'1) Report'!$B$11:$AM$141,38,FALSE)</f>
        <v>G</v>
      </c>
      <c r="AA15" s="148" t="s">
        <v>89</v>
      </c>
      <c r="AB15" s="151">
        <v>3.8878950000004409E-2</v>
      </c>
      <c r="AC15" s="151">
        <v>9.3020070000001454E-2</v>
      </c>
      <c r="AD15" s="151">
        <v>-0.10170008999999425</v>
      </c>
      <c r="AE15" s="158">
        <v>-1.3406006800000014</v>
      </c>
      <c r="AH15" s="152"/>
      <c r="AI15" s="15"/>
      <c r="AJ15" s="154">
        <v>0</v>
      </c>
      <c r="AK15" s="155">
        <v>0</v>
      </c>
      <c r="AL15" s="146" t="s">
        <v>164</v>
      </c>
      <c r="AM15" s="154">
        <v>0</v>
      </c>
      <c r="AN15" s="155">
        <v>0</v>
      </c>
      <c r="AO15" s="146" t="s">
        <v>164</v>
      </c>
      <c r="AP15" s="154">
        <v>0</v>
      </c>
      <c r="AQ15" s="155">
        <v>0</v>
      </c>
      <c r="AR15" s="146" t="s">
        <v>164</v>
      </c>
      <c r="AS15" s="154">
        <v>0</v>
      </c>
      <c r="AT15" s="155">
        <v>0</v>
      </c>
      <c r="AU15" s="146" t="s">
        <v>164</v>
      </c>
      <c r="AV15" s="154"/>
      <c r="AW15" s="155"/>
      <c r="AX15" s="146"/>
      <c r="AY15" s="154"/>
      <c r="AZ15" s="155"/>
      <c r="BA15" s="146"/>
      <c r="BC15" s="292" t="s">
        <v>366</v>
      </c>
    </row>
    <row r="16" spans="2:55" ht="16.5" customHeight="1" x14ac:dyDescent="0.4">
      <c r="B16" s="143" t="s">
        <v>110</v>
      </c>
      <c r="C16" s="144" t="s">
        <v>252</v>
      </c>
      <c r="D16" s="145"/>
      <c r="E16" s="147" t="s">
        <v>95</v>
      </c>
      <c r="F16" s="147" t="s">
        <v>95</v>
      </c>
      <c r="G16" s="147" t="s">
        <v>95</v>
      </c>
      <c r="H16" s="147" t="s">
        <v>95</v>
      </c>
      <c r="I16" s="147" t="s">
        <v>95</v>
      </c>
      <c r="J16" s="147" t="str">
        <f>VLOOKUP(B16,'1) Report'!$B$11:$AM$141,5,FALSE)</f>
        <v>N/A</v>
      </c>
      <c r="K16" s="148" t="s">
        <v>89</v>
      </c>
      <c r="L16" s="13"/>
      <c r="M16" s="146" t="s">
        <v>95</v>
      </c>
      <c r="N16" s="146" t="s">
        <v>95</v>
      </c>
      <c r="O16" s="146" t="s">
        <v>95</v>
      </c>
      <c r="P16" s="147" t="s">
        <v>95</v>
      </c>
      <c r="Q16" s="147" t="s">
        <v>95</v>
      </c>
      <c r="R16" s="147" t="str">
        <f>VLOOKUP(B16,'1) Report'!$B$11:$AM$141,17,FALSE)</f>
        <v>N/A</v>
      </c>
      <c r="S16" s="148" t="s">
        <v>89</v>
      </c>
      <c r="T16" s="150"/>
      <c r="U16" s="146" t="s">
        <v>91</v>
      </c>
      <c r="V16" s="146" t="s">
        <v>91</v>
      </c>
      <c r="W16" s="147" t="s">
        <v>91</v>
      </c>
      <c r="X16" s="147" t="s">
        <v>91</v>
      </c>
      <c r="Y16" s="147" t="s">
        <v>91</v>
      </c>
      <c r="Z16" s="147" t="str">
        <f>VLOOKUP(B16,'1) Report'!$B$11:$AM$141,38,FALSE)</f>
        <v>G</v>
      </c>
      <c r="AA16" s="148" t="s">
        <v>89</v>
      </c>
      <c r="AB16" s="151">
        <v>-1.0146400000223821E-3</v>
      </c>
      <c r="AC16" s="151">
        <v>-3.2037300000013147E-2</v>
      </c>
      <c r="AD16" s="151">
        <v>-6.1355630000008432E-2</v>
      </c>
      <c r="AE16" s="151">
        <v>-7.0266559999993206E-2</v>
      </c>
      <c r="AF16" s="151"/>
      <c r="AG16" s="151"/>
      <c r="AH16" s="152"/>
      <c r="AI16" s="153"/>
      <c r="AJ16" s="154">
        <v>0.3771839614790593</v>
      </c>
      <c r="AK16" s="155">
        <v>7.8658801462114111E-2</v>
      </c>
      <c r="AL16" s="146" t="s">
        <v>88</v>
      </c>
      <c r="AM16" s="154">
        <v>0.4069670818841431</v>
      </c>
      <c r="AN16" s="155">
        <v>7.8658801462114111E-2</v>
      </c>
      <c r="AO16" s="146" t="s">
        <v>88</v>
      </c>
      <c r="AP16" s="154">
        <v>0.43473110297988621</v>
      </c>
      <c r="AQ16" s="155">
        <v>7.8658802258626759E-2</v>
      </c>
      <c r="AR16" s="146" t="s">
        <v>88</v>
      </c>
      <c r="AS16" s="154">
        <v>0.4069670818841431</v>
      </c>
      <c r="AT16" s="155">
        <v>7.8658801462114111E-2</v>
      </c>
      <c r="AU16" s="146" t="s">
        <v>88</v>
      </c>
      <c r="AV16" s="154"/>
      <c r="AW16" s="155"/>
      <c r="AX16" s="146"/>
      <c r="AY16" s="154"/>
      <c r="AZ16" s="155"/>
      <c r="BA16" s="146"/>
      <c r="BC16" s="292" t="s">
        <v>367</v>
      </c>
    </row>
    <row r="17" spans="2:55" s="198" customFormat="1" ht="3" customHeight="1" thickBot="1" x14ac:dyDescent="0.45">
      <c r="B17" s="207"/>
      <c r="C17" s="208"/>
      <c r="D17" s="209"/>
      <c r="E17" s="159"/>
      <c r="F17" s="159"/>
      <c r="G17" s="159"/>
      <c r="H17" s="159"/>
      <c r="I17" s="159"/>
      <c r="J17" s="159"/>
      <c r="K17" s="210"/>
      <c r="L17" s="211"/>
      <c r="M17" s="159"/>
      <c r="N17" s="159"/>
      <c r="O17" s="159"/>
      <c r="P17" s="159"/>
      <c r="Q17" s="159"/>
      <c r="R17" s="147" t="e">
        <f>VLOOKUP(B17,'1) Report'!$B$11:$AM$141,17,FALSE)</f>
        <v>#N/A</v>
      </c>
      <c r="S17" s="210"/>
      <c r="T17" s="212"/>
      <c r="U17" s="159"/>
      <c r="V17" s="159"/>
      <c r="W17" s="159"/>
      <c r="X17" s="159"/>
      <c r="Y17" s="159"/>
      <c r="Z17" s="159"/>
      <c r="AA17" s="210"/>
      <c r="AB17" s="160"/>
      <c r="AC17" s="160"/>
      <c r="AD17" s="160"/>
      <c r="AE17" s="160"/>
      <c r="AH17" s="160"/>
      <c r="AI17" s="213"/>
      <c r="AJ17" s="214"/>
      <c r="AK17" s="214"/>
      <c r="AL17" s="159"/>
      <c r="AM17" s="214"/>
      <c r="AN17" s="214"/>
      <c r="AO17" s="159"/>
      <c r="AP17" s="214"/>
      <c r="AQ17" s="214"/>
      <c r="AR17" s="159"/>
      <c r="AS17" s="214"/>
      <c r="AT17" s="214"/>
      <c r="AU17" s="159"/>
      <c r="AV17" s="214"/>
      <c r="AW17" s="214"/>
      <c r="AX17" s="159"/>
      <c r="AY17" s="214"/>
      <c r="AZ17" s="214"/>
      <c r="BA17" s="159"/>
    </row>
    <row r="18" spans="2:55" ht="16.5" customHeight="1" thickBot="1" x14ac:dyDescent="0.45">
      <c r="B18" s="848" t="s">
        <v>194</v>
      </c>
      <c r="C18" s="849"/>
      <c r="D18" s="849"/>
      <c r="E18" s="849"/>
      <c r="F18" s="849"/>
      <c r="G18" s="849"/>
      <c r="H18" s="849"/>
      <c r="I18" s="849"/>
      <c r="J18" s="849"/>
      <c r="K18" s="849"/>
      <c r="L18" s="849"/>
      <c r="M18" s="849"/>
      <c r="N18" s="849"/>
      <c r="O18" s="849"/>
      <c r="P18" s="849"/>
      <c r="Q18" s="849"/>
      <c r="R18" s="849"/>
      <c r="S18" s="849"/>
      <c r="T18" s="849"/>
      <c r="U18" s="849"/>
      <c r="V18" s="849"/>
      <c r="W18" s="849"/>
      <c r="X18" s="849"/>
      <c r="Y18" s="849"/>
      <c r="Z18" s="849"/>
      <c r="AA18" s="850"/>
      <c r="AB18" s="134"/>
      <c r="AC18" s="134"/>
      <c r="AD18" s="134"/>
      <c r="AE18" s="134"/>
      <c r="AF18" s="134"/>
      <c r="AG18" s="134"/>
      <c r="AH18" s="134"/>
      <c r="AI18" s="134"/>
      <c r="AJ18" s="134"/>
      <c r="AK18" s="134"/>
      <c r="AL18" s="134"/>
      <c r="AM18" s="134"/>
      <c r="AN18" s="134"/>
      <c r="AO18" s="134"/>
      <c r="AP18" s="134"/>
      <c r="AQ18" s="134"/>
      <c r="AR18" s="134"/>
      <c r="AS18" s="134"/>
      <c r="AT18" s="134"/>
      <c r="AU18" s="134"/>
      <c r="AV18" s="134"/>
      <c r="AW18" s="134"/>
      <c r="AX18" s="134"/>
      <c r="AY18" s="134"/>
      <c r="AZ18" s="134"/>
      <c r="BA18" s="135"/>
      <c r="BC18" s="198" t="s">
        <v>368</v>
      </c>
    </row>
    <row r="19" spans="2:55" ht="3" customHeight="1" x14ac:dyDescent="0.4">
      <c r="B19" s="161"/>
      <c r="C19" s="161"/>
      <c r="D19" s="161"/>
      <c r="E19" s="161"/>
      <c r="F19" s="161"/>
      <c r="G19" s="161"/>
      <c r="H19" s="161"/>
      <c r="I19" s="161"/>
      <c r="J19" s="161"/>
      <c r="K19" s="161"/>
      <c r="L19" s="161"/>
      <c r="M19" s="161"/>
      <c r="N19" s="161"/>
      <c r="O19" s="161"/>
      <c r="P19" s="161"/>
      <c r="Q19" s="161"/>
      <c r="R19" s="161"/>
      <c r="S19" s="161"/>
      <c r="T19" s="161"/>
      <c r="U19" s="161"/>
      <c r="V19" s="161"/>
      <c r="W19" s="161"/>
      <c r="X19" s="161"/>
      <c r="Y19" s="161"/>
      <c r="Z19" s="161"/>
      <c r="AA19" s="161"/>
      <c r="AB19" s="161"/>
      <c r="AC19" s="161"/>
      <c r="AD19" s="161"/>
      <c r="AE19" s="161"/>
      <c r="AF19" s="161"/>
      <c r="AG19" s="161"/>
      <c r="AH19" s="161"/>
      <c r="AI19" s="161"/>
      <c r="AJ19" s="161"/>
      <c r="AK19" s="161"/>
      <c r="AL19" s="161"/>
      <c r="AM19" s="161"/>
      <c r="AN19" s="161"/>
      <c r="AO19" s="161"/>
      <c r="AP19" s="161"/>
      <c r="AQ19" s="161"/>
      <c r="AR19" s="161"/>
      <c r="AS19" s="161"/>
      <c r="AT19" s="161"/>
      <c r="AU19" s="161"/>
      <c r="AV19" s="161"/>
      <c r="AW19" s="161"/>
      <c r="AX19" s="161"/>
      <c r="AY19" s="161"/>
      <c r="AZ19" s="161"/>
    </row>
    <row r="20" spans="2:55" ht="16.5" customHeight="1" x14ac:dyDescent="0.4">
      <c r="B20" s="143" t="s">
        <v>296</v>
      </c>
      <c r="C20" s="144" t="s">
        <v>291</v>
      </c>
      <c r="D20" s="162"/>
      <c r="E20" s="147" t="s">
        <v>95</v>
      </c>
      <c r="F20" s="147" t="s">
        <v>95</v>
      </c>
      <c r="G20" s="147" t="s">
        <v>95</v>
      </c>
      <c r="H20" s="147" t="s">
        <v>95</v>
      </c>
      <c r="I20" s="147" t="s">
        <v>95</v>
      </c>
      <c r="J20" s="147" t="str">
        <f>VLOOKUP(B20,'1) Report'!$B$17:$AM$141,5,FALSE)</f>
        <v>N/A</v>
      </c>
      <c r="K20" s="148" t="s">
        <v>89</v>
      </c>
      <c r="L20" s="150"/>
      <c r="M20" s="147" t="s">
        <v>95</v>
      </c>
      <c r="N20" s="147" t="s">
        <v>91</v>
      </c>
      <c r="O20" s="147" t="s">
        <v>91</v>
      </c>
      <c r="P20" s="147" t="s">
        <v>91</v>
      </c>
      <c r="Q20" s="147" t="s">
        <v>91</v>
      </c>
      <c r="R20" s="147" t="str">
        <f>VLOOKUP(B20,'1) Report'!$B$11:$AM$141,17,FALSE)</f>
        <v>G</v>
      </c>
      <c r="S20" s="148" t="s">
        <v>89</v>
      </c>
      <c r="T20" s="13"/>
      <c r="U20" s="147" t="s">
        <v>95</v>
      </c>
      <c r="V20" s="147" t="s">
        <v>91</v>
      </c>
      <c r="W20" s="147" t="s">
        <v>91</v>
      </c>
      <c r="X20" s="147" t="s">
        <v>91</v>
      </c>
      <c r="Y20" s="147" t="s">
        <v>91</v>
      </c>
      <c r="Z20" s="147" t="str">
        <f>VLOOKUP(B20,'1) Report'!$B$11:$AM$141,38,FALSE)</f>
        <v>G</v>
      </c>
      <c r="AA20" s="148" t="s">
        <v>89</v>
      </c>
      <c r="AB20" s="151">
        <v>0</v>
      </c>
      <c r="AC20" s="151">
        <v>3.9657300000008888E-3</v>
      </c>
      <c r="AD20" s="151">
        <v>2.8776799999974401E-3</v>
      </c>
      <c r="AE20" s="151">
        <v>3.7038000000002569E-3</v>
      </c>
      <c r="AH20" s="152"/>
      <c r="AI20" s="15"/>
      <c r="AJ20" s="154">
        <v>0</v>
      </c>
      <c r="AK20" s="155">
        <v>0</v>
      </c>
      <c r="AL20" s="155"/>
      <c r="AM20" s="154">
        <v>0</v>
      </c>
      <c r="AN20" s="155">
        <v>0</v>
      </c>
      <c r="AO20" s="155"/>
      <c r="AP20" s="154">
        <v>0</v>
      </c>
      <c r="AQ20" s="155">
        <v>0</v>
      </c>
      <c r="AR20" s="155"/>
      <c r="AS20" s="154">
        <v>0</v>
      </c>
      <c r="AT20" s="155">
        <v>0</v>
      </c>
      <c r="AU20" s="155"/>
      <c r="AV20" s="154"/>
      <c r="AW20" s="155"/>
      <c r="AX20" s="155"/>
      <c r="AY20" s="154"/>
      <c r="AZ20" s="155"/>
      <c r="BC20" s="292" t="s">
        <v>367</v>
      </c>
    </row>
    <row r="21" spans="2:55" ht="3" customHeight="1" thickBot="1" x14ac:dyDescent="0.45">
      <c r="C21" s="123"/>
      <c r="K21" s="15"/>
      <c r="M21" s="163"/>
      <c r="N21" s="163"/>
      <c r="O21" s="163"/>
      <c r="P21" s="163"/>
      <c r="Q21" s="163"/>
      <c r="R21" s="163"/>
      <c r="S21" s="163"/>
      <c r="AH21" s="122"/>
    </row>
    <row r="22" spans="2:55" ht="16.5" customHeight="1" thickBot="1" x14ac:dyDescent="0.45">
      <c r="B22" s="848" t="s">
        <v>495</v>
      </c>
      <c r="C22" s="849"/>
      <c r="D22" s="849"/>
      <c r="E22" s="849"/>
      <c r="F22" s="849"/>
      <c r="G22" s="849"/>
      <c r="H22" s="849"/>
      <c r="I22" s="849"/>
      <c r="J22" s="849"/>
      <c r="K22" s="849"/>
      <c r="L22" s="849"/>
      <c r="M22" s="849"/>
      <c r="N22" s="849"/>
      <c r="O22" s="849"/>
      <c r="P22" s="849"/>
      <c r="Q22" s="849"/>
      <c r="R22" s="849"/>
      <c r="S22" s="849"/>
      <c r="T22" s="849"/>
      <c r="U22" s="849"/>
      <c r="V22" s="849"/>
      <c r="W22" s="849"/>
      <c r="X22" s="849"/>
      <c r="Y22" s="849"/>
      <c r="Z22" s="849"/>
      <c r="AA22" s="850"/>
      <c r="AB22" s="134"/>
      <c r="AC22" s="134"/>
      <c r="AD22" s="134"/>
      <c r="AE22" s="134"/>
      <c r="AF22" s="134"/>
      <c r="AG22" s="134"/>
      <c r="AH22" s="134"/>
      <c r="AI22" s="134"/>
      <c r="AJ22" s="134"/>
      <c r="AK22" s="134"/>
      <c r="AL22" s="134"/>
      <c r="AM22" s="134"/>
      <c r="AN22" s="134"/>
      <c r="AO22" s="134"/>
      <c r="AP22" s="134"/>
      <c r="AQ22" s="134"/>
      <c r="AR22" s="134"/>
      <c r="AS22" s="134"/>
      <c r="AT22" s="134"/>
      <c r="AU22" s="134"/>
      <c r="AV22" s="134"/>
      <c r="AW22" s="134"/>
      <c r="AX22" s="134"/>
      <c r="AY22" s="134"/>
      <c r="AZ22" s="134"/>
      <c r="BA22" s="135"/>
      <c r="BC22" s="91" t="s">
        <v>368</v>
      </c>
    </row>
    <row r="23" spans="2:55" ht="3" customHeight="1" x14ac:dyDescent="0.4">
      <c r="C23" s="123"/>
      <c r="K23" s="15"/>
      <c r="AH23" s="122"/>
    </row>
    <row r="24" spans="2:55" ht="16.5" customHeight="1" x14ac:dyDescent="0.4">
      <c r="B24" s="143" t="str">
        <f>'1) Report'!B54</f>
        <v>35/10188</v>
      </c>
      <c r="C24" s="144" t="str">
        <f>'1) Report'!C54</f>
        <v>THORP Receipt &amp; Storage Control Systems Replacement</v>
      </c>
      <c r="D24" s="162"/>
      <c r="E24" s="147" t="s">
        <v>88</v>
      </c>
      <c r="F24" s="147" t="s">
        <v>88</v>
      </c>
      <c r="G24" s="147" t="s">
        <v>88</v>
      </c>
      <c r="H24" s="147" t="s">
        <v>88</v>
      </c>
      <c r="I24" s="147" t="s">
        <v>88</v>
      </c>
      <c r="J24" s="147" t="str">
        <f>VLOOKUP(B24,'1) Report'!$B$11:$AM$141,5,FALSE)</f>
        <v>R</v>
      </c>
      <c r="K24" s="148" t="s">
        <v>89</v>
      </c>
      <c r="L24" s="150"/>
      <c r="M24" s="147" t="s">
        <v>88</v>
      </c>
      <c r="N24" s="147" t="s">
        <v>88</v>
      </c>
      <c r="O24" s="147" t="s">
        <v>88</v>
      </c>
      <c r="P24" s="147" t="s">
        <v>88</v>
      </c>
      <c r="Q24" s="147" t="s">
        <v>88</v>
      </c>
      <c r="R24" s="147" t="str">
        <f>VLOOKUP(B24,'1) Report'!$B$11:$AM$141,17,FALSE)</f>
        <v>R</v>
      </c>
      <c r="S24" s="148" t="s">
        <v>89</v>
      </c>
      <c r="T24" s="13"/>
      <c r="U24" s="147" t="s">
        <v>91</v>
      </c>
      <c r="V24" s="147" t="s">
        <v>91</v>
      </c>
      <c r="W24" s="147" t="s">
        <v>91</v>
      </c>
      <c r="X24" s="147" t="s">
        <v>91</v>
      </c>
      <c r="Y24" s="147" t="s">
        <v>91</v>
      </c>
      <c r="Z24" s="147" t="str">
        <f>VLOOKUP(B24,'1) Report'!$B$11:$AM$141,38,FALSE)</f>
        <v>G</v>
      </c>
      <c r="AA24" s="148" t="s">
        <v>89</v>
      </c>
      <c r="AB24" s="151">
        <v>1.5743019999945318E-2</v>
      </c>
      <c r="AC24" s="151">
        <v>-1.3569610000047305E-2</v>
      </c>
      <c r="AD24" s="151">
        <v>8.5258600000202023E-3</v>
      </c>
      <c r="AE24" s="158">
        <v>20.918595150000044</v>
      </c>
      <c r="AH24" s="152"/>
      <c r="AI24" s="15"/>
      <c r="AJ24" s="154">
        <v>0.56592307563203426</v>
      </c>
      <c r="AK24" s="155">
        <v>0.46078619913117341</v>
      </c>
      <c r="AL24" s="146" t="s">
        <v>88</v>
      </c>
      <c r="AM24" s="154">
        <v>0.58204959191595784</v>
      </c>
      <c r="AN24" s="155">
        <v>0.47003875935461925</v>
      </c>
      <c r="AO24" s="146" t="s">
        <v>88</v>
      </c>
      <c r="AP24" s="154">
        <v>0.60051691824487552</v>
      </c>
      <c r="AQ24" s="155">
        <v>0.47683409225676476</v>
      </c>
      <c r="AR24" s="146" t="s">
        <v>88</v>
      </c>
      <c r="AS24" s="154">
        <v>0.58204959191595784</v>
      </c>
      <c r="AT24" s="155">
        <v>0.47003875935461925</v>
      </c>
      <c r="AU24" s="146" t="s">
        <v>88</v>
      </c>
      <c r="AV24" s="154"/>
      <c r="AW24" s="155"/>
      <c r="AX24" s="146"/>
      <c r="AY24" s="154"/>
      <c r="AZ24" s="155"/>
      <c r="BA24" s="146"/>
      <c r="BC24" s="292" t="s">
        <v>367</v>
      </c>
    </row>
    <row r="25" spans="2:55" s="229" customFormat="1" ht="16.5" customHeight="1" x14ac:dyDescent="0.4">
      <c r="B25" s="143" t="s">
        <v>116</v>
      </c>
      <c r="C25" s="157" t="s">
        <v>115</v>
      </c>
      <c r="D25" s="162"/>
      <c r="E25" s="147" t="s">
        <v>90</v>
      </c>
      <c r="F25" s="147" t="s">
        <v>90</v>
      </c>
      <c r="G25" s="147" t="s">
        <v>90</v>
      </c>
      <c r="H25" s="147" t="s">
        <v>90</v>
      </c>
      <c r="I25" s="147" t="s">
        <v>90</v>
      </c>
      <c r="J25" s="147" t="str">
        <f>VLOOKUP(B25,'1) Report'!$B$11:$AM$141,5,FALSE)</f>
        <v>A</v>
      </c>
      <c r="K25" s="148" t="s">
        <v>89</v>
      </c>
      <c r="L25" s="150"/>
      <c r="M25" s="147" t="s">
        <v>90</v>
      </c>
      <c r="N25" s="147" t="s">
        <v>90</v>
      </c>
      <c r="O25" s="147" t="s">
        <v>90</v>
      </c>
      <c r="P25" s="147" t="s">
        <v>90</v>
      </c>
      <c r="Q25" s="147" t="s">
        <v>90</v>
      </c>
      <c r="R25" s="147" t="str">
        <f>VLOOKUP(B25,'1) Report'!$B$11:$AM$141,17,FALSE)</f>
        <v>A</v>
      </c>
      <c r="S25" s="148" t="s">
        <v>89</v>
      </c>
      <c r="T25" s="13"/>
      <c r="U25" s="147" t="s">
        <v>90</v>
      </c>
      <c r="V25" s="147" t="s">
        <v>90</v>
      </c>
      <c r="W25" s="147" t="s">
        <v>90</v>
      </c>
      <c r="X25" s="147" t="s">
        <v>90</v>
      </c>
      <c r="Y25" s="147" t="s">
        <v>90</v>
      </c>
      <c r="Z25" s="147" t="str">
        <f>VLOOKUP(B25,'1) Report'!$B$11:$AM$141,38,FALSE)</f>
        <v>A</v>
      </c>
      <c r="AA25" s="148" t="s">
        <v>89</v>
      </c>
      <c r="AB25" s="151">
        <v>1.5743019999945318E-2</v>
      </c>
      <c r="AC25" s="151">
        <v>-1.3569610000047305E-2</v>
      </c>
      <c r="AD25" s="151">
        <v>8.5258600000202023E-3</v>
      </c>
      <c r="AE25" s="158">
        <v>20.918595150000044</v>
      </c>
      <c r="AH25" s="152"/>
      <c r="AI25" s="15"/>
      <c r="AJ25" s="154">
        <v>0.56592307563203426</v>
      </c>
      <c r="AK25" s="155">
        <v>0.46078619913117341</v>
      </c>
      <c r="AL25" s="146" t="s">
        <v>88</v>
      </c>
      <c r="AM25" s="154">
        <v>0.58204959191595784</v>
      </c>
      <c r="AN25" s="155">
        <v>0.47003875935461925</v>
      </c>
      <c r="AO25" s="146" t="s">
        <v>88</v>
      </c>
      <c r="AP25" s="154">
        <v>0.60051691824487552</v>
      </c>
      <c r="AQ25" s="155">
        <v>0.47683409225676476</v>
      </c>
      <c r="AR25" s="146" t="s">
        <v>88</v>
      </c>
      <c r="AS25" s="154">
        <v>0.58204959191595784</v>
      </c>
      <c r="AT25" s="155">
        <v>0.47003875935461925</v>
      </c>
      <c r="AU25" s="146" t="s">
        <v>88</v>
      </c>
      <c r="AV25" s="154"/>
      <c r="AW25" s="155"/>
      <c r="AX25" s="146"/>
      <c r="AY25" s="154"/>
      <c r="AZ25" s="155"/>
      <c r="BA25" s="146"/>
      <c r="BC25" s="292" t="s">
        <v>366</v>
      </c>
    </row>
    <row r="26" spans="2:55" s="293" customFormat="1" ht="16.5" customHeight="1" x14ac:dyDescent="0.4">
      <c r="B26" s="143" t="s">
        <v>353</v>
      </c>
      <c r="C26" s="144" t="s">
        <v>354</v>
      </c>
      <c r="D26" s="145"/>
      <c r="E26" s="147" t="s">
        <v>91</v>
      </c>
      <c r="F26" s="147" t="s">
        <v>91</v>
      </c>
      <c r="G26" s="147" t="s">
        <v>91</v>
      </c>
      <c r="H26" s="147" t="s">
        <v>91</v>
      </c>
      <c r="I26" s="147" t="s">
        <v>90</v>
      </c>
      <c r="J26" s="147" t="str">
        <f>VLOOKUP(B26,'1) Report'!$B$11:$AM$141,5,FALSE)</f>
        <v>A</v>
      </c>
      <c r="K26" s="148" t="s">
        <v>89</v>
      </c>
      <c r="L26" s="266"/>
      <c r="M26" s="147" t="s">
        <v>91</v>
      </c>
      <c r="N26" s="147" t="s">
        <v>91</v>
      </c>
      <c r="O26" s="147" t="s">
        <v>91</v>
      </c>
      <c r="P26" s="147" t="s">
        <v>91</v>
      </c>
      <c r="Q26" s="147" t="s">
        <v>91</v>
      </c>
      <c r="R26" s="147" t="str">
        <f>VLOOKUP(B26,'1) Report'!$B$11:$AM$141,17,FALSE)</f>
        <v>A</v>
      </c>
      <c r="S26" s="148" t="s">
        <v>555</v>
      </c>
      <c r="T26" s="150"/>
      <c r="U26" s="147" t="s">
        <v>91</v>
      </c>
      <c r="V26" s="147" t="s">
        <v>91</v>
      </c>
      <c r="W26" s="147" t="s">
        <v>91</v>
      </c>
      <c r="X26" s="147" t="s">
        <v>91</v>
      </c>
      <c r="Y26" s="147" t="s">
        <v>90</v>
      </c>
      <c r="Z26" s="147" t="str">
        <f>VLOOKUP(B26,'1) Report'!$B$11:$AM$141,38,FALSE)</f>
        <v>A</v>
      </c>
      <c r="AA26" s="148" t="s">
        <v>89</v>
      </c>
      <c r="AB26" s="233"/>
      <c r="AC26" s="233"/>
      <c r="AD26" s="233"/>
      <c r="AE26" s="295"/>
      <c r="AH26" s="234"/>
      <c r="AI26" s="267"/>
      <c r="AJ26" s="235"/>
      <c r="AK26" s="236"/>
      <c r="AL26" s="231"/>
      <c r="AM26" s="235"/>
      <c r="AN26" s="236"/>
      <c r="AO26" s="231"/>
      <c r="AP26" s="235"/>
      <c r="AQ26" s="236"/>
      <c r="AR26" s="231"/>
      <c r="AS26" s="235"/>
      <c r="AT26" s="236"/>
      <c r="AU26" s="231"/>
      <c r="AV26" s="235"/>
      <c r="AW26" s="236"/>
      <c r="AX26" s="231"/>
      <c r="AY26" s="235"/>
      <c r="AZ26" s="236"/>
      <c r="BA26" s="231"/>
      <c r="BC26" s="294" t="s">
        <v>367</v>
      </c>
    </row>
    <row r="27" spans="2:55" s="293" customFormat="1" ht="16.5" customHeight="1" x14ac:dyDescent="0.4">
      <c r="B27" s="143" t="s">
        <v>343</v>
      </c>
      <c r="C27" s="144" t="s">
        <v>344</v>
      </c>
      <c r="D27" s="145"/>
      <c r="E27" s="147" t="s">
        <v>91</v>
      </c>
      <c r="F27" s="147" t="s">
        <v>91</v>
      </c>
      <c r="G27" s="147" t="s">
        <v>91</v>
      </c>
      <c r="H27" s="147" t="s">
        <v>91</v>
      </c>
      <c r="I27" s="147" t="s">
        <v>91</v>
      </c>
      <c r="J27" s="147" t="str">
        <f>VLOOKUP(B27,'1) Report'!$B$11:$AM$141,5,FALSE)</f>
        <v>G</v>
      </c>
      <c r="K27" s="148" t="s">
        <v>89</v>
      </c>
      <c r="L27" s="266"/>
      <c r="M27" s="147" t="s">
        <v>90</v>
      </c>
      <c r="N27" s="147" t="s">
        <v>90</v>
      </c>
      <c r="O27" s="147" t="s">
        <v>90</v>
      </c>
      <c r="P27" s="147" t="s">
        <v>90</v>
      </c>
      <c r="Q27" s="147" t="s">
        <v>90</v>
      </c>
      <c r="R27" s="147" t="str">
        <f>VLOOKUP(B27,'1) Report'!$B$11:$AM$141,17,FALSE)</f>
        <v>A</v>
      </c>
      <c r="S27" s="148" t="s">
        <v>89</v>
      </c>
      <c r="T27" s="150"/>
      <c r="U27" s="147" t="s">
        <v>90</v>
      </c>
      <c r="V27" s="147" t="s">
        <v>90</v>
      </c>
      <c r="W27" s="147" t="s">
        <v>90</v>
      </c>
      <c r="X27" s="147" t="s">
        <v>90</v>
      </c>
      <c r="Y27" s="147" t="s">
        <v>90</v>
      </c>
      <c r="Z27" s="147" t="str">
        <f>VLOOKUP(B27,'1) Report'!$B$11:$AM$141,38,FALSE)</f>
        <v>A</v>
      </c>
      <c r="AA27" s="148" t="s">
        <v>89</v>
      </c>
      <c r="AB27" s="233"/>
      <c r="AC27" s="233"/>
      <c r="AD27" s="233"/>
      <c r="AE27" s="295"/>
      <c r="AH27" s="234"/>
      <c r="AI27" s="267"/>
      <c r="AJ27" s="235"/>
      <c r="AK27" s="236"/>
      <c r="AL27" s="231"/>
      <c r="AM27" s="235"/>
      <c r="AN27" s="236"/>
      <c r="AO27" s="231"/>
      <c r="AP27" s="235"/>
      <c r="AQ27" s="236"/>
      <c r="AR27" s="231"/>
      <c r="AS27" s="235"/>
      <c r="AT27" s="236"/>
      <c r="AU27" s="231"/>
      <c r="AV27" s="235"/>
      <c r="AW27" s="236"/>
      <c r="AX27" s="231"/>
      <c r="AY27" s="235"/>
      <c r="AZ27" s="236"/>
      <c r="BA27" s="231"/>
      <c r="BC27" s="294" t="s">
        <v>367</v>
      </c>
    </row>
    <row r="28" spans="2:55" s="293" customFormat="1" ht="16.5" customHeight="1" x14ac:dyDescent="0.4">
      <c r="B28" s="143" t="s">
        <v>345</v>
      </c>
      <c r="C28" s="144" t="s">
        <v>346</v>
      </c>
      <c r="D28" s="145"/>
      <c r="E28" s="147" t="s">
        <v>90</v>
      </c>
      <c r="F28" s="147" t="s">
        <v>90</v>
      </c>
      <c r="G28" s="147" t="s">
        <v>90</v>
      </c>
      <c r="H28" s="147" t="s">
        <v>90</v>
      </c>
      <c r="I28" s="147" t="s">
        <v>90</v>
      </c>
      <c r="J28" s="147" t="str">
        <f>VLOOKUP(B28,'1) Report'!$B$11:$AM$141,5,FALSE)</f>
        <v>G</v>
      </c>
      <c r="K28" s="148" t="s">
        <v>556</v>
      </c>
      <c r="L28" s="266"/>
      <c r="M28" s="147" t="s">
        <v>90</v>
      </c>
      <c r="N28" s="147" t="s">
        <v>90</v>
      </c>
      <c r="O28" s="147" t="s">
        <v>90</v>
      </c>
      <c r="P28" s="147" t="s">
        <v>90</v>
      </c>
      <c r="Q28" s="147" t="s">
        <v>90</v>
      </c>
      <c r="R28" s="147" t="str">
        <f>VLOOKUP(B28,'1) Report'!$B$11:$AM$141,17,FALSE)</f>
        <v>G</v>
      </c>
      <c r="S28" s="148" t="s">
        <v>556</v>
      </c>
      <c r="T28" s="150"/>
      <c r="U28" s="147" t="s">
        <v>91</v>
      </c>
      <c r="V28" s="147" t="s">
        <v>91</v>
      </c>
      <c r="W28" s="147" t="s">
        <v>91</v>
      </c>
      <c r="X28" s="147" t="s">
        <v>91</v>
      </c>
      <c r="Y28" s="147" t="s">
        <v>91</v>
      </c>
      <c r="Z28" s="147" t="str">
        <f>VLOOKUP(B28,'1) Report'!$B$11:$AM$141,38,FALSE)</f>
        <v>G</v>
      </c>
      <c r="AA28" s="148" t="s">
        <v>89</v>
      </c>
      <c r="AB28" s="233"/>
      <c r="AC28" s="233"/>
      <c r="AD28" s="233"/>
      <c r="AE28" s="295"/>
      <c r="AH28" s="234"/>
      <c r="AI28" s="267"/>
      <c r="AJ28" s="235"/>
      <c r="AK28" s="236"/>
      <c r="AL28" s="231"/>
      <c r="AM28" s="235"/>
      <c r="AN28" s="236"/>
      <c r="AO28" s="231"/>
      <c r="AP28" s="235"/>
      <c r="AQ28" s="236"/>
      <c r="AR28" s="231"/>
      <c r="AS28" s="235"/>
      <c r="AT28" s="236"/>
      <c r="AU28" s="231"/>
      <c r="AV28" s="235"/>
      <c r="AW28" s="236"/>
      <c r="AX28" s="231"/>
      <c r="AY28" s="235"/>
      <c r="AZ28" s="236"/>
      <c r="BA28" s="231"/>
      <c r="BC28" s="294" t="s">
        <v>367</v>
      </c>
    </row>
    <row r="29" spans="2:55" s="293" customFormat="1" ht="16.5" customHeight="1" x14ac:dyDescent="0.4">
      <c r="B29" s="143" t="s">
        <v>347</v>
      </c>
      <c r="C29" s="144" t="s">
        <v>348</v>
      </c>
      <c r="D29" s="145"/>
      <c r="E29" s="147" t="s">
        <v>91</v>
      </c>
      <c r="F29" s="147" t="s">
        <v>91</v>
      </c>
      <c r="G29" s="147" t="s">
        <v>91</v>
      </c>
      <c r="H29" s="147" t="s">
        <v>91</v>
      </c>
      <c r="I29" s="147" t="s">
        <v>91</v>
      </c>
      <c r="J29" s="147" t="str">
        <f>VLOOKUP(B29,'1) Report'!$B$11:$AM$141,5,FALSE)</f>
        <v>G</v>
      </c>
      <c r="K29" s="148" t="s">
        <v>89</v>
      </c>
      <c r="L29" s="266"/>
      <c r="M29" s="147" t="s">
        <v>91</v>
      </c>
      <c r="N29" s="147" t="s">
        <v>91</v>
      </c>
      <c r="O29" s="147" t="s">
        <v>91</v>
      </c>
      <c r="P29" s="147" t="s">
        <v>91</v>
      </c>
      <c r="Q29" s="147" t="s">
        <v>91</v>
      </c>
      <c r="R29" s="147" t="str">
        <f>VLOOKUP(B29,'1) Report'!$B$11:$AM$141,17,FALSE)</f>
        <v>G</v>
      </c>
      <c r="S29" s="148" t="s">
        <v>89</v>
      </c>
      <c r="T29" s="150"/>
      <c r="U29" s="147" t="s">
        <v>90</v>
      </c>
      <c r="V29" s="147" t="s">
        <v>90</v>
      </c>
      <c r="W29" s="147" t="s">
        <v>90</v>
      </c>
      <c r="X29" s="147" t="s">
        <v>88</v>
      </c>
      <c r="Y29" s="147" t="s">
        <v>90</v>
      </c>
      <c r="Z29" s="147" t="str">
        <f>VLOOKUP(B29,'1) Report'!$B$11:$AM$141,38,FALSE)</f>
        <v>A</v>
      </c>
      <c r="AA29" s="148" t="s">
        <v>89</v>
      </c>
      <c r="AB29" s="233"/>
      <c r="AC29" s="233"/>
      <c r="AD29" s="233"/>
      <c r="AE29" s="295"/>
      <c r="AH29" s="234"/>
      <c r="AI29" s="267"/>
      <c r="AJ29" s="235"/>
      <c r="AK29" s="236"/>
      <c r="AL29" s="231"/>
      <c r="AM29" s="235"/>
      <c r="AN29" s="236"/>
      <c r="AO29" s="231"/>
      <c r="AP29" s="235"/>
      <c r="AQ29" s="236"/>
      <c r="AR29" s="231"/>
      <c r="AS29" s="235"/>
      <c r="AT29" s="236"/>
      <c r="AU29" s="231"/>
      <c r="AV29" s="235"/>
      <c r="AW29" s="236"/>
      <c r="AX29" s="231"/>
      <c r="AY29" s="235"/>
      <c r="AZ29" s="236"/>
      <c r="BA29" s="231"/>
      <c r="BC29" s="294" t="s">
        <v>367</v>
      </c>
    </row>
    <row r="30" spans="2:55" s="293" customFormat="1" ht="16.5" customHeight="1" x14ac:dyDescent="0.4">
      <c r="B30" s="143" t="s">
        <v>361</v>
      </c>
      <c r="C30" s="144" t="s">
        <v>362</v>
      </c>
      <c r="D30" s="145"/>
      <c r="E30" s="147" t="s">
        <v>91</v>
      </c>
      <c r="F30" s="147" t="s">
        <v>91</v>
      </c>
      <c r="G30" s="147" t="s">
        <v>91</v>
      </c>
      <c r="H30" s="147" t="s">
        <v>91</v>
      </c>
      <c r="I30" s="147" t="s">
        <v>91</v>
      </c>
      <c r="J30" s="147" t="str">
        <f>VLOOKUP(B30,'1) Report'!$B$11:$AM$141,5,FALSE)</f>
        <v>G</v>
      </c>
      <c r="K30" s="148" t="s">
        <v>89</v>
      </c>
      <c r="L30" s="266"/>
      <c r="M30" s="147" t="s">
        <v>91</v>
      </c>
      <c r="N30" s="147" t="s">
        <v>91</v>
      </c>
      <c r="O30" s="147" t="s">
        <v>91</v>
      </c>
      <c r="P30" s="147" t="s">
        <v>91</v>
      </c>
      <c r="Q30" s="147" t="s">
        <v>91</v>
      </c>
      <c r="R30" s="147" t="str">
        <f>VLOOKUP(B30,'1) Report'!$B$11:$AM$141,17,FALSE)</f>
        <v>G</v>
      </c>
      <c r="S30" s="148" t="s">
        <v>89</v>
      </c>
      <c r="T30" s="150"/>
      <c r="U30" s="147" t="s">
        <v>90</v>
      </c>
      <c r="V30" s="147" t="s">
        <v>90</v>
      </c>
      <c r="W30" s="147" t="s">
        <v>90</v>
      </c>
      <c r="X30" s="147" t="s">
        <v>91</v>
      </c>
      <c r="Y30" s="147" t="s">
        <v>91</v>
      </c>
      <c r="Z30" s="147" t="str">
        <f>VLOOKUP(B30,'1) Report'!$B$11:$AM$141,38,FALSE)</f>
        <v>G</v>
      </c>
      <c r="AA30" s="148" t="s">
        <v>89</v>
      </c>
      <c r="AB30" s="233"/>
      <c r="AC30" s="233"/>
      <c r="AD30" s="233"/>
      <c r="AE30" s="295"/>
      <c r="AH30" s="234"/>
      <c r="AI30" s="267"/>
      <c r="AJ30" s="235"/>
      <c r="AK30" s="236"/>
      <c r="AL30" s="231"/>
      <c r="AM30" s="235"/>
      <c r="AN30" s="236"/>
      <c r="AO30" s="231"/>
      <c r="AP30" s="235"/>
      <c r="AQ30" s="236"/>
      <c r="AR30" s="231"/>
      <c r="AS30" s="235"/>
      <c r="AT30" s="236"/>
      <c r="AU30" s="231"/>
      <c r="AV30" s="235"/>
      <c r="AW30" s="236"/>
      <c r="AX30" s="231"/>
      <c r="AY30" s="235"/>
      <c r="AZ30" s="236"/>
      <c r="BA30" s="231"/>
      <c r="BC30" s="294" t="s">
        <v>367</v>
      </c>
    </row>
    <row r="31" spans="2:55" s="293" customFormat="1" ht="16.5" customHeight="1" x14ac:dyDescent="0.4">
      <c r="B31" s="143" t="s">
        <v>341</v>
      </c>
      <c r="C31" s="144" t="s">
        <v>342</v>
      </c>
      <c r="D31" s="145"/>
      <c r="E31" s="147" t="s">
        <v>91</v>
      </c>
      <c r="F31" s="147" t="s">
        <v>91</v>
      </c>
      <c r="G31" s="147" t="s">
        <v>91</v>
      </c>
      <c r="H31" s="147" t="s">
        <v>91</v>
      </c>
      <c r="I31" s="147" t="s">
        <v>91</v>
      </c>
      <c r="J31" s="147" t="str">
        <f>VLOOKUP(B31,'1) Report'!$B$11:$AM$141,5,FALSE)</f>
        <v>G</v>
      </c>
      <c r="K31" s="148" t="s">
        <v>89</v>
      </c>
      <c r="L31" s="266"/>
      <c r="M31" s="147" t="s">
        <v>91</v>
      </c>
      <c r="N31" s="147" t="s">
        <v>91</v>
      </c>
      <c r="O31" s="147" t="s">
        <v>91</v>
      </c>
      <c r="P31" s="147" t="s">
        <v>90</v>
      </c>
      <c r="Q31" s="147" t="s">
        <v>90</v>
      </c>
      <c r="R31" s="147" t="str">
        <f>VLOOKUP(B31,'1) Report'!$B$11:$AM$141,17,FALSE)</f>
        <v>G</v>
      </c>
      <c r="S31" s="148" t="s">
        <v>556</v>
      </c>
      <c r="T31" s="150"/>
      <c r="U31" s="147" t="s">
        <v>91</v>
      </c>
      <c r="V31" s="147" t="s">
        <v>91</v>
      </c>
      <c r="W31" s="147" t="s">
        <v>91</v>
      </c>
      <c r="X31" s="147" t="s">
        <v>91</v>
      </c>
      <c r="Y31" s="147" t="s">
        <v>91</v>
      </c>
      <c r="Z31" s="147" t="str">
        <f>VLOOKUP(B31,'1) Report'!$B$11:$AM$141,38,FALSE)</f>
        <v>G</v>
      </c>
      <c r="AA31" s="148" t="s">
        <v>89</v>
      </c>
      <c r="AB31" s="233"/>
      <c r="AC31" s="233"/>
      <c r="AD31" s="233"/>
      <c r="AE31" s="295"/>
      <c r="AH31" s="234"/>
      <c r="AI31" s="267"/>
      <c r="AJ31" s="235"/>
      <c r="AK31" s="236"/>
      <c r="AL31" s="231"/>
      <c r="AM31" s="235"/>
      <c r="AN31" s="236"/>
      <c r="AO31" s="231"/>
      <c r="AP31" s="235"/>
      <c r="AQ31" s="236"/>
      <c r="AR31" s="231"/>
      <c r="AS31" s="235"/>
      <c r="AT31" s="236"/>
      <c r="AU31" s="231"/>
      <c r="AV31" s="235"/>
      <c r="AW31" s="236"/>
      <c r="AX31" s="231"/>
      <c r="AY31" s="235"/>
      <c r="AZ31" s="236"/>
      <c r="BA31" s="231"/>
      <c r="BC31" s="294" t="s">
        <v>367</v>
      </c>
    </row>
    <row r="32" spans="2:55" s="293" customFormat="1" ht="16.5" customHeight="1" x14ac:dyDescent="0.4">
      <c r="B32" s="143" t="s">
        <v>370</v>
      </c>
      <c r="C32" s="144" t="s">
        <v>371</v>
      </c>
      <c r="D32" s="145"/>
      <c r="E32" s="147" t="s">
        <v>91</v>
      </c>
      <c r="F32" s="147" t="s">
        <v>91</v>
      </c>
      <c r="G32" s="147" t="s">
        <v>91</v>
      </c>
      <c r="H32" s="147" t="s">
        <v>91</v>
      </c>
      <c r="I32" s="147" t="s">
        <v>91</v>
      </c>
      <c r="J32" s="147" t="str">
        <f>VLOOKUP(B32,'1) Report'!$B$11:$AM$141,5,FALSE)</f>
        <v>G</v>
      </c>
      <c r="K32" s="148" t="s">
        <v>89</v>
      </c>
      <c r="L32" s="266"/>
      <c r="M32" s="147" t="s">
        <v>91</v>
      </c>
      <c r="N32" s="147" t="s">
        <v>91</v>
      </c>
      <c r="O32" s="147" t="s">
        <v>91</v>
      </c>
      <c r="P32" s="147" t="s">
        <v>91</v>
      </c>
      <c r="Q32" s="147" t="s">
        <v>91</v>
      </c>
      <c r="R32" s="147" t="str">
        <f>VLOOKUP(B32,'1) Report'!$B$11:$AM$141,17,FALSE)</f>
        <v>G</v>
      </c>
      <c r="S32" s="148" t="s">
        <v>89</v>
      </c>
      <c r="T32" s="150"/>
      <c r="U32" s="147" t="s">
        <v>91</v>
      </c>
      <c r="V32" s="147" t="s">
        <v>91</v>
      </c>
      <c r="W32" s="147" t="s">
        <v>91</v>
      </c>
      <c r="X32" s="147" t="s">
        <v>90</v>
      </c>
      <c r="Y32" s="147" t="s">
        <v>90</v>
      </c>
      <c r="Z32" s="147" t="str">
        <f>VLOOKUP(B32,'1) Report'!$B$11:$AM$141,38,FALSE)</f>
        <v>G</v>
      </c>
      <c r="AA32" s="148" t="s">
        <v>556</v>
      </c>
      <c r="AB32" s="233"/>
      <c r="AC32" s="233"/>
      <c r="AD32" s="233"/>
      <c r="AE32" s="295"/>
      <c r="AH32" s="234"/>
      <c r="AI32" s="267"/>
      <c r="AJ32" s="235"/>
      <c r="AK32" s="236"/>
      <c r="AL32" s="231"/>
      <c r="AM32" s="235"/>
      <c r="AN32" s="236"/>
      <c r="AO32" s="231"/>
      <c r="AP32" s="235"/>
      <c r="AQ32" s="236"/>
      <c r="AR32" s="231"/>
      <c r="AS32" s="235"/>
      <c r="AT32" s="236"/>
      <c r="AU32" s="231"/>
      <c r="AV32" s="235"/>
      <c r="AW32" s="236"/>
      <c r="AX32" s="231"/>
      <c r="AY32" s="235"/>
      <c r="AZ32" s="236"/>
      <c r="BA32" s="231"/>
      <c r="BC32" s="294" t="s">
        <v>367</v>
      </c>
    </row>
    <row r="33" spans="2:55" s="293" customFormat="1" ht="16.5" customHeight="1" x14ac:dyDescent="0.4">
      <c r="B33" s="143" t="s">
        <v>357</v>
      </c>
      <c r="C33" s="144" t="s">
        <v>358</v>
      </c>
      <c r="D33" s="145"/>
      <c r="E33" s="147" t="s">
        <v>91</v>
      </c>
      <c r="F33" s="147" t="s">
        <v>91</v>
      </c>
      <c r="G33" s="147" t="s">
        <v>91</v>
      </c>
      <c r="H33" s="147" t="s">
        <v>91</v>
      </c>
      <c r="I33" s="147" t="s">
        <v>91</v>
      </c>
      <c r="J33" s="147" t="str">
        <f>VLOOKUP(B33,'1) Report'!$B$11:$AM$141,5,FALSE)</f>
        <v>G</v>
      </c>
      <c r="K33" s="148" t="s">
        <v>89</v>
      </c>
      <c r="L33" s="266"/>
      <c r="M33" s="147" t="s">
        <v>91</v>
      </c>
      <c r="N33" s="147" t="s">
        <v>91</v>
      </c>
      <c r="O33" s="147" t="s">
        <v>91</v>
      </c>
      <c r="P33" s="147" t="s">
        <v>91</v>
      </c>
      <c r="Q33" s="147" t="s">
        <v>91</v>
      </c>
      <c r="R33" s="147" t="str">
        <f>VLOOKUP(B33,'1) Report'!$B$11:$AM$141,17,FALSE)</f>
        <v>G</v>
      </c>
      <c r="S33" s="148" t="s">
        <v>89</v>
      </c>
      <c r="T33" s="150"/>
      <c r="U33" s="147" t="s">
        <v>91</v>
      </c>
      <c r="V33" s="147" t="s">
        <v>91</v>
      </c>
      <c r="W33" s="147" t="s">
        <v>91</v>
      </c>
      <c r="X33" s="147" t="s">
        <v>91</v>
      </c>
      <c r="Y33" s="147" t="s">
        <v>91</v>
      </c>
      <c r="Z33" s="147" t="str">
        <f>VLOOKUP(B33,'1) Report'!$B$11:$AM$141,38,FALSE)</f>
        <v>G</v>
      </c>
      <c r="AA33" s="148" t="s">
        <v>89</v>
      </c>
      <c r="AB33" s="233"/>
      <c r="AC33" s="233"/>
      <c r="AD33" s="233"/>
      <c r="AE33" s="295"/>
      <c r="AH33" s="234"/>
      <c r="AI33" s="267"/>
      <c r="AJ33" s="235"/>
      <c r="AK33" s="236"/>
      <c r="AL33" s="231"/>
      <c r="AM33" s="235"/>
      <c r="AN33" s="236"/>
      <c r="AO33" s="231"/>
      <c r="AP33" s="235"/>
      <c r="AQ33" s="236"/>
      <c r="AR33" s="231"/>
      <c r="AS33" s="235"/>
      <c r="AT33" s="236"/>
      <c r="AU33" s="231"/>
      <c r="AV33" s="235"/>
      <c r="AW33" s="236"/>
      <c r="AX33" s="231"/>
      <c r="AY33" s="235"/>
      <c r="AZ33" s="236"/>
      <c r="BA33" s="231"/>
      <c r="BC33" s="294" t="s">
        <v>367</v>
      </c>
    </row>
    <row r="34" spans="2:55" s="293" customFormat="1" ht="16.5" customHeight="1" x14ac:dyDescent="0.4">
      <c r="B34" s="143" t="s">
        <v>359</v>
      </c>
      <c r="C34" s="144" t="s">
        <v>360</v>
      </c>
      <c r="D34" s="145"/>
      <c r="E34" s="147" t="s">
        <v>91</v>
      </c>
      <c r="F34" s="147" t="s">
        <v>91</v>
      </c>
      <c r="G34" s="147" t="s">
        <v>91</v>
      </c>
      <c r="H34" s="147" t="s">
        <v>91</v>
      </c>
      <c r="I34" s="147" t="s">
        <v>91</v>
      </c>
      <c r="J34" s="147" t="str">
        <f>VLOOKUP(B34,'1) Report'!$B$11:$AM$141,5,FALSE)</f>
        <v>G</v>
      </c>
      <c r="K34" s="148" t="s">
        <v>89</v>
      </c>
      <c r="L34" s="266"/>
      <c r="M34" s="147" t="s">
        <v>91</v>
      </c>
      <c r="N34" s="147" t="s">
        <v>91</v>
      </c>
      <c r="O34" s="147" t="s">
        <v>91</v>
      </c>
      <c r="P34" s="147" t="s">
        <v>91</v>
      </c>
      <c r="Q34" s="147" t="s">
        <v>91</v>
      </c>
      <c r="R34" s="147" t="str">
        <f>VLOOKUP(B34,'1) Report'!$B$11:$AM$141,17,FALSE)</f>
        <v>G</v>
      </c>
      <c r="S34" s="148" t="s">
        <v>89</v>
      </c>
      <c r="T34" s="150"/>
      <c r="U34" s="147" t="s">
        <v>91</v>
      </c>
      <c r="V34" s="147" t="s">
        <v>91</v>
      </c>
      <c r="W34" s="147" t="s">
        <v>91</v>
      </c>
      <c r="X34" s="147" t="s">
        <v>91</v>
      </c>
      <c r="Y34" s="147" t="s">
        <v>91</v>
      </c>
      <c r="Z34" s="147" t="str">
        <f>VLOOKUP(B34,'1) Report'!$B$11:$AM$141,38,FALSE)</f>
        <v>G</v>
      </c>
      <c r="AA34" s="148" t="s">
        <v>89</v>
      </c>
      <c r="AB34" s="233"/>
      <c r="AC34" s="233"/>
      <c r="AD34" s="233"/>
      <c r="AE34" s="295"/>
      <c r="AH34" s="234"/>
      <c r="AI34" s="267"/>
      <c r="AJ34" s="235"/>
      <c r="AK34" s="236"/>
      <c r="AL34" s="231"/>
      <c r="AM34" s="235"/>
      <c r="AN34" s="236"/>
      <c r="AO34" s="231"/>
      <c r="AP34" s="235"/>
      <c r="AQ34" s="236"/>
      <c r="AR34" s="231"/>
      <c r="AS34" s="235"/>
      <c r="AT34" s="236"/>
      <c r="AU34" s="231"/>
      <c r="AV34" s="235"/>
      <c r="AW34" s="236"/>
      <c r="AX34" s="231"/>
      <c r="AY34" s="235"/>
      <c r="AZ34" s="236"/>
      <c r="BA34" s="231"/>
      <c r="BC34" s="294" t="s">
        <v>367</v>
      </c>
    </row>
    <row r="35" spans="2:55" s="293" customFormat="1" ht="16.5" customHeight="1" x14ac:dyDescent="0.4">
      <c r="B35" s="143" t="s">
        <v>363</v>
      </c>
      <c r="C35" s="144" t="s">
        <v>364</v>
      </c>
      <c r="D35" s="145"/>
      <c r="E35" s="147" t="s">
        <v>95</v>
      </c>
      <c r="F35" s="147" t="s">
        <v>95</v>
      </c>
      <c r="G35" s="147" t="s">
        <v>95</v>
      </c>
      <c r="H35" s="147" t="s">
        <v>95</v>
      </c>
      <c r="I35" s="147" t="s">
        <v>95</v>
      </c>
      <c r="J35" s="147" t="str">
        <f>VLOOKUP(B35,'1) Report'!$B$11:$AM$141,5,FALSE)</f>
        <v>N/A</v>
      </c>
      <c r="K35" s="148" t="s">
        <v>89</v>
      </c>
      <c r="L35" s="266"/>
      <c r="M35" s="147" t="s">
        <v>90</v>
      </c>
      <c r="N35" s="147" t="s">
        <v>90</v>
      </c>
      <c r="O35" s="147" t="s">
        <v>90</v>
      </c>
      <c r="P35" s="147" t="s">
        <v>90</v>
      </c>
      <c r="Q35" s="147" t="s">
        <v>90</v>
      </c>
      <c r="R35" s="147" t="str">
        <f>VLOOKUP(B35,'1) Report'!$B$11:$AM$141,17,FALSE)</f>
        <v>G</v>
      </c>
      <c r="S35" s="148" t="s">
        <v>556</v>
      </c>
      <c r="T35" s="150"/>
      <c r="U35" s="147" t="s">
        <v>91</v>
      </c>
      <c r="V35" s="147" t="s">
        <v>91</v>
      </c>
      <c r="W35" s="147" t="s">
        <v>91</v>
      </c>
      <c r="X35" s="147" t="s">
        <v>91</v>
      </c>
      <c r="Y35" s="147" t="s">
        <v>91</v>
      </c>
      <c r="Z35" s="147" t="str">
        <f>VLOOKUP(B35,'1) Report'!$B$11:$AM$141,38,FALSE)</f>
        <v>G</v>
      </c>
      <c r="AA35" s="148" t="s">
        <v>89</v>
      </c>
      <c r="AB35" s="233"/>
      <c r="AC35" s="233"/>
      <c r="AD35" s="233"/>
      <c r="AE35" s="295"/>
      <c r="AH35" s="234"/>
      <c r="AI35" s="267"/>
      <c r="AJ35" s="235"/>
      <c r="AK35" s="236"/>
      <c r="AL35" s="231"/>
      <c r="AM35" s="235"/>
      <c r="AN35" s="236"/>
      <c r="AO35" s="231"/>
      <c r="AP35" s="235"/>
      <c r="AQ35" s="236"/>
      <c r="AR35" s="231"/>
      <c r="AS35" s="235"/>
      <c r="AT35" s="236"/>
      <c r="AU35" s="231"/>
      <c r="AV35" s="235"/>
      <c r="AW35" s="236"/>
      <c r="AX35" s="231"/>
      <c r="AY35" s="235"/>
      <c r="AZ35" s="236"/>
      <c r="BA35" s="231"/>
      <c r="BC35" s="294" t="s">
        <v>367</v>
      </c>
    </row>
    <row r="36" spans="2:55" ht="3" customHeight="1" thickBot="1" x14ac:dyDescent="0.45">
      <c r="B36" s="123"/>
      <c r="C36" s="123"/>
      <c r="D36" s="123"/>
      <c r="E36" s="123"/>
      <c r="F36" s="123"/>
      <c r="G36" s="123"/>
      <c r="H36" s="123"/>
      <c r="I36" s="123"/>
      <c r="J36" s="123"/>
      <c r="K36" s="123"/>
      <c r="L36" s="123"/>
      <c r="M36" s="123"/>
      <c r="N36" s="123"/>
      <c r="O36" s="123"/>
      <c r="P36" s="123"/>
      <c r="Q36" s="123"/>
      <c r="R36" s="123"/>
      <c r="S36" s="123"/>
      <c r="T36" s="123"/>
      <c r="U36" s="123"/>
      <c r="V36" s="123"/>
      <c r="W36" s="123"/>
      <c r="X36" s="123"/>
      <c r="Y36" s="123"/>
      <c r="Z36" s="123"/>
      <c r="AA36" s="123"/>
      <c r="AB36" s="123"/>
      <c r="AC36" s="123"/>
      <c r="AD36" s="123"/>
      <c r="AE36" s="123"/>
      <c r="AF36" s="123"/>
      <c r="AG36" s="123"/>
      <c r="AH36" s="123"/>
      <c r="AI36" s="123"/>
      <c r="AJ36" s="123"/>
      <c r="AK36" s="123"/>
      <c r="AL36" s="123"/>
      <c r="AM36" s="123"/>
      <c r="AN36" s="123"/>
      <c r="AO36" s="123"/>
      <c r="AP36" s="123"/>
      <c r="AQ36" s="123"/>
      <c r="AR36" s="123"/>
      <c r="AS36" s="123"/>
      <c r="AT36" s="123"/>
      <c r="AU36" s="123"/>
      <c r="AV36" s="123"/>
      <c r="AW36" s="123"/>
      <c r="AX36" s="123"/>
      <c r="AY36" s="123"/>
      <c r="AZ36" s="123"/>
    </row>
    <row r="37" spans="2:55" ht="16.5" customHeight="1" thickBot="1" x14ac:dyDescent="0.45">
      <c r="B37" s="848" t="s">
        <v>195</v>
      </c>
      <c r="C37" s="849"/>
      <c r="D37" s="849"/>
      <c r="E37" s="849"/>
      <c r="F37" s="849"/>
      <c r="G37" s="849"/>
      <c r="H37" s="849"/>
      <c r="I37" s="849"/>
      <c r="J37" s="849"/>
      <c r="K37" s="849"/>
      <c r="L37" s="849"/>
      <c r="M37" s="849"/>
      <c r="N37" s="849"/>
      <c r="O37" s="849"/>
      <c r="P37" s="849"/>
      <c r="Q37" s="849"/>
      <c r="R37" s="849"/>
      <c r="S37" s="849"/>
      <c r="T37" s="849"/>
      <c r="U37" s="849"/>
      <c r="V37" s="849"/>
      <c r="W37" s="849"/>
      <c r="X37" s="849"/>
      <c r="Y37" s="849"/>
      <c r="Z37" s="849"/>
      <c r="AA37" s="850"/>
      <c r="AB37" s="134"/>
      <c r="AC37" s="134"/>
      <c r="AD37" s="134"/>
      <c r="AE37" s="134"/>
      <c r="AF37" s="134"/>
      <c r="AG37" s="134"/>
      <c r="AH37" s="134"/>
      <c r="AI37" s="134"/>
      <c r="AJ37" s="134"/>
      <c r="AK37" s="134"/>
      <c r="AL37" s="134"/>
      <c r="AM37" s="134"/>
      <c r="AN37" s="134"/>
      <c r="AO37" s="134"/>
      <c r="AP37" s="134"/>
      <c r="AQ37" s="134"/>
      <c r="AR37" s="134"/>
      <c r="AS37" s="134"/>
      <c r="AT37" s="134"/>
      <c r="AU37" s="134"/>
      <c r="AV37" s="134"/>
      <c r="AW37" s="134"/>
      <c r="AX37" s="134"/>
      <c r="AY37" s="134"/>
      <c r="AZ37" s="134"/>
      <c r="BA37" s="135"/>
      <c r="BC37" s="91" t="s">
        <v>368</v>
      </c>
    </row>
    <row r="38" spans="2:55" ht="3" customHeight="1" x14ac:dyDescent="0.4">
      <c r="C38" s="123"/>
      <c r="K38" s="15"/>
      <c r="AH38" s="122"/>
    </row>
    <row r="39" spans="2:55" s="240" customFormat="1" ht="16.5" customHeight="1" x14ac:dyDescent="0.4">
      <c r="B39" s="143" t="s">
        <v>507</v>
      </c>
      <c r="C39" s="144" t="s">
        <v>332</v>
      </c>
      <c r="D39" s="145"/>
      <c r="E39" s="147" t="s">
        <v>90</v>
      </c>
      <c r="F39" s="147" t="s">
        <v>90</v>
      </c>
      <c r="G39" s="147" t="s">
        <v>90</v>
      </c>
      <c r="H39" s="147" t="s">
        <v>90</v>
      </c>
      <c r="I39" s="147" t="s">
        <v>90</v>
      </c>
      <c r="J39" s="147" t="str">
        <f>VLOOKUP(B39,'1) Report'!$B$11:$AM$141,5,FALSE)</f>
        <v>A</v>
      </c>
      <c r="K39" s="148" t="s">
        <v>89</v>
      </c>
      <c r="L39" s="13"/>
      <c r="M39" s="147" t="s">
        <v>91</v>
      </c>
      <c r="N39" s="147" t="s">
        <v>90</v>
      </c>
      <c r="O39" s="147" t="s">
        <v>90</v>
      </c>
      <c r="P39" s="147" t="s">
        <v>90</v>
      </c>
      <c r="Q39" s="147" t="s">
        <v>90</v>
      </c>
      <c r="R39" s="147" t="str">
        <f>VLOOKUP(B39,'1) Report'!$B$11:$AM$141,17,FALSE)</f>
        <v>A</v>
      </c>
      <c r="S39" s="148" t="s">
        <v>89</v>
      </c>
      <c r="T39" s="150"/>
      <c r="U39" s="147" t="s">
        <v>88</v>
      </c>
      <c r="V39" s="147" t="s">
        <v>88</v>
      </c>
      <c r="W39" s="147" t="s">
        <v>88</v>
      </c>
      <c r="X39" s="147" t="s">
        <v>88</v>
      </c>
      <c r="Y39" s="147" t="s">
        <v>88</v>
      </c>
      <c r="Z39" s="147" t="str">
        <f>VLOOKUP(B39,'1) Report'!$B$11:$AM$141,38,FALSE)</f>
        <v>R</v>
      </c>
      <c r="AA39" s="148" t="s">
        <v>89</v>
      </c>
      <c r="AB39" s="151"/>
      <c r="AC39" s="151"/>
      <c r="AD39" s="151"/>
      <c r="AE39" s="151"/>
      <c r="AF39" s="151"/>
      <c r="AG39" s="151"/>
      <c r="AH39" s="152"/>
      <c r="AI39" s="153"/>
      <c r="AJ39" s="154"/>
      <c r="AK39" s="155"/>
      <c r="AL39" s="146"/>
      <c r="AM39" s="154"/>
      <c r="AN39" s="155"/>
      <c r="AO39" s="146"/>
      <c r="AP39" s="154"/>
      <c r="AQ39" s="155"/>
      <c r="AR39" s="146"/>
      <c r="AS39" s="154"/>
      <c r="AT39" s="155"/>
      <c r="AU39" s="146"/>
      <c r="AV39" s="154"/>
      <c r="AW39" s="155"/>
      <c r="AX39" s="146"/>
      <c r="AY39" s="154"/>
      <c r="AZ39" s="155"/>
      <c r="BA39" s="146"/>
      <c r="BC39" s="292" t="s">
        <v>366</v>
      </c>
    </row>
    <row r="40" spans="2:55" ht="16.5" customHeight="1" x14ac:dyDescent="0.4">
      <c r="B40" s="143" t="s">
        <v>314</v>
      </c>
      <c r="C40" s="144" t="s">
        <v>317</v>
      </c>
      <c r="D40" s="145"/>
      <c r="E40" s="147" t="s">
        <v>90</v>
      </c>
      <c r="F40" s="147" t="s">
        <v>90</v>
      </c>
      <c r="G40" s="147" t="s">
        <v>90</v>
      </c>
      <c r="H40" s="147" t="s">
        <v>90</v>
      </c>
      <c r="I40" s="147" t="s">
        <v>90</v>
      </c>
      <c r="J40" s="147" t="str">
        <f>VLOOKUP(B40,'1) Report'!$B$11:$AM$141,5,FALSE)</f>
        <v>A</v>
      </c>
      <c r="K40" s="148" t="s">
        <v>89</v>
      </c>
      <c r="L40" s="13"/>
      <c r="M40" s="147" t="s">
        <v>90</v>
      </c>
      <c r="N40" s="147" t="s">
        <v>90</v>
      </c>
      <c r="O40" s="147" t="s">
        <v>90</v>
      </c>
      <c r="P40" s="147" t="s">
        <v>90</v>
      </c>
      <c r="Q40" s="147" t="s">
        <v>90</v>
      </c>
      <c r="R40" s="147" t="str">
        <f>VLOOKUP(B40,'1) Report'!$B$11:$AM$141,17,FALSE)</f>
        <v>A</v>
      </c>
      <c r="S40" s="148" t="s">
        <v>89</v>
      </c>
      <c r="T40" s="150"/>
      <c r="U40" s="147" t="s">
        <v>91</v>
      </c>
      <c r="V40" s="147" t="s">
        <v>90</v>
      </c>
      <c r="W40" s="147" t="s">
        <v>90</v>
      </c>
      <c r="X40" s="147" t="s">
        <v>90</v>
      </c>
      <c r="Y40" s="147" t="s">
        <v>90</v>
      </c>
      <c r="Z40" s="147" t="str">
        <f>VLOOKUP(B40,'1) Report'!$B$11:$AM$141,38,FALSE)</f>
        <v>A</v>
      </c>
      <c r="AA40" s="148" t="s">
        <v>89</v>
      </c>
      <c r="AB40" s="151">
        <v>-3.6331400000335634E-3</v>
      </c>
      <c r="AC40" s="151">
        <v>-2.4846940000031736E-2</v>
      </c>
      <c r="AD40" s="151">
        <v>-7.8696300000729025E-3</v>
      </c>
      <c r="AE40" s="151">
        <v>-5.9922700000356599E-3</v>
      </c>
      <c r="AF40" s="151"/>
      <c r="AG40" s="151"/>
      <c r="AH40" s="152"/>
      <c r="AI40" s="153"/>
      <c r="AJ40" s="154">
        <v>0.99650948117601279</v>
      </c>
      <c r="AK40" s="155">
        <v>0.98583428459867961</v>
      </c>
      <c r="AL40" s="146" t="s">
        <v>91</v>
      </c>
      <c r="AM40" s="154">
        <v>0.997077045052713</v>
      </c>
      <c r="AN40" s="155">
        <v>0.98691266745364747</v>
      </c>
      <c r="AO40" s="146" t="s">
        <v>91</v>
      </c>
      <c r="AP40" s="154">
        <v>0.99761623081297002</v>
      </c>
      <c r="AQ40" s="155">
        <v>0.98827354053096417</v>
      </c>
      <c r="AR40" s="146" t="s">
        <v>91</v>
      </c>
      <c r="AS40" s="154">
        <v>0.997077045052713</v>
      </c>
      <c r="AT40" s="155">
        <v>0.98691266745364747</v>
      </c>
      <c r="AU40" s="146" t="s">
        <v>91</v>
      </c>
      <c r="AV40" s="154"/>
      <c r="AW40" s="155"/>
      <c r="AX40" s="146"/>
      <c r="AY40" s="154"/>
      <c r="AZ40" s="155"/>
      <c r="BA40" s="146"/>
      <c r="BC40" s="91" t="s">
        <v>367</v>
      </c>
    </row>
    <row r="41" spans="2:55" s="293" customFormat="1" ht="16.5" customHeight="1" x14ac:dyDescent="0.4">
      <c r="B41" s="143" t="s">
        <v>339</v>
      </c>
      <c r="C41" s="144" t="s">
        <v>340</v>
      </c>
      <c r="D41" s="145"/>
      <c r="E41" s="147" t="s">
        <v>90</v>
      </c>
      <c r="F41" s="147" t="s">
        <v>90</v>
      </c>
      <c r="G41" s="147" t="s">
        <v>90</v>
      </c>
      <c r="H41" s="147" t="s">
        <v>90</v>
      </c>
      <c r="I41" s="147" t="s">
        <v>90</v>
      </c>
      <c r="J41" s="147" t="str">
        <f>VLOOKUP(B41,'1) Report'!$B$11:$AM$141,5,FALSE)</f>
        <v>A</v>
      </c>
      <c r="K41" s="148" t="s">
        <v>89</v>
      </c>
      <c r="L41" s="266"/>
      <c r="M41" s="147" t="s">
        <v>90</v>
      </c>
      <c r="N41" s="147" t="s">
        <v>90</v>
      </c>
      <c r="O41" s="147" t="s">
        <v>90</v>
      </c>
      <c r="P41" s="147" t="s">
        <v>90</v>
      </c>
      <c r="Q41" s="147" t="s">
        <v>90</v>
      </c>
      <c r="R41" s="147" t="str">
        <f>VLOOKUP(B41,'1) Report'!$B$11:$AM$141,17,FALSE)</f>
        <v>A</v>
      </c>
      <c r="S41" s="148" t="s">
        <v>89</v>
      </c>
      <c r="T41" s="150"/>
      <c r="U41" s="147" t="s">
        <v>91</v>
      </c>
      <c r="V41" s="147" t="s">
        <v>91</v>
      </c>
      <c r="W41" s="147" t="s">
        <v>90</v>
      </c>
      <c r="X41" s="147" t="s">
        <v>90</v>
      </c>
      <c r="Y41" s="147" t="s">
        <v>90</v>
      </c>
      <c r="Z41" s="147" t="str">
        <f>VLOOKUP(B41,'1) Report'!$B$11:$AM$141,38,FALSE)</f>
        <v>A</v>
      </c>
      <c r="AA41" s="148" t="s">
        <v>89</v>
      </c>
      <c r="AB41" s="151"/>
      <c r="AC41" s="151"/>
      <c r="AD41" s="151"/>
      <c r="AE41" s="151"/>
      <c r="AF41" s="151"/>
      <c r="AG41" s="151"/>
      <c r="AH41" s="152"/>
      <c r="AI41" s="153"/>
      <c r="AJ41" s="154"/>
      <c r="AK41" s="155"/>
      <c r="AL41" s="146"/>
      <c r="AM41" s="154"/>
      <c r="AN41" s="155"/>
      <c r="AO41" s="146"/>
      <c r="AP41" s="154"/>
      <c r="AQ41" s="155"/>
      <c r="AR41" s="146"/>
      <c r="AS41" s="154"/>
      <c r="AT41" s="155"/>
      <c r="AU41" s="146"/>
      <c r="AV41" s="154"/>
      <c r="AW41" s="155"/>
      <c r="AX41" s="146"/>
      <c r="AY41" s="154"/>
      <c r="AZ41" s="155"/>
      <c r="BA41" s="146"/>
      <c r="BC41" s="294" t="s">
        <v>367</v>
      </c>
    </row>
    <row r="42" spans="2:55" s="218" customFormat="1" ht="16.5" customHeight="1" x14ac:dyDescent="0.4">
      <c r="B42" s="143" t="s">
        <v>102</v>
      </c>
      <c r="C42" s="157" t="s">
        <v>249</v>
      </c>
      <c r="D42" s="145"/>
      <c r="E42" s="147" t="s">
        <v>90</v>
      </c>
      <c r="F42" s="147" t="s">
        <v>90</v>
      </c>
      <c r="G42" s="147" t="s">
        <v>90</v>
      </c>
      <c r="H42" s="147" t="s">
        <v>90</v>
      </c>
      <c r="I42" s="147" t="s">
        <v>90</v>
      </c>
      <c r="J42" s="147" t="str">
        <f>VLOOKUP(B42,'1) Report'!$B$11:$AM$141,5,FALSE)</f>
        <v>A</v>
      </c>
      <c r="K42" s="148" t="s">
        <v>89</v>
      </c>
      <c r="L42" s="13"/>
      <c r="M42" s="147" t="s">
        <v>90</v>
      </c>
      <c r="N42" s="147" t="s">
        <v>90</v>
      </c>
      <c r="O42" s="147" t="s">
        <v>90</v>
      </c>
      <c r="P42" s="147" t="s">
        <v>90</v>
      </c>
      <c r="Q42" s="147" t="s">
        <v>90</v>
      </c>
      <c r="R42" s="147" t="str">
        <f>VLOOKUP(B42,'1) Report'!$B$11:$AM$141,17,FALSE)</f>
        <v>A</v>
      </c>
      <c r="S42" s="148" t="s">
        <v>89</v>
      </c>
      <c r="T42" s="150"/>
      <c r="U42" s="219" t="s">
        <v>91</v>
      </c>
      <c r="V42" s="147" t="s">
        <v>91</v>
      </c>
      <c r="W42" s="147" t="s">
        <v>91</v>
      </c>
      <c r="X42" s="147" t="s">
        <v>91</v>
      </c>
      <c r="Y42" s="147" t="s">
        <v>91</v>
      </c>
      <c r="Z42" s="147" t="str">
        <f>VLOOKUP(B42,'1) Report'!$B$11:$AM$141,38,FALSE)</f>
        <v>G</v>
      </c>
      <c r="AA42" s="148" t="s">
        <v>89</v>
      </c>
      <c r="AB42" s="151">
        <v>-3.6331400000335634E-3</v>
      </c>
      <c r="AC42" s="151">
        <v>-2.4846940000031736E-2</v>
      </c>
      <c r="AD42" s="151">
        <v>-7.8696300000729025E-3</v>
      </c>
      <c r="AE42" s="151">
        <v>-5.9922700000356599E-3</v>
      </c>
      <c r="AF42" s="151"/>
      <c r="AG42" s="151"/>
      <c r="AH42" s="152"/>
      <c r="AI42" s="153"/>
      <c r="AJ42" s="154">
        <v>0.99650948117601279</v>
      </c>
      <c r="AK42" s="155">
        <v>0.98583428459867961</v>
      </c>
      <c r="AL42" s="146" t="s">
        <v>91</v>
      </c>
      <c r="AM42" s="154">
        <v>0.997077045052713</v>
      </c>
      <c r="AN42" s="155">
        <v>0.98691266745364747</v>
      </c>
      <c r="AO42" s="146" t="s">
        <v>91</v>
      </c>
      <c r="AP42" s="154">
        <v>0.99761623081297002</v>
      </c>
      <c r="AQ42" s="155">
        <v>0.98827354053096417</v>
      </c>
      <c r="AR42" s="146" t="s">
        <v>91</v>
      </c>
      <c r="AS42" s="154">
        <v>0.997077045052713</v>
      </c>
      <c r="AT42" s="155">
        <v>0.98691266745364747</v>
      </c>
      <c r="AU42" s="146" t="s">
        <v>91</v>
      </c>
      <c r="AV42" s="154"/>
      <c r="AW42" s="155"/>
      <c r="AX42" s="146"/>
      <c r="AY42" s="154"/>
      <c r="AZ42" s="155"/>
      <c r="BA42" s="146"/>
      <c r="BC42" s="292" t="s">
        <v>366</v>
      </c>
    </row>
    <row r="43" spans="2:55" ht="16.5" customHeight="1" x14ac:dyDescent="0.4">
      <c r="B43" s="143" t="s">
        <v>104</v>
      </c>
      <c r="C43" s="157" t="s">
        <v>103</v>
      </c>
      <c r="D43" s="162"/>
      <c r="E43" s="147" t="s">
        <v>90</v>
      </c>
      <c r="F43" s="147" t="s">
        <v>90</v>
      </c>
      <c r="G43" s="147" t="s">
        <v>90</v>
      </c>
      <c r="H43" s="147" t="s">
        <v>90</v>
      </c>
      <c r="I43" s="147" t="s">
        <v>90</v>
      </c>
      <c r="J43" s="147" t="str">
        <f>VLOOKUP(B43,'1) Report'!$B$11:$AM$141,5,FALSE)</f>
        <v>A</v>
      </c>
      <c r="K43" s="148" t="s">
        <v>89</v>
      </c>
      <c r="L43" s="150"/>
      <c r="M43" s="147" t="s">
        <v>90</v>
      </c>
      <c r="N43" s="147" t="s">
        <v>90</v>
      </c>
      <c r="O43" s="147" t="s">
        <v>90</v>
      </c>
      <c r="P43" s="147" t="s">
        <v>90</v>
      </c>
      <c r="Q43" s="147" t="s">
        <v>90</v>
      </c>
      <c r="R43" s="147" t="str">
        <f>VLOOKUP(B43,'1) Report'!$B$11:$AM$141,17,FALSE)</f>
        <v>A</v>
      </c>
      <c r="S43" s="148" t="s">
        <v>89</v>
      </c>
      <c r="T43" s="13"/>
      <c r="U43" s="149" t="s">
        <v>91</v>
      </c>
      <c r="V43" s="147" t="s">
        <v>91</v>
      </c>
      <c r="W43" s="147" t="s">
        <v>91</v>
      </c>
      <c r="X43" s="147" t="s">
        <v>91</v>
      </c>
      <c r="Y43" s="147" t="s">
        <v>91</v>
      </c>
      <c r="Z43" s="147" t="str">
        <f>VLOOKUP(B43,'1) Report'!$B$11:$AM$141,38,FALSE)</f>
        <v>G</v>
      </c>
      <c r="AA43" s="148" t="s">
        <v>89</v>
      </c>
      <c r="AB43" s="151">
        <v>8.4569799999911766E-3</v>
      </c>
      <c r="AC43" s="151">
        <v>32.498079910000001</v>
      </c>
      <c r="AD43" s="151">
        <v>-0.51456249000000298</v>
      </c>
      <c r="AE43" s="151">
        <v>-3.1520499999999174E-2</v>
      </c>
      <c r="AH43" s="152"/>
      <c r="AI43" s="15"/>
      <c r="AJ43" s="154">
        <v>0.87416171000408571</v>
      </c>
      <c r="AK43" s="155">
        <v>0.82642471371330184</v>
      </c>
      <c r="AL43" s="149" t="s">
        <v>91</v>
      </c>
      <c r="AM43" s="154">
        <v>0.89385845780073547</v>
      </c>
      <c r="AN43" s="155">
        <v>0.83693900499912455</v>
      </c>
      <c r="AO43" s="149" t="s">
        <v>91</v>
      </c>
      <c r="AP43" s="154">
        <v>0.91257042228448026</v>
      </c>
      <c r="AQ43" s="155">
        <v>0.84448752422955697</v>
      </c>
      <c r="AR43" s="149" t="s">
        <v>91</v>
      </c>
      <c r="AS43" s="154">
        <v>0.89385845780073547</v>
      </c>
      <c r="AT43" s="155">
        <v>0.83693900499912455</v>
      </c>
      <c r="AU43" s="149" t="s">
        <v>91</v>
      </c>
      <c r="AV43" s="154"/>
      <c r="AW43" s="155"/>
      <c r="AX43" s="149"/>
      <c r="AY43" s="154"/>
      <c r="AZ43" s="155"/>
      <c r="BA43" s="149"/>
      <c r="BC43" s="292" t="s">
        <v>366</v>
      </c>
    </row>
    <row r="44" spans="2:55" s="293" customFormat="1" ht="16.5" customHeight="1" x14ac:dyDescent="0.4">
      <c r="B44" s="143" t="s">
        <v>372</v>
      </c>
      <c r="C44" s="144" t="s">
        <v>373</v>
      </c>
      <c r="D44" s="145"/>
      <c r="E44" s="147" t="s">
        <v>90</v>
      </c>
      <c r="F44" s="147" t="s">
        <v>90</v>
      </c>
      <c r="G44" s="147" t="s">
        <v>90</v>
      </c>
      <c r="H44" s="147" t="s">
        <v>90</v>
      </c>
      <c r="I44" s="147" t="s">
        <v>90</v>
      </c>
      <c r="J44" s="147" t="str">
        <f>VLOOKUP(B44,'1) Report'!$B$11:$AM$141,5,FALSE)</f>
        <v>A</v>
      </c>
      <c r="K44" s="148" t="s">
        <v>89</v>
      </c>
      <c r="L44" s="266"/>
      <c r="M44" s="147" t="s">
        <v>90</v>
      </c>
      <c r="N44" s="147" t="s">
        <v>90</v>
      </c>
      <c r="O44" s="147" t="s">
        <v>90</v>
      </c>
      <c r="P44" s="147" t="s">
        <v>90</v>
      </c>
      <c r="Q44" s="147" t="s">
        <v>90</v>
      </c>
      <c r="R44" s="147" t="str">
        <f>VLOOKUP(B44,'1) Report'!$B$11:$AM$141,17,FALSE)</f>
        <v>A</v>
      </c>
      <c r="S44" s="148" t="s">
        <v>89</v>
      </c>
      <c r="T44" s="150"/>
      <c r="U44" s="147" t="s">
        <v>91</v>
      </c>
      <c r="V44" s="147" t="s">
        <v>91</v>
      </c>
      <c r="W44" s="147" t="s">
        <v>91</v>
      </c>
      <c r="X44" s="147" t="s">
        <v>91</v>
      </c>
      <c r="Y44" s="147" t="s">
        <v>91</v>
      </c>
      <c r="Z44" s="147" t="str">
        <f>VLOOKUP(B44,'1) Report'!$B$11:$AM$141,38,FALSE)</f>
        <v>G</v>
      </c>
      <c r="AA44" s="148" t="s">
        <v>89</v>
      </c>
      <c r="AB44" s="151"/>
      <c r="AC44" s="151"/>
      <c r="AD44" s="151"/>
      <c r="AE44" s="151"/>
      <c r="AF44" s="151"/>
      <c r="AG44" s="151"/>
      <c r="AH44" s="152"/>
      <c r="AI44" s="153"/>
      <c r="AJ44" s="154"/>
      <c r="AK44" s="155"/>
      <c r="AL44" s="146"/>
      <c r="AM44" s="154"/>
      <c r="AN44" s="155"/>
      <c r="AO44" s="146"/>
      <c r="AP44" s="154"/>
      <c r="AQ44" s="155"/>
      <c r="AR44" s="146"/>
      <c r="AS44" s="154"/>
      <c r="AT44" s="155"/>
      <c r="AU44" s="146"/>
      <c r="AV44" s="154"/>
      <c r="AW44" s="155"/>
      <c r="AX44" s="146"/>
      <c r="AY44" s="154"/>
      <c r="AZ44" s="155"/>
      <c r="BA44" s="146"/>
      <c r="BC44" s="294" t="s">
        <v>367</v>
      </c>
    </row>
    <row r="45" spans="2:55" ht="16.5" customHeight="1" x14ac:dyDescent="0.4">
      <c r="B45" s="143" t="s">
        <v>100</v>
      </c>
      <c r="C45" s="157" t="s">
        <v>7</v>
      </c>
      <c r="D45" s="162"/>
      <c r="E45" s="147" t="s">
        <v>91</v>
      </c>
      <c r="F45" s="147" t="s">
        <v>90</v>
      </c>
      <c r="G45" s="147" t="s">
        <v>90</v>
      </c>
      <c r="H45" s="147" t="s">
        <v>90</v>
      </c>
      <c r="I45" s="147" t="s">
        <v>90</v>
      </c>
      <c r="J45" s="147" t="str">
        <f>VLOOKUP(B45,'1) Report'!$B$11:$AM$141,5,FALSE)</f>
        <v>A</v>
      </c>
      <c r="K45" s="148" t="s">
        <v>89</v>
      </c>
      <c r="L45" s="150"/>
      <c r="M45" s="147" t="s">
        <v>90</v>
      </c>
      <c r="N45" s="147" t="s">
        <v>90</v>
      </c>
      <c r="O45" s="147" t="s">
        <v>90</v>
      </c>
      <c r="P45" s="147" t="s">
        <v>90</v>
      </c>
      <c r="Q45" s="147" t="s">
        <v>90</v>
      </c>
      <c r="R45" s="147" t="str">
        <f>VLOOKUP(B45,'1) Report'!$B$11:$AM$141,17,FALSE)</f>
        <v>A</v>
      </c>
      <c r="S45" s="148" t="s">
        <v>89</v>
      </c>
      <c r="T45" s="13"/>
      <c r="U45" s="149" t="s">
        <v>91</v>
      </c>
      <c r="V45" s="147" t="s">
        <v>91</v>
      </c>
      <c r="W45" s="147" t="s">
        <v>91</v>
      </c>
      <c r="X45" s="147" t="s">
        <v>91</v>
      </c>
      <c r="Y45" s="147" t="s">
        <v>91</v>
      </c>
      <c r="Z45" s="147" t="str">
        <f>VLOOKUP(B45,'1) Report'!$B$11:$AM$141,38,FALSE)</f>
        <v>G</v>
      </c>
      <c r="AA45" s="148" t="s">
        <v>89</v>
      </c>
      <c r="AB45" s="151">
        <v>43.168011340000135</v>
      </c>
      <c r="AC45" s="151">
        <v>-1.0341526900000417</v>
      </c>
      <c r="AD45" s="151">
        <v>0.94194027000003189</v>
      </c>
      <c r="AE45" s="151">
        <v>2.7251799998566639E-3</v>
      </c>
      <c r="AH45" s="152"/>
      <c r="AI45" s="15"/>
      <c r="AJ45" s="154">
        <v>0.96483943108944004</v>
      </c>
      <c r="AK45" s="155">
        <v>0.86847803103053212</v>
      </c>
      <c r="AL45" s="149" t="s">
        <v>90</v>
      </c>
      <c r="AM45" s="154">
        <v>0.96768174201075852</v>
      </c>
      <c r="AN45" s="155">
        <v>0.87147939207595304</v>
      </c>
      <c r="AO45" s="149" t="s">
        <v>90</v>
      </c>
      <c r="AP45" s="154">
        <v>0.97046690832951943</v>
      </c>
      <c r="AQ45" s="155">
        <v>0.87429382627922736</v>
      </c>
      <c r="AR45" s="149" t="s">
        <v>90</v>
      </c>
      <c r="AS45" s="154">
        <v>0.96768174201075852</v>
      </c>
      <c r="AT45" s="155">
        <v>0.87147939207595304</v>
      </c>
      <c r="AU45" s="149" t="s">
        <v>90</v>
      </c>
      <c r="AV45" s="154"/>
      <c r="AW45" s="155"/>
      <c r="AX45" s="149"/>
      <c r="AY45" s="154"/>
      <c r="AZ45" s="155"/>
      <c r="BA45" s="149"/>
      <c r="BC45" s="292" t="s">
        <v>366</v>
      </c>
    </row>
    <row r="46" spans="2:55" s="229" customFormat="1" ht="16.5" customHeight="1" x14ac:dyDescent="0.4">
      <c r="B46" s="143" t="s">
        <v>312</v>
      </c>
      <c r="C46" s="144" t="s">
        <v>316</v>
      </c>
      <c r="D46" s="145"/>
      <c r="E46" s="147" t="s">
        <v>91</v>
      </c>
      <c r="F46" s="147" t="s">
        <v>91</v>
      </c>
      <c r="G46" s="147" t="s">
        <v>91</v>
      </c>
      <c r="H46" s="147" t="s">
        <v>91</v>
      </c>
      <c r="I46" s="147" t="s">
        <v>91</v>
      </c>
      <c r="J46" s="147" t="str">
        <f>VLOOKUP(B46,'1) Report'!$B$11:$AM$141,5,FALSE)</f>
        <v>G</v>
      </c>
      <c r="K46" s="148" t="s">
        <v>89</v>
      </c>
      <c r="L46" s="13"/>
      <c r="M46" s="147" t="s">
        <v>90</v>
      </c>
      <c r="N46" s="147" t="s">
        <v>90</v>
      </c>
      <c r="O46" s="147" t="s">
        <v>90</v>
      </c>
      <c r="P46" s="147" t="s">
        <v>90</v>
      </c>
      <c r="Q46" s="147" t="s">
        <v>90</v>
      </c>
      <c r="R46" s="147" t="str">
        <f>VLOOKUP(B46,'1) Report'!$B$11:$AM$141,17,FALSE)</f>
        <v>A</v>
      </c>
      <c r="S46" s="148" t="s">
        <v>89</v>
      </c>
      <c r="T46" s="150"/>
      <c r="U46" s="147" t="s">
        <v>91</v>
      </c>
      <c r="V46" s="147" t="s">
        <v>91</v>
      </c>
      <c r="W46" s="147" t="s">
        <v>91</v>
      </c>
      <c r="X46" s="147" t="s">
        <v>91</v>
      </c>
      <c r="Y46" s="147" t="s">
        <v>91</v>
      </c>
      <c r="Z46" s="147" t="str">
        <f>VLOOKUP(B46,'1) Report'!$B$11:$AM$141,38,FALSE)</f>
        <v>G</v>
      </c>
      <c r="AA46" s="148" t="s">
        <v>89</v>
      </c>
      <c r="AB46" s="151">
        <v>-3.6331400000335634E-3</v>
      </c>
      <c r="AC46" s="151">
        <v>-2.4846940000031736E-2</v>
      </c>
      <c r="AD46" s="151">
        <v>-7.8696300000729025E-3</v>
      </c>
      <c r="AE46" s="151">
        <v>-5.9922700000356599E-3</v>
      </c>
      <c r="AF46" s="151"/>
      <c r="AG46" s="151"/>
      <c r="AH46" s="152"/>
      <c r="AI46" s="153"/>
      <c r="AJ46" s="154">
        <v>0.99650948117601279</v>
      </c>
      <c r="AK46" s="155">
        <v>0.98583428459867961</v>
      </c>
      <c r="AL46" s="146" t="s">
        <v>91</v>
      </c>
      <c r="AM46" s="154">
        <v>0.997077045052713</v>
      </c>
      <c r="AN46" s="155">
        <v>0.98691266745364747</v>
      </c>
      <c r="AO46" s="146" t="s">
        <v>91</v>
      </c>
      <c r="AP46" s="154">
        <v>0.99761623081297002</v>
      </c>
      <c r="AQ46" s="155">
        <v>0.98827354053096417</v>
      </c>
      <c r="AR46" s="146" t="s">
        <v>91</v>
      </c>
      <c r="AS46" s="154">
        <v>0.997077045052713</v>
      </c>
      <c r="AT46" s="155">
        <v>0.98691266745364747</v>
      </c>
      <c r="AU46" s="146" t="s">
        <v>91</v>
      </c>
      <c r="AV46" s="154"/>
      <c r="AW46" s="155"/>
      <c r="AX46" s="146"/>
      <c r="AY46" s="154"/>
      <c r="AZ46" s="155"/>
      <c r="BA46" s="146"/>
      <c r="BC46" s="292" t="s">
        <v>367</v>
      </c>
    </row>
    <row r="47" spans="2:55" ht="16.5" customHeight="1" x14ac:dyDescent="0.4">
      <c r="B47" s="143" t="s">
        <v>106</v>
      </c>
      <c r="C47" s="144" t="s">
        <v>165</v>
      </c>
      <c r="D47" s="162"/>
      <c r="E47" s="147" t="s">
        <v>91</v>
      </c>
      <c r="F47" s="147" t="s">
        <v>91</v>
      </c>
      <c r="G47" s="147" t="s">
        <v>91</v>
      </c>
      <c r="H47" s="147" t="s">
        <v>91</v>
      </c>
      <c r="I47" s="147" t="s">
        <v>91</v>
      </c>
      <c r="J47" s="147" t="str">
        <f>VLOOKUP(B47,'1) Report'!$B$11:$AM$141,5,FALSE)</f>
        <v>G</v>
      </c>
      <c r="K47" s="148" t="s">
        <v>89</v>
      </c>
      <c r="L47" s="150"/>
      <c r="M47" s="147" t="s">
        <v>91</v>
      </c>
      <c r="N47" s="147" t="s">
        <v>91</v>
      </c>
      <c r="O47" s="147" t="s">
        <v>91</v>
      </c>
      <c r="P47" s="147" t="s">
        <v>91</v>
      </c>
      <c r="Q47" s="147" t="s">
        <v>91</v>
      </c>
      <c r="R47" s="147" t="str">
        <f>VLOOKUP(B47,'1) Report'!$B$11:$AM$141,17,FALSE)</f>
        <v>G</v>
      </c>
      <c r="S47" s="148" t="s">
        <v>89</v>
      </c>
      <c r="T47" s="13"/>
      <c r="U47" s="149" t="s">
        <v>91</v>
      </c>
      <c r="V47" s="147" t="s">
        <v>91</v>
      </c>
      <c r="W47" s="147" t="s">
        <v>91</v>
      </c>
      <c r="X47" s="147" t="s">
        <v>91</v>
      </c>
      <c r="Y47" s="147" t="s">
        <v>91</v>
      </c>
      <c r="Z47" s="147" t="str">
        <f>VLOOKUP(B47,'1) Report'!$B$11:$AM$141,38,FALSE)</f>
        <v>G</v>
      </c>
      <c r="AA47" s="148" t="s">
        <v>89</v>
      </c>
      <c r="AB47" s="151">
        <v>0.11471985000000018</v>
      </c>
      <c r="AC47" s="151">
        <v>0.12127096999999765</v>
      </c>
      <c r="AD47" s="151">
        <v>1.1605200000005311E-2</v>
      </c>
      <c r="AE47" s="151">
        <v>3.1390809999997771E-2</v>
      </c>
      <c r="AH47" s="152"/>
      <c r="AI47" s="15"/>
      <c r="AJ47" s="154">
        <v>0.49047705780632006</v>
      </c>
      <c r="AK47" s="155">
        <v>0.48988327873414211</v>
      </c>
      <c r="AL47" s="149" t="s">
        <v>91</v>
      </c>
      <c r="AM47" s="154">
        <v>0.49047705780632006</v>
      </c>
      <c r="AN47" s="155">
        <v>0.48988327744012011</v>
      </c>
      <c r="AO47" s="149" t="s">
        <v>91</v>
      </c>
      <c r="AP47" s="154">
        <v>0.49047705780632006</v>
      </c>
      <c r="AQ47" s="155">
        <v>0.4898832764336587</v>
      </c>
      <c r="AR47" s="149" t="s">
        <v>91</v>
      </c>
      <c r="AS47" s="154">
        <v>0.49047705780632006</v>
      </c>
      <c r="AT47" s="155">
        <v>0.48988327744012011</v>
      </c>
      <c r="AU47" s="149" t="s">
        <v>91</v>
      </c>
      <c r="AV47" s="154"/>
      <c r="AW47" s="155"/>
      <c r="AX47" s="149"/>
      <c r="AY47" s="154"/>
      <c r="AZ47" s="155"/>
      <c r="BA47" s="149"/>
      <c r="BC47" s="292" t="s">
        <v>367</v>
      </c>
    </row>
    <row r="48" spans="2:55" ht="3" customHeight="1" thickBot="1" x14ac:dyDescent="0.45">
      <c r="B48" s="123"/>
      <c r="C48" s="123"/>
      <c r="D48" s="123"/>
      <c r="E48" s="265"/>
      <c r="F48" s="265"/>
      <c r="G48" s="265"/>
      <c r="H48" s="265"/>
      <c r="I48" s="265"/>
      <c r="J48" s="123"/>
      <c r="K48" s="123"/>
      <c r="L48" s="123"/>
      <c r="M48" s="265"/>
      <c r="N48" s="265"/>
      <c r="O48" s="265"/>
      <c r="P48" s="265"/>
      <c r="Q48" s="265"/>
      <c r="R48" s="123"/>
      <c r="S48" s="123"/>
      <c r="T48" s="123"/>
      <c r="U48" s="265"/>
      <c r="V48" s="265"/>
      <c r="W48" s="265"/>
      <c r="X48" s="265"/>
      <c r="Y48" s="265"/>
      <c r="Z48" s="123"/>
      <c r="AA48" s="123"/>
      <c r="AB48" s="123"/>
      <c r="AC48" s="123"/>
      <c r="AD48" s="123"/>
      <c r="AE48" s="123"/>
      <c r="AF48" s="123"/>
      <c r="AG48" s="123"/>
      <c r="AH48" s="123"/>
      <c r="AI48" s="123"/>
      <c r="AJ48" s="123"/>
      <c r="AK48" s="123"/>
      <c r="AL48" s="123"/>
      <c r="AM48" s="123"/>
      <c r="AN48" s="123"/>
      <c r="AO48" s="123"/>
      <c r="AP48" s="123"/>
      <c r="AQ48" s="123"/>
      <c r="AR48" s="123"/>
      <c r="AS48" s="123"/>
      <c r="AT48" s="123"/>
      <c r="AU48" s="123"/>
      <c r="AV48" s="123"/>
      <c r="AW48" s="123"/>
      <c r="AX48" s="123"/>
      <c r="AY48" s="123"/>
      <c r="AZ48" s="123"/>
    </row>
    <row r="49" spans="2:55" ht="16.5" customHeight="1" thickBot="1" x14ac:dyDescent="0.45">
      <c r="B49" s="848" t="s">
        <v>196</v>
      </c>
      <c r="C49" s="849"/>
      <c r="D49" s="849"/>
      <c r="E49" s="849"/>
      <c r="F49" s="849"/>
      <c r="G49" s="849"/>
      <c r="H49" s="849"/>
      <c r="I49" s="849"/>
      <c r="J49" s="849"/>
      <c r="K49" s="849"/>
      <c r="L49" s="849"/>
      <c r="M49" s="849"/>
      <c r="N49" s="849"/>
      <c r="O49" s="849"/>
      <c r="P49" s="849"/>
      <c r="Q49" s="849"/>
      <c r="R49" s="849"/>
      <c r="S49" s="849"/>
      <c r="T49" s="849"/>
      <c r="U49" s="849"/>
      <c r="V49" s="849"/>
      <c r="W49" s="849"/>
      <c r="X49" s="849"/>
      <c r="Y49" s="849"/>
      <c r="Z49" s="849"/>
      <c r="AA49" s="850"/>
      <c r="AB49" s="134"/>
      <c r="AC49" s="134"/>
      <c r="AD49" s="134"/>
      <c r="AE49" s="134"/>
      <c r="AF49" s="134"/>
      <c r="AG49" s="134"/>
      <c r="AH49" s="134"/>
      <c r="AI49" s="134"/>
      <c r="AJ49" s="134"/>
      <c r="AK49" s="134"/>
      <c r="AL49" s="134"/>
      <c r="AM49" s="134"/>
      <c r="AN49" s="134"/>
      <c r="AO49" s="134"/>
      <c r="AP49" s="134"/>
      <c r="AQ49" s="134"/>
      <c r="AR49" s="134"/>
      <c r="AS49" s="134"/>
      <c r="AT49" s="134"/>
      <c r="AU49" s="134"/>
      <c r="AV49" s="134"/>
      <c r="AW49" s="134"/>
      <c r="AX49" s="134"/>
      <c r="AY49" s="134"/>
      <c r="AZ49" s="134"/>
      <c r="BA49" s="135"/>
      <c r="BC49" s="91" t="s">
        <v>368</v>
      </c>
    </row>
    <row r="50" spans="2:55" ht="3" customHeight="1" x14ac:dyDescent="0.4">
      <c r="B50" s="123"/>
      <c r="C50" s="123"/>
      <c r="D50" s="123"/>
      <c r="E50" s="123"/>
      <c r="F50" s="123"/>
      <c r="G50" s="123"/>
      <c r="H50" s="123"/>
      <c r="I50" s="123"/>
      <c r="J50" s="123"/>
      <c r="K50" s="123"/>
      <c r="L50" s="123"/>
      <c r="M50" s="123"/>
      <c r="N50" s="123"/>
      <c r="O50" s="123"/>
      <c r="P50" s="123"/>
      <c r="Q50" s="123"/>
      <c r="R50" s="123"/>
      <c r="S50" s="123"/>
      <c r="T50" s="123"/>
      <c r="U50" s="123"/>
      <c r="V50" s="123"/>
      <c r="W50" s="123"/>
      <c r="X50" s="123"/>
      <c r="Y50" s="123"/>
      <c r="Z50" s="123"/>
      <c r="AA50" s="123"/>
      <c r="AB50" s="123"/>
      <c r="AC50" s="123"/>
      <c r="AD50" s="123"/>
      <c r="AE50" s="123"/>
      <c r="AF50" s="123"/>
      <c r="AG50" s="123"/>
      <c r="AH50" s="123"/>
      <c r="AI50" s="123"/>
      <c r="AJ50" s="123"/>
      <c r="AK50" s="123"/>
      <c r="AL50" s="123"/>
      <c r="AM50" s="123"/>
      <c r="AN50" s="123"/>
      <c r="AO50" s="123"/>
      <c r="AP50" s="123"/>
      <c r="AQ50" s="123"/>
      <c r="AR50" s="123"/>
      <c r="AS50" s="123"/>
      <c r="AT50" s="123"/>
      <c r="AU50" s="123"/>
      <c r="AV50" s="123"/>
      <c r="AW50" s="123"/>
      <c r="AX50" s="123"/>
      <c r="AY50" s="123"/>
      <c r="AZ50" s="123"/>
    </row>
    <row r="51" spans="2:55" ht="16.5" customHeight="1" x14ac:dyDescent="0.4">
      <c r="B51" s="143" t="s">
        <v>171</v>
      </c>
      <c r="C51" s="157" t="s">
        <v>166</v>
      </c>
      <c r="D51" s="162"/>
      <c r="E51" s="146" t="s">
        <v>88</v>
      </c>
      <c r="F51" s="146" t="s">
        <v>88</v>
      </c>
      <c r="G51" s="146" t="s">
        <v>88</v>
      </c>
      <c r="H51" s="147" t="s">
        <v>88</v>
      </c>
      <c r="I51" s="147" t="s">
        <v>88</v>
      </c>
      <c r="J51" s="147" t="str">
        <f>VLOOKUP(B51,'1) Report'!$B$17:$AM$141,5,FALSE)</f>
        <v>R</v>
      </c>
      <c r="K51" s="148" t="s">
        <v>89</v>
      </c>
      <c r="L51" s="150"/>
      <c r="M51" s="146" t="s">
        <v>88</v>
      </c>
      <c r="N51" s="146" t="s">
        <v>88</v>
      </c>
      <c r="O51" s="146" t="s">
        <v>88</v>
      </c>
      <c r="P51" s="146" t="s">
        <v>88</v>
      </c>
      <c r="Q51" s="147" t="s">
        <v>88</v>
      </c>
      <c r="R51" s="147" t="str">
        <f>VLOOKUP(B51,'1) Report'!$B$11:$AM$141,17,FALSE)</f>
        <v>R</v>
      </c>
      <c r="S51" s="148" t="s">
        <v>89</v>
      </c>
      <c r="T51" s="13"/>
      <c r="U51" s="149" t="s">
        <v>91</v>
      </c>
      <c r="V51" s="149" t="s">
        <v>91</v>
      </c>
      <c r="W51" s="147" t="s">
        <v>91</v>
      </c>
      <c r="X51" s="147" t="s">
        <v>91</v>
      </c>
      <c r="Y51" s="147" t="s">
        <v>91</v>
      </c>
      <c r="Z51" s="147" t="str">
        <f>VLOOKUP(B51,'1) Report'!$B$11:$AM$141,38,FALSE)</f>
        <v>A</v>
      </c>
      <c r="AA51" s="148" t="s">
        <v>555</v>
      </c>
      <c r="AB51" s="151">
        <v>-0.11128699999999725</v>
      </c>
      <c r="AC51" s="151">
        <v>0.14182951000000088</v>
      </c>
      <c r="AD51" s="151">
        <v>3.4107169999998632E-2</v>
      </c>
      <c r="AE51" s="151">
        <v>3.4118239999997968E-2</v>
      </c>
      <c r="AH51" s="152"/>
      <c r="AI51" s="15"/>
      <c r="AJ51" s="154">
        <v>0.23447291180637214</v>
      </c>
      <c r="AK51" s="155">
        <v>0.22561569963428013</v>
      </c>
      <c r="AL51" s="149" t="s">
        <v>91</v>
      </c>
      <c r="AM51" s="154">
        <v>0.25991070337263422</v>
      </c>
      <c r="AN51" s="155">
        <v>0.24556728883919646</v>
      </c>
      <c r="AO51" s="149" t="s">
        <v>91</v>
      </c>
      <c r="AP51" s="154">
        <v>0.28247386401054797</v>
      </c>
      <c r="AQ51" s="155">
        <v>0.24907899426072849</v>
      </c>
      <c r="AR51" s="149" t="s">
        <v>90</v>
      </c>
      <c r="AS51" s="154">
        <v>0.25991070337263422</v>
      </c>
      <c r="AT51" s="155">
        <v>0.24556728883919646</v>
      </c>
      <c r="AU51" s="149" t="s">
        <v>91</v>
      </c>
      <c r="AV51" s="154"/>
      <c r="AW51" s="155"/>
      <c r="AX51" s="149"/>
      <c r="AY51" s="154"/>
      <c r="AZ51" s="155"/>
      <c r="BA51" s="149"/>
      <c r="BC51" s="91" t="s">
        <v>367</v>
      </c>
    </row>
    <row r="52" spans="2:55" ht="16.5" customHeight="1" x14ac:dyDescent="0.4">
      <c r="B52" s="143" t="s">
        <v>107</v>
      </c>
      <c r="C52" s="144" t="s">
        <v>167</v>
      </c>
      <c r="D52" s="162"/>
      <c r="E52" s="146" t="s">
        <v>90</v>
      </c>
      <c r="F52" s="146" t="s">
        <v>90</v>
      </c>
      <c r="G52" s="146" t="s">
        <v>90</v>
      </c>
      <c r="H52" s="147" t="s">
        <v>90</v>
      </c>
      <c r="I52" s="147" t="s">
        <v>90</v>
      </c>
      <c r="J52" s="147" t="str">
        <f>VLOOKUP(B52,'1) Report'!$B$17:$AM$141,5,FALSE)</f>
        <v>A</v>
      </c>
      <c r="K52" s="148" t="s">
        <v>89</v>
      </c>
      <c r="L52" s="150"/>
      <c r="M52" s="146" t="s">
        <v>88</v>
      </c>
      <c r="N52" s="146" t="s">
        <v>88</v>
      </c>
      <c r="O52" s="146" t="s">
        <v>88</v>
      </c>
      <c r="P52" s="146" t="s">
        <v>88</v>
      </c>
      <c r="Q52" s="147" t="s">
        <v>88</v>
      </c>
      <c r="R52" s="147" t="str">
        <f>VLOOKUP(B52,'1) Report'!$B$11:$AM$141,17,FALSE)</f>
        <v>R</v>
      </c>
      <c r="S52" s="148" t="s">
        <v>89</v>
      </c>
      <c r="T52" s="13"/>
      <c r="U52" s="149" t="s">
        <v>88</v>
      </c>
      <c r="V52" s="149" t="s">
        <v>88</v>
      </c>
      <c r="W52" s="147" t="s">
        <v>88</v>
      </c>
      <c r="X52" s="147" t="s">
        <v>88</v>
      </c>
      <c r="Y52" s="147" t="s">
        <v>88</v>
      </c>
      <c r="Z52" s="147" t="str">
        <f>VLOOKUP(B52,'1) Report'!$B$11:$AM$141,38,FALSE)</f>
        <v>A</v>
      </c>
      <c r="AA52" s="148" t="s">
        <v>556</v>
      </c>
      <c r="AB52" s="151">
        <v>-4.2774200000010865E-3</v>
      </c>
      <c r="AC52" s="151">
        <v>0.17943466999999202</v>
      </c>
      <c r="AD52" s="151">
        <v>5.7092492600000071</v>
      </c>
      <c r="AE52" s="158">
        <v>2.3925098299999945</v>
      </c>
      <c r="AH52" s="152"/>
      <c r="AI52" s="15"/>
      <c r="AJ52" s="154">
        <v>1.0752203100344775</v>
      </c>
      <c r="AK52" s="155">
        <v>0.89559179751441187</v>
      </c>
      <c r="AL52" s="146" t="s">
        <v>88</v>
      </c>
      <c r="AM52" s="154">
        <v>1.0825397368690326</v>
      </c>
      <c r="AN52" s="155">
        <v>0.89559179780943576</v>
      </c>
      <c r="AO52" s="146" t="s">
        <v>88</v>
      </c>
      <c r="AP52" s="154">
        <v>1.0881862688453019</v>
      </c>
      <c r="AQ52" s="155">
        <v>0.89559179456712312</v>
      </c>
      <c r="AR52" s="146" t="s">
        <v>88</v>
      </c>
      <c r="AS52" s="154">
        <v>1.0825397368690326</v>
      </c>
      <c r="AT52" s="155">
        <v>0.89559179780943576</v>
      </c>
      <c r="AU52" s="146" t="s">
        <v>88</v>
      </c>
      <c r="AV52" s="154"/>
      <c r="AW52" s="155"/>
      <c r="AX52" s="146"/>
      <c r="AY52" s="154"/>
      <c r="AZ52" s="155"/>
      <c r="BA52" s="146"/>
      <c r="BC52" s="292" t="s">
        <v>366</v>
      </c>
    </row>
    <row r="53" spans="2:55" ht="16.5" customHeight="1" x14ac:dyDescent="0.4">
      <c r="B53" s="143" t="s">
        <v>108</v>
      </c>
      <c r="C53" s="157" t="s">
        <v>13</v>
      </c>
      <c r="D53" s="162"/>
      <c r="E53" s="146" t="s">
        <v>90</v>
      </c>
      <c r="F53" s="146" t="s">
        <v>90</v>
      </c>
      <c r="G53" s="146" t="s">
        <v>90</v>
      </c>
      <c r="H53" s="147" t="s">
        <v>90</v>
      </c>
      <c r="I53" s="147" t="s">
        <v>90</v>
      </c>
      <c r="J53" s="147" t="str">
        <f>VLOOKUP(B53,'1) Report'!$B$17:$AM$141,5,FALSE)</f>
        <v>A</v>
      </c>
      <c r="K53" s="148" t="s">
        <v>89</v>
      </c>
      <c r="L53" s="150"/>
      <c r="M53" s="146" t="s">
        <v>88</v>
      </c>
      <c r="N53" s="146" t="s">
        <v>88</v>
      </c>
      <c r="O53" s="146" t="s">
        <v>88</v>
      </c>
      <c r="P53" s="146" t="s">
        <v>88</v>
      </c>
      <c r="Q53" s="147" t="s">
        <v>88</v>
      </c>
      <c r="R53" s="147" t="str">
        <f>VLOOKUP(B53,'1) Report'!$B$11:$AM$141,17,FALSE)</f>
        <v>R</v>
      </c>
      <c r="S53" s="148" t="s">
        <v>89</v>
      </c>
      <c r="T53" s="13"/>
      <c r="U53" s="149" t="s">
        <v>91</v>
      </c>
      <c r="V53" s="149" t="s">
        <v>91</v>
      </c>
      <c r="W53" s="147" t="s">
        <v>91</v>
      </c>
      <c r="X53" s="147" t="s">
        <v>91</v>
      </c>
      <c r="Y53" s="147" t="s">
        <v>91</v>
      </c>
      <c r="Z53" s="147" t="str">
        <f>VLOOKUP(B53,'1) Report'!$B$11:$AM$141,38,FALSE)</f>
        <v>G</v>
      </c>
      <c r="AA53" s="148" t="s">
        <v>89</v>
      </c>
      <c r="AB53" s="151">
        <v>2.0720289999999864E-2</v>
      </c>
      <c r="AC53" s="151">
        <v>4.0375850000003766E-2</v>
      </c>
      <c r="AD53" s="151">
        <v>5.5876929999982394E-2</v>
      </c>
      <c r="AE53" s="151">
        <v>7.8460069999991333E-2</v>
      </c>
      <c r="AH53" s="152"/>
      <c r="AI53" s="15"/>
      <c r="AJ53" s="154">
        <v>0.66077819765803048</v>
      </c>
      <c r="AK53" s="155">
        <v>0.64829474164399203</v>
      </c>
      <c r="AL53" s="149" t="s">
        <v>91</v>
      </c>
      <c r="AM53" s="154">
        <v>0.66849697172942346</v>
      </c>
      <c r="AN53" s="155">
        <v>0.65192561488245138</v>
      </c>
      <c r="AO53" s="149" t="s">
        <v>91</v>
      </c>
      <c r="AP53" s="154">
        <v>0.67481815760271013</v>
      </c>
      <c r="AQ53" s="155">
        <v>0.6567714628672805</v>
      </c>
      <c r="AR53" s="149" t="s">
        <v>91</v>
      </c>
      <c r="AS53" s="154">
        <v>0.66849697172942346</v>
      </c>
      <c r="AT53" s="155">
        <v>0.65192561488245138</v>
      </c>
      <c r="AU53" s="149" t="s">
        <v>91</v>
      </c>
      <c r="AV53" s="154"/>
      <c r="AW53" s="155"/>
      <c r="AX53" s="149"/>
      <c r="AY53" s="154"/>
      <c r="AZ53" s="155"/>
      <c r="BA53" s="149"/>
      <c r="BC53" s="292" t="s">
        <v>366</v>
      </c>
    </row>
    <row r="54" spans="2:55" s="229" customFormat="1" ht="16.5" customHeight="1" x14ac:dyDescent="0.4">
      <c r="B54" s="143" t="s">
        <v>302</v>
      </c>
      <c r="C54" s="157" t="s">
        <v>307</v>
      </c>
      <c r="D54" s="81"/>
      <c r="E54" s="146" t="s">
        <v>91</v>
      </c>
      <c r="F54" s="146" t="s">
        <v>91</v>
      </c>
      <c r="G54" s="146" t="s">
        <v>91</v>
      </c>
      <c r="H54" s="147" t="s">
        <v>91</v>
      </c>
      <c r="I54" s="147" t="s">
        <v>91</v>
      </c>
      <c r="J54" s="147" t="str">
        <f>VLOOKUP(B54,'1) Report'!$B$17:$AM$141,5,FALSE)</f>
        <v>G</v>
      </c>
      <c r="K54" s="148" t="s">
        <v>89</v>
      </c>
      <c r="L54" s="232"/>
      <c r="M54" s="146" t="s">
        <v>88</v>
      </c>
      <c r="N54" s="146" t="s">
        <v>88</v>
      </c>
      <c r="O54" s="146" t="s">
        <v>88</v>
      </c>
      <c r="P54" s="146" t="s">
        <v>88</v>
      </c>
      <c r="Q54" s="147" t="s">
        <v>88</v>
      </c>
      <c r="R54" s="147" t="str">
        <f>VLOOKUP(B54,'1) Report'!$B$11:$AM$141,17,FALSE)</f>
        <v>G</v>
      </c>
      <c r="S54" s="148" t="s">
        <v>556</v>
      </c>
      <c r="T54" s="13"/>
      <c r="U54" s="146" t="s">
        <v>90</v>
      </c>
      <c r="V54" s="146" t="s">
        <v>90</v>
      </c>
      <c r="W54" s="147" t="s">
        <v>90</v>
      </c>
      <c r="X54" s="147" t="s">
        <v>90</v>
      </c>
      <c r="Y54" s="147" t="s">
        <v>90</v>
      </c>
      <c r="Z54" s="147" t="str">
        <f>VLOOKUP(B54,'1) Report'!$B$11:$AM$141,38,FALSE)</f>
        <v>G</v>
      </c>
      <c r="AA54" s="148" t="s">
        <v>556</v>
      </c>
      <c r="AB54" s="233"/>
      <c r="AC54" s="233"/>
      <c r="AD54" s="233"/>
      <c r="AE54" s="233"/>
      <c r="AH54" s="234"/>
      <c r="AI54" s="15"/>
      <c r="AJ54" s="235"/>
      <c r="AK54" s="236"/>
      <c r="AL54" s="231"/>
      <c r="AM54" s="235"/>
      <c r="AN54" s="236"/>
      <c r="AO54" s="231"/>
      <c r="AP54" s="235"/>
      <c r="AQ54" s="236"/>
      <c r="AR54" s="231"/>
      <c r="AS54" s="235"/>
      <c r="AT54" s="236"/>
      <c r="AU54" s="231"/>
      <c r="AV54" s="235"/>
      <c r="AW54" s="236"/>
      <c r="AX54" s="231"/>
      <c r="AY54" s="235"/>
      <c r="AZ54" s="236"/>
      <c r="BA54" s="231"/>
      <c r="BC54" s="229" t="s">
        <v>366</v>
      </c>
    </row>
    <row r="55" spans="2:55" s="229" customFormat="1" ht="3" customHeight="1" thickBot="1" x14ac:dyDescent="0.45">
      <c r="B55" s="228"/>
      <c r="C55" s="228"/>
      <c r="D55" s="228"/>
      <c r="E55" s="265"/>
      <c r="F55" s="265"/>
      <c r="G55" s="265"/>
      <c r="H55" s="265"/>
      <c r="I55" s="265"/>
      <c r="J55" s="228"/>
      <c r="K55" s="228"/>
      <c r="L55" s="228"/>
      <c r="M55" s="265"/>
      <c r="N55" s="265"/>
      <c r="O55" s="265"/>
      <c r="P55" s="265"/>
      <c r="Q55" s="265"/>
      <c r="R55" s="228"/>
      <c r="S55" s="228"/>
      <c r="T55" s="228"/>
      <c r="U55" s="228"/>
      <c r="V55" s="228"/>
      <c r="W55" s="228"/>
      <c r="X55" s="228"/>
      <c r="Y55" s="228"/>
      <c r="Z55" s="228"/>
      <c r="AA55" s="228"/>
      <c r="AB55" s="228"/>
      <c r="AC55" s="228"/>
      <c r="AD55" s="228"/>
      <c r="AE55" s="228"/>
      <c r="AF55" s="228"/>
      <c r="AG55" s="228"/>
      <c r="AH55" s="228"/>
      <c r="AI55" s="228"/>
      <c r="AJ55" s="228"/>
      <c r="AK55" s="228"/>
      <c r="AL55" s="228"/>
      <c r="AM55" s="228"/>
      <c r="AN55" s="228"/>
      <c r="AO55" s="228"/>
      <c r="AP55" s="228"/>
      <c r="AQ55" s="228"/>
      <c r="AR55" s="228"/>
      <c r="AS55" s="228"/>
      <c r="AT55" s="228"/>
      <c r="AU55" s="228"/>
      <c r="AV55" s="228"/>
      <c r="AW55" s="228"/>
      <c r="AX55" s="228"/>
      <c r="AY55" s="228"/>
      <c r="AZ55" s="228"/>
    </row>
    <row r="56" spans="2:55" s="229" customFormat="1" ht="16.5" customHeight="1" thickBot="1" x14ac:dyDescent="0.45">
      <c r="B56" s="848" t="s">
        <v>319</v>
      </c>
      <c r="C56" s="849"/>
      <c r="D56" s="849"/>
      <c r="E56" s="849"/>
      <c r="F56" s="849"/>
      <c r="G56" s="849"/>
      <c r="H56" s="849"/>
      <c r="I56" s="849"/>
      <c r="J56" s="849"/>
      <c r="K56" s="849"/>
      <c r="L56" s="849"/>
      <c r="M56" s="849"/>
      <c r="N56" s="849"/>
      <c r="O56" s="849"/>
      <c r="P56" s="849"/>
      <c r="Q56" s="849"/>
      <c r="R56" s="849"/>
      <c r="S56" s="849"/>
      <c r="T56" s="849"/>
      <c r="U56" s="849"/>
      <c r="V56" s="849"/>
      <c r="W56" s="849"/>
      <c r="X56" s="849"/>
      <c r="Y56" s="849"/>
      <c r="Z56" s="849"/>
      <c r="AA56" s="850"/>
      <c r="AB56" s="134"/>
      <c r="AC56" s="134"/>
      <c r="AD56" s="134"/>
      <c r="AE56" s="134"/>
      <c r="AF56" s="134"/>
      <c r="AG56" s="134"/>
      <c r="AH56" s="134"/>
      <c r="AI56" s="134"/>
      <c r="AJ56" s="134"/>
      <c r="AK56" s="134"/>
      <c r="AL56" s="134"/>
      <c r="AM56" s="134"/>
      <c r="AN56" s="134"/>
      <c r="AO56" s="134"/>
      <c r="AP56" s="134"/>
      <c r="AQ56" s="134"/>
      <c r="AR56" s="134"/>
      <c r="AS56" s="134"/>
      <c r="AT56" s="134"/>
      <c r="AU56" s="134"/>
      <c r="AV56" s="134"/>
      <c r="AW56" s="134"/>
      <c r="AX56" s="134"/>
      <c r="AY56" s="134"/>
      <c r="AZ56" s="134"/>
      <c r="BA56" s="135"/>
      <c r="BC56" s="229" t="s">
        <v>368</v>
      </c>
    </row>
    <row r="57" spans="2:55" s="229" customFormat="1" ht="3" customHeight="1" x14ac:dyDescent="0.4">
      <c r="B57" s="228"/>
      <c r="C57" s="228"/>
      <c r="D57" s="228"/>
      <c r="E57" s="228"/>
      <c r="F57" s="228"/>
      <c r="G57" s="228"/>
      <c r="H57" s="228"/>
      <c r="I57" s="228"/>
      <c r="J57" s="228"/>
      <c r="K57" s="228"/>
      <c r="L57" s="228"/>
      <c r="M57" s="228"/>
      <c r="N57" s="228"/>
      <c r="O57" s="228"/>
      <c r="P57" s="228"/>
      <c r="Q57" s="228"/>
      <c r="R57" s="228"/>
      <c r="S57" s="228"/>
      <c r="T57" s="228"/>
      <c r="U57" s="228"/>
      <c r="V57" s="228"/>
      <c r="W57" s="228"/>
      <c r="X57" s="228"/>
      <c r="Y57" s="228"/>
      <c r="Z57" s="228"/>
      <c r="AA57" s="228"/>
      <c r="AB57" s="228"/>
      <c r="AC57" s="228"/>
      <c r="AD57" s="228"/>
      <c r="AE57" s="228"/>
      <c r="AF57" s="228"/>
      <c r="AG57" s="228"/>
      <c r="AH57" s="228"/>
      <c r="AI57" s="228"/>
      <c r="AJ57" s="228"/>
      <c r="AK57" s="228"/>
      <c r="AL57" s="228"/>
      <c r="AM57" s="228"/>
      <c r="AN57" s="228"/>
      <c r="AO57" s="228"/>
      <c r="AP57" s="228"/>
      <c r="AQ57" s="228"/>
      <c r="AR57" s="228"/>
      <c r="AS57" s="228"/>
      <c r="AT57" s="228"/>
      <c r="AU57" s="228"/>
      <c r="AV57" s="228"/>
      <c r="AW57" s="228"/>
      <c r="AX57" s="228"/>
      <c r="AY57" s="228"/>
      <c r="AZ57" s="228"/>
    </row>
    <row r="58" spans="2:55" s="296" customFormat="1" ht="16.5" customHeight="1" x14ac:dyDescent="0.4">
      <c r="B58" s="143" t="s">
        <v>315</v>
      </c>
      <c r="C58" s="144" t="s">
        <v>318</v>
      </c>
      <c r="D58" s="81"/>
      <c r="E58" s="147" t="s">
        <v>88</v>
      </c>
      <c r="F58" s="147" t="s">
        <v>88</v>
      </c>
      <c r="G58" s="147" t="s">
        <v>88</v>
      </c>
      <c r="H58" s="147" t="s">
        <v>88</v>
      </c>
      <c r="I58" s="147" t="s">
        <v>88</v>
      </c>
      <c r="J58" s="147" t="s">
        <v>88</v>
      </c>
      <c r="K58" s="148" t="s">
        <v>89</v>
      </c>
      <c r="L58" s="232"/>
      <c r="M58" s="147" t="s">
        <v>88</v>
      </c>
      <c r="N58" s="147" t="s">
        <v>88</v>
      </c>
      <c r="O58" s="147" t="s">
        <v>88</v>
      </c>
      <c r="P58" s="147" t="s">
        <v>88</v>
      </c>
      <c r="Q58" s="147" t="s">
        <v>88</v>
      </c>
      <c r="R58" s="147" t="str">
        <f>VLOOKUP(B58,'1) Report'!$B$11:$AM$141,17,FALSE)</f>
        <v>R</v>
      </c>
      <c r="S58" s="148" t="s">
        <v>89</v>
      </c>
      <c r="T58" s="266"/>
      <c r="U58" s="147" t="s">
        <v>91</v>
      </c>
      <c r="V58" s="147" t="s">
        <v>91</v>
      </c>
      <c r="W58" s="147" t="s">
        <v>91</v>
      </c>
      <c r="X58" s="147" t="s">
        <v>91</v>
      </c>
      <c r="Y58" s="147" t="s">
        <v>91</v>
      </c>
      <c r="Z58" s="147" t="str">
        <f>VLOOKUP(B58,'1) Report'!$B$11:$AM$141,38,FALSE)</f>
        <v>G</v>
      </c>
      <c r="AA58" s="148" t="s">
        <v>89</v>
      </c>
      <c r="AB58" s="233"/>
      <c r="AC58" s="233"/>
      <c r="AD58" s="233"/>
      <c r="AE58" s="233"/>
      <c r="AH58" s="234"/>
      <c r="AI58" s="267"/>
      <c r="AJ58" s="235"/>
      <c r="AK58" s="236"/>
      <c r="AL58" s="231"/>
      <c r="AM58" s="235"/>
      <c r="AN58" s="236"/>
      <c r="AO58" s="231"/>
      <c r="AP58" s="235"/>
      <c r="AQ58" s="236"/>
      <c r="AR58" s="231"/>
      <c r="AS58" s="235"/>
      <c r="AT58" s="236"/>
      <c r="AU58" s="231"/>
      <c r="AV58" s="235"/>
      <c r="AW58" s="236"/>
      <c r="AX58" s="231"/>
      <c r="AY58" s="235"/>
      <c r="AZ58" s="236"/>
      <c r="BA58" s="231"/>
      <c r="BC58" s="296" t="s">
        <v>367</v>
      </c>
    </row>
    <row r="59" spans="2:55" s="229" customFormat="1" ht="3" customHeight="1" thickBot="1" x14ac:dyDescent="0.45">
      <c r="B59" s="228"/>
      <c r="C59" s="228"/>
      <c r="D59" s="228"/>
      <c r="E59" s="265"/>
      <c r="F59" s="265"/>
      <c r="G59" s="265"/>
      <c r="H59" s="265"/>
      <c r="I59" s="265"/>
      <c r="J59" s="228"/>
      <c r="K59" s="228"/>
      <c r="L59" s="228"/>
      <c r="M59" s="228"/>
      <c r="N59" s="228"/>
      <c r="O59" s="228"/>
      <c r="P59" s="228"/>
      <c r="Q59" s="228"/>
      <c r="R59" s="228"/>
      <c r="S59" s="228"/>
      <c r="T59" s="228"/>
      <c r="U59" s="228"/>
      <c r="V59" s="228"/>
      <c r="W59" s="228"/>
      <c r="X59" s="228"/>
      <c r="Y59" s="228"/>
      <c r="Z59" s="228"/>
      <c r="AA59" s="228"/>
      <c r="AB59" s="228"/>
      <c r="AC59" s="228"/>
      <c r="AD59" s="228"/>
      <c r="AE59" s="228"/>
      <c r="AF59" s="228"/>
      <c r="AG59" s="228"/>
      <c r="AH59" s="228"/>
      <c r="AI59" s="228"/>
      <c r="AJ59" s="228"/>
      <c r="AK59" s="228"/>
      <c r="AL59" s="228"/>
      <c r="AM59" s="228"/>
      <c r="AN59" s="228"/>
      <c r="AO59" s="228"/>
      <c r="AP59" s="228"/>
      <c r="AQ59" s="228"/>
      <c r="AR59" s="228"/>
      <c r="AS59" s="228"/>
      <c r="AT59" s="228"/>
      <c r="AU59" s="228"/>
      <c r="AV59" s="228"/>
      <c r="AW59" s="228"/>
      <c r="AX59" s="228"/>
      <c r="AY59" s="228"/>
      <c r="AZ59" s="228"/>
    </row>
    <row r="60" spans="2:55" s="229" customFormat="1" ht="16.5" customHeight="1" thickBot="1" x14ac:dyDescent="0.45">
      <c r="B60" s="848" t="s">
        <v>320</v>
      </c>
      <c r="C60" s="849"/>
      <c r="D60" s="849"/>
      <c r="E60" s="849"/>
      <c r="F60" s="849"/>
      <c r="G60" s="849"/>
      <c r="H60" s="849"/>
      <c r="I60" s="849"/>
      <c r="J60" s="849"/>
      <c r="K60" s="849"/>
      <c r="L60" s="849"/>
      <c r="M60" s="849"/>
      <c r="N60" s="849"/>
      <c r="O60" s="849"/>
      <c r="P60" s="849"/>
      <c r="Q60" s="849"/>
      <c r="R60" s="849"/>
      <c r="S60" s="849"/>
      <c r="T60" s="849"/>
      <c r="U60" s="849"/>
      <c r="V60" s="849"/>
      <c r="W60" s="849"/>
      <c r="X60" s="849"/>
      <c r="Y60" s="849"/>
      <c r="Z60" s="849"/>
      <c r="AA60" s="850"/>
      <c r="AB60" s="134"/>
      <c r="AC60" s="134"/>
      <c r="AD60" s="134"/>
      <c r="AE60" s="134"/>
      <c r="AF60" s="134"/>
      <c r="AG60" s="134"/>
      <c r="AH60" s="134"/>
      <c r="AI60" s="134"/>
      <c r="AJ60" s="134"/>
      <c r="AK60" s="134"/>
      <c r="AL60" s="134"/>
      <c r="AM60" s="134"/>
      <c r="AN60" s="134"/>
      <c r="AO60" s="134"/>
      <c r="AP60" s="134"/>
      <c r="AQ60" s="134"/>
      <c r="AR60" s="134"/>
      <c r="AS60" s="134"/>
      <c r="AT60" s="134"/>
      <c r="AU60" s="134"/>
      <c r="AV60" s="134"/>
      <c r="AW60" s="134"/>
      <c r="AX60" s="134"/>
      <c r="AY60" s="134"/>
      <c r="AZ60" s="134"/>
      <c r="BA60" s="135"/>
      <c r="BC60" s="229" t="s">
        <v>368</v>
      </c>
    </row>
    <row r="61" spans="2:55" s="229" customFormat="1" ht="3" customHeight="1" x14ac:dyDescent="0.4">
      <c r="B61" s="228"/>
      <c r="C61" s="228"/>
      <c r="D61" s="228"/>
      <c r="E61" s="228"/>
      <c r="F61" s="228"/>
      <c r="G61" s="228"/>
      <c r="H61" s="228"/>
      <c r="I61" s="228"/>
      <c r="J61" s="228"/>
      <c r="K61" s="228"/>
      <c r="L61" s="228"/>
      <c r="M61" s="228"/>
      <c r="N61" s="228"/>
      <c r="O61" s="228"/>
      <c r="P61" s="228"/>
      <c r="Q61" s="228"/>
      <c r="R61" s="228"/>
      <c r="S61" s="228"/>
      <c r="T61" s="228"/>
      <c r="U61" s="228"/>
      <c r="V61" s="228"/>
      <c r="W61" s="228"/>
      <c r="X61" s="228"/>
      <c r="Y61" s="228"/>
      <c r="Z61" s="228"/>
      <c r="AA61" s="228"/>
      <c r="AB61" s="228"/>
      <c r="AC61" s="228"/>
      <c r="AD61" s="228"/>
      <c r="AE61" s="228"/>
      <c r="AF61" s="228"/>
      <c r="AG61" s="228"/>
      <c r="AH61" s="228"/>
      <c r="AI61" s="228"/>
      <c r="AJ61" s="228"/>
      <c r="AK61" s="228"/>
      <c r="AL61" s="228"/>
      <c r="AM61" s="228"/>
      <c r="AN61" s="228"/>
      <c r="AO61" s="228"/>
      <c r="AP61" s="228"/>
      <c r="AQ61" s="228"/>
      <c r="AR61" s="228"/>
      <c r="AS61" s="228"/>
      <c r="AT61" s="228"/>
      <c r="AU61" s="228"/>
      <c r="AV61" s="228"/>
      <c r="AW61" s="228"/>
      <c r="AX61" s="228"/>
      <c r="AY61" s="228"/>
      <c r="AZ61" s="228"/>
    </row>
    <row r="62" spans="2:55" s="229" customFormat="1" ht="16.5" customHeight="1" x14ac:dyDescent="0.4">
      <c r="B62" s="143" t="s">
        <v>164</v>
      </c>
      <c r="C62" s="144" t="s">
        <v>311</v>
      </c>
      <c r="D62" s="81"/>
      <c r="E62" s="147" t="s">
        <v>91</v>
      </c>
      <c r="F62" s="147" t="s">
        <v>91</v>
      </c>
      <c r="G62" s="147" t="s">
        <v>91</v>
      </c>
      <c r="H62" s="147" t="s">
        <v>91</v>
      </c>
      <c r="I62" s="147" t="s">
        <v>91</v>
      </c>
      <c r="J62" s="147" t="str">
        <f>VLOOKUP(B62,'1) Report'!$B$11:$AM$141,5,FALSE)</f>
        <v>G</v>
      </c>
      <c r="K62" s="148" t="s">
        <v>89</v>
      </c>
      <c r="L62" s="232"/>
      <c r="M62" s="147" t="s">
        <v>95</v>
      </c>
      <c r="N62" s="147" t="s">
        <v>95</v>
      </c>
      <c r="O62" s="147" t="s">
        <v>95</v>
      </c>
      <c r="P62" s="147" t="s">
        <v>95</v>
      </c>
      <c r="Q62" s="147" t="s">
        <v>95</v>
      </c>
      <c r="R62" s="147" t="str">
        <f>VLOOKUP(B62,'1) Report'!$B$11:$AM$141,17,FALSE)</f>
        <v>N/A</v>
      </c>
      <c r="S62" s="148" t="s">
        <v>89</v>
      </c>
      <c r="T62" s="13"/>
      <c r="U62" s="147" t="s">
        <v>95</v>
      </c>
      <c r="V62" s="147" t="s">
        <v>95</v>
      </c>
      <c r="W62" s="147" t="s">
        <v>95</v>
      </c>
      <c r="X62" s="147" t="s">
        <v>95</v>
      </c>
      <c r="Y62" s="147" t="s">
        <v>95</v>
      </c>
      <c r="Z62" s="147" t="str">
        <f>VLOOKUP(B62,'1) Report'!$B$11:$AM$141,38,FALSE)</f>
        <v>N/A</v>
      </c>
      <c r="AA62" s="148" t="s">
        <v>89</v>
      </c>
      <c r="AB62" s="233"/>
      <c r="AC62" s="233"/>
      <c r="AD62" s="233"/>
      <c r="AE62" s="233"/>
      <c r="AH62" s="234"/>
      <c r="AI62" s="15"/>
      <c r="AJ62" s="235"/>
      <c r="AK62" s="236"/>
      <c r="AL62" s="231"/>
      <c r="AM62" s="235"/>
      <c r="AN62" s="236"/>
      <c r="AO62" s="231"/>
      <c r="AP62" s="235"/>
      <c r="AQ62" s="236"/>
      <c r="AR62" s="231"/>
      <c r="AS62" s="235"/>
      <c r="AT62" s="236"/>
      <c r="AU62" s="231"/>
      <c r="AV62" s="235"/>
      <c r="AW62" s="236"/>
      <c r="AX62" s="231"/>
      <c r="AY62" s="235"/>
      <c r="AZ62" s="236"/>
      <c r="BA62" s="231"/>
      <c r="BC62" s="292" t="s">
        <v>366</v>
      </c>
    </row>
    <row r="65" spans="34:63" x14ac:dyDescent="0.4">
      <c r="AH65" s="164" t="s">
        <v>251</v>
      </c>
      <c r="AJ65" s="165">
        <f>AK16/AJ16</f>
        <v>0.2085422751107118</v>
      </c>
      <c r="AK65" s="166">
        <f>100%-AJ65</f>
        <v>0.79145772488928823</v>
      </c>
      <c r="AL65" s="165"/>
      <c r="AM65" s="165">
        <f>AN16/AM16</f>
        <v>0.19328050096323759</v>
      </c>
      <c r="AN65" s="166">
        <f>100%-AM65</f>
        <v>0.80671949903676243</v>
      </c>
      <c r="AO65" s="167"/>
      <c r="AP65" s="165">
        <f>AQ16/AP16</f>
        <v>0.18093667952317202</v>
      </c>
      <c r="AQ65" s="166">
        <f>100%-AP65</f>
        <v>0.81906332047682795</v>
      </c>
      <c r="AR65" s="166"/>
      <c r="AS65" s="165">
        <f>AT16/AS16</f>
        <v>0.19328050096323759</v>
      </c>
      <c r="AT65" s="166">
        <f t="shared" ref="AT65:AT74" si="0">100%-AS65</f>
        <v>0.80671949903676243</v>
      </c>
      <c r="AU65" s="166"/>
      <c r="AV65" s="165" t="e">
        <f>AW16/AV16</f>
        <v>#DIV/0!</v>
      </c>
      <c r="AW65" s="166" t="e">
        <f t="shared" ref="AW65:AW74" si="1">100%-AV65</f>
        <v>#DIV/0!</v>
      </c>
      <c r="AX65" s="166"/>
      <c r="AY65" s="165" t="e">
        <f>AZ16/AY16</f>
        <v>#DIV/0!</v>
      </c>
      <c r="AZ65" s="166" t="e">
        <f>100%-AY65</f>
        <v>#DIV/0!</v>
      </c>
    </row>
    <row r="66" spans="34:63" x14ac:dyDescent="0.4">
      <c r="AJ66" s="165">
        <f>AK12/AJ12</f>
        <v>0.47377081018907946</v>
      </c>
      <c r="AK66" s="166">
        <f t="shared" ref="AK66:AK74" si="2">100%-AJ66</f>
        <v>0.52622918981092059</v>
      </c>
      <c r="AL66" s="165"/>
      <c r="AM66" s="165">
        <f>AN12/AM12</f>
        <v>0.47152820481237256</v>
      </c>
      <c r="AN66" s="166">
        <f t="shared" ref="AN66:AN74" si="3">100%-AM66</f>
        <v>0.52847179518762744</v>
      </c>
      <c r="AO66" s="167"/>
      <c r="AP66" s="165">
        <f>AQ12/AP12</f>
        <v>0.47597280585960289</v>
      </c>
      <c r="AQ66" s="166">
        <f t="shared" ref="AQ66:AQ74" si="4">100%-AP66</f>
        <v>0.52402719414039711</v>
      </c>
      <c r="AR66" s="166"/>
      <c r="AS66" s="165">
        <f>AT12/AS12</f>
        <v>0.47152820481237256</v>
      </c>
      <c r="AT66" s="166">
        <f t="shared" si="0"/>
        <v>0.52847179518762744</v>
      </c>
      <c r="AU66" s="166"/>
      <c r="AV66" s="165" t="e">
        <f>AW12/AV12</f>
        <v>#DIV/0!</v>
      </c>
      <c r="AW66" s="166" t="e">
        <f t="shared" si="1"/>
        <v>#DIV/0!</v>
      </c>
      <c r="AX66" s="166"/>
      <c r="AY66" s="165" t="e">
        <f>AZ12/AY12</f>
        <v>#DIV/0!</v>
      </c>
      <c r="AZ66" s="166" t="e">
        <f t="shared" ref="AZ66:AZ74" si="5">100%-AY66</f>
        <v>#DIV/0!</v>
      </c>
    </row>
    <row r="67" spans="34:63" x14ac:dyDescent="0.4">
      <c r="AJ67" s="165" t="e">
        <f>#REF!/#REF!</f>
        <v>#REF!</v>
      </c>
      <c r="AK67" s="166" t="e">
        <f t="shared" si="2"/>
        <v>#REF!</v>
      </c>
      <c r="AL67" s="165"/>
      <c r="AM67" s="165" t="e">
        <f>#REF!/#REF!</f>
        <v>#REF!</v>
      </c>
      <c r="AN67" s="166" t="e">
        <f t="shared" si="3"/>
        <v>#REF!</v>
      </c>
      <c r="AO67" s="167"/>
      <c r="AP67" s="165" t="e">
        <f>#REF!/#REF!</f>
        <v>#REF!</v>
      </c>
      <c r="AQ67" s="166" t="e">
        <f t="shared" si="4"/>
        <v>#REF!</v>
      </c>
      <c r="AR67" s="166"/>
      <c r="AS67" s="165" t="e">
        <f>#REF!/#REF!</f>
        <v>#REF!</v>
      </c>
      <c r="AT67" s="166" t="e">
        <f t="shared" si="0"/>
        <v>#REF!</v>
      </c>
      <c r="AU67" s="166"/>
      <c r="AV67" s="165" t="e">
        <f>#REF!/#REF!</f>
        <v>#REF!</v>
      </c>
      <c r="AW67" s="166" t="e">
        <f t="shared" si="1"/>
        <v>#REF!</v>
      </c>
      <c r="AX67" s="166"/>
      <c r="AY67" s="165" t="e">
        <f>#REF!/#REF!</f>
        <v>#REF!</v>
      </c>
      <c r="AZ67" s="166" t="e">
        <f t="shared" si="5"/>
        <v>#REF!</v>
      </c>
    </row>
    <row r="68" spans="34:63" x14ac:dyDescent="0.4">
      <c r="AJ68" s="165">
        <f>AK8/AJ8</f>
        <v>0.7460734030922036</v>
      </c>
      <c r="AK68" s="166">
        <f t="shared" si="2"/>
        <v>0.2539265969077964</v>
      </c>
      <c r="AL68" s="165"/>
      <c r="AM68" s="165">
        <f>AN8/AM8</f>
        <v>0.75074360957743935</v>
      </c>
      <c r="AN68" s="166">
        <f t="shared" si="3"/>
        <v>0.24925639042256065</v>
      </c>
      <c r="AO68" s="167"/>
      <c r="AP68" s="165">
        <f>AQ8/AP8</f>
        <v>0.75067926409843377</v>
      </c>
      <c r="AQ68" s="166">
        <f t="shared" si="4"/>
        <v>0.24932073590156623</v>
      </c>
      <c r="AR68" s="166"/>
      <c r="AS68" s="165">
        <f>AT8/AS8</f>
        <v>0.75074360957743935</v>
      </c>
      <c r="AT68" s="166">
        <f t="shared" si="0"/>
        <v>0.24925639042256065</v>
      </c>
      <c r="AU68" s="166"/>
      <c r="AV68" s="165" t="e">
        <f>AW8/AV8</f>
        <v>#DIV/0!</v>
      </c>
      <c r="AW68" s="166" t="e">
        <f t="shared" si="1"/>
        <v>#DIV/0!</v>
      </c>
      <c r="AX68" s="166"/>
      <c r="AY68" s="165" t="e">
        <f>AZ8/AY8</f>
        <v>#DIV/0!</v>
      </c>
      <c r="AZ68" s="166" t="e">
        <f t="shared" si="5"/>
        <v>#DIV/0!</v>
      </c>
    </row>
    <row r="69" spans="34:63" x14ac:dyDescent="0.4">
      <c r="AJ69" s="165">
        <f>AK13/AJ13</f>
        <v>0.6133705965130255</v>
      </c>
      <c r="AK69" s="166">
        <f t="shared" si="2"/>
        <v>0.3866294034869745</v>
      </c>
      <c r="AL69" s="165"/>
      <c r="AM69" s="165">
        <f>AN13/AM13</f>
        <v>0.60342664627801179</v>
      </c>
      <c r="AN69" s="166">
        <f t="shared" si="3"/>
        <v>0.39657335372198821</v>
      </c>
      <c r="AO69" s="167"/>
      <c r="AP69" s="165">
        <f>AQ13/AP13</f>
        <v>0.59331963806929588</v>
      </c>
      <c r="AQ69" s="166">
        <f t="shared" si="4"/>
        <v>0.40668036193070412</v>
      </c>
      <c r="AR69" s="166"/>
      <c r="AS69" s="165">
        <f>AT13/AS13</f>
        <v>0.60342664627801179</v>
      </c>
      <c r="AT69" s="166">
        <f t="shared" si="0"/>
        <v>0.39657335372198821</v>
      </c>
      <c r="AU69" s="166"/>
      <c r="AV69" s="165" t="e">
        <f>AW13/AV13</f>
        <v>#DIV/0!</v>
      </c>
      <c r="AW69" s="166" t="e">
        <f t="shared" si="1"/>
        <v>#DIV/0!</v>
      </c>
      <c r="AX69" s="166"/>
      <c r="AY69" s="165" t="e">
        <f>AZ13/AY13</f>
        <v>#DIV/0!</v>
      </c>
      <c r="AZ69" s="166" t="e">
        <f t="shared" si="5"/>
        <v>#DIV/0!</v>
      </c>
    </row>
    <row r="70" spans="34:63" x14ac:dyDescent="0.4">
      <c r="AJ70" s="165">
        <f>AK40/AJ40</f>
        <v>0.98928741092886041</v>
      </c>
      <c r="AK70" s="168">
        <f t="shared" si="2"/>
        <v>1.0712589071139589E-2</v>
      </c>
      <c r="AL70" s="165"/>
      <c r="AM70" s="165">
        <f>AN40/AM40</f>
        <v>0.98980582528752514</v>
      </c>
      <c r="AN70" s="168">
        <f t="shared" si="3"/>
        <v>1.0194174712474857E-2</v>
      </c>
      <c r="AO70" s="167"/>
      <c r="AP70" s="165">
        <f>AQ40/AP40</f>
        <v>0.99063498568543495</v>
      </c>
      <c r="AQ70" s="168">
        <f t="shared" si="4"/>
        <v>9.3650143145650455E-3</v>
      </c>
      <c r="AR70" s="168"/>
      <c r="AS70" s="165">
        <f>AT40/AS40</f>
        <v>0.98980582528752514</v>
      </c>
      <c r="AT70" s="168">
        <f t="shared" si="0"/>
        <v>1.0194174712474857E-2</v>
      </c>
      <c r="AU70" s="168"/>
      <c r="AV70" s="165" t="e">
        <f>AW40/AV40</f>
        <v>#DIV/0!</v>
      </c>
      <c r="AW70" s="168" t="e">
        <f t="shared" si="1"/>
        <v>#DIV/0!</v>
      </c>
      <c r="AX70" s="168"/>
      <c r="AY70" s="165" t="e">
        <f>AZ40/AY40</f>
        <v>#DIV/0!</v>
      </c>
      <c r="AZ70" s="168" t="e">
        <f t="shared" si="5"/>
        <v>#DIV/0!</v>
      </c>
    </row>
    <row r="71" spans="34:63" x14ac:dyDescent="0.4">
      <c r="AJ71" s="165">
        <f>AK10/AJ10</f>
        <v>0.97926656718387517</v>
      </c>
      <c r="AK71" s="168">
        <f t="shared" si="2"/>
        <v>2.073343281612483E-2</v>
      </c>
      <c r="AL71" s="165"/>
      <c r="AM71" s="165">
        <f>AN10/AM10</f>
        <v>0.97303873906159333</v>
      </c>
      <c r="AN71" s="168">
        <f t="shared" si="3"/>
        <v>2.6961260938406673E-2</v>
      </c>
      <c r="AO71" s="167"/>
      <c r="AP71" s="165">
        <f>AQ10/AP10</f>
        <v>0.97675103803361552</v>
      </c>
      <c r="AQ71" s="168">
        <f t="shared" si="4"/>
        <v>2.3248961966384485E-2</v>
      </c>
      <c r="AR71" s="168"/>
      <c r="AS71" s="165">
        <f>AT10/AS10</f>
        <v>0.97303873906159333</v>
      </c>
      <c r="AT71" s="168">
        <f t="shared" si="0"/>
        <v>2.6961260938406673E-2</v>
      </c>
      <c r="AU71" s="168"/>
      <c r="AV71" s="165" t="e">
        <f>AW10/AV10</f>
        <v>#DIV/0!</v>
      </c>
      <c r="AW71" s="168" t="e">
        <f t="shared" si="1"/>
        <v>#DIV/0!</v>
      </c>
      <c r="AX71" s="168"/>
      <c r="AY71" s="165" t="e">
        <f>AZ10/AY10</f>
        <v>#DIV/0!</v>
      </c>
      <c r="AZ71" s="168" t="e">
        <f t="shared" si="5"/>
        <v>#DIV/0!</v>
      </c>
    </row>
    <row r="72" spans="34:63" x14ac:dyDescent="0.4">
      <c r="AJ72" s="165">
        <f>AK11/AJ11</f>
        <v>0.97760263912998469</v>
      </c>
      <c r="AK72" s="168">
        <f t="shared" si="2"/>
        <v>2.2397360870015315E-2</v>
      </c>
      <c r="AL72" s="165"/>
      <c r="AM72" s="165">
        <f>AN11/AM11</f>
        <v>0.97600212799520814</v>
      </c>
      <c r="AN72" s="168">
        <f t="shared" si="3"/>
        <v>2.3997872004791865E-2</v>
      </c>
      <c r="AO72" s="167"/>
      <c r="AP72" s="165">
        <f>AQ11/AP11</f>
        <v>0.97789299934791107</v>
      </c>
      <c r="AQ72" s="168">
        <f t="shared" si="4"/>
        <v>2.2107000652088926E-2</v>
      </c>
      <c r="AR72" s="168"/>
      <c r="AS72" s="165">
        <f>AT11/AS11</f>
        <v>0.97600212799520814</v>
      </c>
      <c r="AT72" s="168">
        <f t="shared" si="0"/>
        <v>2.3997872004791865E-2</v>
      </c>
      <c r="AU72" s="168"/>
      <c r="AV72" s="165" t="e">
        <f>AW11/AV11</f>
        <v>#DIV/0!</v>
      </c>
      <c r="AW72" s="168" t="e">
        <f t="shared" si="1"/>
        <v>#DIV/0!</v>
      </c>
      <c r="AX72" s="168"/>
      <c r="AY72" s="165" t="e">
        <f>AZ11/AY11</f>
        <v>#DIV/0!</v>
      </c>
      <c r="AZ72" s="168" t="e">
        <f t="shared" si="5"/>
        <v>#DIV/0!</v>
      </c>
    </row>
    <row r="73" spans="34:63" ht="15" hidden="1" customHeight="1" x14ac:dyDescent="0.4">
      <c r="AJ73" s="165">
        <f>AK9/AJ9</f>
        <v>0.98414805182005127</v>
      </c>
      <c r="AK73" s="168">
        <f t="shared" si="2"/>
        <v>1.5851948179948727E-2</v>
      </c>
      <c r="AL73" s="165"/>
      <c r="AM73" s="165">
        <f>AN9/AM9</f>
        <v>0.98240028015711023</v>
      </c>
      <c r="AN73" s="168">
        <f t="shared" si="3"/>
        <v>1.7599719842889772E-2</v>
      </c>
      <c r="AO73" s="167"/>
      <c r="AP73" s="165">
        <f>AQ9/AP9</f>
        <v>0.98216653489058336</v>
      </c>
      <c r="AQ73" s="168">
        <f t="shared" si="4"/>
        <v>1.7833465109416635E-2</v>
      </c>
      <c r="AR73" s="168"/>
      <c r="AS73" s="165">
        <f>AT9/AS9</f>
        <v>0.98240028015711023</v>
      </c>
      <c r="AT73" s="168">
        <f t="shared" si="0"/>
        <v>1.7599719842889772E-2</v>
      </c>
      <c r="AU73" s="168"/>
      <c r="AV73" s="165" t="e">
        <f>AW9/AV9</f>
        <v>#DIV/0!</v>
      </c>
      <c r="AW73" s="168" t="e">
        <f t="shared" si="1"/>
        <v>#DIV/0!</v>
      </c>
      <c r="AX73" s="168"/>
      <c r="AY73" s="165" t="e">
        <f>AZ9/AY9</f>
        <v>#DIV/0!</v>
      </c>
      <c r="AZ73" s="168" t="e">
        <f t="shared" si="5"/>
        <v>#DIV/0!</v>
      </c>
    </row>
    <row r="74" spans="34:63" ht="15" hidden="1" customHeight="1" x14ac:dyDescent="0.4">
      <c r="AJ74" s="165">
        <f>AK14/AJ14</f>
        <v>0.87415220411366923</v>
      </c>
      <c r="AK74" s="169">
        <f t="shared" si="2"/>
        <v>0.12584779588633077</v>
      </c>
      <c r="AL74" s="165"/>
      <c r="AM74" s="165">
        <f>AN14/AM14</f>
        <v>0.87199263702550744</v>
      </c>
      <c r="AN74" s="169">
        <f t="shared" si="3"/>
        <v>0.12800736297449256</v>
      </c>
      <c r="AO74" s="167"/>
      <c r="AP74" s="165">
        <f>AQ14/AP14</f>
        <v>0.86444283818758882</v>
      </c>
      <c r="AQ74" s="169">
        <f t="shared" si="4"/>
        <v>0.13555716181241118</v>
      </c>
      <c r="AR74" s="169"/>
      <c r="AS74" s="165">
        <f>AT14/AS14</f>
        <v>0.87199263702550744</v>
      </c>
      <c r="AT74" s="169">
        <f t="shared" si="0"/>
        <v>0.12800736297449256</v>
      </c>
      <c r="AU74" s="169"/>
      <c r="AV74" s="165" t="e">
        <f>AW14/AV14</f>
        <v>#DIV/0!</v>
      </c>
      <c r="AW74" s="169" t="e">
        <f t="shared" si="1"/>
        <v>#DIV/0!</v>
      </c>
      <c r="AX74" s="169"/>
      <c r="AY74" s="165" t="e">
        <f>AZ14/AY14</f>
        <v>#DIV/0!</v>
      </c>
      <c r="AZ74" s="169" t="e">
        <f t="shared" si="5"/>
        <v>#DIV/0!</v>
      </c>
    </row>
    <row r="75" spans="34:63" ht="15" hidden="1" customHeight="1" x14ac:dyDescent="0.4">
      <c r="AJ75" s="165"/>
      <c r="AK75" s="165"/>
      <c r="AL75" s="165"/>
      <c r="AM75" s="165"/>
      <c r="AN75" s="165"/>
      <c r="AO75" s="165"/>
      <c r="AP75" s="165"/>
      <c r="AQ75" s="165"/>
      <c r="AR75" s="165"/>
      <c r="AS75" s="165"/>
      <c r="AT75" s="165"/>
      <c r="AU75" s="165"/>
      <c r="AV75" s="165"/>
      <c r="AW75" s="165"/>
      <c r="AX75" s="165"/>
      <c r="AY75" s="165"/>
      <c r="AZ75" s="165"/>
    </row>
    <row r="76" spans="34:63" ht="15" hidden="1" customHeight="1" x14ac:dyDescent="0.4">
      <c r="AJ76" s="165"/>
      <c r="AK76" s="165"/>
      <c r="AL76" s="165"/>
      <c r="AM76" s="165"/>
      <c r="AN76" s="165"/>
      <c r="AO76" s="165"/>
      <c r="AP76" s="165"/>
      <c r="AQ76" s="165"/>
      <c r="AR76" s="165"/>
      <c r="AS76" s="165"/>
      <c r="AT76" s="165"/>
      <c r="AU76" s="165"/>
      <c r="AV76" s="165"/>
      <c r="AW76" s="165"/>
      <c r="AX76" s="165"/>
      <c r="AY76" s="165"/>
      <c r="AZ76" s="165"/>
    </row>
    <row r="77" spans="34:63" ht="15" hidden="1" customHeight="1" x14ac:dyDescent="0.4">
      <c r="AJ77" s="165"/>
      <c r="AK77" s="165"/>
      <c r="AL77" s="165"/>
      <c r="AM77" s="165"/>
      <c r="AN77" s="165"/>
      <c r="AO77" s="165"/>
      <c r="AP77" s="165"/>
      <c r="AQ77" s="165"/>
      <c r="AR77" s="165"/>
      <c r="AS77" s="165"/>
      <c r="AT77" s="165"/>
      <c r="AU77" s="165"/>
      <c r="AV77" s="165"/>
      <c r="AW77" s="165"/>
      <c r="AX77" s="165"/>
      <c r="AY77" s="165"/>
      <c r="AZ77" s="165"/>
    </row>
    <row r="78" spans="34:63" ht="15" hidden="1" customHeight="1" x14ac:dyDescent="0.4">
      <c r="AJ78" s="165" t="e">
        <f>AK20/AJ20</f>
        <v>#DIV/0!</v>
      </c>
      <c r="AK78" s="165"/>
      <c r="AL78" s="165"/>
      <c r="AM78" s="165" t="e">
        <f>AN20/AM20</f>
        <v>#DIV/0!</v>
      </c>
      <c r="AN78" s="165"/>
      <c r="AO78" s="165"/>
      <c r="AP78" s="165" t="e">
        <f>AQ20/AP20</f>
        <v>#DIV/0!</v>
      </c>
      <c r="AQ78" s="165"/>
      <c r="AR78" s="165"/>
      <c r="AS78" s="165" t="e">
        <f>AT20/AS20</f>
        <v>#DIV/0!</v>
      </c>
      <c r="AT78" s="165"/>
      <c r="AU78" s="165"/>
      <c r="AV78" s="165" t="e">
        <f>AW20/AV20</f>
        <v>#DIV/0!</v>
      </c>
      <c r="AW78" s="165"/>
      <c r="AX78" s="165"/>
      <c r="AY78" s="165" t="e">
        <f>AZ20/AY20</f>
        <v>#DIV/0!</v>
      </c>
      <c r="AZ78" s="165"/>
    </row>
    <row r="79" spans="34:63" x14ac:dyDescent="0.4">
      <c r="AJ79" s="165"/>
      <c r="AK79" s="165"/>
      <c r="AL79" s="165"/>
      <c r="AM79" s="165"/>
      <c r="AN79" s="165"/>
      <c r="AO79" s="165"/>
      <c r="AP79" s="165"/>
      <c r="AQ79" s="165"/>
      <c r="AR79" s="165"/>
      <c r="AS79" s="165"/>
      <c r="AT79" s="165"/>
      <c r="AU79" s="165"/>
      <c r="AV79" s="165"/>
      <c r="AW79" s="165"/>
      <c r="AX79" s="165"/>
      <c r="AY79" s="165"/>
      <c r="AZ79" s="165"/>
      <c r="BK79" s="629"/>
    </row>
    <row r="80" spans="34:63" x14ac:dyDescent="0.4">
      <c r="AJ80" s="165"/>
      <c r="AK80" s="165"/>
      <c r="AL80" s="165"/>
      <c r="AM80" s="165"/>
      <c r="AN80" s="165"/>
      <c r="AO80" s="165"/>
      <c r="AP80" s="165"/>
      <c r="AQ80" s="165"/>
      <c r="AR80" s="165"/>
      <c r="AS80" s="165"/>
      <c r="AT80" s="165"/>
      <c r="AU80" s="165"/>
      <c r="AV80" s="165"/>
      <c r="AW80" s="165"/>
      <c r="AX80" s="165"/>
      <c r="AY80" s="165"/>
      <c r="AZ80" s="165"/>
    </row>
    <row r="81" spans="36:52" x14ac:dyDescent="0.4">
      <c r="AJ81" s="165"/>
      <c r="AK81" s="165"/>
      <c r="AL81" s="165"/>
      <c r="AM81" s="165"/>
      <c r="AN81" s="165"/>
      <c r="AO81" s="165"/>
      <c r="AP81" s="165"/>
      <c r="AQ81" s="165"/>
      <c r="AR81" s="165"/>
      <c r="AS81" s="165"/>
      <c r="AT81" s="165"/>
      <c r="AU81" s="165"/>
      <c r="AV81" s="165"/>
      <c r="AW81" s="165"/>
      <c r="AX81" s="165"/>
      <c r="AY81" s="165"/>
      <c r="AZ81" s="165"/>
    </row>
    <row r="82" spans="36:52" ht="15" customHeight="1" x14ac:dyDescent="0.4">
      <c r="AJ82" s="165" t="e">
        <f>#REF!/#REF!</f>
        <v>#REF!</v>
      </c>
      <c r="AK82" s="165"/>
      <c r="AL82" s="165"/>
      <c r="AM82" s="165" t="e">
        <f>#REF!/#REF!</f>
        <v>#REF!</v>
      </c>
      <c r="AN82" s="165"/>
      <c r="AO82" s="165"/>
      <c r="AP82" s="165" t="e">
        <f>#REF!/#REF!</f>
        <v>#REF!</v>
      </c>
      <c r="AQ82" s="165"/>
      <c r="AR82" s="165"/>
      <c r="AS82" s="165" t="e">
        <f>#REF!/#REF!</f>
        <v>#REF!</v>
      </c>
      <c r="AT82" s="165"/>
      <c r="AU82" s="165"/>
      <c r="AV82" s="165" t="e">
        <f>#REF!/#REF!</f>
        <v>#REF!</v>
      </c>
      <c r="AW82" s="165"/>
      <c r="AX82" s="165"/>
      <c r="AY82" s="165" t="e">
        <f>#REF!/#REF!</f>
        <v>#REF!</v>
      </c>
      <c r="AZ82" s="165"/>
    </row>
    <row r="83" spans="36:52" ht="15" customHeight="1" x14ac:dyDescent="0.4">
      <c r="AJ83" s="165">
        <f>AK24/AJ24</f>
        <v>0.81422055217762257</v>
      </c>
      <c r="AK83" s="166">
        <f>100%-AJ83</f>
        <v>0.18577944782237743</v>
      </c>
      <c r="AL83" s="165"/>
      <c r="AM83" s="165">
        <f>AN24/AM24</f>
        <v>0.80755792269756999</v>
      </c>
      <c r="AN83" s="166">
        <f>100%-AM83</f>
        <v>0.19244207730243001</v>
      </c>
      <c r="AO83" s="166"/>
      <c r="AP83" s="165">
        <f>AQ24/AP24</f>
        <v>0.79403939800797407</v>
      </c>
      <c r="AQ83" s="166">
        <f>100%-AP83</f>
        <v>0.20596060199202593</v>
      </c>
      <c r="AR83" s="166"/>
      <c r="AS83" s="165">
        <f>AT24/AS24</f>
        <v>0.80755792269756999</v>
      </c>
      <c r="AT83" s="166">
        <f>100%-AS83</f>
        <v>0.19244207730243001</v>
      </c>
      <c r="AU83" s="166"/>
      <c r="AV83" s="165" t="e">
        <f>AW24/AV24</f>
        <v>#DIV/0!</v>
      </c>
      <c r="AW83" s="166" t="e">
        <f>100%-AV83</f>
        <v>#DIV/0!</v>
      </c>
      <c r="AX83" s="166"/>
      <c r="AY83" s="165" t="e">
        <f>AZ24/AY24</f>
        <v>#DIV/0!</v>
      </c>
      <c r="AZ83" s="166" t="e">
        <f>100%-AY83</f>
        <v>#DIV/0!</v>
      </c>
    </row>
    <row r="84" spans="36:52" ht="15" customHeight="1" x14ac:dyDescent="0.4">
      <c r="AJ84" s="165" t="e">
        <f>#REF!/#REF!</f>
        <v>#REF!</v>
      </c>
      <c r="AK84" s="165"/>
      <c r="AL84" s="165"/>
      <c r="AM84" s="165" t="e">
        <f>#REF!/#REF!</f>
        <v>#REF!</v>
      </c>
      <c r="AN84" s="165"/>
      <c r="AO84" s="165"/>
      <c r="AP84" s="165" t="e">
        <f>#REF!/#REF!</f>
        <v>#REF!</v>
      </c>
      <c r="AQ84" s="165"/>
      <c r="AR84" s="165"/>
      <c r="AS84" s="165" t="e">
        <f>#REF!/#REF!</f>
        <v>#REF!</v>
      </c>
      <c r="AT84" s="165"/>
      <c r="AU84" s="165"/>
      <c r="AV84" s="165" t="e">
        <f>#REF!/#REF!</f>
        <v>#REF!</v>
      </c>
      <c r="AW84" s="165"/>
      <c r="AX84" s="165"/>
      <c r="AY84" s="165" t="e">
        <f>#REF!/#REF!</f>
        <v>#REF!</v>
      </c>
      <c r="AZ84" s="165"/>
    </row>
    <row r="85" spans="36:52" ht="15" customHeight="1" x14ac:dyDescent="0.4">
      <c r="AJ85" s="165" t="e">
        <f>#REF!/#REF!</f>
        <v>#REF!</v>
      </c>
      <c r="AK85" s="165"/>
      <c r="AL85" s="165"/>
      <c r="AM85" s="165" t="e">
        <f>#REF!/#REF!</f>
        <v>#REF!</v>
      </c>
      <c r="AN85" s="165"/>
      <c r="AO85" s="165"/>
      <c r="AP85" s="165" t="e">
        <f>#REF!/#REF!</f>
        <v>#REF!</v>
      </c>
      <c r="AQ85" s="165"/>
      <c r="AR85" s="165"/>
      <c r="AS85" s="165" t="e">
        <f>#REF!/#REF!</f>
        <v>#REF!</v>
      </c>
      <c r="AT85" s="165"/>
      <c r="AU85" s="165"/>
      <c r="AV85" s="165" t="e">
        <f>#REF!/#REF!</f>
        <v>#REF!</v>
      </c>
      <c r="AW85" s="165"/>
      <c r="AX85" s="165"/>
      <c r="AY85" s="165" t="e">
        <f>#REF!/#REF!</f>
        <v>#REF!</v>
      </c>
      <c r="AZ85" s="165"/>
    </row>
    <row r="86" spans="36:52" ht="15" customHeight="1" x14ac:dyDescent="0.4">
      <c r="AJ86" s="165"/>
      <c r="AK86" s="165"/>
      <c r="AL86" s="165"/>
      <c r="AM86" s="165"/>
      <c r="AN86" s="165"/>
      <c r="AO86" s="165"/>
      <c r="AP86" s="165"/>
      <c r="AQ86" s="165"/>
      <c r="AR86" s="165"/>
      <c r="AS86" s="165"/>
      <c r="AT86" s="165"/>
      <c r="AU86" s="165"/>
      <c r="AV86" s="165"/>
      <c r="AW86" s="165"/>
      <c r="AX86" s="165"/>
      <c r="AY86" s="165"/>
      <c r="AZ86" s="165"/>
    </row>
    <row r="87" spans="36:52" ht="15" customHeight="1" x14ac:dyDescent="0.4">
      <c r="AJ87" s="165"/>
      <c r="AK87" s="165"/>
      <c r="AL87" s="165"/>
      <c r="AM87" s="165"/>
      <c r="AN87" s="165"/>
      <c r="AO87" s="165"/>
      <c r="AP87" s="165"/>
      <c r="AQ87" s="165"/>
      <c r="AR87" s="165"/>
      <c r="AS87" s="165"/>
      <c r="AT87" s="165"/>
      <c r="AU87" s="165"/>
      <c r="AV87" s="165"/>
      <c r="AW87" s="165"/>
      <c r="AX87" s="165"/>
      <c r="AY87" s="165"/>
      <c r="AZ87" s="165"/>
    </row>
    <row r="88" spans="36:52" ht="15" customHeight="1" x14ac:dyDescent="0.4">
      <c r="AJ88" s="165"/>
      <c r="AK88" s="165"/>
      <c r="AL88" s="165"/>
      <c r="AM88" s="165"/>
      <c r="AN88" s="165"/>
      <c r="AO88" s="165"/>
      <c r="AP88" s="165"/>
      <c r="AQ88" s="165"/>
      <c r="AR88" s="165"/>
      <c r="AS88" s="165"/>
      <c r="AT88" s="165"/>
      <c r="AU88" s="165"/>
      <c r="AV88" s="165"/>
      <c r="AW88" s="165"/>
      <c r="AX88" s="165"/>
      <c r="AY88" s="165"/>
      <c r="AZ88" s="165"/>
    </row>
    <row r="89" spans="36:52" ht="15" customHeight="1" x14ac:dyDescent="0.4">
      <c r="AJ89" s="165" t="e">
        <f>#REF!/#REF!</f>
        <v>#REF!</v>
      </c>
      <c r="AK89" s="168" t="e">
        <f>100%-AJ89</f>
        <v>#REF!</v>
      </c>
      <c r="AL89" s="165"/>
      <c r="AM89" s="165" t="e">
        <f>#REF!/#REF!</f>
        <v>#REF!</v>
      </c>
      <c r="AN89" s="168" t="e">
        <f>100%-AM89</f>
        <v>#REF!</v>
      </c>
      <c r="AO89" s="168"/>
      <c r="AP89" s="165" t="e">
        <f>#REF!/#REF!</f>
        <v>#REF!</v>
      </c>
      <c r="AQ89" s="168" t="e">
        <f>100%-AP89</f>
        <v>#REF!</v>
      </c>
      <c r="AR89" s="168"/>
      <c r="AS89" s="165" t="e">
        <f>#REF!/#REF!</f>
        <v>#REF!</v>
      </c>
      <c r="AT89" s="168" t="e">
        <f>100%-AS89</f>
        <v>#REF!</v>
      </c>
      <c r="AU89" s="168"/>
      <c r="AV89" s="165" t="e">
        <f>#REF!/#REF!</f>
        <v>#REF!</v>
      </c>
      <c r="AW89" s="168" t="e">
        <f>100%-AV89</f>
        <v>#REF!</v>
      </c>
      <c r="AX89" s="168"/>
      <c r="AY89" s="165" t="e">
        <f>#REF!/#REF!</f>
        <v>#REF!</v>
      </c>
      <c r="AZ89" s="168" t="e">
        <f>100%-AY89</f>
        <v>#REF!</v>
      </c>
    </row>
    <row r="90" spans="36:52" ht="15" customHeight="1" x14ac:dyDescent="0.4">
      <c r="AJ90" s="165">
        <f>AK45/AJ45</f>
        <v>0.90012700874994056</v>
      </c>
      <c r="AK90" s="169">
        <f>100%-AJ90</f>
        <v>9.987299125005944E-2</v>
      </c>
      <c r="AL90" s="165"/>
      <c r="AM90" s="165">
        <f>AN45/AM45</f>
        <v>0.90058472144477442</v>
      </c>
      <c r="AN90" s="169">
        <f>100%-AM90</f>
        <v>9.9415278555225584E-2</v>
      </c>
      <c r="AO90" s="169"/>
      <c r="AP90" s="165">
        <f>AQ45/AP45</f>
        <v>0.90090019430354784</v>
      </c>
      <c r="AQ90" s="169">
        <f>100%-AP90</f>
        <v>9.9099805696452159E-2</v>
      </c>
      <c r="AR90" s="169"/>
      <c r="AS90" s="165">
        <f>AT45/AS45</f>
        <v>0.90058472144477442</v>
      </c>
      <c r="AT90" s="169">
        <f>100%-AS90</f>
        <v>9.9415278555225584E-2</v>
      </c>
      <c r="AU90" s="169"/>
      <c r="AV90" s="165" t="e">
        <f>AW45/AV45</f>
        <v>#DIV/0!</v>
      </c>
      <c r="AW90" s="169" t="e">
        <f>100%-AV90</f>
        <v>#DIV/0!</v>
      </c>
      <c r="AX90" s="169"/>
      <c r="AY90" s="165" t="e">
        <f>AZ45/AY45</f>
        <v>#DIV/0!</v>
      </c>
      <c r="AZ90" s="169" t="e">
        <f>100%-AY90</f>
        <v>#DIV/0!</v>
      </c>
    </row>
    <row r="91" spans="36:52" ht="15" customHeight="1" x14ac:dyDescent="0.4">
      <c r="AJ91" s="165">
        <f>AK47/AJ47</f>
        <v>0.99878938461498357</v>
      </c>
      <c r="AK91" s="168">
        <f>100%-AJ91</f>
        <v>1.2106153850164336E-3</v>
      </c>
      <c r="AL91" s="165"/>
      <c r="AM91" s="165">
        <f>AN47/AM47</f>
        <v>0.99878938197669087</v>
      </c>
      <c r="AN91" s="168">
        <f>100%-AM91</f>
        <v>1.210618023309129E-3</v>
      </c>
      <c r="AO91" s="168"/>
      <c r="AP91" s="165">
        <f>AQ47/AP47</f>
        <v>0.99878937992468586</v>
      </c>
      <c r="AQ91" s="168">
        <f>100%-AP91</f>
        <v>1.2106200753141394E-3</v>
      </c>
      <c r="AR91" s="168"/>
      <c r="AS91" s="165">
        <f>AT47/AS47</f>
        <v>0.99878938197669087</v>
      </c>
      <c r="AT91" s="168">
        <f>100%-AS91</f>
        <v>1.210618023309129E-3</v>
      </c>
      <c r="AU91" s="168"/>
      <c r="AV91" s="165" t="e">
        <f>AW47/AV47</f>
        <v>#DIV/0!</v>
      </c>
      <c r="AW91" s="168" t="e">
        <f>100%-AV91</f>
        <v>#DIV/0!</v>
      </c>
      <c r="AX91" s="168"/>
      <c r="AY91" s="165" t="e">
        <f>AZ47/AY47</f>
        <v>#DIV/0!</v>
      </c>
      <c r="AZ91" s="168" t="e">
        <f>100%-AY91</f>
        <v>#DIV/0!</v>
      </c>
    </row>
    <row r="92" spans="36:52" ht="15" customHeight="1" x14ac:dyDescent="0.4">
      <c r="AJ92" s="165">
        <f>AK43/AJ43</f>
        <v>0.94539111500255402</v>
      </c>
      <c r="AK92" s="168">
        <f>100%-AJ92</f>
        <v>5.4608884997445983E-2</v>
      </c>
      <c r="AL92" s="165"/>
      <c r="AM92" s="165">
        <f>AN43/AM43</f>
        <v>0.93632162642208872</v>
      </c>
      <c r="AN92" s="168">
        <f>100%-AM92</f>
        <v>6.3678373577911285E-2</v>
      </c>
      <c r="AO92" s="168"/>
      <c r="AP92" s="165">
        <f>AQ43/AP43</f>
        <v>0.92539436256931473</v>
      </c>
      <c r="AQ92" s="168">
        <f>100%-AP92</f>
        <v>7.4605637430685268E-2</v>
      </c>
      <c r="AR92" s="168"/>
      <c r="AS92" s="165">
        <f>AT43/AS43</f>
        <v>0.93632162642208872</v>
      </c>
      <c r="AT92" s="168">
        <f>100%-AS92</f>
        <v>6.3678373577911285E-2</v>
      </c>
      <c r="AU92" s="168"/>
      <c r="AV92" s="165" t="e">
        <f>AW43/AV43</f>
        <v>#DIV/0!</v>
      </c>
      <c r="AW92" s="168" t="e">
        <f>100%-AV92</f>
        <v>#DIV/0!</v>
      </c>
      <c r="AX92" s="168"/>
      <c r="AY92" s="165" t="e">
        <f>AZ43/AY43</f>
        <v>#DIV/0!</v>
      </c>
      <c r="AZ92" s="168" t="e">
        <f>100%-AY92</f>
        <v>#DIV/0!</v>
      </c>
    </row>
    <row r="93" spans="36:52" ht="15" customHeight="1" x14ac:dyDescent="0.4">
      <c r="AJ93" s="165"/>
      <c r="AK93" s="165"/>
      <c r="AL93" s="165"/>
      <c r="AM93" s="165"/>
      <c r="AN93" s="165"/>
      <c r="AO93" s="165"/>
      <c r="AP93" s="165"/>
      <c r="AQ93" s="165"/>
      <c r="AR93" s="165"/>
      <c r="AS93" s="165"/>
      <c r="AT93" s="165"/>
      <c r="AU93" s="165"/>
      <c r="AV93" s="165"/>
      <c r="AW93" s="165"/>
      <c r="AX93" s="165"/>
      <c r="AY93" s="165"/>
      <c r="AZ93" s="165"/>
    </row>
    <row r="94" spans="36:52" ht="15" customHeight="1" x14ac:dyDescent="0.4">
      <c r="AJ94" s="165"/>
      <c r="AM94" s="165"/>
      <c r="AN94" s="165"/>
      <c r="AO94" s="165"/>
      <c r="AP94" s="165"/>
      <c r="AQ94" s="165"/>
      <c r="AR94" s="165"/>
      <c r="AS94" s="165"/>
      <c r="AT94" s="165"/>
      <c r="AU94" s="165"/>
      <c r="AV94" s="165"/>
      <c r="AW94" s="165"/>
      <c r="AX94" s="165"/>
      <c r="AY94" s="165"/>
    </row>
    <row r="95" spans="36:52" ht="15" customHeight="1" x14ac:dyDescent="0.4">
      <c r="AJ95" s="165"/>
      <c r="AM95" s="165"/>
      <c r="AN95" s="165"/>
      <c r="AO95" s="165"/>
      <c r="AP95" s="165"/>
      <c r="AQ95" s="165"/>
      <c r="AR95" s="165"/>
      <c r="AS95" s="165"/>
      <c r="AT95" s="165"/>
      <c r="AU95" s="165"/>
      <c r="AV95" s="165"/>
      <c r="AW95" s="165"/>
      <c r="AX95" s="165"/>
      <c r="AY95" s="165"/>
    </row>
    <row r="96" spans="36:52" ht="15" customHeight="1" x14ac:dyDescent="0.4">
      <c r="AJ96" s="165">
        <f>AK52/AJ52</f>
        <v>0.83293794690847522</v>
      </c>
      <c r="AK96" s="169">
        <f>100%-AJ96</f>
        <v>0.16706205309152478</v>
      </c>
      <c r="AM96" s="165">
        <f>AN52/AM52</f>
        <v>0.82730616466764018</v>
      </c>
      <c r="AN96" s="166">
        <f>100%-AM96</f>
        <v>0.17269383533235982</v>
      </c>
      <c r="AO96" s="166"/>
      <c r="AP96" s="165">
        <f>AQ52/AP52</f>
        <v>0.82301332061233878</v>
      </c>
      <c r="AQ96" s="166">
        <f>100%-AP96</f>
        <v>0.17698667938766122</v>
      </c>
      <c r="AR96" s="166"/>
      <c r="AS96" s="165">
        <f>AT52/AS52</f>
        <v>0.82730616466764018</v>
      </c>
      <c r="AT96" s="166">
        <f>100%-AS96</f>
        <v>0.17269383533235982</v>
      </c>
      <c r="AU96" s="166"/>
      <c r="AV96" s="165" t="e">
        <f>AW52/AV52</f>
        <v>#DIV/0!</v>
      </c>
      <c r="AW96" s="166" t="e">
        <f>100%-AV96</f>
        <v>#DIV/0!</v>
      </c>
      <c r="AX96" s="166"/>
      <c r="AY96" s="165" t="e">
        <f>AZ52/AY52</f>
        <v>#DIV/0!</v>
      </c>
      <c r="AZ96" s="166" t="e">
        <f>100%-AY96</f>
        <v>#DIV/0!</v>
      </c>
    </row>
    <row r="97" spans="36:52" ht="15" customHeight="1" x14ac:dyDescent="0.4">
      <c r="AJ97" s="165">
        <f>AK53/AJ53</f>
        <v>0.9811079480856314</v>
      </c>
      <c r="AK97" s="168">
        <f>100%-AJ97</f>
        <v>1.8892051914368602E-2</v>
      </c>
      <c r="AM97" s="165">
        <f>AN53/AM53</f>
        <v>0.97521102181794261</v>
      </c>
      <c r="AN97" s="168">
        <f>100%-AM97</f>
        <v>2.4788978182057386E-2</v>
      </c>
      <c r="AO97" s="168"/>
      <c r="AP97" s="165">
        <f>AQ53/AP53</f>
        <v>0.97325695147335622</v>
      </c>
      <c r="AQ97" s="168">
        <f>100%-AP97</f>
        <v>2.6743048526643776E-2</v>
      </c>
      <c r="AR97" s="168"/>
      <c r="AS97" s="165">
        <f>AT53/AS53</f>
        <v>0.97521102181794261</v>
      </c>
      <c r="AT97" s="168">
        <f>100%-AS97</f>
        <v>2.4788978182057386E-2</v>
      </c>
      <c r="AU97" s="168"/>
      <c r="AV97" s="165" t="e">
        <f>AW53/AV53</f>
        <v>#DIV/0!</v>
      </c>
      <c r="AW97" s="168" t="e">
        <f>100%-AV97</f>
        <v>#DIV/0!</v>
      </c>
      <c r="AX97" s="168"/>
      <c r="AY97" s="165" t="e">
        <f>AZ53/AY53</f>
        <v>#DIV/0!</v>
      </c>
      <c r="AZ97" s="168" t="e">
        <f>100%-AY97</f>
        <v>#DIV/0!</v>
      </c>
    </row>
    <row r="98" spans="36:52" ht="15" customHeight="1" x14ac:dyDescent="0.4">
      <c r="AJ98" s="165">
        <f>AK51/AJ51</f>
        <v>0.96222500883425588</v>
      </c>
      <c r="AK98" s="166">
        <f>100%-AJ98</f>
        <v>3.7774991165744121E-2</v>
      </c>
      <c r="AM98" s="165">
        <f>AN51/AM51</f>
        <v>0.94481406749581376</v>
      </c>
      <c r="AN98" s="166">
        <f>100%-AM98</f>
        <v>5.5185932504186241E-2</v>
      </c>
      <c r="AO98" s="166"/>
      <c r="AP98" s="165">
        <f>AQ51/AP51</f>
        <v>0.88177713408355374</v>
      </c>
      <c r="AQ98" s="168">
        <f>100%-AP98</f>
        <v>0.11822286591644626</v>
      </c>
      <c r="AR98" s="168"/>
      <c r="AS98" s="165">
        <f>AT51/AS51</f>
        <v>0.94481406749581376</v>
      </c>
      <c r="AT98" s="168">
        <f>100%-AS98</f>
        <v>5.5185932504186241E-2</v>
      </c>
      <c r="AU98" s="168"/>
      <c r="AV98" s="165" t="e">
        <f>AW51/AV51</f>
        <v>#DIV/0!</v>
      </c>
      <c r="AW98" s="169" t="e">
        <f>100%-AV98</f>
        <v>#DIV/0!</v>
      </c>
      <c r="AX98" s="169"/>
      <c r="AY98" s="165" t="e">
        <f>AZ51/AY51</f>
        <v>#DIV/0!</v>
      </c>
      <c r="AZ98" s="168" t="e">
        <f>100%-AY98</f>
        <v>#DIV/0!</v>
      </c>
    </row>
    <row r="99" spans="36:52" ht="15" customHeight="1" x14ac:dyDescent="0.4">
      <c r="AJ99" s="167"/>
      <c r="AK99" s="167"/>
      <c r="AM99" s="167"/>
      <c r="AN99" s="167"/>
      <c r="AO99" s="167"/>
      <c r="AP99" s="167"/>
      <c r="AQ99" s="167"/>
      <c r="AR99" s="167"/>
      <c r="AS99" s="167"/>
      <c r="AT99" s="167"/>
      <c r="AU99" s="167"/>
      <c r="AV99" s="167"/>
      <c r="AW99" s="167"/>
      <c r="AX99" s="167"/>
      <c r="AY99" s="167"/>
      <c r="AZ99" s="167"/>
    </row>
    <row r="100" spans="36:52" x14ac:dyDescent="0.4">
      <c r="AJ100" s="167"/>
      <c r="AK100" s="167"/>
      <c r="AM100" s="167"/>
      <c r="AN100" s="167"/>
      <c r="AO100" s="167"/>
      <c r="AP100" s="167"/>
      <c r="AQ100" s="167"/>
      <c r="AR100" s="167"/>
      <c r="AS100" s="167"/>
      <c r="AT100" s="167"/>
      <c r="AU100" s="167"/>
      <c r="AV100" s="167"/>
      <c r="AW100" s="167"/>
      <c r="AX100" s="167"/>
      <c r="AY100" s="167"/>
      <c r="AZ100" s="167"/>
    </row>
  </sheetData>
  <sheetProtection algorithmName="SHA-512" hashValue="xLW44+LNFHDwHOuKVR81VbcwOW6nRTQlHAmrfn0g6+JKddFdkK7FMX3yRx+zhBaJb7hY67qXJbU33b8vKC4D1Q==" saltValue="s1+f0NqknP7zT12TPIsycQ==" spinCount="100000" sheet="1" objects="1" scenarios="1"/>
  <autoFilter ref="BC4:BC62" xr:uid="{25B7759B-556A-4A60-AACD-FA35D11C4D3A}"/>
  <dataConsolidate/>
  <customSheetViews>
    <customSheetView guid="{800416AC-1374-44AC-811C-612C85EF24E6}" scale="85" showGridLines="0" fitToPage="1" showAutoFilter="1" hiddenRows="1" hiddenColumns="1">
      <selection activeCell="BI28" sqref="BI28"/>
      <pageMargins left="0.70866141732283461" right="0.19685039370078741" top="0.74803149606299213" bottom="0.74803149606299213" header="0.31496062992125984" footer="0.31496062992125984"/>
      <pageSetup paperSize="8" scale="56" orientation="landscape" r:id="rId1"/>
      <autoFilter ref="BD4:BD62" xr:uid="{137B3D08-D4BF-494A-9C6A-33B488A28EAB}"/>
    </customSheetView>
    <customSheetView guid="{FBC63E8F-69FE-4648-B709-FA1212EFFB29}" scale="55" showGridLines="0" fitToPage="1" showAutoFilter="1" hiddenRows="1" hiddenColumns="1">
      <selection activeCell="BH11" sqref="BH11"/>
      <pageMargins left="0.70866141732283461" right="0.19685039370078741" top="0.74803149606299213" bottom="0.74803149606299213" header="0.31496062992125984" footer="0.31496062992125984"/>
      <pageSetup paperSize="8" scale="56" orientation="landscape" r:id="rId2"/>
      <autoFilter ref="BD4:BD62" xr:uid="{ACF81AEE-555A-481D-80DC-67B03CE96838}"/>
    </customSheetView>
    <customSheetView guid="{C7C13768-4A8D-4CBA-978C-F4A7B5550C00}" scale="55" showGridLines="0" fitToPage="1" showAutoFilter="1" hiddenRows="1" hiddenColumns="1" topLeftCell="A7">
      <selection activeCell="BG63" sqref="BG63"/>
      <pageMargins left="0.70866141732283461" right="0.19685039370078741" top="0.74803149606299213" bottom="0.74803149606299213" header="0.31496062992125984" footer="0.31496062992125984"/>
      <pageSetup paperSize="8" scale="56" orientation="landscape" r:id="rId3"/>
      <autoFilter ref="BD4:BD63" xr:uid="{A2BF6B3D-8D4C-4676-809F-4106ACDF076B}"/>
    </customSheetView>
    <customSheetView guid="{466708C2-41CE-4656-AB81-E1E49DF5945D}" scale="55" showGridLines="0" fitToPage="1" showAutoFilter="1" hiddenRows="1" hiddenColumns="1" topLeftCell="A7">
      <selection activeCell="BG63" sqref="BG63"/>
      <pageMargins left="0.70866141732283461" right="0.19685039370078741" top="0.74803149606299213" bottom="0.74803149606299213" header="0.31496062992125984" footer="0.31496062992125984"/>
      <pageSetup paperSize="8" scale="56" orientation="landscape" r:id="rId4"/>
      <autoFilter ref="BD4:BD63" xr:uid="{7B53A409-9613-4CBC-8B39-00E5CCCBB4F9}"/>
    </customSheetView>
    <customSheetView guid="{E3A3AE56-8881-4A6F-9299-803C489AD1B4}" scale="55" showGridLines="0" fitToPage="1" showAutoFilter="1" hiddenRows="1" hiddenColumns="1" topLeftCell="A7">
      <selection activeCell="BG63" sqref="BG63"/>
      <pageMargins left="0.70866141732283461" right="0.19685039370078741" top="0.74803149606299213" bottom="0.74803149606299213" header="0.31496062992125984" footer="0.31496062992125984"/>
      <pageSetup paperSize="8" scale="56" orientation="landscape" r:id="rId5"/>
      <autoFilter ref="BD4:BD63" xr:uid="{27CAE64A-0A5C-4AC6-B0DE-B78E64CA4F61}"/>
    </customSheetView>
    <customSheetView guid="{83044EFE-7F92-4F81-B034-85D9567158C2}" scale="55" showGridLines="0" fitToPage="1" showAutoFilter="1" hiddenRows="1" hiddenColumns="1" topLeftCell="A7">
      <selection activeCell="BG63" sqref="BG63"/>
      <pageMargins left="0.70866141732283461" right="0.19685039370078741" top="0.74803149606299213" bottom="0.74803149606299213" header="0.31496062992125984" footer="0.31496062992125984"/>
      <pageSetup paperSize="8" scale="56" orientation="landscape" r:id="rId6"/>
      <autoFilter ref="BD4:BD63" xr:uid="{791E2C5A-9D52-4B6C-8ED8-A91CBDCD7D27}"/>
    </customSheetView>
    <customSheetView guid="{E4713981-DD11-40CE-BE52-873D93BDDE05}" showGridLines="0" fitToPage="1" showAutoFilter="1" hiddenRows="1" hiddenColumns="1" topLeftCell="C1">
      <selection activeCell="BG63" sqref="BG63"/>
      <pageMargins left="0.70866141732283461" right="0.19685039370078741" top="0.74803149606299213" bottom="0.74803149606299213" header="0.31496062992125984" footer="0.31496062992125984"/>
      <pageSetup paperSize="8" scale="56" orientation="landscape" r:id="rId7"/>
      <autoFilter ref="BD4:BD63" xr:uid="{F56AE965-73F6-4340-8003-6D8E9F9B3E81}"/>
    </customSheetView>
    <customSheetView guid="{442F9A23-CA6E-4109-B10C-ACF5FD36B859}" showGridLines="0" fitToPage="1" showAutoFilter="1" hiddenRows="1" hiddenColumns="1" topLeftCell="C1">
      <selection activeCell="BG63" sqref="BG63"/>
      <pageMargins left="0.70866141732283461" right="0.19685039370078741" top="0.74803149606299213" bottom="0.74803149606299213" header="0.31496062992125984" footer="0.31496062992125984"/>
      <pageSetup paperSize="8" scale="56" orientation="landscape" r:id="rId8"/>
      <autoFilter ref="BD4:BD63" xr:uid="{68D07A3E-F243-4F86-9056-7F9BE25C640C}"/>
    </customSheetView>
    <customSheetView guid="{B434A8A8-5A4C-48C0-82E7-2458B9D2EEEF}" showGridLines="0" fitToPage="1" showAutoFilter="1" hiddenRows="1" hiddenColumns="1" topLeftCell="C1">
      <selection activeCell="BG63" sqref="BG63"/>
      <pageMargins left="0.70866141732283461" right="0.19685039370078741" top="0.74803149606299213" bottom="0.74803149606299213" header="0.31496062992125984" footer="0.31496062992125984"/>
      <pageSetup paperSize="8" scale="56" orientation="landscape" r:id="rId9"/>
      <autoFilter ref="BD4:BD63" xr:uid="{CE20D89A-388B-4A73-8D72-C4EDCFE6FE15}"/>
    </customSheetView>
    <customSheetView guid="{3827E543-57D2-48C8-B786-7077EA079DD2}" showGridLines="0" fitToPage="1" showAutoFilter="1" hiddenRows="1" hiddenColumns="1" topLeftCell="C1">
      <selection activeCell="BG63" sqref="BG63"/>
      <pageMargins left="0.70866141732283461" right="0.19685039370078741" top="0.74803149606299213" bottom="0.74803149606299213" header="0.31496062992125984" footer="0.31496062992125984"/>
      <pageSetup paperSize="8" scale="56" orientation="landscape" r:id="rId10"/>
      <autoFilter ref="BD4:BD63" xr:uid="{EB8C2A50-7D65-4622-B7A9-E19C68FA6692}"/>
    </customSheetView>
    <customSheetView guid="{2EA8DBF7-9763-457C-AA9F-1EEB2F136D1F}" showGridLines="0" fitToPage="1" showAutoFilter="1" hiddenRows="1" hiddenColumns="1" topLeftCell="C1">
      <selection activeCell="BG63" sqref="BG63"/>
      <pageMargins left="0.70866141732283461" right="0.19685039370078741" top="0.74803149606299213" bottom="0.74803149606299213" header="0.31496062992125984" footer="0.31496062992125984"/>
      <pageSetup paperSize="8" scale="56" orientation="landscape" r:id="rId11"/>
      <autoFilter ref="BD4:BD63" xr:uid="{0B414E09-BDE2-42FB-AA94-42E000D15041}"/>
    </customSheetView>
    <customSheetView guid="{70582C04-BB53-4A99-A3C1-673011D9AE1C}" showGridLines="0" fitToPage="1" showAutoFilter="1" hiddenRows="1" hiddenColumns="1" topLeftCell="A4">
      <selection activeCell="S32" sqref="S32"/>
      <pageMargins left="0.70866141732283461" right="0.19685039370078741" top="0.74803149606299213" bottom="0.74803149606299213" header="0.31496062992125984" footer="0.31496062992125984"/>
      <pageSetup paperSize="8" scale="56" orientation="landscape" r:id="rId12"/>
      <autoFilter ref="BD4:BD63" xr:uid="{ED0952D6-9B8C-4841-AE86-3F2A33F8DE06}"/>
    </customSheetView>
    <customSheetView guid="{37F5A0AB-EB39-4832-9D67-F67D908BF486}" showGridLines="0" fitToPage="1" showAutoFilter="1" hiddenRows="1" hiddenColumns="1">
      <selection activeCell="B63" activeCellId="6" sqref="B8:B17 B21 B25:B36 B40:B48 B52:B55 B59 B63"/>
      <pageMargins left="0.70866141732283461" right="0.19685039370078741" top="0.74803149606299213" bottom="0.74803149606299213" header="0.31496062992125984" footer="0.31496062992125984"/>
      <pageSetup paperSize="8" scale="56" orientation="landscape" r:id="rId13"/>
      <autoFilter ref="BD4:BD63" xr:uid="{8169BD23-C735-4CAB-B3F6-076EF846D1C8}"/>
    </customSheetView>
    <customSheetView guid="{78AA4A71-CE17-4C4D-849E-E3E1A44EA907}" showGridLines="0" fitToPage="1" showAutoFilter="1" hiddenRows="1" hiddenColumns="1">
      <selection activeCell="B63" activeCellId="6" sqref="B8:B17 B21 B25:B36 B40:B48 B52:B55 B59 B63"/>
      <pageMargins left="0.70866141732283461" right="0.19685039370078741" top="0.74803149606299213" bottom="0.74803149606299213" header="0.31496062992125984" footer="0.31496062992125984"/>
      <pageSetup paperSize="8" scale="56" orientation="landscape" r:id="rId14"/>
      <autoFilter ref="BD4:BD63" xr:uid="{8198BE26-FC4B-4E6D-8F46-BA988647DF14}"/>
    </customSheetView>
    <customSheetView guid="{51DFD3D6-BC25-47B4-B28F-D640534DB3A9}" showGridLines="0" fitToPage="1" showAutoFilter="1" hiddenRows="1" hiddenColumns="1">
      <selection activeCell="U63" sqref="U63:Y63"/>
      <pageMargins left="0.70866141732283461" right="0.19685039370078741" top="0.74803149606299213" bottom="0.74803149606299213" header="0.31496062992125984" footer="0.31496062992125984"/>
      <pageSetup paperSize="8" scale="56" orientation="landscape" r:id="rId15"/>
      <autoFilter ref="BD4:BD63" xr:uid="{93CE6A2A-581E-41DE-B253-6907F09C9F7E}"/>
    </customSheetView>
    <customSheetView guid="{CA7E8063-5145-49E1-8E00-2E1025705A81}" scale="55" showGridLines="0" fitToPage="1" showAutoFilter="1" hiddenRows="1" hiddenColumns="1">
      <pane xSplit="1" ySplit="5" topLeftCell="B6" activePane="bottomRight" state="frozen"/>
      <selection pane="bottomRight" activeCell="BI47" sqref="BI47"/>
      <pageMargins left="0.70866141732283461" right="0.19685039370078741" top="0.74803149606299213" bottom="0.74803149606299213" header="0.31496062992125984" footer="0.31496062992125984"/>
      <pageSetup paperSize="8" scale="56" orientation="landscape" r:id="rId16"/>
      <autoFilter ref="BD4:BD63" xr:uid="{8A9C632E-ECEA-47F9-81F1-F0CFC7832E71}"/>
    </customSheetView>
    <customSheetView guid="{75EE3B92-AF4D-4E93-A70E-6ADE60CC674F}" scale="55" showGridLines="0" fitToPage="1" showAutoFilter="1" hiddenRows="1" hiddenColumns="1">
      <pane xSplit="0.66666666666666663" ySplit="4" topLeftCell="B6" activePane="bottomRight" state="frozen"/>
      <selection pane="bottomRight" activeCell="BI47" sqref="BI47"/>
      <pageMargins left="0.70866141732283461" right="0.19685039370078741" top="0.74803149606299213" bottom="0.74803149606299213" header="0.31496062992125984" footer="0.31496062992125984"/>
      <pageSetup paperSize="8" scale="56" orientation="landscape" r:id="rId17"/>
      <autoFilter ref="BD4:BD63" xr:uid="{777A4DF4-26D1-4AB1-AC80-506E1E1191C3}"/>
    </customSheetView>
    <customSheetView guid="{29AC9BE3-332A-4738-949C-1F8C0D32BAEE}" scale="55" showGridLines="0" fitToPage="1" showAutoFilter="1" hiddenRows="1" hiddenColumns="1">
      <pane xSplit="1" ySplit="5" topLeftCell="B6" activePane="bottomRight" state="frozen"/>
      <selection pane="bottomRight" activeCell="BI47" sqref="BI47"/>
      <pageMargins left="0.70866141732283461" right="0.19685039370078741" top="0.74803149606299213" bottom="0.74803149606299213" header="0.31496062992125984" footer="0.31496062992125984"/>
      <pageSetup paperSize="8" scale="56" orientation="landscape" r:id="rId18"/>
      <autoFilter ref="BD4:BD63" xr:uid="{D1F0D94A-CBB4-48D3-B187-F9B85C62F5D7}"/>
    </customSheetView>
    <customSheetView guid="{42B0E8B1-ADFA-49AE-A83B-82D384737703}" scale="55" showGridLines="0" fitToPage="1" showAutoFilter="1" hiddenRows="1" hiddenColumns="1">
      <pane xSplit="1" ySplit="5" topLeftCell="B31" activePane="bottomRight" state="frozen"/>
      <selection pane="bottomRight" activeCell="BI43" sqref="BI43"/>
      <pageMargins left="0.70866141732283461" right="0.19685039370078741" top="0.74803149606299213" bottom="0.74803149606299213" header="0.31496062992125984" footer="0.31496062992125984"/>
      <pageSetup paperSize="8" scale="56" orientation="landscape" r:id="rId19"/>
      <autoFilter ref="BD4:BD63" xr:uid="{B48738B7-D919-4FDC-B56D-B7F608F8EB0A}"/>
    </customSheetView>
    <customSheetView guid="{D59DDBAA-620D-43B7-A6D9-759808D3397A}" scale="55" showGridLines="0" fitToPage="1" showAutoFilter="1" hiddenRows="1" hiddenColumns="1">
      <pane xSplit="1" ySplit="5" topLeftCell="B31" activePane="bottomRight" state="frozen"/>
      <selection pane="bottomRight" activeCell="BI43" sqref="BI43"/>
      <pageMargins left="0.70866141732283461" right="0.19685039370078741" top="0.74803149606299213" bottom="0.74803149606299213" header="0.31496062992125984" footer="0.31496062992125984"/>
      <pageSetup paperSize="8" scale="56" orientation="landscape" r:id="rId20"/>
      <autoFilter ref="BD4:BD63" xr:uid="{73BDD586-269D-4ECC-BC21-734DB4C1BD1C}"/>
    </customSheetView>
    <customSheetView guid="{F4A6298C-1A75-4FA9-A6A4-2BE13CCFE545}" scale="55" showGridLines="0" fitToPage="1" showAutoFilter="1" hiddenRows="1" hiddenColumns="1">
      <pane xSplit="1" ySplit="5" topLeftCell="B6" activePane="bottomRight" state="frozen"/>
      <selection pane="bottomRight" activeCell="BJ16" sqref="BJ16"/>
      <pageMargins left="0.70866141732283461" right="0.19685039370078741" top="0.74803149606299213" bottom="0.74803149606299213" header="0.31496062992125984" footer="0.31496062992125984"/>
      <pageSetup paperSize="8" scale="52" orientation="landscape" r:id="rId21"/>
      <autoFilter ref="BD4:BD63" xr:uid="{E0AA78C7-BA89-4C50-8FC2-837BCFC33126}"/>
    </customSheetView>
    <customSheetView guid="{9F91FBC4-6A13-42C2-A2D9-42A2AC814E28}" scale="55" showGridLines="0" fitToPage="1" showAutoFilter="1" hiddenRows="1" hiddenColumns="1">
      <pane xSplit="1" ySplit="5" topLeftCell="B6" activePane="bottomRight" state="frozen"/>
      <selection pane="bottomRight" activeCell="BJ16" sqref="BJ16"/>
      <pageMargins left="0.70866141732283461" right="0.19685039370078741" top="0.74803149606299213" bottom="0.74803149606299213" header="0.31496062992125984" footer="0.31496062992125984"/>
      <pageSetup paperSize="8" scale="52" orientation="landscape" r:id="rId22"/>
      <autoFilter ref="BD4:BD63" xr:uid="{4973BC0A-E827-440F-BFCF-16655F10C61A}"/>
    </customSheetView>
    <customSheetView guid="{DF265C7B-1EEB-47EB-982A-6938E81F7AC2}" scale="70" showGridLines="0" fitToPage="1" showAutoFilter="1" hiddenRows="1" hiddenColumns="1">
      <pane xSplit="1" ySplit="5" topLeftCell="B17" activePane="bottomRight" state="frozen"/>
      <selection pane="bottomRight" activeCell="B6" sqref="B6:AA6"/>
      <pageMargins left="0.70866141732283461" right="0.19685039370078741" top="0.74803149606299213" bottom="0.74803149606299213" header="0.31496062992125984" footer="0.31496062992125984"/>
      <pageSetup paperSize="8" scale="65" orientation="landscape" r:id="rId23"/>
      <autoFilter ref="BD4:BD63" xr:uid="{6161A45D-90C9-4C20-9B36-DBEE53C9EF9C}"/>
    </customSheetView>
    <customSheetView guid="{8263C9D2-452D-46FA-AFA0-452B42DC0298}" showGridLines="0" fitToPage="1" showAutoFilter="1" hiddenRows="1" hiddenColumns="1">
      <selection activeCell="BI71" sqref="BI71"/>
      <pageMargins left="0.70866141732283461" right="0.19685039370078741" top="0.74803149606299213" bottom="0.74803149606299213" header="0.31496062992125984" footer="0.31496062992125984"/>
      <pageSetup paperSize="8" scale="65" orientation="landscape" r:id="rId24"/>
      <autoFilter ref="BD4:BD63" xr:uid="{20F64163-E5BC-4AEA-A92A-B300DFD2E700}"/>
    </customSheetView>
    <customSheetView guid="{151EB58C-4EFD-4330-8D1A-8AACF5F7C679}" showGridLines="0" fitToPage="1" showAutoFilter="1" hiddenRows="1" hiddenColumns="1">
      <selection activeCell="BI71" sqref="BI71"/>
      <pageMargins left="0.70866141732283461" right="0.19685039370078741" top="0.74803149606299213" bottom="0.74803149606299213" header="0.31496062992125984" footer="0.31496062992125984"/>
      <pageSetup paperSize="8" scale="65" orientation="landscape" r:id="rId25"/>
      <autoFilter ref="BD4:BD63" xr:uid="{114B6F19-B6C2-47F5-919C-77BA9F31370D}"/>
    </customSheetView>
    <customSheetView guid="{8CB67476-3FD4-42E0-ACD6-62ACA9412843}" showGridLines="0" fitToPage="1" showAutoFilter="1" hiddenRows="1" hiddenColumns="1" topLeftCell="A19">
      <selection activeCell="BJ47" sqref="BJ47"/>
      <pageMargins left="0.70866141732283461" right="0.19685039370078741" top="0.74803149606299213" bottom="0.74803149606299213" header="0.31496062992125984" footer="0.31496062992125984"/>
      <pageSetup paperSize="8" scale="60" orientation="landscape" r:id="rId26"/>
      <autoFilter ref="BD4:BD68" xr:uid="{29C00C39-9082-4590-971D-684B5A470F5E}"/>
    </customSheetView>
    <customSheetView guid="{51B3083F-A103-41AB-A137-63549C54B838}" showGridLines="0" fitToPage="1" showAutoFilter="1" hiddenRows="1" hiddenColumns="1" topLeftCell="D1">
      <selection activeCell="BI6" sqref="BI6"/>
      <pageMargins left="0.70866141732283461" right="0.19685039370078741" top="0.74803149606299213" bottom="0.74803149606299213" header="0.31496062992125984" footer="0.31496062992125984"/>
      <pageSetup paperSize="8" scale="60" orientation="landscape" r:id="rId27"/>
      <autoFilter ref="BD4:BD68" xr:uid="{4A22FE30-10D8-4DEF-8B91-BFBA4846E8D4}"/>
    </customSheetView>
    <customSheetView guid="{E06B4FE8-6127-47B2-A6A5-4FAC9EEB4538}" showGridLines="0" fitToPage="1" showAutoFilter="1" hiddenRows="1" hiddenColumns="1" topLeftCell="A8">
      <selection activeCell="AA63" sqref="AA63"/>
      <pageMargins left="0.70866141732283461" right="0.19685039370078741" top="0.74803149606299213" bottom="0.74803149606299213" header="0.31496062992125984" footer="0.31496062992125984"/>
      <pageSetup paperSize="8" scale="60" orientation="landscape" r:id="rId28"/>
      <autoFilter ref="BD4:BD68" xr:uid="{ED828D38-2E10-493F-BB6D-21500D0485DB}"/>
    </customSheetView>
    <customSheetView guid="{593284E7-E32C-4D6C-8C2F-3DEEF9DEE1DF}" showGridLines="0" fitToPage="1" showAutoFilter="1" hiddenRows="1" hiddenColumns="1" topLeftCell="A8">
      <selection activeCell="AA63" sqref="AA63"/>
      <pageMargins left="0.70866141732283461" right="0.19685039370078741" top="0.74803149606299213" bottom="0.74803149606299213" header="0.31496062992125984" footer="0.31496062992125984"/>
      <pageSetup paperSize="8" scale="60" orientation="landscape" r:id="rId29"/>
      <autoFilter ref="BD4:BD68" xr:uid="{04950013-945E-4696-A0DC-9E9765746310}"/>
    </customSheetView>
    <customSheetView guid="{351EFD38-BF62-4E34-A37F-0EEB3E165043}" scale="77" showGridLines="0" fitToPage="1" showAutoFilter="1" hiddenRows="1" hiddenColumns="1" topLeftCell="A17">
      <selection activeCell="BL31" sqref="BL31"/>
      <pageMargins left="0.70866141732283461" right="0.19685039370078741" top="0.74803149606299213" bottom="0.74803149606299213" header="0.31496062992125984" footer="0.31496062992125984"/>
      <pageSetup paperSize="8" scale="60" orientation="landscape" r:id="rId30"/>
      <autoFilter ref="BD4:BD68" xr:uid="{9E5B1275-1556-4554-B7A1-0E38B782514A}"/>
    </customSheetView>
    <customSheetView guid="{EB96DBE4-2D64-4388-853C-CB52A0CB79BA}" scale="77" showGridLines="0" fitToPage="1" showAutoFilter="1" hiddenRows="1" hiddenColumns="1" topLeftCell="A15">
      <selection activeCell="BL31" sqref="BL31"/>
      <pageMargins left="0.70866141732283461" right="0.19685039370078741" top="0.74803149606299213" bottom="0.74803149606299213" header="0.31496062992125984" footer="0.31496062992125984"/>
      <pageSetup paperSize="8" scale="60" orientation="landscape" r:id="rId31"/>
      <autoFilter ref="BD4:BD68" xr:uid="{252F0DCB-F184-4394-A507-4001CD6E2BAE}"/>
    </customSheetView>
    <customSheetView guid="{016CEBB2-C827-48F4-95E1-85D8C5129F41}" showGridLines="0" fitToPage="1" showAutoFilter="1" hiddenRows="1" hiddenColumns="1" topLeftCell="B32">
      <selection activeCell="C38" sqref="C38"/>
      <pageMargins left="0.70866141732283461" right="0.19685039370078741" top="0.74803149606299213" bottom="0.74803149606299213" header="0.31496062992125984" footer="0.31496062992125984"/>
      <pageSetup paperSize="8" scale="60" orientation="landscape" r:id="rId32"/>
      <autoFilter ref="BD4:BD68" xr:uid="{5765C9EF-FF0B-4D89-AADD-48BBBD978EEC}"/>
    </customSheetView>
    <customSheetView guid="{6702457D-A9A8-4F46-8E1C-BC7255F4BA77}" scale="70" showGridLines="0" fitToPage="1" showAutoFilter="1" hiddenRows="1" hiddenColumns="1" topLeftCell="A39">
      <selection activeCell="J64" sqref="J64"/>
      <pageMargins left="0.7" right="0.7" top="0.75" bottom="0.75" header="0.3" footer="0.3"/>
      <pageSetup paperSize="9" scale="52" orientation="landscape" r:id="rId33"/>
      <autoFilter ref="BD4:BD68" xr:uid="{FEEE0A23-4997-44DF-99B9-3F7084617E6E}"/>
    </customSheetView>
    <customSheetView guid="{D27C51BB-BB54-4F37-8171-98067C39697C}" scale="70" showGridLines="0" fitToPage="1" showAutoFilter="1" hiddenRows="1" hiddenColumns="1" topLeftCell="A53">
      <selection activeCell="J64" sqref="J64"/>
      <pageMargins left="0.7" right="0.7" top="0.75" bottom="0.75" header="0.3" footer="0.3"/>
      <pageSetup paperSize="8" scale="60" orientation="landscape" r:id="rId34"/>
      <autoFilter ref="BD4:BD68" xr:uid="{6FEB3030-7C8C-477A-BA2D-BE427FAA3EAA}"/>
    </customSheetView>
    <customSheetView guid="{008CCD98-7480-4C51-806A-4B55C801DDC2}" scale="85" showGridLines="0" fitToPage="1" showAutoFilter="1" hiddenRows="1" hiddenColumns="1">
      <selection activeCell="Z31" sqref="Z31"/>
      <pageMargins left="0.70866141732283461" right="0.19685039370078741" top="0.74803149606299213" bottom="0.74803149606299213" header="0.31496062992125984" footer="0.31496062992125984"/>
      <pageSetup paperSize="8" scale="60" orientation="landscape" r:id="rId35"/>
      <autoFilter ref="BD4:BD68" xr:uid="{F6AD0A56-A253-4F5D-81B5-4F5A0EF4C807}"/>
    </customSheetView>
    <customSheetView guid="{4E6F9C2D-76F2-4884-BBF6-E02A7BAE11EF}" showGridLines="0" fitToPage="1" showAutoFilter="1" hiddenRows="1" hiddenColumns="1" topLeftCell="A33">
      <selection activeCell="BF85" sqref="BF85"/>
      <pageMargins left="0.70866141732283461" right="0.19685039370078741" top="0.74803149606299213" bottom="0.74803149606299213" header="0.31496062992125984" footer="0.31496062992125984"/>
      <pageSetup paperSize="8" scale="60" orientation="landscape" r:id="rId36"/>
      <autoFilter ref="BD4:BD68" xr:uid="{29396779-BA49-45D2-868C-54617C065B54}"/>
    </customSheetView>
    <customSheetView guid="{C39AE06A-FC0A-4D7D-B287-2FA9CA174191}" scale="55" showGridLines="0" fitToPage="1" showAutoFilter="1" hiddenRows="1" hiddenColumns="1">
      <selection activeCell="BK59" sqref="BK59"/>
      <pageMargins left="0.70866141732283461" right="0.19685039370078741" top="0.74803149606299213" bottom="0.74803149606299213" header="0.31496062992125984" footer="0.31496062992125984"/>
      <pageSetup paperSize="8" scale="60" orientation="landscape" r:id="rId37"/>
      <autoFilter ref="BD4:BD68" xr:uid="{9E2F7710-4A37-4893-8FF3-6FB91463A4C8}"/>
    </customSheetView>
    <customSheetView guid="{D16D941B-FC89-4FEC-A49B-5FA2532584DE}" scale="77" showGridLines="0" fitToPage="1" showAutoFilter="1" hiddenRows="1" hiddenColumns="1" topLeftCell="A17">
      <selection activeCell="BL31" sqref="BL31"/>
      <pageMargins left="0.70866141732283461" right="0.19685039370078741" top="0.74803149606299213" bottom="0.74803149606299213" header="0.31496062992125984" footer="0.31496062992125984"/>
      <pageSetup paperSize="8" scale="60" orientation="landscape" r:id="rId38"/>
      <autoFilter ref="BD4:BD68" xr:uid="{B3844D2A-1A09-4E2D-97BE-14BE1B5197DE}"/>
    </customSheetView>
    <customSheetView guid="{3BB18945-69B5-4B22-8D55-989F8F233459}" showGridLines="0" fitToPage="1" showAutoFilter="1" hiddenRows="1" hiddenColumns="1" topLeftCell="A8">
      <selection activeCell="AA63" sqref="AA63"/>
      <pageMargins left="0.70866141732283461" right="0.19685039370078741" top="0.74803149606299213" bottom="0.74803149606299213" header="0.31496062992125984" footer="0.31496062992125984"/>
      <pageSetup paperSize="8" scale="60" orientation="landscape" r:id="rId39"/>
      <autoFilter ref="BD4:BD68" xr:uid="{AB9B4929-B600-49FB-A291-41D63B4AEB19}"/>
    </customSheetView>
    <customSheetView guid="{B84DA703-8C5B-4100-91A4-8807E303D379}" showGridLines="0" fitToPage="1" showAutoFilter="1" hiddenRows="1" hiddenColumns="1" topLeftCell="A8">
      <selection activeCell="AA63" sqref="AA63"/>
      <pageMargins left="0.70866141732283461" right="0.19685039370078741" top="0.74803149606299213" bottom="0.74803149606299213" header="0.31496062992125984" footer="0.31496062992125984"/>
      <pageSetup paperSize="8" scale="60" orientation="landscape" r:id="rId40"/>
      <autoFilter ref="BD4:BD68" xr:uid="{2A177F36-D7DF-4590-88D4-8BB30B7F22C7}"/>
    </customSheetView>
    <customSheetView guid="{B0A28FD4-D7F6-428C-A7F7-92132DCD74BB}" showGridLines="0" fitToPage="1" showAutoFilter="1" hiddenRows="1" hiddenColumns="1" topLeftCell="A8">
      <selection activeCell="AA63" sqref="AA63"/>
      <pageMargins left="0.70866141732283461" right="0.19685039370078741" top="0.74803149606299213" bottom="0.74803149606299213" header="0.31496062992125984" footer="0.31496062992125984"/>
      <pageSetup paperSize="8" scale="60" orientation="landscape" r:id="rId41"/>
      <autoFilter ref="BD4:BD68" xr:uid="{ACCE9534-6800-431D-BAC3-739953BAA9F7}"/>
    </customSheetView>
    <customSheetView guid="{3C97F0B0-2F3C-4E03-96E0-0C4FEC2F24AC}" showGridLines="0" fitToPage="1" showAutoFilter="1" hiddenRows="1" hiddenColumns="1" topLeftCell="A8">
      <selection activeCell="AA63" sqref="AA63"/>
      <pageMargins left="0.70866141732283461" right="0.19685039370078741" top="0.74803149606299213" bottom="0.74803149606299213" header="0.31496062992125984" footer="0.31496062992125984"/>
      <pageSetup paperSize="8" scale="60" orientation="landscape" r:id="rId42"/>
      <autoFilter ref="BD4:BD68" xr:uid="{EA31DDA7-405A-4517-B4C5-527A7D8A728A}"/>
    </customSheetView>
    <customSheetView guid="{A03C6B09-6B58-4DDE-A3B2-41A27A7049D9}" showGridLines="0" fitToPage="1" showAutoFilter="1" hiddenRows="1" hiddenColumns="1" topLeftCell="A19">
      <selection activeCell="BJ47" sqref="BJ47"/>
      <pageMargins left="0.70866141732283461" right="0.19685039370078741" top="0.74803149606299213" bottom="0.74803149606299213" header="0.31496062992125984" footer="0.31496062992125984"/>
      <pageSetup paperSize="8" scale="60" orientation="landscape" r:id="rId43"/>
      <autoFilter ref="BD4:BD68" xr:uid="{3FA78416-9C28-4A81-8102-778BCAA60158}"/>
    </customSheetView>
    <customSheetView guid="{4EBEE699-7DEF-4A50-9CB7-490835CF0B98}" showGridLines="0" fitToPage="1" showAutoFilter="1" hiddenRows="1" hiddenColumns="1" topLeftCell="A19">
      <selection activeCell="BJ47" sqref="BJ47"/>
      <pageMargins left="0.70866141732283461" right="0.19685039370078741" top="0.74803149606299213" bottom="0.74803149606299213" header="0.31496062992125984" footer="0.31496062992125984"/>
      <pageSetup paperSize="8" scale="60" orientation="landscape" r:id="rId44"/>
      <autoFilter ref="BD4:BD68" xr:uid="{A7F147F8-B379-453D-97F2-B013762A99CC}"/>
    </customSheetView>
    <customSheetView guid="{451730E2-FFE9-4FCE-B8B5-64952C26C672}" showGridLines="0" fitToPage="1" showAutoFilter="1" hiddenRows="1" hiddenColumns="1" topLeftCell="A19">
      <selection activeCell="BJ47" sqref="BJ47"/>
      <pageMargins left="0.70866141732283461" right="0.19685039370078741" top="0.74803149606299213" bottom="0.74803149606299213" header="0.31496062992125984" footer="0.31496062992125984"/>
      <pageSetup paperSize="8" scale="60" orientation="landscape" r:id="rId45"/>
      <autoFilter ref="BD4:BD68" xr:uid="{C0163230-BC54-405E-8658-75C2AF052389}"/>
    </customSheetView>
    <customSheetView guid="{9AF6E233-883D-48B4-95AB-42B37199AB9E}" scale="70" showGridLines="0" fitToPage="1" showAutoFilter="1" hiddenRows="1" hiddenColumns="1">
      <pane xSplit="1" ySplit="5" topLeftCell="B17" activePane="bottomRight" state="frozen"/>
      <selection pane="bottomRight" activeCell="B6" sqref="B6:AA6"/>
      <pageMargins left="0.70866141732283461" right="0.19685039370078741" top="0.74803149606299213" bottom="0.74803149606299213" header="0.31496062992125984" footer="0.31496062992125984"/>
      <pageSetup paperSize="8" scale="65" orientation="landscape" r:id="rId46"/>
      <autoFilter ref="BD4:BD63" xr:uid="{1756FB0B-2371-4579-9120-55F34DF2E676}"/>
    </customSheetView>
    <customSheetView guid="{1ECD6E30-299B-4354-A416-2DAFF33C7022}" scale="55" showGridLines="0" fitToPage="1" showAutoFilter="1" hiddenRows="1" hiddenColumns="1">
      <pane xSplit="1" ySplit="5" topLeftCell="B6" activePane="bottomRight" state="frozen"/>
      <selection pane="bottomRight" activeCell="BJ16" sqref="BJ16"/>
      <pageMargins left="0.70866141732283461" right="0.19685039370078741" top="0.74803149606299213" bottom="0.74803149606299213" header="0.31496062992125984" footer="0.31496062992125984"/>
      <pageSetup paperSize="8" scale="52" orientation="landscape" r:id="rId47"/>
      <autoFilter ref="BD4:BD63" xr:uid="{14D1D988-CAEF-4B60-826D-9FB1ED7F5E10}"/>
    </customSheetView>
    <customSheetView guid="{97D58294-343B-4B62-A826-0DDDE29B5F0D}" scale="55" showGridLines="0" fitToPage="1" showAutoFilter="1" hiddenRows="1" hiddenColumns="1">
      <pane xSplit="1" ySplit="5" topLeftCell="B6" activePane="bottomRight" state="frozen"/>
      <selection pane="bottomRight" activeCell="BJ16" sqref="BJ16"/>
      <pageMargins left="0.70866141732283461" right="0.19685039370078741" top="0.74803149606299213" bottom="0.74803149606299213" header="0.31496062992125984" footer="0.31496062992125984"/>
      <pageSetup paperSize="8" scale="52" orientation="landscape" r:id="rId48"/>
      <autoFilter ref="BD4:BD63" xr:uid="{F7AB9CE2-46F7-4CC5-BBAA-134CC97847B6}"/>
    </customSheetView>
    <customSheetView guid="{BDCD1595-C0B8-4F6C-B01C-3472C895B827}" scale="55" showGridLines="0" fitToPage="1" showAutoFilter="1" hiddenRows="1" hiddenColumns="1">
      <pane xSplit="1" ySplit="5" topLeftCell="B6" activePane="bottomRight" state="frozen"/>
      <selection pane="bottomRight" activeCell="BI47" sqref="BI47"/>
      <pageMargins left="0.70866141732283461" right="0.19685039370078741" top="0.74803149606299213" bottom="0.74803149606299213" header="0.31496062992125984" footer="0.31496062992125984"/>
      <pageSetup paperSize="8" scale="56" orientation="landscape" r:id="rId49"/>
      <autoFilter ref="BD4:BD63" xr:uid="{1E3CA2C0-843B-4F30-9978-44F437B3FBA5}"/>
    </customSheetView>
    <customSheetView guid="{9355C9F4-9C07-4A93-B7F2-69F1D1526716}" scale="55" showGridLines="0" fitToPage="1" showAutoFilter="1" hiddenRows="1" hiddenColumns="1">
      <pane xSplit="1" ySplit="5" topLeftCell="B6" activePane="bottomRight" state="frozen"/>
      <selection pane="bottomRight" activeCell="BI47" sqref="BI47"/>
      <pageMargins left="0.70866141732283461" right="0.19685039370078741" top="0.74803149606299213" bottom="0.74803149606299213" header="0.31496062992125984" footer="0.31496062992125984"/>
      <pageSetup paperSize="8" scale="56" orientation="landscape" r:id="rId50"/>
      <autoFilter ref="BD4:BD63" xr:uid="{97BCE5DA-086D-4418-ABA3-A68B649FF166}"/>
    </customSheetView>
    <customSheetView guid="{F5FA2A23-9E46-4C2F-B1EE-B71787F95C57}" scale="55" showGridLines="0" fitToPage="1" showAutoFilter="1" hiddenRows="1" hiddenColumns="1">
      <pane xSplit="1" ySplit="5" topLeftCell="B6" activePane="bottomRight" state="frozen"/>
      <selection pane="bottomRight" activeCell="BI47" sqref="BI47"/>
      <pageMargins left="0.70866141732283461" right="0.19685039370078741" top="0.74803149606299213" bottom="0.74803149606299213" header="0.31496062992125984" footer="0.31496062992125984"/>
      <pageSetup paperSize="8" scale="56" orientation="landscape" r:id="rId51"/>
      <autoFilter ref="BD4:BD63" xr:uid="{0DEE02E9-5CCA-4614-97C2-91CFCF2B0FF5}"/>
    </customSheetView>
    <customSheetView guid="{B95D32C7-1418-4EF6-8936-849885C54A4A}" scale="55" showGridLines="0" fitToPage="1" showAutoFilter="1" hiddenRows="1" hiddenColumns="1">
      <pane xSplit="1" ySplit="5" topLeftCell="B6" activePane="bottomRight" state="frozen"/>
      <selection pane="bottomRight" activeCell="BI13" sqref="BI13"/>
      <pageMargins left="0.70866141732283461" right="0.19685039370078741" top="0.74803149606299213" bottom="0.74803149606299213" header="0.31496062992125984" footer="0.31496062992125984"/>
      <pageSetup paperSize="8" scale="56" orientation="landscape" r:id="rId52"/>
      <autoFilter ref="BD4:BD63" xr:uid="{4F3F4BB9-345B-47D1-9A06-6DA1965209C9}"/>
    </customSheetView>
    <customSheetView guid="{602520CD-F98C-43A6-AA0D-88893E9CB6E8}" showGridLines="0" fitToPage="1" showAutoFilter="1" hiddenRows="1" hiddenColumns="1" topLeftCell="C1">
      <selection activeCell="BG63" sqref="BG63"/>
      <pageMargins left="0.70866141732283461" right="0.19685039370078741" top="0.74803149606299213" bottom="0.74803149606299213" header="0.31496062992125984" footer="0.31496062992125984"/>
      <pageSetup paperSize="8" scale="56" orientation="landscape" r:id="rId53"/>
      <autoFilter ref="BD4:BD63" xr:uid="{6BA18EC5-D161-471B-90D7-E26FFC24BE18}"/>
    </customSheetView>
    <customSheetView guid="{A8E976B8-D767-4DB4-82BD-ABE90880F33F}" showGridLines="0" fitToPage="1" showAutoFilter="1" hiddenRows="1" hiddenColumns="1" topLeftCell="C1">
      <selection activeCell="BG63" sqref="BG63"/>
      <pageMargins left="0.70866141732283461" right="0.19685039370078741" top="0.74803149606299213" bottom="0.74803149606299213" header="0.31496062992125984" footer="0.31496062992125984"/>
      <pageSetup paperSize="8" scale="56" orientation="landscape" r:id="rId54"/>
      <autoFilter ref="BD4:BD63" xr:uid="{6ED5C3B0-B82B-4B12-84F4-F054EB91C94D}"/>
    </customSheetView>
    <customSheetView guid="{D850720D-4A1C-48F2-8E1D-8E09B7414A1A}" showGridLines="0" fitToPage="1" showAutoFilter="1" hiddenRows="1" hiddenColumns="1" topLeftCell="C1">
      <selection activeCell="BG63" sqref="BG63"/>
      <pageMargins left="0.70866141732283461" right="0.19685039370078741" top="0.74803149606299213" bottom="0.74803149606299213" header="0.31496062992125984" footer="0.31496062992125984"/>
      <pageSetup paperSize="8" scale="56" orientation="landscape" r:id="rId55"/>
      <autoFilter ref="BD4:BD63" xr:uid="{48188175-705F-4D40-9F2F-81FC956DA0D4}"/>
    </customSheetView>
    <customSheetView guid="{C57A83F1-F5A3-470B-9579-6A222C54F4E8}" showGridLines="0" fitToPage="1" showAutoFilter="1" hiddenRows="1" hiddenColumns="1" topLeftCell="C1">
      <selection activeCell="BG63" sqref="BG63"/>
      <pageMargins left="0.70866141732283461" right="0.19685039370078741" top="0.74803149606299213" bottom="0.74803149606299213" header="0.31496062992125984" footer="0.31496062992125984"/>
      <pageSetup paperSize="8" scale="56" orientation="landscape" r:id="rId56"/>
      <autoFilter ref="BD4:BD63" xr:uid="{71DDFC7D-AC61-498D-A2F1-C6379214F46D}"/>
    </customSheetView>
    <customSheetView guid="{2608BE9B-66AC-4D4C-8EE0-E88C94E88140}" showGridLines="0" fitToPage="1" showAutoFilter="1" hiddenRows="1" hiddenColumns="1" topLeftCell="C1">
      <selection activeCell="BG63" sqref="BG63"/>
      <pageMargins left="0.70866141732283461" right="0.19685039370078741" top="0.74803149606299213" bottom="0.74803149606299213" header="0.31496062992125984" footer="0.31496062992125984"/>
      <pageSetup paperSize="8" scale="56" orientation="landscape" r:id="rId57"/>
      <autoFilter ref="BD4:BD63" xr:uid="{81C7A2D6-A25F-4A4B-ADD8-A6949F591E9F}"/>
    </customSheetView>
    <customSheetView guid="{EDD5A64E-02C0-4DD6-80BA-449123FCDAA2}" scale="55" showGridLines="0" fitToPage="1" showAutoFilter="1" hiddenRows="1" hiddenColumns="1" topLeftCell="A7">
      <selection activeCell="BG63" sqref="BG63"/>
      <pageMargins left="0.70866141732283461" right="0.19685039370078741" top="0.74803149606299213" bottom="0.74803149606299213" header="0.31496062992125984" footer="0.31496062992125984"/>
      <pageSetup paperSize="8" scale="56" orientation="landscape" r:id="rId58"/>
      <autoFilter ref="BD4:BD63" xr:uid="{C00DD8DC-53A3-4EA1-BC61-1420A62D2327}"/>
    </customSheetView>
    <customSheetView guid="{B8317A9A-0FFD-4A18-80F7-203DB2FC8CA5}" scale="55" showGridLines="0" fitToPage="1" showAutoFilter="1" hiddenRows="1" hiddenColumns="1" topLeftCell="A51">
      <selection activeCell="P30" sqref="P30"/>
      <pageMargins left="0.70866141732283461" right="0.19685039370078741" top="0.74803149606299213" bottom="0.74803149606299213" header="0.31496062992125984" footer="0.31496062992125984"/>
      <pageSetup paperSize="8" scale="56" orientation="landscape" r:id="rId59"/>
      <autoFilter ref="BD4:BD62" xr:uid="{80E64B18-9C73-4523-8156-D959ACD1DDF4}"/>
    </customSheetView>
    <customSheetView guid="{7E571F1D-D438-4605-90D6-3F831F76D652}" scale="40" showGridLines="0" fitToPage="1" printArea="1" showAutoFilter="1" hiddenRows="1" hiddenColumns="1">
      <selection activeCell="BO49" sqref="BO49"/>
      <pageMargins left="0.70866141732283461" right="0.19685039370078741" top="0.74803149606299213" bottom="0.74803149606299213" header="0.31496062992125984" footer="0.31496062992125984"/>
      <pageSetup paperSize="8" scale="56" orientation="landscape" r:id="rId60"/>
      <autoFilter ref="BD4:BD62" xr:uid="{1C424A5F-EA09-41A9-9F27-58119C3F73D7}"/>
    </customSheetView>
  </customSheetViews>
  <mergeCells count="18">
    <mergeCell ref="B18:AA18"/>
    <mergeCell ref="AP4:AQ4"/>
    <mergeCell ref="AS4:AT4"/>
    <mergeCell ref="B56:AA56"/>
    <mergeCell ref="B60:AA60"/>
    <mergeCell ref="B49:AA49"/>
    <mergeCell ref="B22:AA22"/>
    <mergeCell ref="B37:AA37"/>
    <mergeCell ref="AV4:AW4"/>
    <mergeCell ref="AY4:AZ4"/>
    <mergeCell ref="AJ1:BA1"/>
    <mergeCell ref="AB2:AG2"/>
    <mergeCell ref="B6:AA6"/>
    <mergeCell ref="E2:K2"/>
    <mergeCell ref="M2:S2"/>
    <mergeCell ref="U2:AA2"/>
    <mergeCell ref="AJ4:AK4"/>
    <mergeCell ref="AM4:AN4"/>
  </mergeCells>
  <phoneticPr fontId="47" type="noConversion"/>
  <conditionalFormatting sqref="E35:G35">
    <cfRule type="cellIs" dxfId="254" priority="9995" operator="equal">
      <formula>"n/a"</formula>
    </cfRule>
    <cfRule type="cellIs" dxfId="253" priority="9996" operator="equal">
      <formula>"G"</formula>
    </cfRule>
    <cfRule type="cellIs" dxfId="252" priority="9997" operator="equal">
      <formula>"A"</formula>
    </cfRule>
    <cfRule type="cellIs" dxfId="251" priority="9998" operator="equal">
      <formula>"R"</formula>
    </cfRule>
  </conditionalFormatting>
  <conditionalFormatting sqref="E52:G53">
    <cfRule type="cellIs" dxfId="250" priority="15176" operator="equal">
      <formula>"R"</formula>
    </cfRule>
    <cfRule type="cellIs" dxfId="249" priority="15175" operator="equal">
      <formula>"A"</formula>
    </cfRule>
    <cfRule type="cellIs" dxfId="248" priority="15174" operator="equal">
      <formula>"G"</formula>
    </cfRule>
    <cfRule type="cellIs" dxfId="247" priority="15173" operator="equal">
      <formula>"n/a"</formula>
    </cfRule>
  </conditionalFormatting>
  <conditionalFormatting sqref="E46:H46">
    <cfRule type="cellIs" dxfId="246" priority="56817" operator="equal">
      <formula>"A"</formula>
    </cfRule>
    <cfRule type="cellIs" dxfId="245" priority="56816" operator="equal">
      <formula>"G"</formula>
    </cfRule>
    <cfRule type="cellIs" dxfId="244" priority="56818" operator="equal">
      <formula>"R"</formula>
    </cfRule>
    <cfRule type="cellIs" dxfId="243" priority="56815" operator="equal">
      <formula>"n/a"</formula>
    </cfRule>
  </conditionalFormatting>
  <conditionalFormatting sqref="E13:I16">
    <cfRule type="cellIs" dxfId="242" priority="21050" operator="equal">
      <formula>"n/a"</formula>
    </cfRule>
    <cfRule type="cellIs" dxfId="241" priority="21053" operator="equal">
      <formula>"R"</formula>
    </cfRule>
    <cfRule type="cellIs" dxfId="240" priority="21052" operator="equal">
      <formula>"A"</formula>
    </cfRule>
    <cfRule type="cellIs" dxfId="239" priority="21051" operator="equal">
      <formula>"G"</formula>
    </cfRule>
  </conditionalFormatting>
  <conditionalFormatting sqref="E8:J17 M8:R17 U8:Z17 E24:J35 M24:R35 U24:Z35 AL24:AL35 AO24:AO35 AR24:AR35 AU24:AU35 AX24:AX35 BA24:BA35 M39:P40 E39:J47 AL39:AL47 AO39:AO47 AR39:AR47 AU39:AU47 AX39:AX47 BA39:BA47 M43:P43 U43:X43">
    <cfRule type="cellIs" dxfId="238" priority="21265" operator="equal">
      <formula>"R"</formula>
    </cfRule>
    <cfRule type="cellIs" dxfId="237" priority="21264" operator="equal">
      <formula>"A"</formula>
    </cfRule>
    <cfRule type="cellIs" dxfId="236" priority="21263" operator="equal">
      <formula>"G"</formula>
    </cfRule>
    <cfRule type="cellIs" dxfId="235" priority="21262" operator="equal">
      <formula>"n/a"</formula>
    </cfRule>
  </conditionalFormatting>
  <conditionalFormatting sqref="E20:J20">
    <cfRule type="cellIs" dxfId="234" priority="613" operator="equal">
      <formula>"G"</formula>
    </cfRule>
    <cfRule type="cellIs" dxfId="233" priority="612" operator="equal">
      <formula>"n/a"</formula>
    </cfRule>
    <cfRule type="cellIs" dxfId="232" priority="614" operator="equal">
      <formula>"A"</formula>
    </cfRule>
    <cfRule type="cellIs" dxfId="231" priority="615" operator="equal">
      <formula>"R"</formula>
    </cfRule>
  </conditionalFormatting>
  <conditionalFormatting sqref="E51:J54">
    <cfRule type="cellIs" dxfId="230" priority="481" operator="equal">
      <formula>"G"</formula>
    </cfRule>
    <cfRule type="cellIs" dxfId="229" priority="480" operator="equal">
      <formula>"n/a"</formula>
    </cfRule>
    <cfRule type="cellIs" dxfId="228" priority="482" operator="equal">
      <formula>"A"</formula>
    </cfRule>
    <cfRule type="cellIs" dxfId="227" priority="483" operator="equal">
      <formula>"R"</formula>
    </cfRule>
  </conditionalFormatting>
  <conditionalFormatting sqref="E58:J58">
    <cfRule type="cellIs" dxfId="226" priority="471" operator="equal">
      <formula>"R"</formula>
    </cfRule>
    <cfRule type="cellIs" dxfId="225" priority="470" operator="equal">
      <formula>"A"</formula>
    </cfRule>
    <cfRule type="cellIs" dxfId="224" priority="468" operator="equal">
      <formula>"n/a"</formula>
    </cfRule>
    <cfRule type="cellIs" dxfId="223" priority="469" operator="equal">
      <formula>"G"</formula>
    </cfRule>
  </conditionalFormatting>
  <conditionalFormatting sqref="E62:J62">
    <cfRule type="cellIs" dxfId="222" priority="23" operator="equal">
      <formula>"R"</formula>
    </cfRule>
    <cfRule type="cellIs" dxfId="221" priority="22" operator="equal">
      <formula>"A"</formula>
    </cfRule>
    <cfRule type="cellIs" dxfId="220" priority="21" operator="equal">
      <formula>"G"</formula>
    </cfRule>
    <cfRule type="cellIs" dxfId="219" priority="20" operator="equal">
      <formula>"n/a"</formula>
    </cfRule>
  </conditionalFormatting>
  <conditionalFormatting sqref="F17:G17">
    <cfRule type="cellIs" dxfId="218" priority="51720" operator="equal">
      <formula>"A"</formula>
    </cfRule>
    <cfRule type="cellIs" dxfId="217" priority="51719" operator="equal">
      <formula>"G"</formula>
    </cfRule>
    <cfRule type="cellIs" dxfId="216" priority="51718" operator="equal">
      <formula>"n/a"</formula>
    </cfRule>
    <cfRule type="cellIs" dxfId="215" priority="51721" operator="equal">
      <formula>"R"</formula>
    </cfRule>
  </conditionalFormatting>
  <conditionalFormatting sqref="G52:H54">
    <cfRule type="cellIs" dxfId="214" priority="50566" operator="equal">
      <formula>"R"</formula>
    </cfRule>
    <cfRule type="cellIs" dxfId="213" priority="50565" operator="equal">
      <formula>"A"</formula>
    </cfRule>
    <cfRule type="cellIs" dxfId="212" priority="50564" operator="equal">
      <formula>"G"</formula>
    </cfRule>
    <cfRule type="cellIs" dxfId="211" priority="50563" operator="equal">
      <formula>"n/a"</formula>
    </cfRule>
  </conditionalFormatting>
  <conditionalFormatting sqref="M13:M17">
    <cfRule type="cellIs" dxfId="210" priority="19274" operator="equal">
      <formula>"R"</formula>
    </cfRule>
    <cfRule type="cellIs" dxfId="209" priority="19273" operator="equal">
      <formula>"A"</formula>
    </cfRule>
    <cfRule type="cellIs" dxfId="208" priority="19272" operator="equal">
      <formula>"G"</formula>
    </cfRule>
    <cfRule type="cellIs" dxfId="207" priority="19271" operator="equal">
      <formula>"n/a"</formula>
    </cfRule>
  </conditionalFormatting>
  <conditionalFormatting sqref="M52:N54">
    <cfRule type="cellIs" dxfId="206" priority="11614" operator="equal">
      <formula>"A"</formula>
    </cfRule>
    <cfRule type="cellIs" dxfId="205" priority="11613" operator="equal">
      <formula>"G"</formula>
    </cfRule>
    <cfRule type="cellIs" dxfId="204" priority="11612" operator="equal">
      <formula>"n/a"</formula>
    </cfRule>
    <cfRule type="cellIs" dxfId="203" priority="11611" operator="equal">
      <formula>""""""</formula>
    </cfRule>
    <cfRule type="cellIs" dxfId="202" priority="11615" operator="equal">
      <formula>"R"</formula>
    </cfRule>
  </conditionalFormatting>
  <conditionalFormatting sqref="M52:O53">
    <cfRule type="cellIs" dxfId="201" priority="14854" operator="equal">
      <formula>"G"</formula>
    </cfRule>
    <cfRule type="cellIs" dxfId="200" priority="14855" operator="equal">
      <formula>"A"</formula>
    </cfRule>
    <cfRule type="cellIs" dxfId="199" priority="14856" operator="equal">
      <formula>"R"</formula>
    </cfRule>
    <cfRule type="cellIs" dxfId="198" priority="14852" operator="equal">
      <formula>""""""</formula>
    </cfRule>
    <cfRule type="cellIs" dxfId="197" priority="14853" operator="equal">
      <formula>"n/a"</formula>
    </cfRule>
  </conditionalFormatting>
  <conditionalFormatting sqref="M8:P16 U8:X16 M13:M17 M24:P30 U24:X30 AL24:AL35 AO24:AO35 AR24:AR35 AU24:AU35 AX24:AX35 BA24:BA35 E39:H44 M39:P47 U39:X47 AL39:AL47 AO39:AO47 AR39:AR47 AU39:AU47 AX39:AX47 BA39:BA47">
    <cfRule type="cellIs" dxfId="196" priority="19270" operator="equal">
      <formula>""""""</formula>
    </cfRule>
  </conditionalFormatting>
  <conditionalFormatting sqref="M11:P11">
    <cfRule type="cellIs" dxfId="195" priority="19572" operator="equal">
      <formula>"R"</formula>
    </cfRule>
    <cfRule type="cellIs" dxfId="194" priority="19570" operator="equal">
      <formula>"G"</formula>
    </cfRule>
    <cfRule type="cellIs" dxfId="193" priority="19569" operator="equal">
      <formula>"n/a"</formula>
    </cfRule>
    <cfRule type="cellIs" dxfId="192" priority="19571" operator="equal">
      <formula>"A"</formula>
    </cfRule>
  </conditionalFormatting>
  <conditionalFormatting sqref="M35:P35 U35:X35">
    <cfRule type="cellIs" dxfId="191" priority="19473" operator="equal">
      <formula>""""""</formula>
    </cfRule>
  </conditionalFormatting>
  <conditionalFormatting sqref="M58:P58">
    <cfRule type="cellIs" dxfId="190" priority="8157" operator="equal">
      <formula>""""""</formula>
    </cfRule>
  </conditionalFormatting>
  <conditionalFormatting sqref="M20:Q20">
    <cfRule type="cellIs" dxfId="189" priority="7895" operator="equal">
      <formula>""""""</formula>
    </cfRule>
  </conditionalFormatting>
  <conditionalFormatting sqref="M51:Q54">
    <cfRule type="cellIs" dxfId="188" priority="14922" operator="equal">
      <formula>""""""</formula>
    </cfRule>
  </conditionalFormatting>
  <conditionalFormatting sqref="M62:Q62">
    <cfRule type="cellIs" dxfId="187" priority="47666" operator="equal">
      <formula>""""""</formula>
    </cfRule>
  </conditionalFormatting>
  <conditionalFormatting sqref="M17:R17">
    <cfRule type="cellIs" dxfId="186" priority="51336" operator="equal">
      <formula>""""""</formula>
    </cfRule>
  </conditionalFormatting>
  <conditionalFormatting sqref="M20:R20">
    <cfRule type="cellIs" dxfId="185" priority="461" operator="equal">
      <formula>"G"</formula>
    </cfRule>
    <cfRule type="cellIs" dxfId="184" priority="463" operator="equal">
      <formula>"R"</formula>
    </cfRule>
    <cfRule type="cellIs" dxfId="183" priority="460" operator="equal">
      <formula>"n/a"</formula>
    </cfRule>
    <cfRule type="cellIs" dxfId="182" priority="462" operator="equal">
      <formula>"A"</formula>
    </cfRule>
  </conditionalFormatting>
  <conditionalFormatting sqref="M39:R47 U39:Z47">
    <cfRule type="cellIs" dxfId="181" priority="21022" operator="equal">
      <formula>"n/a"</formula>
    </cfRule>
    <cfRule type="cellIs" dxfId="180" priority="21023" operator="equal">
      <formula>"G"</formula>
    </cfRule>
    <cfRule type="cellIs" dxfId="179" priority="21025" operator="equal">
      <formula>"R"</formula>
    </cfRule>
    <cfRule type="cellIs" dxfId="178" priority="21024" operator="equal">
      <formula>"A"</formula>
    </cfRule>
  </conditionalFormatting>
  <conditionalFormatting sqref="M51:R54">
    <cfRule type="cellIs" dxfId="177" priority="45" operator="equal">
      <formula>"R"</formula>
    </cfRule>
    <cfRule type="cellIs" dxfId="176" priority="44" operator="equal">
      <formula>"A"</formula>
    </cfRule>
    <cfRule type="cellIs" dxfId="175" priority="43" operator="equal">
      <formula>"G"</formula>
    </cfRule>
    <cfRule type="cellIs" dxfId="174" priority="42" operator="equal">
      <formula>"n/a"</formula>
    </cfRule>
  </conditionalFormatting>
  <conditionalFormatting sqref="M58:R58">
    <cfRule type="cellIs" dxfId="173" priority="206" operator="equal">
      <formula>"R"</formula>
    </cfRule>
    <cfRule type="cellIs" dxfId="172" priority="205" operator="equal">
      <formula>"A"</formula>
    </cfRule>
    <cfRule type="cellIs" dxfId="171" priority="204" operator="equal">
      <formula>"G"</formula>
    </cfRule>
    <cfRule type="cellIs" dxfId="170" priority="203" operator="equal">
      <formula>"n/a"</formula>
    </cfRule>
  </conditionalFormatting>
  <conditionalFormatting sqref="M62:R62">
    <cfRule type="cellIs" dxfId="169" priority="12" operator="equal">
      <formula>"n/a"</formula>
    </cfRule>
    <cfRule type="cellIs" dxfId="168" priority="13" operator="equal">
      <formula>"G"</formula>
    </cfRule>
    <cfRule type="cellIs" dxfId="167" priority="14" operator="equal">
      <formula>"A"</formula>
    </cfRule>
    <cfRule type="cellIs" dxfId="166" priority="15" operator="equal">
      <formula>"R"</formula>
    </cfRule>
  </conditionalFormatting>
  <conditionalFormatting sqref="N14:N15">
    <cfRule type="cellIs" dxfId="165" priority="24" operator="equal">
      <formula>""""""</formula>
    </cfRule>
    <cfRule type="cellIs" dxfId="164" priority="25" operator="equal">
      <formula>"n/a"</formula>
    </cfRule>
    <cfRule type="cellIs" dxfId="163" priority="26" operator="equal">
      <formula>"G"</formula>
    </cfRule>
    <cfRule type="cellIs" dxfId="162" priority="27" operator="equal">
      <formula>"A"</formula>
    </cfRule>
    <cfRule type="cellIs" dxfId="161" priority="28" operator="equal">
      <formula>"R"</formula>
    </cfRule>
  </conditionalFormatting>
  <conditionalFormatting sqref="N15:O15 O15:P16">
    <cfRule type="cellIs" dxfId="160" priority="52189" operator="equal">
      <formula>"R"</formula>
    </cfRule>
    <cfRule type="cellIs" dxfId="159" priority="52188" operator="equal">
      <formula>"A"</formula>
    </cfRule>
    <cfRule type="cellIs" dxfId="158" priority="52187" operator="equal">
      <formula>"G"</formula>
    </cfRule>
    <cfRule type="cellIs" dxfId="157" priority="52186" operator="equal">
      <formula>"n/a"</formula>
    </cfRule>
    <cfRule type="cellIs" dxfId="156" priority="52185" operator="equal">
      <formula>""""""</formula>
    </cfRule>
  </conditionalFormatting>
  <conditionalFormatting sqref="N8:P11">
    <cfRule type="cellIs" dxfId="155" priority="193" operator="equal">
      <formula>"A"</formula>
    </cfRule>
    <cfRule type="cellIs" dxfId="154" priority="194" operator="equal">
      <formula>"R"</formula>
    </cfRule>
    <cfRule type="cellIs" dxfId="153" priority="192" operator="equal">
      <formula>"G"</formula>
    </cfRule>
    <cfRule type="cellIs" dxfId="152" priority="191" operator="equal">
      <formula>"n/a"</formula>
    </cfRule>
  </conditionalFormatting>
  <conditionalFormatting sqref="N13:P13">
    <cfRule type="cellIs" dxfId="151" priority="54650" operator="equal">
      <formula>"G"</formula>
    </cfRule>
    <cfRule type="cellIs" dxfId="150" priority="54651" operator="equal">
      <formula>"A"</formula>
    </cfRule>
    <cfRule type="cellIs" dxfId="149" priority="54652" operator="equal">
      <formula>"R"</formula>
    </cfRule>
    <cfRule type="cellIs" dxfId="148" priority="54648" operator="equal">
      <formula>""""""</formula>
    </cfRule>
    <cfRule type="cellIs" dxfId="147" priority="54649" operator="equal">
      <formula>"n/a"</formula>
    </cfRule>
  </conditionalFormatting>
  <conditionalFormatting sqref="O14:O17">
    <cfRule type="cellIs" dxfId="146" priority="33" operator="equal">
      <formula>"R"</formula>
    </cfRule>
    <cfRule type="cellIs" dxfId="145" priority="32" operator="equal">
      <formula>"A"</formula>
    </cfRule>
    <cfRule type="cellIs" dxfId="144" priority="31" operator="equal">
      <formula>"G"</formula>
    </cfRule>
    <cfRule type="cellIs" dxfId="143" priority="30" operator="equal">
      <formula>"n/a"</formula>
    </cfRule>
    <cfRule type="cellIs" dxfId="142" priority="29" operator="equal">
      <formula>""""""</formula>
    </cfRule>
  </conditionalFormatting>
  <conditionalFormatting sqref="P14:P16">
    <cfRule type="cellIs" dxfId="141" priority="399" operator="equal">
      <formula>"G"</formula>
    </cfRule>
    <cfRule type="cellIs" dxfId="140" priority="401" operator="equal">
      <formula>"R"</formula>
    </cfRule>
    <cfRule type="cellIs" dxfId="139" priority="398" operator="equal">
      <formula>"n/a"</formula>
    </cfRule>
    <cfRule type="cellIs" dxfId="138" priority="400" operator="equal">
      <formula>"A"</formula>
    </cfRule>
    <cfRule type="cellIs" dxfId="137" priority="397" operator="equal">
      <formula>""""""</formula>
    </cfRule>
  </conditionalFormatting>
  <conditionalFormatting sqref="P52:Q54">
    <cfRule type="cellIs" dxfId="136" priority="50503" operator="equal">
      <formula>""""""</formula>
    </cfRule>
    <cfRule type="cellIs" dxfId="135" priority="50504" operator="equal">
      <formula>"n/a"</formula>
    </cfRule>
    <cfRule type="cellIs" dxfId="134" priority="50505" operator="equal">
      <formula>"G"</formula>
    </cfRule>
    <cfRule type="cellIs" dxfId="133" priority="50506" operator="equal">
      <formula>"A"</formula>
    </cfRule>
    <cfRule type="cellIs" dxfId="132" priority="50507" operator="equal">
      <formula>"R"</formula>
    </cfRule>
  </conditionalFormatting>
  <conditionalFormatting sqref="Q16">
    <cfRule type="cellIs" dxfId="131" priority="4" operator="equal">
      <formula>"A"</formula>
    </cfRule>
    <cfRule type="cellIs" dxfId="130" priority="3" operator="equal">
      <formula>"G"</formula>
    </cfRule>
    <cfRule type="cellIs" dxfId="129" priority="1" operator="equal">
      <formula>""""""</formula>
    </cfRule>
    <cfRule type="cellIs" dxfId="128" priority="2" operator="equal">
      <formula>"n/a"</formula>
    </cfRule>
    <cfRule type="cellIs" dxfId="127" priority="5" operator="equal">
      <formula>"R"</formula>
    </cfRule>
  </conditionalFormatting>
  <conditionalFormatting sqref="U13:U17">
    <cfRule type="cellIs" dxfId="126" priority="18031" operator="equal">
      <formula>""""""</formula>
    </cfRule>
    <cfRule type="cellIs" dxfId="125" priority="18032" operator="equal">
      <formula>"n/a"</formula>
    </cfRule>
    <cfRule type="cellIs" dxfId="124" priority="18033" operator="equal">
      <formula>"G"</formula>
    </cfRule>
    <cfRule type="cellIs" dxfId="123" priority="18034" operator="equal">
      <formula>"A"</formula>
    </cfRule>
    <cfRule type="cellIs" dxfId="122" priority="18035" operator="equal">
      <formula>"R"</formula>
    </cfRule>
  </conditionalFormatting>
  <conditionalFormatting sqref="U20">
    <cfRule type="cellIs" dxfId="121" priority="55235" operator="equal">
      <formula>""""""</formula>
    </cfRule>
  </conditionalFormatting>
  <conditionalFormatting sqref="U11:V11">
    <cfRule type="cellIs" dxfId="120" priority="18361" operator="equal">
      <formula>"A"</formula>
    </cfRule>
    <cfRule type="cellIs" dxfId="119" priority="18362" operator="equal">
      <formula>"R"</formula>
    </cfRule>
    <cfRule type="cellIs" dxfId="118" priority="18358" operator="equal">
      <formula>""""""</formula>
    </cfRule>
    <cfRule type="cellIs" dxfId="117" priority="18359" operator="equal">
      <formula>"n/a"</formula>
    </cfRule>
    <cfRule type="cellIs" dxfId="116" priority="18360" operator="equal">
      <formula>"G"</formula>
    </cfRule>
  </conditionalFormatting>
  <conditionalFormatting sqref="U13:V13">
    <cfRule type="cellIs" dxfId="115" priority="18503" operator="equal">
      <formula>""""""</formula>
    </cfRule>
    <cfRule type="cellIs" dxfId="114" priority="18507" operator="equal">
      <formula>"R"</formula>
    </cfRule>
    <cfRule type="cellIs" dxfId="113" priority="18506" operator="equal">
      <formula>"A"</formula>
    </cfRule>
    <cfRule type="cellIs" dxfId="112" priority="18504" operator="equal">
      <formula>"n/a"</formula>
    </cfRule>
    <cfRule type="cellIs" dxfId="111" priority="18505" operator="equal">
      <formula>"G"</formula>
    </cfRule>
  </conditionalFormatting>
  <conditionalFormatting sqref="U15:V16">
    <cfRule type="cellIs" dxfId="110" priority="18075" operator="equal">
      <formula>"R"</formula>
    </cfRule>
    <cfRule type="cellIs" dxfId="109" priority="18073" operator="equal">
      <formula>"G"</formula>
    </cfRule>
    <cfRule type="cellIs" dxfId="108" priority="18072" operator="equal">
      <formula>"n/a"</formula>
    </cfRule>
    <cfRule type="cellIs" dxfId="107" priority="18071" operator="equal">
      <formula>""""""</formula>
    </cfRule>
    <cfRule type="cellIs" dxfId="106" priority="18074" operator="equal">
      <formula>"A"</formula>
    </cfRule>
  </conditionalFormatting>
  <conditionalFormatting sqref="U35:W35">
    <cfRule type="cellIs" dxfId="105" priority="9600" operator="equal">
      <formula>"G"</formula>
    </cfRule>
    <cfRule type="cellIs" dxfId="104" priority="9602" operator="equal">
      <formula>"R"</formula>
    </cfRule>
    <cfRule type="cellIs" dxfId="103" priority="9601" operator="equal">
      <formula>"A"</formula>
    </cfRule>
    <cfRule type="cellIs" dxfId="102" priority="9599" operator="equal">
      <formula>"n/a"</formula>
    </cfRule>
  </conditionalFormatting>
  <conditionalFormatting sqref="U52:W53">
    <cfRule type="cellIs" dxfId="101" priority="14571" operator="equal">
      <formula>"R"</formula>
    </cfRule>
    <cfRule type="cellIs" dxfId="100" priority="14570" operator="equal">
      <formula>"A"</formula>
    </cfRule>
    <cfRule type="cellIs" dxfId="99" priority="14569" operator="equal">
      <formula>"G"</formula>
    </cfRule>
    <cfRule type="cellIs" dxfId="98" priority="14568" operator="equal">
      <formula>"n/a"</formula>
    </cfRule>
    <cfRule type="cellIs" dxfId="97" priority="14567" operator="equal">
      <formula>""""""</formula>
    </cfRule>
  </conditionalFormatting>
  <conditionalFormatting sqref="U8:X11">
    <cfRule type="cellIs" dxfId="96" priority="13100" operator="equal">
      <formula>"n/a"</formula>
    </cfRule>
    <cfRule type="cellIs" dxfId="95" priority="13103" operator="equal">
      <formula>"R"</formula>
    </cfRule>
    <cfRule type="cellIs" dxfId="94" priority="13102" operator="equal">
      <formula>"A"</formula>
    </cfRule>
    <cfRule type="cellIs" dxfId="93" priority="13101" operator="equal">
      <formula>"G"</formula>
    </cfRule>
  </conditionalFormatting>
  <conditionalFormatting sqref="U13:X16">
    <cfRule type="cellIs" dxfId="92" priority="18290" operator="equal">
      <formula>"G"</formula>
    </cfRule>
    <cfRule type="cellIs" dxfId="91" priority="18291" operator="equal">
      <formula>"A"</formula>
    </cfRule>
    <cfRule type="cellIs" dxfId="90" priority="18292" operator="equal">
      <formula>"R"</formula>
    </cfRule>
    <cfRule type="cellIs" dxfId="89" priority="18289" operator="equal">
      <formula>"n/a"</formula>
    </cfRule>
  </conditionalFormatting>
  <conditionalFormatting sqref="U51:X54">
    <cfRule type="cellIs" dxfId="88" priority="11571" operator="equal">
      <formula>""""""</formula>
    </cfRule>
  </conditionalFormatting>
  <conditionalFormatting sqref="U52:X54">
    <cfRule type="cellIs" dxfId="87" priority="11575" operator="equal">
      <formula>"R"</formula>
    </cfRule>
    <cfRule type="cellIs" dxfId="86" priority="11574" operator="equal">
      <formula>"A"</formula>
    </cfRule>
    <cfRule type="cellIs" dxfId="85" priority="11573" operator="equal">
      <formula>"G"</formula>
    </cfRule>
    <cfRule type="cellIs" dxfId="84" priority="11572" operator="equal">
      <formula>"n/a"</formula>
    </cfRule>
  </conditionalFormatting>
  <conditionalFormatting sqref="U58:X58">
    <cfRule type="cellIs" dxfId="83" priority="8079" operator="equal">
      <formula>""""""</formula>
    </cfRule>
  </conditionalFormatting>
  <conditionalFormatting sqref="U62:Y62">
    <cfRule type="cellIs" dxfId="82" priority="50443" operator="equal">
      <formula>""""""</formula>
    </cfRule>
  </conditionalFormatting>
  <conditionalFormatting sqref="U17:Z17">
    <cfRule type="cellIs" dxfId="81" priority="51012" operator="equal">
      <formula>""""""</formula>
    </cfRule>
  </conditionalFormatting>
  <conditionalFormatting sqref="U20:Z20">
    <cfRule type="cellIs" dxfId="80" priority="432" operator="equal">
      <formula>"n/a"</formula>
    </cfRule>
    <cfRule type="cellIs" dxfId="79" priority="435" operator="equal">
      <formula>"R"</formula>
    </cfRule>
    <cfRule type="cellIs" dxfId="78" priority="434" operator="equal">
      <formula>"A"</formula>
    </cfRule>
    <cfRule type="cellIs" dxfId="77" priority="433" operator="equal">
      <formula>"G"</formula>
    </cfRule>
  </conditionalFormatting>
  <conditionalFormatting sqref="U51:Z54">
    <cfRule type="cellIs" dxfId="76" priority="37" operator="equal">
      <formula>"R"</formula>
    </cfRule>
    <cfRule type="cellIs" dxfId="75" priority="36" operator="equal">
      <formula>"A"</formula>
    </cfRule>
    <cfRule type="cellIs" dxfId="74" priority="35" operator="equal">
      <formula>"G"</formula>
    </cfRule>
    <cfRule type="cellIs" dxfId="73" priority="34" operator="equal">
      <formula>"n/a"</formula>
    </cfRule>
  </conditionalFormatting>
  <conditionalFormatting sqref="U58:Z58">
    <cfRule type="cellIs" dxfId="72" priority="198" operator="equal">
      <formula>"R"</formula>
    </cfRule>
    <cfRule type="cellIs" dxfId="71" priority="197" operator="equal">
      <formula>"A"</formula>
    </cfRule>
    <cfRule type="cellIs" dxfId="70" priority="196" operator="equal">
      <formula>"G"</formula>
    </cfRule>
    <cfRule type="cellIs" dxfId="69" priority="195" operator="equal">
      <formula>"n/a"</formula>
    </cfRule>
  </conditionalFormatting>
  <conditionalFormatting sqref="U62:Z62">
    <cfRule type="cellIs" dxfId="68" priority="17" operator="equal">
      <formula>"G"</formula>
    </cfRule>
    <cfRule type="cellIs" dxfId="67" priority="19" operator="equal">
      <formula>"R"</formula>
    </cfRule>
    <cfRule type="cellIs" dxfId="66" priority="18" operator="equal">
      <formula>"A"</formula>
    </cfRule>
    <cfRule type="cellIs" dxfId="65" priority="16" operator="equal">
      <formula>"n/a"</formula>
    </cfRule>
  </conditionalFormatting>
  <conditionalFormatting sqref="AL8:AL17 AO8:AO17 AR8:AR17 AU8:AU17 AX8:AX17 BA8:BA17 M13:O16">
    <cfRule type="cellIs" dxfId="64" priority="19307" operator="equal">
      <formula>"G"</formula>
    </cfRule>
    <cfRule type="cellIs" dxfId="63" priority="19306" operator="equal">
      <formula>"n/a"</formula>
    </cfRule>
    <cfRule type="cellIs" dxfId="62" priority="19305" operator="equal">
      <formula>""""""</formula>
    </cfRule>
    <cfRule type="cellIs" dxfId="61" priority="19309" operator="equal">
      <formula>"R"</formula>
    </cfRule>
    <cfRule type="cellIs" dxfId="60" priority="19308" operator="equal">
      <formula>"A"</formula>
    </cfRule>
  </conditionalFormatting>
  <conditionalFormatting sqref="AL51:AL54">
    <cfRule type="cellIs" dxfId="59" priority="54294" operator="equal">
      <formula>"n/a"</formula>
    </cfRule>
    <cfRule type="cellIs" dxfId="58" priority="54295" operator="equal">
      <formula>"G"</formula>
    </cfRule>
    <cfRule type="cellIs" dxfId="57" priority="54296" operator="equal">
      <formula>"A"</formula>
    </cfRule>
    <cfRule type="cellIs" dxfId="56" priority="54297" operator="equal">
      <formula>"R"</formula>
    </cfRule>
    <cfRule type="cellIs" dxfId="55" priority="54293" operator="equal">
      <formula>""""""</formula>
    </cfRule>
  </conditionalFormatting>
  <conditionalFormatting sqref="AL58 AL62">
    <cfRule type="cellIs" dxfId="54" priority="53454" operator="equal">
      <formula>"A"</formula>
    </cfRule>
    <cfRule type="cellIs" dxfId="53" priority="53455" operator="equal">
      <formula>"R"</formula>
    </cfRule>
    <cfRule type="cellIs" dxfId="52" priority="53453" operator="equal">
      <formula>"G"</formula>
    </cfRule>
    <cfRule type="cellIs" dxfId="51" priority="53451" operator="equal">
      <formula>""""""</formula>
    </cfRule>
    <cfRule type="cellIs" dxfId="50" priority="53452" operator="equal">
      <formula>"n/a"</formula>
    </cfRule>
  </conditionalFormatting>
  <conditionalFormatting sqref="AO51:AO54">
    <cfRule type="cellIs" dxfId="49" priority="54291" operator="equal">
      <formula>"A"</formula>
    </cfRule>
    <cfRule type="cellIs" dxfId="48" priority="54290" operator="equal">
      <formula>"G"</formula>
    </cfRule>
    <cfRule type="cellIs" dxfId="47" priority="54288" operator="equal">
      <formula>""""""</formula>
    </cfRule>
    <cfRule type="cellIs" dxfId="46" priority="54289" operator="equal">
      <formula>"n/a"</formula>
    </cfRule>
    <cfRule type="cellIs" dxfId="45" priority="54292" operator="equal">
      <formula>"R"</formula>
    </cfRule>
  </conditionalFormatting>
  <conditionalFormatting sqref="AO58 AO62">
    <cfRule type="cellIs" dxfId="44" priority="53446" operator="equal">
      <formula>""""""</formula>
    </cfRule>
    <cfRule type="cellIs" dxfId="43" priority="53447" operator="equal">
      <formula>"n/a"</formula>
    </cfRule>
    <cfRule type="cellIs" dxfId="42" priority="53448" operator="equal">
      <formula>"G"</formula>
    </cfRule>
    <cfRule type="cellIs" dxfId="41" priority="53449" operator="equal">
      <formula>"A"</formula>
    </cfRule>
    <cfRule type="cellIs" dxfId="40" priority="53450" operator="equal">
      <formula>"R"</formula>
    </cfRule>
  </conditionalFormatting>
  <conditionalFormatting sqref="AR51:AR54">
    <cfRule type="cellIs" dxfId="39" priority="54283" operator="equal">
      <formula>""""""</formula>
    </cfRule>
    <cfRule type="cellIs" dxfId="38" priority="54284" operator="equal">
      <formula>"n/a"</formula>
    </cfRule>
    <cfRule type="cellIs" dxfId="37" priority="54285" operator="equal">
      <formula>"G"</formula>
    </cfRule>
    <cfRule type="cellIs" dxfId="36" priority="54286" operator="equal">
      <formula>"A"</formula>
    </cfRule>
    <cfRule type="cellIs" dxfId="35" priority="54287" operator="equal">
      <formula>"R"</formula>
    </cfRule>
  </conditionalFormatting>
  <conditionalFormatting sqref="AR58 AR62">
    <cfRule type="cellIs" dxfId="34" priority="53445" operator="equal">
      <formula>"R"</formula>
    </cfRule>
    <cfRule type="cellIs" dxfId="33" priority="53444" operator="equal">
      <formula>"A"</formula>
    </cfRule>
    <cfRule type="cellIs" dxfId="32" priority="53442" operator="equal">
      <formula>"n/a"</formula>
    </cfRule>
    <cfRule type="cellIs" dxfId="31" priority="53441" operator="equal">
      <formula>""""""</formula>
    </cfRule>
    <cfRule type="cellIs" dxfId="30" priority="53443" operator="equal">
      <formula>"G"</formula>
    </cfRule>
  </conditionalFormatting>
  <conditionalFormatting sqref="AU51:AU54">
    <cfRule type="cellIs" dxfId="29" priority="54278" operator="equal">
      <formula>""""""</formula>
    </cfRule>
    <cfRule type="cellIs" dxfId="28" priority="54279" operator="equal">
      <formula>"n/a"</formula>
    </cfRule>
    <cfRule type="cellIs" dxfId="27" priority="54280" operator="equal">
      <formula>"G"</formula>
    </cfRule>
    <cfRule type="cellIs" dxfId="26" priority="54281" operator="equal">
      <formula>"A"</formula>
    </cfRule>
    <cfRule type="cellIs" dxfId="25" priority="54282" operator="equal">
      <formula>"R"</formula>
    </cfRule>
  </conditionalFormatting>
  <conditionalFormatting sqref="AU58 AU62">
    <cfRule type="cellIs" dxfId="24" priority="53439" operator="equal">
      <formula>"A"</formula>
    </cfRule>
    <cfRule type="cellIs" dxfId="23" priority="53438" operator="equal">
      <formula>"G"</formula>
    </cfRule>
    <cfRule type="cellIs" dxfId="22" priority="53437" operator="equal">
      <formula>"n/a"</formula>
    </cfRule>
    <cfRule type="cellIs" dxfId="21" priority="53436" operator="equal">
      <formula>""""""</formula>
    </cfRule>
    <cfRule type="cellIs" dxfId="20" priority="53440" operator="equal">
      <formula>"R"</formula>
    </cfRule>
  </conditionalFormatting>
  <conditionalFormatting sqref="AX51:AX54">
    <cfRule type="cellIs" dxfId="19" priority="54851" operator="equal">
      <formula>""""""</formula>
    </cfRule>
    <cfRule type="cellIs" dxfId="18" priority="54852" operator="equal">
      <formula>"n/a"</formula>
    </cfRule>
    <cfRule type="cellIs" dxfId="17" priority="54853" operator="equal">
      <formula>"G"</formula>
    </cfRule>
    <cfRule type="cellIs" dxfId="16" priority="54854" operator="equal">
      <formula>"A"</formula>
    </cfRule>
    <cfRule type="cellIs" dxfId="15" priority="54855" operator="equal">
      <formula>"R"</formula>
    </cfRule>
  </conditionalFormatting>
  <conditionalFormatting sqref="AX58 AX62">
    <cfRule type="cellIs" dxfId="14" priority="53461" operator="equal">
      <formula>""""""</formula>
    </cfRule>
    <cfRule type="cellIs" dxfId="13" priority="53462" operator="equal">
      <formula>"n/a"</formula>
    </cfRule>
    <cfRule type="cellIs" dxfId="12" priority="53463" operator="equal">
      <formula>"G"</formula>
    </cfRule>
    <cfRule type="cellIs" dxfId="11" priority="53464" operator="equal">
      <formula>"A"</formula>
    </cfRule>
    <cfRule type="cellIs" dxfId="10" priority="53465" operator="equal">
      <formula>"R"</formula>
    </cfRule>
  </conditionalFormatting>
  <conditionalFormatting sqref="BA51:BA54">
    <cfRule type="cellIs" dxfId="9" priority="54850" operator="equal">
      <formula>"R"</formula>
    </cfRule>
    <cfRule type="cellIs" dxfId="8" priority="54846" operator="equal">
      <formula>""""""</formula>
    </cfRule>
    <cfRule type="cellIs" dxfId="7" priority="54847" operator="equal">
      <formula>"n/a"</formula>
    </cfRule>
    <cfRule type="cellIs" dxfId="6" priority="54848" operator="equal">
      <formula>"G"</formula>
    </cfRule>
    <cfRule type="cellIs" dxfId="5" priority="54849" operator="equal">
      <formula>"A"</formula>
    </cfRule>
  </conditionalFormatting>
  <conditionalFormatting sqref="BA58 BA62">
    <cfRule type="cellIs" dxfId="4" priority="53460" operator="equal">
      <formula>"R"</formula>
    </cfRule>
    <cfRule type="cellIs" dxfId="3" priority="53456" operator="equal">
      <formula>""""""</formula>
    </cfRule>
    <cfRule type="cellIs" dxfId="2" priority="53458" operator="equal">
      <formula>"G"</formula>
    </cfRule>
    <cfRule type="cellIs" dxfId="1" priority="53459" operator="equal">
      <formula>"A"</formula>
    </cfRule>
    <cfRule type="cellIs" dxfId="0" priority="53457" operator="equal">
      <formula>"n/a"</formula>
    </cfRule>
  </conditionalFormatting>
  <dataValidations count="2">
    <dataValidation type="list" allowBlank="1" showInputMessage="1" showErrorMessage="1" sqref="AA62 S20 S62 AA20 K20 K62 S58 AA58 K58 S51:S54 K51:K54 AA51:AA54 S8:S17 AA8:AA17 K8:K17 K24:K35 AA24:AA35 S24:S35 AA43:AA47 AA39:AA42 S43:S47 S39:S42 K43:K47 K39:K42" xr:uid="{2DBC0D05-D16D-4C4C-9D1B-A264B2FBE567}">
      <formula1>"è, é, ê"</formula1>
    </dataValidation>
    <dataValidation type="list" allowBlank="1" showInputMessage="1" showErrorMessage="1" sqref="AX62 BA62 AU62 AR62 E58:J58 AL62 AO62 U58:Z58 AL58 E20:J20 E62:J62 AR58 AU58 BA58 AX58 AO58 M51:R54 M20:R20 M58:R58 AL51:AL54 AO51:AO54 AX51:AX54 BA51:BA54 AU51:AU54 AR51:AR54 E51:J54 U62:Z62 U20:Z20 U51:Z54 M62:R62 U8:Z17 E8:J17 BA8:BA17 AX8:AX17 AU8:AU17 AL8:AL17 AO8:AO17 AR8:AR17 M8:R17 M24:R35 E24:J35 AU24:AU35 AR24:AR35 AO24:AO35 AL24:AL35 BA24:BA35 AX24:AX35 U24:Z35 AU43:AU47 AU39:AU42 AL43:AL47 AL39:AL42 AO43:AO47 AO39:AO42 AR43:AR47 AR39:AR42 BA43:BA47 BA39:BA42 AX43:AX47 AX39:AX42 M43:R47 M39:R42 U43:Z47 U39:Z42 E43:J47 E39:J42" xr:uid="{0E3EFD5E-E45D-429B-B812-045A7B17E99B}">
      <formula1>"G, A, R, n/a"</formula1>
    </dataValidation>
  </dataValidations>
  <pageMargins left="0.70866141732283461" right="0.19685039370078741" top="0.74803149606299213" bottom="0.74803149606299213" header="0.31496062992125984" footer="0.31496062992125984"/>
  <pageSetup paperSize="8" scale="49" orientation="landscape" r:id="rId61"/>
  <drawing r:id="rId6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68602E061513F34E84C6625DC001115B" ma:contentTypeVersion="10" ma:contentTypeDescription="Create a new document." ma:contentTypeScope="" ma:versionID="3e98c74736b5b137361871a663ba1006">
  <xsd:schema xmlns:xsd="http://www.w3.org/2001/XMLSchema" xmlns:xs="http://www.w3.org/2001/XMLSchema" xmlns:p="http://schemas.microsoft.com/office/2006/metadata/properties" xmlns:ns3="25705587-05e4-4d90-a5db-3d4d26145a4d" xmlns:ns4="a50f8b53-bf54-43c4-9ecb-6780ef8e12f4" targetNamespace="http://schemas.microsoft.com/office/2006/metadata/properties" ma:root="true" ma:fieldsID="af3ae39b54293c3b0bc1196d23977943" ns3:_="" ns4:_="">
    <xsd:import namespace="25705587-05e4-4d90-a5db-3d4d26145a4d"/>
    <xsd:import namespace="a50f8b53-bf54-43c4-9ecb-6780ef8e12f4"/>
    <xsd:element name="properties">
      <xsd:complexType>
        <xsd:sequence>
          <xsd:element name="documentManagement">
            <xsd:complexType>
              <xsd:all>
                <xsd:element ref="ns3:MediaServiceMetadata" minOccurs="0"/>
                <xsd:element ref="ns3:MediaServiceFastMetadata" minOccurs="0"/>
                <xsd:element ref="ns3:MediaServiceDateTaken" minOccurs="0"/>
                <xsd:element ref="ns3:MediaServiceAutoTags" minOccurs="0"/>
                <xsd:element ref="ns3:MediaLengthInSeconds" minOccurs="0"/>
                <xsd:element ref="ns4:SharedWithUsers" minOccurs="0"/>
                <xsd:element ref="ns4:SharedWithDetails" minOccurs="0"/>
                <xsd:element ref="ns4:SharingHintHash" minOccurs="0"/>
                <xsd:element ref="ns3:MediaServiceAutoKeyPoints" minOccurs="0"/>
                <xsd:element ref="ns3:MediaServiceKeyPoint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5705587-05e4-4d90-a5db-3d4d26145a4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ServiceAutoTags" ma:index="11" nillable="true" ma:displayName="Tags" ma:internalName="MediaServiceAutoTags" ma:readOnly="true">
      <xsd:simpleType>
        <xsd:restriction base="dms:Text"/>
      </xsd:simpleType>
    </xsd:element>
    <xsd:element name="MediaLengthInSeconds" ma:index="12" nillable="true" ma:displayName="MediaLengthInSeconds" ma:hidden="true" ma:internalName="MediaLengthInSeconds" ma:readOnly="true">
      <xsd:simpleType>
        <xsd:restriction base="dms:Unknown"/>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internalName="MediaServiceKeyPoint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a50f8b53-bf54-43c4-9ecb-6780ef8e12f4" elementFormDefault="qualified">
    <xsd:import namespace="http://schemas.microsoft.com/office/2006/documentManagement/types"/>
    <xsd:import namespace="http://schemas.microsoft.com/office/infopath/2007/PartnerControls"/>
    <xsd:element name="SharedWithUsers" ma:index="13"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Shared With Details" ma:internalName="SharedWithDetails" ma:readOnly="true">
      <xsd:simpleType>
        <xsd:restriction base="dms:Note">
          <xsd:maxLength value="255"/>
        </xsd:restriction>
      </xsd:simpleType>
    </xsd:element>
    <xsd:element name="SharingHintHash" ma:index="15" nillable="true" ma:displayName="Sharing Hint Hash"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sisl xmlns:xsi="http://www.w3.org/2001/XMLSchema-instance" xmlns:xsd="http://www.w3.org/2001/XMLSchema" xmlns="http://www.boldonjames.com/2008/01/sie/internal/label" sislVersion="0" policy="fd403455-cda7-4c1b-b87f-02f0c0503f88" origin="userSelected">
  <element uid="id_protective_marking_new_item_1" value=""/>
</sisl>
</file>

<file path=customXml/itemProps1.xml><?xml version="1.0" encoding="utf-8"?>
<ds:datastoreItem xmlns:ds="http://schemas.openxmlformats.org/officeDocument/2006/customXml" ds:itemID="{F42ACD45-D5A8-4B82-A8A2-04D0E6AF9AA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25705587-05e4-4d90-a5db-3d4d26145a4d"/>
    <ds:schemaRef ds:uri="a50f8b53-bf54-43c4-9ecb-6780ef8e12f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CCB13306-B774-4702-AD74-87FAE5FFC672}">
  <ds:schemaRefs>
    <ds:schemaRef ds:uri="25705587-05e4-4d90-a5db-3d4d26145a4d"/>
    <ds:schemaRef ds:uri="http://schemas.microsoft.com/office/2006/documentManagement/types"/>
    <ds:schemaRef ds:uri="http://schemas.openxmlformats.org/package/2006/metadata/core-properties"/>
    <ds:schemaRef ds:uri="http://purl.org/dc/dcmitype/"/>
    <ds:schemaRef ds:uri="http://schemas.microsoft.com/office/infopath/2007/PartnerControls"/>
    <ds:schemaRef ds:uri="a50f8b53-bf54-43c4-9ecb-6780ef8e12f4"/>
    <ds:schemaRef ds:uri="http://purl.org/dc/elements/1.1/"/>
    <ds:schemaRef ds:uri="http://schemas.microsoft.com/office/2006/metadata/properties"/>
    <ds:schemaRef ds:uri="http://www.w3.org/XML/1998/namespace"/>
    <ds:schemaRef ds:uri="http://purl.org/dc/terms/"/>
  </ds:schemaRefs>
</ds:datastoreItem>
</file>

<file path=customXml/itemProps3.xml><?xml version="1.0" encoding="utf-8"?>
<ds:datastoreItem xmlns:ds="http://schemas.openxmlformats.org/officeDocument/2006/customXml" ds:itemID="{7170C7E3-D746-4FC1-9A31-86D335EDBDD0}">
  <ds:schemaRefs>
    <ds:schemaRef ds:uri="http://schemas.microsoft.com/sharepoint/v3/contenttype/forms"/>
  </ds:schemaRefs>
</ds:datastoreItem>
</file>

<file path=customXml/itemProps4.xml><?xml version="1.0" encoding="utf-8"?>
<ds:datastoreItem xmlns:ds="http://schemas.openxmlformats.org/officeDocument/2006/customXml" ds:itemID="{CF5B6DF5-78EB-44CD-B1A7-2830EA8D31DB}">
  <ds:schemaRefs>
    <ds:schemaRef ds:uri="http://www.w3.org/2001/XMLSchema"/>
    <ds:schemaRef ds:uri="http://www.boldonjames.com/2008/01/sie/internal/label"/>
  </ds:schemaRefs>
</ds:datastoreItem>
</file>

<file path=docMetadata/LabelInfo.xml><?xml version="1.0" encoding="utf-8"?>
<clbl:labelList xmlns:clbl="http://schemas.microsoft.com/office/2020/mipLabelMetadata">
  <clbl:label id="{c69e0218-afb7-4a04-8007-325c5c247b32}" enabled="1" method="Privileged" siteId="{54614f5e-b3b2-44cf-8a5b-39034b74de94}" contentBits="3"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14</vt:i4>
      </vt:variant>
      <vt:variant>
        <vt:lpstr>Named Ranges</vt:lpstr>
      </vt:variant>
      <vt:variant>
        <vt:i4>7</vt:i4>
      </vt:variant>
    </vt:vector>
  </HeadingPairs>
  <TitlesOfParts>
    <vt:vector size="21" baseType="lpstr">
      <vt:lpstr>0) SL Project Structure</vt:lpstr>
      <vt:lpstr>0) SL Project Structure OLD</vt:lpstr>
      <vt:lpstr>1) Report</vt:lpstr>
      <vt:lpstr>3) BC and Sanction Changes PD6</vt:lpstr>
      <vt:lpstr>4) Baseline Changes</vt:lpstr>
      <vt:lpstr>2) Definitions</vt:lpstr>
      <vt:lpstr>3) BC and Sanction</vt:lpstr>
      <vt:lpstr>4b) SL EPO Extended Data Sheet</vt:lpstr>
      <vt:lpstr>Pd08 MPPR WD9</vt:lpstr>
      <vt:lpstr>Pd08 Extended MPPR WD9</vt:lpstr>
      <vt:lpstr>4a) SL EPO Data File</vt:lpstr>
      <vt:lpstr>P&amp;B Summary</vt:lpstr>
      <vt:lpstr>5a)NDA MPPR</vt:lpstr>
      <vt:lpstr>6) RAG Table</vt:lpstr>
      <vt:lpstr>'0) SL Project Structure'!Print_Area</vt:lpstr>
      <vt:lpstr>'0) SL Project Structure OLD'!Print_Area</vt:lpstr>
      <vt:lpstr>'1) Report'!Print_Area</vt:lpstr>
      <vt:lpstr>'2) Definitions'!Print_Area</vt:lpstr>
      <vt:lpstr>'6) RAG Table'!Print_Area</vt:lpstr>
      <vt:lpstr>'P&amp;B Summary'!Print_Area</vt:lpstr>
      <vt:lpstr>'1) Report'!Print_Titles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Sellar, Andrew</dc:creator>
  <cp:keywords/>
  <dc:description/>
  <cp:lastModifiedBy>Duffy, Joanne (SL)</cp:lastModifiedBy>
  <cp:revision/>
  <cp:lastPrinted>2025-11-07T14:14:48Z</cp:lastPrinted>
  <dcterms:created xsi:type="dcterms:W3CDTF">2021-07-01T13:12:16Z</dcterms:created>
  <dcterms:modified xsi:type="dcterms:W3CDTF">2025-11-07T14:19:08Z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docIndexRef">
    <vt:lpwstr>e05908e6-b36b-4ec8-ba06-f02babad1fe6</vt:lpwstr>
  </property>
  <property fmtid="{D5CDD505-2E9C-101B-9397-08002B2CF9AE}" pid="3" name="bjSaver">
    <vt:lpwstr>67B0vHPKHpKttQzMWFwk/v/m+aLPzThV</vt:lpwstr>
  </property>
  <property fmtid="{D5CDD505-2E9C-101B-9397-08002B2CF9AE}" pid="4" name="bjClsUserRVM">
    <vt:lpwstr>[]</vt:lpwstr>
  </property>
  <property fmtid="{D5CDD505-2E9C-101B-9397-08002B2CF9AE}" pid="5" name="ContentTypeId">
    <vt:lpwstr>0x01010068602E061513F34E84C6625DC001115B</vt:lpwstr>
  </property>
  <property fmtid="{D5CDD505-2E9C-101B-9397-08002B2CF9AE}" pid="6" name="MSIP_Label_4b4c8e33-e9bd-4b03-9952-88e447410871_Enabled">
    <vt:lpwstr>true</vt:lpwstr>
  </property>
  <property fmtid="{D5CDD505-2E9C-101B-9397-08002B2CF9AE}" pid="7" name="MSIP_Label_4b4c8e33-e9bd-4b03-9952-88e447410871_SetDate">
    <vt:lpwstr>2022-06-08T12:51:44Z</vt:lpwstr>
  </property>
  <property fmtid="{D5CDD505-2E9C-101B-9397-08002B2CF9AE}" pid="8" name="MSIP_Label_4b4c8e33-e9bd-4b03-9952-88e447410871_Method">
    <vt:lpwstr>Privileged</vt:lpwstr>
  </property>
  <property fmtid="{D5CDD505-2E9C-101B-9397-08002B2CF9AE}" pid="9" name="MSIP_Label_4b4c8e33-e9bd-4b03-9952-88e447410871_Name">
    <vt:lpwstr>OFFICIAL</vt:lpwstr>
  </property>
  <property fmtid="{D5CDD505-2E9C-101B-9397-08002B2CF9AE}" pid="10" name="MSIP_Label_4b4c8e33-e9bd-4b03-9952-88e447410871_SiteId">
    <vt:lpwstr>ee032e7f-73e4-457a-a0c4-cfbe17e33ceb</vt:lpwstr>
  </property>
  <property fmtid="{D5CDD505-2E9C-101B-9397-08002B2CF9AE}" pid="11" name="MSIP_Label_4b4c8e33-e9bd-4b03-9952-88e447410871_ActionId">
    <vt:lpwstr>301f9c06-50d3-4bb5-8dcf-a4f7a4a881da</vt:lpwstr>
  </property>
  <property fmtid="{D5CDD505-2E9C-101B-9397-08002B2CF9AE}" pid="12" name="MSIP_Label_4b4c8e33-e9bd-4b03-9952-88e447410871_ContentBits">
    <vt:lpwstr>3</vt:lpwstr>
  </property>
  <property fmtid="{D5CDD505-2E9C-101B-9397-08002B2CF9AE}" pid="13" name="MSIP_Label_c69e0218-afb7-4a04-8007-325c5c247b32_Enabled">
    <vt:lpwstr>true</vt:lpwstr>
  </property>
  <property fmtid="{D5CDD505-2E9C-101B-9397-08002B2CF9AE}" pid="14" name="MSIP_Label_c69e0218-afb7-4a04-8007-325c5c247b32_SetDate">
    <vt:lpwstr>2022-12-08T12:01:35Z</vt:lpwstr>
  </property>
  <property fmtid="{D5CDD505-2E9C-101B-9397-08002B2CF9AE}" pid="15" name="MSIP_Label_c69e0218-afb7-4a04-8007-325c5c247b32_Method">
    <vt:lpwstr>Privileged</vt:lpwstr>
  </property>
  <property fmtid="{D5CDD505-2E9C-101B-9397-08002B2CF9AE}" pid="16" name="MSIP_Label_c69e0218-afb7-4a04-8007-325c5c247b32_Name">
    <vt:lpwstr>Official Marked</vt:lpwstr>
  </property>
  <property fmtid="{D5CDD505-2E9C-101B-9397-08002B2CF9AE}" pid="17" name="MSIP_Label_c69e0218-afb7-4a04-8007-325c5c247b32_SiteId">
    <vt:lpwstr>54614f5e-b3b2-44cf-8a5b-39034b74de94</vt:lpwstr>
  </property>
  <property fmtid="{D5CDD505-2E9C-101B-9397-08002B2CF9AE}" pid="18" name="MSIP_Label_c69e0218-afb7-4a04-8007-325c5c247b32_ActionId">
    <vt:lpwstr>c697137c-255e-4a7d-b269-8f0fc2efdf92</vt:lpwstr>
  </property>
  <property fmtid="{D5CDD505-2E9C-101B-9397-08002B2CF9AE}" pid="19" name="MSIP_Label_c69e0218-afb7-4a04-8007-325c5c247b32_ContentBits">
    <vt:lpwstr>3</vt:lpwstr>
  </property>
  <property fmtid="{D5CDD505-2E9C-101B-9397-08002B2CF9AE}" pid="20" name="bjDocumentLabelXML">
    <vt:lpwstr>&lt;?xml version="1.0" encoding="us-ascii"?&gt;&lt;sisl xmlns:xsi="http://www.w3.org/2001/XMLSchema-instance" xmlns:xsd="http://www.w3.org/2001/XMLSchema" sislVersion="0" policy="fd403455-cda7-4c1b-b87f-02f0c0503f88" origin="userSelected" xmlns="http://www.boldonj</vt:lpwstr>
  </property>
  <property fmtid="{D5CDD505-2E9C-101B-9397-08002B2CF9AE}" pid="21" name="bjDocumentLabelXML-0">
    <vt:lpwstr>ames.com/2008/01/sie/internal/label"&gt;&lt;element uid="id_protective_marking_new_item_1" value="" /&gt;&lt;/sisl&gt;</vt:lpwstr>
  </property>
  <property fmtid="{D5CDD505-2E9C-101B-9397-08002B2CF9AE}" pid="22" name="bjDocumentSecurityLabel">
    <vt:lpwstr>[OFFICIAL NO MARKING]</vt:lpwstr>
  </property>
</Properties>
</file>